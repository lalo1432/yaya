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/Users/eduardomontoya/Downloads/"/>
    </mc:Choice>
  </mc:AlternateContent>
  <xr:revisionPtr revIDLastSave="0" documentId="11_6B3D2DB04B28A0037E78E2F824F3CE55833B0F88" xr6:coauthVersionLast="47" xr6:coauthVersionMax="47" xr10:uidLastSave="{00000000-0000-0000-0000-000000000000}"/>
  <bookViews>
    <workbookView xWindow="0" yWindow="500" windowWidth="16380" windowHeight="8200" tabRatio="500" xr2:uid="{00000000-000D-0000-FFFF-FFFF00000000}"/>
  </bookViews>
  <sheets>
    <sheet name="Resumen" sheetId="1" r:id="rId1"/>
    <sheet name="Población" sheetId="2" r:id="rId2"/>
    <sheet name="Cuadro 3" sheetId="3" r:id="rId3"/>
    <sheet name="Cuadro 4" sheetId="4" r:id="rId4"/>
    <sheet name="Cuadro 5" sheetId="5" r:id="rId5"/>
    <sheet name="Cuadro 7" sheetId="6" r:id="rId6"/>
    <sheet name="Validación DOF" sheetId="7" r:id="rId7"/>
  </sheets>
  <definedNames>
    <definedName name="_xlnm.Print_Area" localSheetId="0">Resumen!$A$1:$R$52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" i="7" l="1"/>
  <c r="F39" i="7"/>
  <c r="C39" i="7"/>
  <c r="H38" i="7"/>
  <c r="J38" i="7" s="1"/>
  <c r="G38" i="7"/>
  <c r="E38" i="7"/>
  <c r="J37" i="7"/>
  <c r="H37" i="7"/>
  <c r="E37" i="7"/>
  <c r="G37" i="7" s="1"/>
  <c r="H36" i="7"/>
  <c r="J36" i="7" s="1"/>
  <c r="G36" i="7"/>
  <c r="E36" i="7"/>
  <c r="J35" i="7"/>
  <c r="H35" i="7"/>
  <c r="E35" i="7"/>
  <c r="G35" i="7" s="1"/>
  <c r="H34" i="7"/>
  <c r="J34" i="7" s="1"/>
  <c r="G34" i="7"/>
  <c r="E34" i="7"/>
  <c r="J33" i="7"/>
  <c r="H33" i="7"/>
  <c r="E33" i="7"/>
  <c r="G33" i="7" s="1"/>
  <c r="H32" i="7"/>
  <c r="J32" i="7" s="1"/>
  <c r="G32" i="7"/>
  <c r="E32" i="7"/>
  <c r="J31" i="7"/>
  <c r="H31" i="7"/>
  <c r="E31" i="7"/>
  <c r="G31" i="7" s="1"/>
  <c r="H30" i="7"/>
  <c r="J30" i="7" s="1"/>
  <c r="G30" i="7"/>
  <c r="E30" i="7"/>
  <c r="J29" i="7"/>
  <c r="H29" i="7"/>
  <c r="E29" i="7"/>
  <c r="G29" i="7" s="1"/>
  <c r="H28" i="7"/>
  <c r="J28" i="7" s="1"/>
  <c r="G28" i="7"/>
  <c r="E28" i="7"/>
  <c r="J27" i="7"/>
  <c r="H27" i="7"/>
  <c r="E27" i="7"/>
  <c r="G27" i="7" s="1"/>
  <c r="H26" i="7"/>
  <c r="J26" i="7" s="1"/>
  <c r="G26" i="7"/>
  <c r="E26" i="7"/>
  <c r="J25" i="7"/>
  <c r="H25" i="7"/>
  <c r="E25" i="7"/>
  <c r="G25" i="7" s="1"/>
  <c r="H24" i="7"/>
  <c r="J24" i="7" s="1"/>
  <c r="E24" i="7"/>
  <c r="G24" i="7" s="1"/>
  <c r="H23" i="7"/>
  <c r="J23" i="7" s="1"/>
  <c r="E23" i="7"/>
  <c r="G23" i="7" s="1"/>
  <c r="H22" i="7"/>
  <c r="J22" i="7" s="1"/>
  <c r="G22" i="7"/>
  <c r="E22" i="7"/>
  <c r="H21" i="7"/>
  <c r="J21" i="7" s="1"/>
  <c r="E21" i="7"/>
  <c r="G21" i="7" s="1"/>
  <c r="H20" i="7"/>
  <c r="J20" i="7" s="1"/>
  <c r="E20" i="7"/>
  <c r="G20" i="7" s="1"/>
  <c r="J19" i="7"/>
  <c r="H19" i="7"/>
  <c r="E19" i="7"/>
  <c r="G19" i="7" s="1"/>
  <c r="H18" i="7"/>
  <c r="J18" i="7" s="1"/>
  <c r="E18" i="7"/>
  <c r="G18" i="7" s="1"/>
  <c r="H17" i="7"/>
  <c r="J17" i="7" s="1"/>
  <c r="E17" i="7"/>
  <c r="G17" i="7" s="1"/>
  <c r="H16" i="7"/>
  <c r="J16" i="7" s="1"/>
  <c r="G16" i="7"/>
  <c r="E16" i="7"/>
  <c r="H15" i="7"/>
  <c r="J15" i="7" s="1"/>
  <c r="E15" i="7"/>
  <c r="G15" i="7" s="1"/>
  <c r="H14" i="7"/>
  <c r="J14" i="7" s="1"/>
  <c r="G14" i="7"/>
  <c r="E14" i="7"/>
  <c r="H13" i="7"/>
  <c r="J13" i="7" s="1"/>
  <c r="E13" i="7"/>
  <c r="G13" i="7" s="1"/>
  <c r="H12" i="7"/>
  <c r="J12" i="7" s="1"/>
  <c r="E12" i="7"/>
  <c r="G12" i="7" s="1"/>
  <c r="J11" i="7"/>
  <c r="H11" i="7"/>
  <c r="E11" i="7"/>
  <c r="G11" i="7" s="1"/>
  <c r="H10" i="7"/>
  <c r="J10" i="7" s="1"/>
  <c r="E10" i="7"/>
  <c r="G10" i="7" s="1"/>
  <c r="H9" i="7"/>
  <c r="J9" i="7" s="1"/>
  <c r="E9" i="7"/>
  <c r="G9" i="7" s="1"/>
  <c r="H8" i="7"/>
  <c r="J8" i="7" s="1"/>
  <c r="E8" i="7"/>
  <c r="G8" i="7" s="1"/>
  <c r="J7" i="7"/>
  <c r="H7" i="7"/>
  <c r="E7" i="7"/>
  <c r="G7" i="7" s="1"/>
  <c r="F49" i="6"/>
  <c r="F44" i="6"/>
  <c r="F45" i="6" s="1"/>
  <c r="F47" i="6" s="1"/>
  <c r="F50" i="6" s="1"/>
  <c r="B39" i="6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3" i="5"/>
  <c r="I38" i="4"/>
  <c r="I37" i="4"/>
  <c r="K37" i="4" s="1"/>
  <c r="D37" i="6" s="1"/>
  <c r="I36" i="4"/>
  <c r="K35" i="4"/>
  <c r="D35" i="6" s="1"/>
  <c r="I35" i="4"/>
  <c r="I34" i="4"/>
  <c r="I33" i="4"/>
  <c r="K33" i="4" s="1"/>
  <c r="D33" i="6" s="1"/>
  <c r="I32" i="4"/>
  <c r="F32" i="4"/>
  <c r="G32" i="4" s="1"/>
  <c r="I31" i="4"/>
  <c r="K31" i="4" s="1"/>
  <c r="D31" i="6" s="1"/>
  <c r="I30" i="4"/>
  <c r="I29" i="4"/>
  <c r="K29" i="4" s="1"/>
  <c r="D29" i="6" s="1"/>
  <c r="I28" i="4"/>
  <c r="K27" i="4"/>
  <c r="D27" i="6" s="1"/>
  <c r="I27" i="4"/>
  <c r="I26" i="4"/>
  <c r="I25" i="4"/>
  <c r="K25" i="4" s="1"/>
  <c r="D25" i="6" s="1"/>
  <c r="I24" i="4"/>
  <c r="F24" i="4"/>
  <c r="G24" i="4" s="1"/>
  <c r="I23" i="4"/>
  <c r="K23" i="4" s="1"/>
  <c r="D23" i="6" s="1"/>
  <c r="I22" i="4"/>
  <c r="I21" i="4"/>
  <c r="K21" i="4" s="1"/>
  <c r="D21" i="6" s="1"/>
  <c r="I20" i="4"/>
  <c r="K19" i="4"/>
  <c r="D19" i="6" s="1"/>
  <c r="I19" i="4"/>
  <c r="I18" i="4"/>
  <c r="K18" i="4" s="1"/>
  <c r="D18" i="6" s="1"/>
  <c r="F18" i="4"/>
  <c r="G18" i="4" s="1"/>
  <c r="I17" i="4"/>
  <c r="K16" i="4"/>
  <c r="D16" i="6" s="1"/>
  <c r="I16" i="4"/>
  <c r="K15" i="4"/>
  <c r="D15" i="6" s="1"/>
  <c r="I15" i="4"/>
  <c r="I14" i="4"/>
  <c r="K14" i="4" s="1"/>
  <c r="D14" i="6" s="1"/>
  <c r="I13" i="4"/>
  <c r="K13" i="4" s="1"/>
  <c r="D13" i="6" s="1"/>
  <c r="K12" i="4"/>
  <c r="D12" i="6" s="1"/>
  <c r="I12" i="4"/>
  <c r="K11" i="4"/>
  <c r="D11" i="6" s="1"/>
  <c r="I11" i="4"/>
  <c r="K10" i="4"/>
  <c r="D10" i="6" s="1"/>
  <c r="I10" i="4"/>
  <c r="I9" i="4"/>
  <c r="K9" i="4" s="1"/>
  <c r="D9" i="6" s="1"/>
  <c r="I8" i="4"/>
  <c r="I39" i="4" s="1"/>
  <c r="K7" i="4"/>
  <c r="D7" i="6" s="1"/>
  <c r="I7" i="4"/>
  <c r="F3" i="4"/>
  <c r="E38" i="3"/>
  <c r="D38" i="3"/>
  <c r="D37" i="3"/>
  <c r="D36" i="3"/>
  <c r="D35" i="3"/>
  <c r="E34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F9" i="3"/>
  <c r="D9" i="3"/>
  <c r="D8" i="3"/>
  <c r="D7" i="3"/>
  <c r="H39" i="2"/>
  <c r="D39" i="2"/>
  <c r="C39" i="2"/>
  <c r="B39" i="2"/>
  <c r="G38" i="2"/>
  <c r="F38" i="2"/>
  <c r="E38" i="2"/>
  <c r="C38" i="5" s="1"/>
  <c r="D38" i="5" s="1"/>
  <c r="G37" i="2"/>
  <c r="E37" i="2"/>
  <c r="C37" i="5" s="1"/>
  <c r="D37" i="5" s="1"/>
  <c r="F36" i="2"/>
  <c r="E36" i="2"/>
  <c r="G36" i="2" s="1"/>
  <c r="G35" i="2"/>
  <c r="E35" i="2"/>
  <c r="G34" i="2"/>
  <c r="F34" i="2"/>
  <c r="E34" i="2"/>
  <c r="C34" i="5" s="1"/>
  <c r="D34" i="5" s="1"/>
  <c r="E33" i="2"/>
  <c r="F32" i="2"/>
  <c r="E32" i="2"/>
  <c r="C32" i="5" s="1"/>
  <c r="D32" i="5" s="1"/>
  <c r="E31" i="2"/>
  <c r="G30" i="2"/>
  <c r="F30" i="2"/>
  <c r="E30" i="2"/>
  <c r="C30" i="5" s="1"/>
  <c r="D30" i="5" s="1"/>
  <c r="E29" i="2"/>
  <c r="F28" i="2"/>
  <c r="E28" i="2"/>
  <c r="G28" i="2" s="1"/>
  <c r="E27" i="2"/>
  <c r="G26" i="2"/>
  <c r="F26" i="2"/>
  <c r="E26" i="2"/>
  <c r="C26" i="5" s="1"/>
  <c r="D26" i="5" s="1"/>
  <c r="E25" i="2"/>
  <c r="F24" i="2"/>
  <c r="E24" i="2"/>
  <c r="C24" i="5" s="1"/>
  <c r="D24" i="5" s="1"/>
  <c r="E23" i="2"/>
  <c r="G22" i="2"/>
  <c r="F22" i="2"/>
  <c r="E22" i="2"/>
  <c r="C22" i="5" s="1"/>
  <c r="D22" i="5" s="1"/>
  <c r="G21" i="2"/>
  <c r="E21" i="2"/>
  <c r="C21" i="5" s="1"/>
  <c r="D21" i="5" s="1"/>
  <c r="F20" i="2"/>
  <c r="E20" i="2"/>
  <c r="G20" i="2" s="1"/>
  <c r="G19" i="2"/>
  <c r="E19" i="2"/>
  <c r="G18" i="2"/>
  <c r="F18" i="2"/>
  <c r="E18" i="2"/>
  <c r="C18" i="5" s="1"/>
  <c r="D18" i="5" s="1"/>
  <c r="E17" i="2"/>
  <c r="C17" i="5" s="1"/>
  <c r="D17" i="5" s="1"/>
  <c r="E16" i="2"/>
  <c r="E15" i="2"/>
  <c r="G14" i="2"/>
  <c r="F14" i="2"/>
  <c r="E14" i="2"/>
  <c r="C14" i="5" s="1"/>
  <c r="D14" i="5" s="1"/>
  <c r="E13" i="2"/>
  <c r="E12" i="2"/>
  <c r="E11" i="2"/>
  <c r="G10" i="2"/>
  <c r="F10" i="2"/>
  <c r="E10" i="2"/>
  <c r="C10" i="5" s="1"/>
  <c r="D10" i="5" s="1"/>
  <c r="G9" i="2"/>
  <c r="E9" i="2"/>
  <c r="E9" i="3" s="1"/>
  <c r="G8" i="2"/>
  <c r="F8" i="2"/>
  <c r="E8" i="2"/>
  <c r="F7" i="2"/>
  <c r="E7" i="2"/>
  <c r="C23" i="5" l="1"/>
  <c r="D23" i="5" s="1"/>
  <c r="F23" i="4"/>
  <c r="G23" i="4" s="1"/>
  <c r="E23" i="3"/>
  <c r="F23" i="2"/>
  <c r="F29" i="4"/>
  <c r="G29" i="4" s="1"/>
  <c r="E29" i="3"/>
  <c r="F29" i="3" s="1"/>
  <c r="F29" i="2"/>
  <c r="G29" i="2"/>
  <c r="C29" i="5"/>
  <c r="D29" i="5" s="1"/>
  <c r="B7" i="7"/>
  <c r="H7" i="3"/>
  <c r="H36" i="3"/>
  <c r="H33" i="3"/>
  <c r="H29" i="3"/>
  <c r="H25" i="3"/>
  <c r="H21" i="3"/>
  <c r="H17" i="3"/>
  <c r="H13" i="3"/>
  <c r="H38" i="3"/>
  <c r="H35" i="3"/>
  <c r="H32" i="3"/>
  <c r="H28" i="3"/>
  <c r="H8" i="3"/>
  <c r="H9" i="3"/>
  <c r="B11" i="7"/>
  <c r="D11" i="7" s="1"/>
  <c r="H11" i="3"/>
  <c r="H12" i="3"/>
  <c r="B14" i="7"/>
  <c r="D14" i="7" s="1"/>
  <c r="H14" i="3"/>
  <c r="B18" i="7"/>
  <c r="D18" i="7" s="1"/>
  <c r="H18" i="3"/>
  <c r="B22" i="7"/>
  <c r="D22" i="7" s="1"/>
  <c r="H22" i="3"/>
  <c r="E13" i="3"/>
  <c r="F13" i="3" s="1"/>
  <c r="C13" i="5"/>
  <c r="D13" i="5" s="1"/>
  <c r="G13" i="2"/>
  <c r="F13" i="4"/>
  <c r="G13" i="4" s="1"/>
  <c r="C11" i="5"/>
  <c r="D11" i="5" s="1"/>
  <c r="E11" i="3"/>
  <c r="F11" i="3" s="1"/>
  <c r="F11" i="2"/>
  <c r="F11" i="4"/>
  <c r="G11" i="4" s="1"/>
  <c r="F13" i="2"/>
  <c r="F25" i="4"/>
  <c r="G25" i="4" s="1"/>
  <c r="E25" i="3"/>
  <c r="F25" i="3" s="1"/>
  <c r="C25" i="5"/>
  <c r="D25" i="5" s="1"/>
  <c r="F25" i="2"/>
  <c r="G16" i="2"/>
  <c r="C16" i="5"/>
  <c r="D16" i="5" s="1"/>
  <c r="F16" i="4"/>
  <c r="G16" i="4" s="1"/>
  <c r="E16" i="3"/>
  <c r="F16" i="3" s="1"/>
  <c r="G11" i="2"/>
  <c r="G23" i="2"/>
  <c r="G25" i="2"/>
  <c r="C27" i="5"/>
  <c r="D27" i="5" s="1"/>
  <c r="E27" i="3"/>
  <c r="F27" i="2"/>
  <c r="F27" i="4"/>
  <c r="G27" i="4" s="1"/>
  <c r="G27" i="2"/>
  <c r="B10" i="7"/>
  <c r="D10" i="7" s="1"/>
  <c r="H10" i="3"/>
  <c r="H16" i="3"/>
  <c r="H20" i="3"/>
  <c r="H24" i="3"/>
  <c r="C7" i="5"/>
  <c r="E7" i="3"/>
  <c r="F7" i="3" s="1"/>
  <c r="E39" i="2"/>
  <c r="G39" i="2" s="1"/>
  <c r="G7" i="2"/>
  <c r="F7" i="4"/>
  <c r="F16" i="2"/>
  <c r="B26" i="7"/>
  <c r="D26" i="7" s="1"/>
  <c r="B30" i="7"/>
  <c r="D30" i="7" s="1"/>
  <c r="B34" i="7"/>
  <c r="D34" i="7" s="1"/>
  <c r="B37" i="7"/>
  <c r="D37" i="7" s="1"/>
  <c r="F9" i="4"/>
  <c r="G9" i="4" s="1"/>
  <c r="H36" i="5"/>
  <c r="E36" i="6" s="1"/>
  <c r="H32" i="5"/>
  <c r="E32" i="6" s="1"/>
  <c r="H28" i="5"/>
  <c r="E28" i="6" s="1"/>
  <c r="H24" i="5"/>
  <c r="E24" i="6" s="1"/>
  <c r="H20" i="5"/>
  <c r="E20" i="6" s="1"/>
  <c r="H17" i="5"/>
  <c r="E17" i="6" s="1"/>
  <c r="H37" i="5"/>
  <c r="E37" i="6" s="1"/>
  <c r="H29" i="5"/>
  <c r="E29" i="6" s="1"/>
  <c r="H21" i="5"/>
  <c r="E21" i="6" s="1"/>
  <c r="H16" i="5"/>
  <c r="E16" i="6" s="1"/>
  <c r="H8" i="5"/>
  <c r="E8" i="6" s="1"/>
  <c r="C9" i="5"/>
  <c r="D9" i="5" s="1"/>
  <c r="H12" i="5"/>
  <c r="E12" i="6" s="1"/>
  <c r="H19" i="5"/>
  <c r="E19" i="6" s="1"/>
  <c r="H25" i="5"/>
  <c r="E25" i="6" s="1"/>
  <c r="H35" i="5"/>
  <c r="E35" i="6" s="1"/>
  <c r="B15" i="7"/>
  <c r="D15" i="7" s="1"/>
  <c r="B19" i="7"/>
  <c r="D19" i="7" s="1"/>
  <c r="B23" i="7"/>
  <c r="D23" i="7" s="1"/>
  <c r="B27" i="7"/>
  <c r="D27" i="7" s="1"/>
  <c r="B31" i="7"/>
  <c r="D31" i="7" s="1"/>
  <c r="B38" i="7"/>
  <c r="D38" i="7" s="1"/>
  <c r="H7" i="5"/>
  <c r="H9" i="5"/>
  <c r="E9" i="6" s="1"/>
  <c r="H11" i="5"/>
  <c r="E11" i="6" s="1"/>
  <c r="H13" i="5"/>
  <c r="E13" i="6" s="1"/>
  <c r="H15" i="5"/>
  <c r="E15" i="6" s="1"/>
  <c r="C12" i="5"/>
  <c r="D12" i="5" s="1"/>
  <c r="G12" i="2"/>
  <c r="F12" i="4"/>
  <c r="G12" i="4" s="1"/>
  <c r="E12" i="3"/>
  <c r="F12" i="3" s="1"/>
  <c r="C15" i="5"/>
  <c r="D15" i="5" s="1"/>
  <c r="E15" i="3"/>
  <c r="F15" i="2"/>
  <c r="E17" i="3"/>
  <c r="F17" i="3" s="1"/>
  <c r="F17" i="2"/>
  <c r="C31" i="5"/>
  <c r="D31" i="5" s="1"/>
  <c r="F31" i="4"/>
  <c r="G31" i="4" s="1"/>
  <c r="E31" i="3"/>
  <c r="F31" i="2"/>
  <c r="F33" i="4"/>
  <c r="G33" i="4" s="1"/>
  <c r="E33" i="3"/>
  <c r="F33" i="3" s="1"/>
  <c r="C33" i="5"/>
  <c r="D33" i="5" s="1"/>
  <c r="F33" i="2"/>
  <c r="B8" i="7"/>
  <c r="D8" i="7" s="1"/>
  <c r="B12" i="7"/>
  <c r="D12" i="7" s="1"/>
  <c r="F15" i="3"/>
  <c r="B16" i="7"/>
  <c r="D16" i="7" s="1"/>
  <c r="B20" i="7"/>
  <c r="D20" i="7" s="1"/>
  <c r="F23" i="3"/>
  <c r="B24" i="7"/>
  <c r="D24" i="7" s="1"/>
  <c r="H26" i="3"/>
  <c r="F27" i="3"/>
  <c r="B28" i="7"/>
  <c r="D28" i="7" s="1"/>
  <c r="H30" i="3"/>
  <c r="F31" i="3"/>
  <c r="B32" i="7"/>
  <c r="D32" i="7" s="1"/>
  <c r="F34" i="3"/>
  <c r="B35" i="7"/>
  <c r="D35" i="7" s="1"/>
  <c r="H37" i="3"/>
  <c r="K8" i="4"/>
  <c r="D8" i="6" s="1"/>
  <c r="F17" i="4"/>
  <c r="G17" i="4" s="1"/>
  <c r="H27" i="5"/>
  <c r="E27" i="6" s="1"/>
  <c r="H33" i="5"/>
  <c r="E33" i="6" s="1"/>
  <c r="C8" i="5"/>
  <c r="D8" i="5" s="1"/>
  <c r="F8" i="4"/>
  <c r="G8" i="4" s="1"/>
  <c r="E8" i="3"/>
  <c r="F8" i="3" s="1"/>
  <c r="F9" i="2"/>
  <c r="F39" i="2" s="1"/>
  <c r="F12" i="2"/>
  <c r="G15" i="2"/>
  <c r="G17" i="2"/>
  <c r="C19" i="5"/>
  <c r="D19" i="5" s="1"/>
  <c r="E19" i="3"/>
  <c r="F19" i="3" s="1"/>
  <c r="F19" i="2"/>
  <c r="F19" i="4"/>
  <c r="G19" i="4" s="1"/>
  <c r="F21" i="4"/>
  <c r="G21" i="4" s="1"/>
  <c r="E21" i="3"/>
  <c r="F21" i="3" s="1"/>
  <c r="F21" i="2"/>
  <c r="G31" i="2"/>
  <c r="G33" i="2"/>
  <c r="C35" i="5"/>
  <c r="D35" i="5" s="1"/>
  <c r="E35" i="3"/>
  <c r="F35" i="3" s="1"/>
  <c r="F35" i="2"/>
  <c r="F35" i="4"/>
  <c r="G35" i="4" s="1"/>
  <c r="F37" i="4"/>
  <c r="G37" i="4" s="1"/>
  <c r="E37" i="3"/>
  <c r="F37" i="3" s="1"/>
  <c r="F37" i="2"/>
  <c r="B9" i="7"/>
  <c r="D9" i="7" s="1"/>
  <c r="B13" i="7"/>
  <c r="D13" i="7" s="1"/>
  <c r="H15" i="3"/>
  <c r="B17" i="7"/>
  <c r="D17" i="7" s="1"/>
  <c r="H19" i="3"/>
  <c r="B21" i="7"/>
  <c r="D21" i="7" s="1"/>
  <c r="H23" i="3"/>
  <c r="B25" i="7"/>
  <c r="D25" i="7" s="1"/>
  <c r="H27" i="3"/>
  <c r="B29" i="7"/>
  <c r="D29" i="7" s="1"/>
  <c r="H31" i="3"/>
  <c r="B33" i="7"/>
  <c r="D33" i="7" s="1"/>
  <c r="H34" i="3"/>
  <c r="B36" i="7"/>
  <c r="D36" i="7" s="1"/>
  <c r="F38" i="3"/>
  <c r="F15" i="4"/>
  <c r="G15" i="4" s="1"/>
  <c r="E10" i="3"/>
  <c r="F10" i="3" s="1"/>
  <c r="E14" i="3"/>
  <c r="F14" i="3" s="1"/>
  <c r="E18" i="3"/>
  <c r="F18" i="3" s="1"/>
  <c r="E20" i="3"/>
  <c r="F20" i="3" s="1"/>
  <c r="E22" i="3"/>
  <c r="F22" i="3" s="1"/>
  <c r="E24" i="3"/>
  <c r="F24" i="3" s="1"/>
  <c r="E26" i="3"/>
  <c r="F26" i="3" s="1"/>
  <c r="E28" i="3"/>
  <c r="F28" i="3" s="1"/>
  <c r="E30" i="3"/>
  <c r="F30" i="3" s="1"/>
  <c r="E32" i="3"/>
  <c r="F32" i="3" s="1"/>
  <c r="E36" i="3"/>
  <c r="F36" i="3" s="1"/>
  <c r="F22" i="4"/>
  <c r="G22" i="4" s="1"/>
  <c r="F30" i="4"/>
  <c r="G30" i="4" s="1"/>
  <c r="F38" i="4"/>
  <c r="G38" i="4" s="1"/>
  <c r="H14" i="5"/>
  <c r="E14" i="6" s="1"/>
  <c r="C20" i="5"/>
  <c r="D20" i="5" s="1"/>
  <c r="C28" i="5"/>
  <c r="D28" i="5" s="1"/>
  <c r="C36" i="5"/>
  <c r="D36" i="5" s="1"/>
  <c r="F20" i="4"/>
  <c r="G20" i="4" s="1"/>
  <c r="F28" i="4"/>
  <c r="G28" i="4" s="1"/>
  <c r="F36" i="4"/>
  <c r="G36" i="4" s="1"/>
  <c r="H18" i="5"/>
  <c r="E18" i="6" s="1"/>
  <c r="H23" i="5"/>
  <c r="E23" i="6" s="1"/>
  <c r="H31" i="5"/>
  <c r="E31" i="6" s="1"/>
  <c r="F39" i="5"/>
  <c r="G24" i="2"/>
  <c r="G32" i="2"/>
  <c r="K38" i="4"/>
  <c r="D38" i="6" s="1"/>
  <c r="K34" i="4"/>
  <c r="D34" i="6" s="1"/>
  <c r="K30" i="4"/>
  <c r="D30" i="6" s="1"/>
  <c r="K26" i="4"/>
  <c r="D26" i="6" s="1"/>
  <c r="K22" i="4"/>
  <c r="D22" i="6" s="1"/>
  <c r="F10" i="4"/>
  <c r="G10" i="4" s="1"/>
  <c r="F14" i="4"/>
  <c r="G14" i="4" s="1"/>
  <c r="K17" i="4"/>
  <c r="D17" i="6" s="1"/>
  <c r="F26" i="4"/>
  <c r="G26" i="4" s="1"/>
  <c r="F34" i="4"/>
  <c r="G34" i="4" s="1"/>
  <c r="H10" i="5"/>
  <c r="E10" i="6" s="1"/>
  <c r="H22" i="5"/>
  <c r="E22" i="6" s="1"/>
  <c r="H26" i="5"/>
  <c r="E26" i="6" s="1"/>
  <c r="H30" i="5"/>
  <c r="E30" i="6" s="1"/>
  <c r="H34" i="5"/>
  <c r="E34" i="6" s="1"/>
  <c r="H38" i="5"/>
  <c r="E38" i="6" s="1"/>
  <c r="J40" i="7"/>
  <c r="K20" i="4"/>
  <c r="D20" i="6" s="1"/>
  <c r="D39" i="6" s="1"/>
  <c r="K24" i="4"/>
  <c r="D24" i="6" s="1"/>
  <c r="K28" i="4"/>
  <c r="D28" i="6" s="1"/>
  <c r="K32" i="4"/>
  <c r="D32" i="6" s="1"/>
  <c r="K36" i="4"/>
  <c r="D36" i="6" s="1"/>
  <c r="E39" i="7"/>
  <c r="G40" i="7"/>
  <c r="F48" i="6"/>
  <c r="F3" i="3" s="1"/>
  <c r="H39" i="7"/>
  <c r="G14" i="3" l="1"/>
  <c r="G22" i="3"/>
  <c r="F39" i="3"/>
  <c r="G9" i="3" s="1"/>
  <c r="G20" i="3"/>
  <c r="J34" i="3"/>
  <c r="C34" i="6" s="1"/>
  <c r="F34" i="6" s="1"/>
  <c r="B34" i="1" s="1"/>
  <c r="J27" i="3"/>
  <c r="C27" i="6" s="1"/>
  <c r="F27" i="6" s="1"/>
  <c r="B27" i="1" s="1"/>
  <c r="J19" i="3"/>
  <c r="C19" i="6" s="1"/>
  <c r="F19" i="6" s="1"/>
  <c r="B19" i="1" s="1"/>
  <c r="G21" i="3"/>
  <c r="G27" i="3"/>
  <c r="G33" i="3"/>
  <c r="F39" i="4"/>
  <c r="G7" i="4"/>
  <c r="C39" i="5"/>
  <c r="D7" i="5"/>
  <c r="J10" i="3"/>
  <c r="C10" i="6" s="1"/>
  <c r="F10" i="6" s="1"/>
  <c r="B10" i="1" s="1"/>
  <c r="G25" i="3"/>
  <c r="G13" i="3"/>
  <c r="J8" i="3"/>
  <c r="C8" i="6" s="1"/>
  <c r="F8" i="6" s="1"/>
  <c r="B8" i="1" s="1"/>
  <c r="J38" i="3"/>
  <c r="C38" i="6" s="1"/>
  <c r="F38" i="6" s="1"/>
  <c r="B38" i="1" s="1"/>
  <c r="J25" i="3"/>
  <c r="C25" i="6" s="1"/>
  <c r="F25" i="6" s="1"/>
  <c r="B25" i="1" s="1"/>
  <c r="K39" i="4"/>
  <c r="G36" i="3"/>
  <c r="J37" i="3"/>
  <c r="C37" i="6" s="1"/>
  <c r="F37" i="6" s="1"/>
  <c r="B37" i="1" s="1"/>
  <c r="G31" i="3"/>
  <c r="J26" i="3"/>
  <c r="C26" i="6" s="1"/>
  <c r="F26" i="6" s="1"/>
  <c r="B26" i="1" s="1"/>
  <c r="G17" i="3"/>
  <c r="G12" i="3"/>
  <c r="E7" i="6"/>
  <c r="E39" i="6" s="1"/>
  <c r="H39" i="5"/>
  <c r="J24" i="3"/>
  <c r="C24" i="6" s="1"/>
  <c r="F24" i="6" s="1"/>
  <c r="B24" i="1" s="1"/>
  <c r="G16" i="3"/>
  <c r="J14" i="3"/>
  <c r="C14" i="6" s="1"/>
  <c r="F14" i="6" s="1"/>
  <c r="B14" i="1" s="1"/>
  <c r="J11" i="3"/>
  <c r="C11" i="6" s="1"/>
  <c r="F11" i="6" s="1"/>
  <c r="B11" i="1" s="1"/>
  <c r="J28" i="3"/>
  <c r="C28" i="6" s="1"/>
  <c r="F28" i="6" s="1"/>
  <c r="B28" i="1" s="1"/>
  <c r="J13" i="3"/>
  <c r="C13" i="6" s="1"/>
  <c r="F13" i="6" s="1"/>
  <c r="B13" i="1" s="1"/>
  <c r="J29" i="3"/>
  <c r="C29" i="6" s="1"/>
  <c r="F29" i="6" s="1"/>
  <c r="B29" i="1" s="1"/>
  <c r="H39" i="3"/>
  <c r="J7" i="3"/>
  <c r="G32" i="3"/>
  <c r="G24" i="3"/>
  <c r="G38" i="3"/>
  <c r="J31" i="3"/>
  <c r="C31" i="6" s="1"/>
  <c r="F31" i="6" s="1"/>
  <c r="B31" i="1" s="1"/>
  <c r="J23" i="3"/>
  <c r="C23" i="6" s="1"/>
  <c r="F23" i="6" s="1"/>
  <c r="B23" i="1" s="1"/>
  <c r="J15" i="3"/>
  <c r="C15" i="6" s="1"/>
  <c r="F15" i="6" s="1"/>
  <c r="B15" i="1" s="1"/>
  <c r="G35" i="3"/>
  <c r="G8" i="3"/>
  <c r="J30" i="3"/>
  <c r="C30" i="6" s="1"/>
  <c r="F30" i="6" s="1"/>
  <c r="B30" i="1" s="1"/>
  <c r="J20" i="3"/>
  <c r="C20" i="6" s="1"/>
  <c r="F20" i="6" s="1"/>
  <c r="B20" i="1" s="1"/>
  <c r="J18" i="3"/>
  <c r="C18" i="6" s="1"/>
  <c r="F18" i="6" s="1"/>
  <c r="B18" i="1" s="1"/>
  <c r="J32" i="3"/>
  <c r="C32" i="6" s="1"/>
  <c r="F32" i="6" s="1"/>
  <c r="B32" i="1" s="1"/>
  <c r="J17" i="3"/>
  <c r="C17" i="6" s="1"/>
  <c r="F17" i="6" s="1"/>
  <c r="B17" i="1" s="1"/>
  <c r="J33" i="3"/>
  <c r="C33" i="6" s="1"/>
  <c r="F33" i="6" s="1"/>
  <c r="B33" i="1" s="1"/>
  <c r="B39" i="7"/>
  <c r="D7" i="7"/>
  <c r="D40" i="7" s="1"/>
  <c r="G34" i="3"/>
  <c r="G23" i="3"/>
  <c r="G15" i="3"/>
  <c r="E39" i="3"/>
  <c r="J16" i="3"/>
  <c r="C16" i="6" s="1"/>
  <c r="F16" i="6" s="1"/>
  <c r="B16" i="1" s="1"/>
  <c r="J22" i="3"/>
  <c r="C22" i="6" s="1"/>
  <c r="F22" i="6" s="1"/>
  <c r="B22" i="1" s="1"/>
  <c r="J12" i="3"/>
  <c r="C12" i="6" s="1"/>
  <c r="F12" i="6" s="1"/>
  <c r="B12" i="1" s="1"/>
  <c r="J9" i="3"/>
  <c r="C9" i="6" s="1"/>
  <c r="F9" i="6" s="1"/>
  <c r="B9" i="1" s="1"/>
  <c r="J35" i="3"/>
  <c r="C35" i="6" s="1"/>
  <c r="F35" i="6" s="1"/>
  <c r="B35" i="1" s="1"/>
  <c r="J21" i="3"/>
  <c r="C21" i="6" s="1"/>
  <c r="F21" i="6" s="1"/>
  <c r="B21" i="1" s="1"/>
  <c r="J36" i="3"/>
  <c r="C36" i="6" s="1"/>
  <c r="F36" i="6" s="1"/>
  <c r="B36" i="1" s="1"/>
  <c r="G29" i="3"/>
  <c r="I29" i="3" l="1"/>
  <c r="K29" i="3"/>
  <c r="K8" i="3"/>
  <c r="I8" i="3"/>
  <c r="I25" i="3"/>
  <c r="K25" i="3"/>
  <c r="K22" i="3"/>
  <c r="I22" i="3"/>
  <c r="K14" i="3"/>
  <c r="I14" i="3"/>
  <c r="K34" i="3"/>
  <c r="I34" i="3"/>
  <c r="K12" i="3"/>
  <c r="I12" i="3"/>
  <c r="G39" i="4"/>
  <c r="H7" i="4"/>
  <c r="I21" i="3"/>
  <c r="K21" i="3"/>
  <c r="G7" i="3"/>
  <c r="G30" i="3"/>
  <c r="G37" i="3"/>
  <c r="K32" i="3"/>
  <c r="I32" i="3"/>
  <c r="I17" i="3"/>
  <c r="K17" i="3"/>
  <c r="I31" i="3"/>
  <c r="K31" i="3"/>
  <c r="I33" i="3"/>
  <c r="K33" i="3"/>
  <c r="K20" i="3"/>
  <c r="I20" i="3"/>
  <c r="I9" i="3"/>
  <c r="K9" i="3"/>
  <c r="G11" i="3"/>
  <c r="G18" i="3"/>
  <c r="I23" i="3"/>
  <c r="K23" i="3"/>
  <c r="I35" i="3"/>
  <c r="K35" i="3"/>
  <c r="K38" i="3"/>
  <c r="I38" i="3"/>
  <c r="C7" i="6"/>
  <c r="J39" i="3"/>
  <c r="I15" i="3"/>
  <c r="K15" i="3"/>
  <c r="K24" i="3"/>
  <c r="I24" i="3"/>
  <c r="K16" i="3"/>
  <c r="I16" i="3"/>
  <c r="K36" i="3"/>
  <c r="I36" i="3"/>
  <c r="I13" i="3"/>
  <c r="K13" i="3"/>
  <c r="E7" i="5"/>
  <c r="D39" i="5"/>
  <c r="I27" i="3"/>
  <c r="K27" i="3"/>
  <c r="G28" i="3"/>
  <c r="G10" i="3"/>
  <c r="G19" i="3"/>
  <c r="G26" i="3"/>
  <c r="K26" i="3" l="1"/>
  <c r="I26" i="3"/>
  <c r="G7" i="5"/>
  <c r="I7" i="5"/>
  <c r="L36" i="3"/>
  <c r="G36" i="6"/>
  <c r="I11" i="3"/>
  <c r="K11" i="3"/>
  <c r="G20" i="6"/>
  <c r="L20" i="3"/>
  <c r="I7" i="3"/>
  <c r="K7" i="3"/>
  <c r="G39" i="3"/>
  <c r="L7" i="4"/>
  <c r="J7" i="4"/>
  <c r="G34" i="6"/>
  <c r="L34" i="3"/>
  <c r="G22" i="6"/>
  <c r="L22" i="3"/>
  <c r="G8" i="6"/>
  <c r="L8" i="3"/>
  <c r="I19" i="3"/>
  <c r="K19" i="3"/>
  <c r="G27" i="6"/>
  <c r="L27" i="3"/>
  <c r="G13" i="6"/>
  <c r="L13" i="3"/>
  <c r="G38" i="6"/>
  <c r="L38" i="3"/>
  <c r="G23" i="6"/>
  <c r="L23" i="3"/>
  <c r="G9" i="6"/>
  <c r="L9" i="3"/>
  <c r="G33" i="6"/>
  <c r="L33" i="3"/>
  <c r="G31" i="6"/>
  <c r="L31" i="3"/>
  <c r="G32" i="6"/>
  <c r="L32" i="3"/>
  <c r="H32" i="4"/>
  <c r="H24" i="4"/>
  <c r="H18" i="4"/>
  <c r="H10" i="4"/>
  <c r="H36" i="4"/>
  <c r="H8" i="4"/>
  <c r="H23" i="4"/>
  <c r="H12" i="4"/>
  <c r="H22" i="4"/>
  <c r="H17" i="4"/>
  <c r="H26" i="4"/>
  <c r="H28" i="4"/>
  <c r="H35" i="4"/>
  <c r="H29" i="4"/>
  <c r="H15" i="4"/>
  <c r="H9" i="4"/>
  <c r="H25" i="4"/>
  <c r="H16" i="4"/>
  <c r="H31" i="4"/>
  <c r="H21" i="4"/>
  <c r="H13" i="4"/>
  <c r="H14" i="4"/>
  <c r="H30" i="4"/>
  <c r="H19" i="4"/>
  <c r="H37" i="4"/>
  <c r="H11" i="4"/>
  <c r="H20" i="4"/>
  <c r="H34" i="4"/>
  <c r="H38" i="4"/>
  <c r="H33" i="4"/>
  <c r="H27" i="4"/>
  <c r="G12" i="6"/>
  <c r="L12" i="3"/>
  <c r="K10" i="3"/>
  <c r="I10" i="3"/>
  <c r="G24" i="6"/>
  <c r="L24" i="3"/>
  <c r="G15" i="6"/>
  <c r="L15" i="3"/>
  <c r="G35" i="6"/>
  <c r="L35" i="3"/>
  <c r="I37" i="3"/>
  <c r="K37" i="3"/>
  <c r="G21" i="6"/>
  <c r="L21" i="3"/>
  <c r="G14" i="6"/>
  <c r="L14" i="3"/>
  <c r="G25" i="6"/>
  <c r="L25" i="3"/>
  <c r="G29" i="6"/>
  <c r="L29" i="3"/>
  <c r="K28" i="3"/>
  <c r="I28" i="3"/>
  <c r="E14" i="5"/>
  <c r="E37" i="5"/>
  <c r="E34" i="5"/>
  <c r="E21" i="5"/>
  <c r="E22" i="5"/>
  <c r="E32" i="5"/>
  <c r="E24" i="5"/>
  <c r="E38" i="5"/>
  <c r="E26" i="5"/>
  <c r="E30" i="5"/>
  <c r="E18" i="5"/>
  <c r="E10" i="5"/>
  <c r="E17" i="5"/>
  <c r="E12" i="5"/>
  <c r="E29" i="5"/>
  <c r="E31" i="5"/>
  <c r="E11" i="5"/>
  <c r="E20" i="5"/>
  <c r="E13" i="5"/>
  <c r="E28" i="5"/>
  <c r="E33" i="5"/>
  <c r="E16" i="5"/>
  <c r="E35" i="5"/>
  <c r="E27" i="5"/>
  <c r="E23" i="5"/>
  <c r="E36" i="5"/>
  <c r="E9" i="5"/>
  <c r="E25" i="5"/>
  <c r="E8" i="5"/>
  <c r="E15" i="5"/>
  <c r="E19" i="5"/>
  <c r="G16" i="6"/>
  <c r="L16" i="3"/>
  <c r="F7" i="6"/>
  <c r="C39" i="6"/>
  <c r="K18" i="3"/>
  <c r="I18" i="3"/>
  <c r="G17" i="6"/>
  <c r="L17" i="3"/>
  <c r="K30" i="3"/>
  <c r="I30" i="3"/>
  <c r="I36" i="5" l="1"/>
  <c r="G36" i="5"/>
  <c r="I32" i="5"/>
  <c r="G32" i="5"/>
  <c r="M29" i="3"/>
  <c r="C29" i="1"/>
  <c r="L27" i="4"/>
  <c r="J27" i="4"/>
  <c r="M7" i="4"/>
  <c r="H7" i="6"/>
  <c r="I22" i="5"/>
  <c r="G22" i="5"/>
  <c r="G18" i="6"/>
  <c r="L18" i="3"/>
  <c r="F39" i="6"/>
  <c r="B7" i="1"/>
  <c r="G15" i="5"/>
  <c r="I15" i="5"/>
  <c r="I16" i="5"/>
  <c r="G16" i="5"/>
  <c r="I20" i="5"/>
  <c r="G20" i="5"/>
  <c r="G12" i="5"/>
  <c r="I12" i="5"/>
  <c r="I30" i="5"/>
  <c r="G30" i="5"/>
  <c r="I37" i="5"/>
  <c r="G37" i="5"/>
  <c r="M14" i="3"/>
  <c r="C14" i="1"/>
  <c r="G37" i="6"/>
  <c r="L37" i="3"/>
  <c r="M15" i="3"/>
  <c r="C15" i="1"/>
  <c r="L20" i="4"/>
  <c r="J20" i="4"/>
  <c r="L30" i="4"/>
  <c r="J30" i="4"/>
  <c r="L31" i="4"/>
  <c r="J31" i="4"/>
  <c r="J15" i="4"/>
  <c r="L15" i="4"/>
  <c r="L26" i="4"/>
  <c r="J26" i="4"/>
  <c r="L23" i="4"/>
  <c r="J23" i="4"/>
  <c r="L18" i="4"/>
  <c r="J18" i="4"/>
  <c r="I39" i="3"/>
  <c r="E39" i="5"/>
  <c r="M16" i="3"/>
  <c r="C16" i="1"/>
  <c r="I8" i="5"/>
  <c r="G8" i="5"/>
  <c r="G23" i="5"/>
  <c r="I23" i="5"/>
  <c r="I33" i="5"/>
  <c r="G33" i="5"/>
  <c r="G11" i="5"/>
  <c r="I11" i="5"/>
  <c r="I17" i="5"/>
  <c r="G17" i="5"/>
  <c r="I26" i="5"/>
  <c r="G26" i="5"/>
  <c r="I14" i="5"/>
  <c r="G14" i="5"/>
  <c r="G10" i="6"/>
  <c r="L10" i="3"/>
  <c r="J33" i="4"/>
  <c r="L33" i="4"/>
  <c r="L11" i="4"/>
  <c r="J11" i="4"/>
  <c r="J14" i="4"/>
  <c r="L14" i="4"/>
  <c r="L16" i="4"/>
  <c r="J16" i="4"/>
  <c r="J29" i="4"/>
  <c r="L29" i="4"/>
  <c r="L17" i="4"/>
  <c r="J17" i="4"/>
  <c r="L8" i="4"/>
  <c r="L39" i="4" s="1"/>
  <c r="J8" i="4"/>
  <c r="J39" i="4" s="1"/>
  <c r="J24" i="4"/>
  <c r="L24" i="4"/>
  <c r="M31" i="3"/>
  <c r="C31" i="1"/>
  <c r="M9" i="3"/>
  <c r="C9" i="1"/>
  <c r="M38" i="3"/>
  <c r="C38" i="1"/>
  <c r="M27" i="3"/>
  <c r="C27" i="1"/>
  <c r="M8" i="3"/>
  <c r="C8" i="1"/>
  <c r="M34" i="3"/>
  <c r="C34" i="1"/>
  <c r="H39" i="4"/>
  <c r="M20" i="3"/>
  <c r="C20" i="1"/>
  <c r="G30" i="6"/>
  <c r="L30" i="3"/>
  <c r="I25" i="5"/>
  <c r="G25" i="5"/>
  <c r="G27" i="5"/>
  <c r="I27" i="5"/>
  <c r="I28" i="5"/>
  <c r="G28" i="5"/>
  <c r="G31" i="5"/>
  <c r="I31" i="5"/>
  <c r="I10" i="5"/>
  <c r="G10" i="5"/>
  <c r="G39" i="5" s="1"/>
  <c r="I38" i="5"/>
  <c r="G38" i="5"/>
  <c r="I21" i="5"/>
  <c r="G21" i="5"/>
  <c r="M25" i="3"/>
  <c r="C25" i="1"/>
  <c r="M21" i="3"/>
  <c r="C21" i="1"/>
  <c r="M35" i="3"/>
  <c r="C35" i="1"/>
  <c r="M24" i="3"/>
  <c r="C24" i="1"/>
  <c r="M12" i="3"/>
  <c r="C12" i="1"/>
  <c r="L38" i="4"/>
  <c r="J38" i="4"/>
  <c r="J37" i="4"/>
  <c r="L37" i="4"/>
  <c r="L13" i="4"/>
  <c r="J13" i="4"/>
  <c r="J25" i="4"/>
  <c r="L25" i="4"/>
  <c r="L35" i="4"/>
  <c r="J35" i="4"/>
  <c r="L22" i="4"/>
  <c r="J22" i="4"/>
  <c r="L36" i="4"/>
  <c r="J36" i="4"/>
  <c r="J32" i="4"/>
  <c r="L32" i="4"/>
  <c r="M36" i="3"/>
  <c r="C36" i="1"/>
  <c r="M17" i="3"/>
  <c r="C17" i="1"/>
  <c r="G19" i="5"/>
  <c r="I19" i="5"/>
  <c r="I9" i="5"/>
  <c r="G9" i="5"/>
  <c r="G35" i="5"/>
  <c r="I35" i="5"/>
  <c r="I13" i="5"/>
  <c r="G13" i="5"/>
  <c r="I29" i="5"/>
  <c r="G29" i="5"/>
  <c r="I18" i="5"/>
  <c r="G18" i="5"/>
  <c r="I24" i="5"/>
  <c r="G24" i="5"/>
  <c r="I34" i="5"/>
  <c r="G34" i="5"/>
  <c r="G28" i="6"/>
  <c r="L28" i="3"/>
  <c r="L34" i="4"/>
  <c r="J34" i="4"/>
  <c r="L19" i="4"/>
  <c r="J19" i="4"/>
  <c r="J21" i="4"/>
  <c r="L21" i="4"/>
  <c r="J9" i="4"/>
  <c r="L9" i="4"/>
  <c r="L28" i="4"/>
  <c r="J28" i="4"/>
  <c r="L12" i="4"/>
  <c r="J12" i="4"/>
  <c r="J10" i="4"/>
  <c r="L10" i="4"/>
  <c r="M32" i="3"/>
  <c r="C32" i="1"/>
  <c r="M33" i="3"/>
  <c r="C33" i="1"/>
  <c r="M23" i="3"/>
  <c r="C23" i="1"/>
  <c r="M13" i="3"/>
  <c r="C13" i="1"/>
  <c r="G19" i="6"/>
  <c r="L19" i="3"/>
  <c r="M22" i="3"/>
  <c r="C22" i="1"/>
  <c r="G7" i="6"/>
  <c r="K39" i="3"/>
  <c r="L7" i="3"/>
  <c r="G11" i="6"/>
  <c r="L11" i="3"/>
  <c r="J7" i="5"/>
  <c r="I7" i="6"/>
  <c r="G26" i="6"/>
  <c r="L26" i="3"/>
  <c r="M11" i="3" l="1"/>
  <c r="C11" i="1"/>
  <c r="M19" i="3"/>
  <c r="C19" i="1"/>
  <c r="H9" i="6"/>
  <c r="M9" i="4"/>
  <c r="I13" i="6"/>
  <c r="J13" i="5"/>
  <c r="H33" i="6"/>
  <c r="M33" i="4"/>
  <c r="I17" i="6"/>
  <c r="J17" i="5"/>
  <c r="H23" i="6"/>
  <c r="M23" i="4"/>
  <c r="H30" i="6"/>
  <c r="J30" i="6" s="1"/>
  <c r="K30" i="6" s="1"/>
  <c r="L30" i="6" s="1"/>
  <c r="M30" i="4"/>
  <c r="I30" i="6"/>
  <c r="J30" i="5"/>
  <c r="J20" i="5"/>
  <c r="I20" i="6"/>
  <c r="N7" i="4"/>
  <c r="D7" i="1"/>
  <c r="H27" i="6"/>
  <c r="M27" i="4"/>
  <c r="I32" i="6"/>
  <c r="J32" i="5"/>
  <c r="J7" i="6"/>
  <c r="G39" i="6"/>
  <c r="I34" i="6"/>
  <c r="J34" i="5"/>
  <c r="I18" i="6"/>
  <c r="J18" i="5"/>
  <c r="I9" i="6"/>
  <c r="J9" i="5"/>
  <c r="H29" i="6"/>
  <c r="M29" i="4"/>
  <c r="I8" i="6"/>
  <c r="I39" i="6" s="1"/>
  <c r="J8" i="5"/>
  <c r="M37" i="3"/>
  <c r="C37" i="1"/>
  <c r="J12" i="5"/>
  <c r="I12" i="6"/>
  <c r="B39" i="1"/>
  <c r="H14" i="6"/>
  <c r="M14" i="4"/>
  <c r="J33" i="5"/>
  <c r="I33" i="6"/>
  <c r="J11" i="6"/>
  <c r="K11" i="6" s="1"/>
  <c r="L11" i="6" s="1"/>
  <c r="H19" i="6"/>
  <c r="M19" i="4"/>
  <c r="M28" i="3"/>
  <c r="C28" i="1"/>
  <c r="I35" i="6"/>
  <c r="J35" i="5"/>
  <c r="I19" i="6"/>
  <c r="J19" i="6" s="1"/>
  <c r="K19" i="6" s="1"/>
  <c r="L19" i="6" s="1"/>
  <c r="J19" i="5"/>
  <c r="H36" i="6"/>
  <c r="M36" i="4"/>
  <c r="H35" i="6"/>
  <c r="J35" i="6" s="1"/>
  <c r="K35" i="6" s="1"/>
  <c r="L35" i="6" s="1"/>
  <c r="M35" i="4"/>
  <c r="M38" i="4"/>
  <c r="H38" i="6"/>
  <c r="I21" i="6"/>
  <c r="J21" i="5"/>
  <c r="I10" i="6"/>
  <c r="J10" i="5"/>
  <c r="I25" i="6"/>
  <c r="J25" i="5"/>
  <c r="I11" i="6"/>
  <c r="J11" i="5"/>
  <c r="M7" i="3"/>
  <c r="L39" i="3"/>
  <c r="M39" i="3" s="1"/>
  <c r="C7" i="1"/>
  <c r="H10" i="6"/>
  <c r="J10" i="6" s="1"/>
  <c r="K10" i="6" s="1"/>
  <c r="L10" i="6" s="1"/>
  <c r="M10" i="4"/>
  <c r="H21" i="6"/>
  <c r="M21" i="4"/>
  <c r="I24" i="6"/>
  <c r="J24" i="5"/>
  <c r="I29" i="6"/>
  <c r="J29" i="5"/>
  <c r="H32" i="6"/>
  <c r="M32" i="4"/>
  <c r="H25" i="6"/>
  <c r="J25" i="6" s="1"/>
  <c r="K25" i="6" s="1"/>
  <c r="L25" i="6" s="1"/>
  <c r="M25" i="4"/>
  <c r="H37" i="6"/>
  <c r="M37" i="4"/>
  <c r="I31" i="6"/>
  <c r="J31" i="5"/>
  <c r="I27" i="6"/>
  <c r="J27" i="5"/>
  <c r="H24" i="6"/>
  <c r="J24" i="6" s="1"/>
  <c r="K24" i="6" s="1"/>
  <c r="L24" i="6" s="1"/>
  <c r="M24" i="4"/>
  <c r="M10" i="3"/>
  <c r="C10" i="1"/>
  <c r="I26" i="6"/>
  <c r="J26" i="5"/>
  <c r="H18" i="6"/>
  <c r="J18" i="6" s="1"/>
  <c r="K18" i="6" s="1"/>
  <c r="L18" i="6" s="1"/>
  <c r="M18" i="4"/>
  <c r="H26" i="6"/>
  <c r="J26" i="6" s="1"/>
  <c r="K26" i="6" s="1"/>
  <c r="L26" i="6" s="1"/>
  <c r="M26" i="4"/>
  <c r="M31" i="4"/>
  <c r="H31" i="6"/>
  <c r="J31" i="6" s="1"/>
  <c r="K31" i="6" s="1"/>
  <c r="L31" i="6" s="1"/>
  <c r="H20" i="6"/>
  <c r="M20" i="4"/>
  <c r="I37" i="6"/>
  <c r="J37" i="6" s="1"/>
  <c r="K37" i="6" s="1"/>
  <c r="L37" i="6" s="1"/>
  <c r="J37" i="5"/>
  <c r="I16" i="6"/>
  <c r="J16" i="5"/>
  <c r="I22" i="6"/>
  <c r="J22" i="5"/>
  <c r="I36" i="6"/>
  <c r="J36" i="5"/>
  <c r="J14" i="5"/>
  <c r="I14" i="6"/>
  <c r="H12" i="6"/>
  <c r="J12" i="6" s="1"/>
  <c r="K12" i="6" s="1"/>
  <c r="L12" i="6" s="1"/>
  <c r="M12" i="4"/>
  <c r="H13" i="6"/>
  <c r="M13" i="4"/>
  <c r="I28" i="6"/>
  <c r="J28" i="5"/>
  <c r="H8" i="6"/>
  <c r="M8" i="4"/>
  <c r="M39" i="4" s="1"/>
  <c r="N39" i="4" s="1"/>
  <c r="I23" i="6"/>
  <c r="J23" i="5"/>
  <c r="I39" i="5"/>
  <c r="M26" i="3"/>
  <c r="C26" i="1"/>
  <c r="K7" i="5"/>
  <c r="E7" i="1"/>
  <c r="H28" i="6"/>
  <c r="J28" i="6" s="1"/>
  <c r="K28" i="6" s="1"/>
  <c r="L28" i="6" s="1"/>
  <c r="M28" i="4"/>
  <c r="H34" i="6"/>
  <c r="M34" i="4"/>
  <c r="H22" i="6"/>
  <c r="M22" i="4"/>
  <c r="I38" i="6"/>
  <c r="J38" i="5"/>
  <c r="M30" i="3"/>
  <c r="C30" i="1"/>
  <c r="H17" i="6"/>
  <c r="J17" i="6" s="1"/>
  <c r="K17" i="6" s="1"/>
  <c r="L17" i="6" s="1"/>
  <c r="M17" i="4"/>
  <c r="H16" i="6"/>
  <c r="J16" i="6" s="1"/>
  <c r="K16" i="6" s="1"/>
  <c r="L16" i="6" s="1"/>
  <c r="M16" i="4"/>
  <c r="M11" i="4"/>
  <c r="H11" i="6"/>
  <c r="H15" i="6"/>
  <c r="M15" i="4"/>
  <c r="I15" i="6"/>
  <c r="J15" i="5"/>
  <c r="M18" i="3"/>
  <c r="C18" i="1"/>
  <c r="K15" i="5" l="1"/>
  <c r="E15" i="1"/>
  <c r="K38" i="5"/>
  <c r="E38" i="1"/>
  <c r="D15" i="1"/>
  <c r="G15" i="1" s="1"/>
  <c r="N15" i="4"/>
  <c r="N12" i="4"/>
  <c r="D12" i="1"/>
  <c r="N25" i="4"/>
  <c r="D25" i="1"/>
  <c r="K29" i="5"/>
  <c r="E29" i="1"/>
  <c r="K25" i="5"/>
  <c r="E25" i="1"/>
  <c r="K13" i="5"/>
  <c r="E13" i="1"/>
  <c r="N34" i="4"/>
  <c r="D34" i="1"/>
  <c r="K23" i="5"/>
  <c r="E23" i="1"/>
  <c r="N18" i="4"/>
  <c r="D18" i="1"/>
  <c r="G18" i="1" s="1"/>
  <c r="K21" i="5"/>
  <c r="E21" i="1"/>
  <c r="N35" i="4"/>
  <c r="D35" i="1"/>
  <c r="G35" i="1" s="1"/>
  <c r="K19" i="5"/>
  <c r="E19" i="1"/>
  <c r="J14" i="6"/>
  <c r="K14" i="6" s="1"/>
  <c r="L14" i="6" s="1"/>
  <c r="K32" i="5"/>
  <c r="E32" i="1"/>
  <c r="N30" i="4"/>
  <c r="D30" i="1"/>
  <c r="K17" i="5"/>
  <c r="E17" i="1"/>
  <c r="H39" i="6"/>
  <c r="N16" i="4"/>
  <c r="D16" i="1"/>
  <c r="K36" i="5"/>
  <c r="E36" i="1"/>
  <c r="N31" i="4"/>
  <c r="D31" i="1"/>
  <c r="N29" i="4"/>
  <c r="D29" i="1"/>
  <c r="G29" i="1" s="1"/>
  <c r="K18" i="5"/>
  <c r="E18" i="1"/>
  <c r="K20" i="5"/>
  <c r="E20" i="1"/>
  <c r="J34" i="6"/>
  <c r="K34" i="6" s="1"/>
  <c r="L34" i="6" s="1"/>
  <c r="N13" i="4"/>
  <c r="D13" i="1"/>
  <c r="G13" i="1" s="1"/>
  <c r="N20" i="4"/>
  <c r="D20" i="1"/>
  <c r="J21" i="6"/>
  <c r="K21" i="6" s="1"/>
  <c r="L21" i="6" s="1"/>
  <c r="D11" i="1"/>
  <c r="G11" i="1" s="1"/>
  <c r="N11" i="4"/>
  <c r="K28" i="5"/>
  <c r="E28" i="1"/>
  <c r="J15" i="6"/>
  <c r="K15" i="6" s="1"/>
  <c r="L15" i="6" s="1"/>
  <c r="K14" i="5"/>
  <c r="E14" i="1"/>
  <c r="K16" i="5"/>
  <c r="E16" i="1"/>
  <c r="K31" i="5"/>
  <c r="E31" i="1"/>
  <c r="N21" i="4"/>
  <c r="D21" i="1"/>
  <c r="G21" i="1" s="1"/>
  <c r="G30" i="1"/>
  <c r="N22" i="4"/>
  <c r="D22" i="1"/>
  <c r="J39" i="5"/>
  <c r="K39" i="5" s="1"/>
  <c r="N8" i="4"/>
  <c r="D8" i="1"/>
  <c r="N26" i="4"/>
  <c r="D26" i="1"/>
  <c r="G26" i="1" s="1"/>
  <c r="K26" i="5"/>
  <c r="E26" i="1"/>
  <c r="N24" i="4"/>
  <c r="D24" i="1"/>
  <c r="N37" i="4"/>
  <c r="D37" i="1"/>
  <c r="G37" i="1" s="1"/>
  <c r="N32" i="4"/>
  <c r="D32" i="1"/>
  <c r="G32" i="1" s="1"/>
  <c r="K24" i="5"/>
  <c r="E24" i="1"/>
  <c r="K11" i="5"/>
  <c r="E11" i="1"/>
  <c r="K10" i="5"/>
  <c r="E10" i="1"/>
  <c r="G10" i="1" s="1"/>
  <c r="J38" i="6"/>
  <c r="K38" i="6" s="1"/>
  <c r="L38" i="6" s="1"/>
  <c r="N36" i="4"/>
  <c r="D36" i="1"/>
  <c r="G36" i="1" s="1"/>
  <c r="K35" i="5"/>
  <c r="E35" i="1"/>
  <c r="N19" i="4"/>
  <c r="D19" i="1"/>
  <c r="G19" i="1" s="1"/>
  <c r="K33" i="5"/>
  <c r="E33" i="1"/>
  <c r="K12" i="5"/>
  <c r="E12" i="1"/>
  <c r="J29" i="6"/>
  <c r="K29" i="6" s="1"/>
  <c r="L29" i="6" s="1"/>
  <c r="K7" i="6"/>
  <c r="N27" i="4"/>
  <c r="D27" i="1"/>
  <c r="K30" i="5"/>
  <c r="E30" i="1"/>
  <c r="N23" i="4"/>
  <c r="D23" i="1"/>
  <c r="G23" i="1" s="1"/>
  <c r="N33" i="4"/>
  <c r="D33" i="1"/>
  <c r="G33" i="1" s="1"/>
  <c r="N9" i="4"/>
  <c r="D9" i="1"/>
  <c r="G9" i="1" s="1"/>
  <c r="N17" i="4"/>
  <c r="D17" i="1"/>
  <c r="G17" i="1" s="1"/>
  <c r="J22" i="6"/>
  <c r="K22" i="6" s="1"/>
  <c r="L22" i="6" s="1"/>
  <c r="N28" i="4"/>
  <c r="D28" i="1"/>
  <c r="G28" i="1" s="1"/>
  <c r="J8" i="6"/>
  <c r="K8" i="6" s="1"/>
  <c r="L8" i="6" s="1"/>
  <c r="J13" i="6"/>
  <c r="K13" i="6" s="1"/>
  <c r="L13" i="6" s="1"/>
  <c r="K22" i="5"/>
  <c r="E22" i="1"/>
  <c r="K37" i="5"/>
  <c r="E37" i="1"/>
  <c r="J20" i="6"/>
  <c r="K20" i="6" s="1"/>
  <c r="L20" i="6" s="1"/>
  <c r="K27" i="5"/>
  <c r="E27" i="1"/>
  <c r="J32" i="6"/>
  <c r="K32" i="6" s="1"/>
  <c r="L32" i="6" s="1"/>
  <c r="N10" i="4"/>
  <c r="D10" i="1"/>
  <c r="C39" i="1"/>
  <c r="G7" i="1"/>
  <c r="N38" i="4"/>
  <c r="D38" i="1"/>
  <c r="G38" i="1" s="1"/>
  <c r="J36" i="6"/>
  <c r="K36" i="6" s="1"/>
  <c r="L36" i="6" s="1"/>
  <c r="N14" i="4"/>
  <c r="D14" i="1"/>
  <c r="G14" i="1" s="1"/>
  <c r="K8" i="5"/>
  <c r="E8" i="1"/>
  <c r="E39" i="1" s="1"/>
  <c r="K9" i="5"/>
  <c r="E9" i="1"/>
  <c r="K34" i="5"/>
  <c r="E34" i="1"/>
  <c r="J27" i="6"/>
  <c r="K27" i="6" s="1"/>
  <c r="L27" i="6" s="1"/>
  <c r="J23" i="6"/>
  <c r="K23" i="6" s="1"/>
  <c r="L23" i="6" s="1"/>
  <c r="J33" i="6"/>
  <c r="K33" i="6" s="1"/>
  <c r="L33" i="6" s="1"/>
  <c r="J9" i="6"/>
  <c r="K9" i="6" s="1"/>
  <c r="L9" i="6" s="1"/>
  <c r="H19" i="1" l="1"/>
  <c r="F19" i="1"/>
  <c r="H26" i="1"/>
  <c r="F26" i="1"/>
  <c r="H11" i="1"/>
  <c r="F11" i="1"/>
  <c r="H18" i="1"/>
  <c r="F18" i="1"/>
  <c r="H28" i="1"/>
  <c r="F28" i="1"/>
  <c r="H10" i="1"/>
  <c r="F10" i="1"/>
  <c r="H37" i="1"/>
  <c r="F37" i="1"/>
  <c r="H7" i="1"/>
  <c r="F7" i="1"/>
  <c r="H9" i="1"/>
  <c r="F9" i="1"/>
  <c r="H23" i="1"/>
  <c r="F23" i="1"/>
  <c r="G27" i="1"/>
  <c r="G8" i="1"/>
  <c r="H29" i="1"/>
  <c r="F29" i="1"/>
  <c r="H17" i="1"/>
  <c r="F17" i="1"/>
  <c r="H36" i="1"/>
  <c r="F36" i="1"/>
  <c r="H13" i="1"/>
  <c r="F13" i="1"/>
  <c r="H35" i="1"/>
  <c r="F35" i="1"/>
  <c r="G34" i="1"/>
  <c r="G25" i="1"/>
  <c r="H30" i="1"/>
  <c r="F30" i="1"/>
  <c r="H38" i="1"/>
  <c r="F38" i="1"/>
  <c r="H33" i="1"/>
  <c r="F33" i="1"/>
  <c r="K39" i="6"/>
  <c r="L39" i="6" s="1"/>
  <c r="L7" i="6"/>
  <c r="H32" i="1"/>
  <c r="F32" i="1"/>
  <c r="G24" i="1"/>
  <c r="G31" i="1"/>
  <c r="D39" i="1"/>
  <c r="H15" i="1"/>
  <c r="F15" i="1"/>
  <c r="H14" i="1"/>
  <c r="F14" i="1"/>
  <c r="J39" i="6"/>
  <c r="G22" i="1"/>
  <c r="H21" i="1"/>
  <c r="F21" i="1"/>
  <c r="G20" i="1"/>
  <c r="G16" i="1"/>
  <c r="G12" i="1"/>
  <c r="H12" i="1" l="1"/>
  <c r="F12" i="1"/>
  <c r="H31" i="1"/>
  <c r="F31" i="1"/>
  <c r="H25" i="1"/>
  <c r="F25" i="1"/>
  <c r="H8" i="1"/>
  <c r="Y33" i="1" s="1"/>
  <c r="F8" i="1"/>
  <c r="F39" i="1" s="1"/>
  <c r="G5" i="1"/>
  <c r="H16" i="1"/>
  <c r="F16" i="1"/>
  <c r="H22" i="1"/>
  <c r="Y18" i="1" s="1"/>
  <c r="F22" i="1"/>
  <c r="H24" i="1"/>
  <c r="F24" i="1"/>
  <c r="H34" i="1"/>
  <c r="F34" i="1"/>
  <c r="H27" i="1"/>
  <c r="F27" i="1"/>
  <c r="G39" i="1"/>
  <c r="H39" i="1" s="1"/>
  <c r="H20" i="1"/>
  <c r="F20" i="1"/>
  <c r="Y37" i="1"/>
  <c r="Y21" i="1"/>
  <c r="Y38" i="1"/>
  <c r="Y22" i="1"/>
  <c r="Y36" i="1"/>
  <c r="Y7" i="1"/>
  <c r="Y11" i="1"/>
  <c r="Y16" i="1"/>
  <c r="Z18" i="1" l="1"/>
  <c r="AA18" i="1"/>
  <c r="X18" i="1"/>
  <c r="X33" i="1"/>
  <c r="Z33" i="1"/>
  <c r="AA33" i="1"/>
  <c r="X16" i="1"/>
  <c r="AA16" i="1"/>
  <c r="Z16" i="1"/>
  <c r="X36" i="1"/>
  <c r="AA36" i="1"/>
  <c r="Z36" i="1"/>
  <c r="X21" i="1"/>
  <c r="AA21" i="1"/>
  <c r="Z21" i="1"/>
  <c r="Y24" i="1"/>
  <c r="Y12" i="1"/>
  <c r="Y10" i="1"/>
  <c r="Y26" i="1"/>
  <c r="Y9" i="1"/>
  <c r="Y25" i="1"/>
  <c r="Y32" i="1"/>
  <c r="Y15" i="1"/>
  <c r="Y27" i="1"/>
  <c r="Y20" i="1"/>
  <c r="Y14" i="1"/>
  <c r="Y30" i="1"/>
  <c r="Y13" i="1"/>
  <c r="Y29" i="1"/>
  <c r="AA11" i="1"/>
  <c r="Z11" i="1"/>
  <c r="X11" i="1"/>
  <c r="X7" i="1"/>
  <c r="Z7" i="1"/>
  <c r="AA7" i="1"/>
  <c r="Z22" i="1"/>
  <c r="AA22" i="1"/>
  <c r="X22" i="1"/>
  <c r="Z38" i="1"/>
  <c r="AA38" i="1"/>
  <c r="X38" i="1"/>
  <c r="X37" i="1"/>
  <c r="AA37" i="1"/>
  <c r="Z37" i="1"/>
  <c r="Y23" i="1"/>
  <c r="Y19" i="1"/>
  <c r="Y8" i="1"/>
  <c r="Y31" i="1"/>
  <c r="Y35" i="1"/>
  <c r="Y28" i="1"/>
  <c r="Y34" i="1"/>
  <c r="Y17" i="1"/>
  <c r="AA31" i="1" l="1"/>
  <c r="Z31" i="1"/>
  <c r="X31" i="1"/>
  <c r="X24" i="1"/>
  <c r="AA24" i="1"/>
  <c r="Z24" i="1"/>
  <c r="AA15" i="1"/>
  <c r="Z15" i="1"/>
  <c r="X15" i="1"/>
  <c r="X17" i="1"/>
  <c r="Z17" i="1"/>
  <c r="AA17" i="1"/>
  <c r="X13" i="1"/>
  <c r="AA13" i="1"/>
  <c r="Z13" i="1"/>
  <c r="AA27" i="1"/>
  <c r="Z27" i="1"/>
  <c r="X27" i="1"/>
  <c r="X9" i="1"/>
  <c r="Z9" i="1"/>
  <c r="AA9" i="1"/>
  <c r="Z34" i="1"/>
  <c r="X34" i="1"/>
  <c r="AA34" i="1"/>
  <c r="AA8" i="1"/>
  <c r="Z8" i="1"/>
  <c r="X8" i="1"/>
  <c r="Z30" i="1"/>
  <c r="AA30" i="1"/>
  <c r="X30" i="1"/>
  <c r="Z26" i="1"/>
  <c r="AA26" i="1"/>
  <c r="X26" i="1"/>
  <c r="X28" i="1"/>
  <c r="AA28" i="1"/>
  <c r="Z28" i="1"/>
  <c r="AA19" i="1"/>
  <c r="Z19" i="1"/>
  <c r="X19" i="1"/>
  <c r="Z14" i="1"/>
  <c r="AA14" i="1"/>
  <c r="X14" i="1"/>
  <c r="X32" i="1"/>
  <c r="AA32" i="1"/>
  <c r="Z32" i="1"/>
  <c r="Z10" i="1"/>
  <c r="AA10" i="1"/>
  <c r="X10" i="1"/>
  <c r="AA35" i="1"/>
  <c r="Z35" i="1"/>
  <c r="X35" i="1"/>
  <c r="AA23" i="1"/>
  <c r="Z23" i="1"/>
  <c r="X23" i="1"/>
  <c r="X29" i="1"/>
  <c r="AA29" i="1"/>
  <c r="Z29" i="1"/>
  <c r="X20" i="1"/>
  <c r="AA20" i="1"/>
  <c r="Z20" i="1"/>
  <c r="X25" i="1"/>
  <c r="Z25" i="1"/>
  <c r="AA25" i="1"/>
  <c r="X12" i="1"/>
  <c r="AA12" i="1"/>
  <c r="Z12" i="1"/>
</calcChain>
</file>

<file path=xl/sharedStrings.xml><?xml version="1.0" encoding="utf-8"?>
<sst xmlns="http://schemas.openxmlformats.org/spreadsheetml/2006/main" count="350" uniqueCount="128">
  <si>
    <t>Fondo General de Participaciones 2027 con población de la Encuesta Intercensal 2025</t>
  </si>
  <si>
    <t>Cambio por entidad al sustituir la población ENOE 3T-2025 (DOF enero 2026) por la EIC 2025. Variables económicas del DOF de agosto 2026 y RFP del PPEF 2027. Todo lo demás constante.</t>
  </si>
  <si>
    <t>Monto redistribuido:</t>
  </si>
  <si>
    <t>Datos de la gráfica (ordenados)</t>
  </si>
  <si>
    <t>Entidad</t>
  </si>
  <si>
    <t>FGP 2027
con población ENOE 3T-2025
(pesos)</t>
  </si>
  <si>
    <t>Cambio primera parte
(Cuadro 3)</t>
  </si>
  <si>
    <t>Cambio segunda parte
(Cuadro 4)</t>
  </si>
  <si>
    <t>Cambio tercera parte
(Cuadro 5)</t>
  </si>
  <si>
    <t>FGP 2027
con EIC 2025
(pesos)</t>
  </si>
  <si>
    <t>Cambio FGP
(pesos)</t>
  </si>
  <si>
    <t>Cambio FGP
(%)</t>
  </si>
  <si>
    <t>Cambio FGP (%)</t>
  </si>
  <si>
    <t>Gana</t>
  </si>
  <si>
    <t>Pierde</t>
  </si>
  <si>
    <t>Aguascalientes</t>
  </si>
  <si>
    <t>Baja California</t>
  </si>
  <si>
    <t>Baja California Sur</t>
  </si>
  <si>
    <t>Campeche</t>
  </si>
  <si>
    <t>Coahuila</t>
  </si>
  <si>
    <t>Colima</t>
  </si>
  <si>
    <t>Chiapas</t>
  </si>
  <si>
    <t>Chihuahua</t>
  </si>
  <si>
    <t>Ciudad de México</t>
  </si>
  <si>
    <t>Durango</t>
  </si>
  <si>
    <t>Guanajuato</t>
  </si>
  <si>
    <t>Guerrero</t>
  </si>
  <si>
    <t>Hidalgo</t>
  </si>
  <si>
    <t>Jalisco</t>
  </si>
  <si>
    <t>México</t>
  </si>
  <si>
    <t>Michoacán</t>
  </si>
  <si>
    <t>Morelos</t>
  </si>
  <si>
    <t>Nayarit</t>
  </si>
  <si>
    <t>Nuevo León</t>
  </si>
  <si>
    <t>Oaxaca</t>
  </si>
  <si>
    <t>Puebla</t>
  </si>
  <si>
    <t>Querétaro</t>
  </si>
  <si>
    <t>Quintana Roo</t>
  </si>
  <si>
    <t>San Luis Potosí</t>
  </si>
  <si>
    <t>Sinaloa</t>
  </si>
  <si>
    <t>Sonora</t>
  </si>
  <si>
    <t>Tabasco</t>
  </si>
  <si>
    <t>Tamaulipas</t>
  </si>
  <si>
    <t>Tlaxcala</t>
  </si>
  <si>
    <t>Veracruz</t>
  </si>
  <si>
    <t>Yucatán</t>
  </si>
  <si>
    <t>Zacatecas</t>
  </si>
  <si>
    <t>Totales</t>
  </si>
  <si>
    <t>Notas:</t>
  </si>
  <si>
    <t>• Se recalcularon población, resultado y coeficiente de los Cuadros 3, 4 y 5 del DOF (primera, segunda y tercera parte del crecimiento del FGP).</t>
  </si>
  <si>
    <t>• La parte fija del FGP (FGP de 2007) no depende de la población. Monto redistribuido = suma de las pérdidas.</t>
  </si>
  <si>
    <t>• Coeficiente base = mismas variables del DOF de agosto 2026 con población ENOE 3T-2025. La réplica del DOF de agosto (con ENOE 1T-2026) está en "Validación DOF". Azul = dato capturado; negro = fórmula; verde = vínculo.</t>
  </si>
  <si>
    <t>Población por entidad federativa (personas): ENOE 3T-2025 vs. Encuesta Intercensal 2025</t>
  </si>
  <si>
    <t>Población ENOE 3T-2025
(DOF enero 2026)</t>
  </si>
  <si>
    <t>EIC 2025: personas en viviendas particulares</t>
  </si>
  <si>
    <t>EIC 2025: personas en viviendas colectivas</t>
  </si>
  <si>
    <t>Población
EIC 2025
(total)</t>
  </si>
  <si>
    <t>Cambio
(personas)</t>
  </si>
  <si>
    <t>Cambio (%)</t>
  </si>
  <si>
    <t>Población ENOE 1T-2026
(DOF agosto 2026,
solo validación)</t>
  </si>
  <si>
    <t>Fuentes: ENOE 3T-2025 según DOF de enero 2026 (Acuerdo 23/2026, Cuadros 3-5). EIC 2025: INEGI (22-sep-2026). ENOE 1T-2026 según DOF 31-ago-2026 (Acuerdo 140/2026), solo para validar la réplica.</t>
  </si>
  <si>
    <t>Azul = dato capturado; negro = fórmula; verde = vínculo a otra hoja.</t>
  </si>
  <si>
    <t>Cuadro 3. Coeficientes de la primera parte del crecimiento del FGP 2027 (recalculado con EIC 2025)</t>
  </si>
  <si>
    <t>Art. 2o LCF. Variables del DOF de agosto 2026 (último cálculo publicado). PIB a miles de pesos corrientes.</t>
  </si>
  <si>
    <t>Primera parte del crecimiento del FGP 2027 (60%; hoja Cuadro 7):</t>
  </si>
  <si>
    <t>Columnas en amarillo = recalculadas con la población de la EIC 2025.</t>
  </si>
  <si>
    <t>PIB 2023
(1)</t>
  </si>
  <si>
    <t>PIB 2024
(2)</t>
  </si>
  <si>
    <t>Variación
2024/2023
(3=2/1)</t>
  </si>
  <si>
    <t>Población
EIC 2025
(4)</t>
  </si>
  <si>
    <t>Resultado variación PIB por población
(5=3*4)</t>
  </si>
  <si>
    <t>Coeficientes de participación
(6=(5/Σ5)100)</t>
  </si>
  <si>
    <t>Coeficiente con
ENOE 3T-2025</t>
  </si>
  <si>
    <t>Cambio en coeficiente
(puntos porcentuales)</t>
  </si>
  <si>
    <t>Monto 2027 con ENOE 3T-2025
(pesos)</t>
  </si>
  <si>
    <t>Monto 2027 con EIC 2025
(pesos)</t>
  </si>
  <si>
    <t>Cambio
(pesos)</t>
  </si>
  <si>
    <t>Cuadro 4. Coeficientes de la segunda parte del crecimiento del FGP 2027 (recalculado con EIC 2025)</t>
  </si>
  <si>
    <t>Art. 2o LCF. Media móvil de 3 años del crecimiento de impuestos y derechos locales (IE). Variables del DOF de agosto 2026.</t>
  </si>
  <si>
    <t>Segunda parte del crecimiento del FGP 2027 (30%; hoja Cuadro 7):</t>
  </si>
  <si>
    <t>Crecimiento IE
2023/2022
(1)</t>
  </si>
  <si>
    <t>Crecimiento IE
2024/2023
(2)</t>
  </si>
  <si>
    <t>Crecimiento IE
2025/2024
(3)</t>
  </si>
  <si>
    <t>Media móvil IE
(4=((1+2+3)/3))</t>
  </si>
  <si>
    <t>Población
EIC 2025
(5)</t>
  </si>
  <si>
    <t>Resultado media móvil por población
(6=4*5)</t>
  </si>
  <si>
    <t>Coeficientes de participación
(7=(6/Σ6)100)</t>
  </si>
  <si>
    <t>Columna (4): media móvil implícita en el DOF = Resultado (6) / Población (5) del Cuadro 4 original, para no perder precisión por el redondeo a 3 decimales.</t>
  </si>
  <si>
    <t>Cuadro 5. Coeficientes de la tercera parte del crecimiento del FGP 2027 (recalculado con EIC 2025)</t>
  </si>
  <si>
    <t>Art. 2o LCF. Impuestos y derechos locales 2025 × población. Variables del DOF de agosto 2026.</t>
  </si>
  <si>
    <t>Tercera parte del crecimiento del FGP 2027 (10%; hoja Cuadro 7):</t>
  </si>
  <si>
    <t>Impuestos y derechos locales de 2025
(1)</t>
  </si>
  <si>
    <t>Población
EIC 2025
(2)</t>
  </si>
  <si>
    <t>Resultado IE 2025 por población
(3=2*1)</t>
  </si>
  <si>
    <t>Coeficientes de participación
(4=(3/Σ3)100)</t>
  </si>
  <si>
    <t>Cuadro 7. Integración del FGP 2027 (anual): población ENOE 3T-2025 vs. EIC 2025</t>
  </si>
  <si>
    <t>FGP de 2007 = 12 × monto mensual del DOF de agosto 2026 (Cuadro 7). Crecimiento 2027 = 20% de la RFP del PPEF 2027 − FGP de 2007. Sin resarcimiento BET.</t>
  </si>
  <si>
    <t>FGP de 2007
(parte fija, no cambia)</t>
  </si>
  <si>
    <t>Primera parte
ENOE 3T-2025</t>
  </si>
  <si>
    <t>Segunda parte
ENOE 3T-2025</t>
  </si>
  <si>
    <t>Tercera parte
ENOE 3T-2025</t>
  </si>
  <si>
    <t>FGP total
ENOE 3T-2025</t>
  </si>
  <si>
    <t>Primera parte
EIC 2025</t>
  </si>
  <si>
    <t>Segunda parte
EIC 2025</t>
  </si>
  <si>
    <t>Tercera parte
EIC 2025</t>
  </si>
  <si>
    <t>FGP total
EIC 2025</t>
  </si>
  <si>
    <t>Monto del FGP 2027</t>
  </si>
  <si>
    <t>0.136% de la RFP 2027 (PPEF 2027, Ramo 28)</t>
  </si>
  <si>
    <t>RFP 2027 (= 0.136% / 0.00136)</t>
  </si>
  <si>
    <t>FGP 2027 (20% de la RFP)</t>
  </si>
  <si>
    <t>FGP de 2007 (12 × 22,152,337,833; DOF Cuadro 2)</t>
  </si>
  <si>
    <t>Crecimiento del FGP 2027</t>
  </si>
  <si>
    <t>Primera parte (60%)</t>
  </si>
  <si>
    <t>Segunda parte (30%)</t>
  </si>
  <si>
    <t>Tercera parte (10%)</t>
  </si>
  <si>
    <t>Validación: réplica de los coeficientes publicados en el DOF</t>
  </si>
  <si>
    <t>Mismo cálculo de cada cuadro con la población ENOE 1T-2026 que publicó el DOF de agosto 2026. La diferencia contra el coeficiente publicado debe ser ~0.</t>
  </si>
  <si>
    <t>Cuadro 3
replicado</t>
  </si>
  <si>
    <t>Cuadro 3
DOF</t>
  </si>
  <si>
    <t>Cuadro 3
diferencia</t>
  </si>
  <si>
    <t>Cuadro 4
replicado</t>
  </si>
  <si>
    <t>Cuadro 4
DOF</t>
  </si>
  <si>
    <t>Cuadro 4
diferencia</t>
  </si>
  <si>
    <t>Cuadro 5
replicado</t>
  </si>
  <si>
    <t>Cuadro 5
DOF</t>
  </si>
  <si>
    <t>Cuadro 5
diferencia</t>
  </si>
  <si>
    <t>Diferencia absoluta máxima</t>
  </si>
  <si>
    <t>Fuente: SHCP, Acuerdo 140/2026, DOF 31-ago-2026.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</si>
</sst>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;\(#,##0\);\-"/>
    <numFmt numFmtId="165" formatCode="0.00%;\-0.00%;\-"/>
    <numFmt numFmtId="167" formatCode="0.000000"/>
    <numFmt numFmtId="168" formatCode="0.000000;\-0.000000;\-"/>
    <numFmt numFmtId="169" formatCode="0.000"/>
    <numFmt numFmtId="170" formatCode="0.000000000"/>
    <numFmt numFmtId="171" formatCode="0.0000000;\-0.0000000;\-"/>
    <numFmt numFmtId="172" formatCode="0.0000000"/>
  </numFmts>
  <fonts count="9" x14ac:knownFonts="1">
    <font>
      <sz val="11"/>
      <color theme="1"/>
      <name val="Calibri"/>
      <family val="2"/>
      <charset val="1"/>
    </font>
    <font>
      <b/>
      <sz val="13"/>
      <color rgb="FF1F3864"/>
      <name val="Arial"/>
      <family val="2"/>
    </font>
    <font>
      <i/>
      <sz val="9"/>
      <color rgb="FF595959"/>
      <name val="Arial"/>
      <family val="2"/>
    </font>
    <font>
      <b/>
      <sz val="10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008000"/>
      <name val="Arial"/>
      <family val="2"/>
    </font>
    <font>
      <b/>
      <sz val="10"/>
      <color rgb="FF1F3864"/>
      <name val="Arial"/>
      <family val="2"/>
    </font>
    <font>
      <sz val="10"/>
      <color rgb="FF0000F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2CC"/>
        <bgColor rgb="FFFFE699"/>
      </patternFill>
    </fill>
    <fill>
      <patternFill patternType="solid">
        <fgColor rgb="FF1F3864"/>
        <bgColor rgb="FF333399"/>
      </patternFill>
    </fill>
    <fill>
      <patternFill patternType="solid">
        <fgColor rgb="FFD9E1F2"/>
        <bgColor rgb="FFD9D9D9"/>
      </patternFill>
    </fill>
    <fill>
      <patternFill patternType="solid">
        <fgColor rgb="FFFFE699"/>
        <bgColor rgb="FFFFF2CC"/>
      </patternFill>
    </fill>
    <fill>
      <patternFill patternType="solid">
        <fgColor rgb="FF5B7DB1"/>
        <bgColor rgb="FF2E75B6"/>
      </patternFill>
    </fill>
  </fills>
  <borders count="2">
    <border>
      <left/>
      <right/>
      <top/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3" fillId="2" borderId="0" xfId="0" applyNumberFormat="1" applyFont="1" applyFill="1"/>
    <xf numFmtId="0" fontId="4" fillId="3" borderId="0" xfId="0" applyFont="1" applyFill="1" applyAlignment="1">
      <alignment horizontal="center" vertical="center" wrapText="1"/>
    </xf>
    <xf numFmtId="0" fontId="5" fillId="0" borderId="0" xfId="0" applyFont="1"/>
    <xf numFmtId="164" fontId="6" fillId="0" borderId="0" xfId="0" applyNumberFormat="1" applyFont="1"/>
    <xf numFmtId="164" fontId="5" fillId="0" borderId="0" xfId="0" applyNumberFormat="1" applyFont="1"/>
    <xf numFmtId="164" fontId="3" fillId="0" borderId="0" xfId="0" applyNumberFormat="1" applyFont="1"/>
    <xf numFmtId="165" fontId="3" fillId="0" borderId="0" xfId="0" applyNumberFormat="1" applyFont="1"/>
    <xf numFmtId="165" fontId="5" fillId="0" borderId="0" xfId="0" applyNumberFormat="1" applyFont="1"/>
    <xf numFmtId="2" fontId="5" fillId="0" borderId="0" xfId="0" applyNumberFormat="1" applyFont="1"/>
    <xf numFmtId="0" fontId="3" fillId="4" borderId="1" xfId="0" applyFont="1" applyFill="1" applyBorder="1"/>
    <xf numFmtId="164" fontId="3" fillId="4" borderId="1" xfId="0" applyNumberFormat="1" applyFont="1" applyFill="1" applyBorder="1"/>
    <xf numFmtId="165" fontId="3" fillId="4" borderId="1" xfId="0" applyNumberFormat="1" applyFont="1" applyFill="1" applyBorder="1"/>
    <xf numFmtId="0" fontId="7" fillId="5" borderId="0" xfId="0" applyFont="1" applyFill="1" applyAlignment="1">
      <alignment horizontal="center" vertical="center" wrapText="1"/>
    </xf>
    <xf numFmtId="0" fontId="4" fillId="6" borderId="0" xfId="0" applyFont="1" applyFill="1" applyAlignment="1">
      <alignment horizontal="center" vertical="center" wrapText="1"/>
    </xf>
    <xf numFmtId="164" fontId="8" fillId="0" borderId="0" xfId="0" applyNumberFormat="1" applyFont="1"/>
    <xf numFmtId="164" fontId="6" fillId="2" borderId="0" xfId="0" applyNumberFormat="1" applyFont="1" applyFill="1"/>
    <xf numFmtId="167" fontId="5" fillId="0" borderId="0" xfId="0" applyNumberFormat="1" applyFont="1"/>
    <xf numFmtId="168" fontId="5" fillId="0" borderId="0" xfId="0" applyNumberFormat="1" applyFont="1"/>
    <xf numFmtId="0" fontId="0" fillId="4" borderId="1" xfId="0" applyFill="1" applyBorder="1"/>
    <xf numFmtId="168" fontId="3" fillId="4" borderId="1" xfId="0" applyNumberFormat="1" applyFont="1" applyFill="1" applyBorder="1"/>
    <xf numFmtId="169" fontId="8" fillId="0" borderId="0" xfId="0" applyNumberFormat="1" applyFont="1"/>
    <xf numFmtId="170" fontId="8" fillId="0" borderId="0" xfId="0" applyNumberFormat="1" applyFont="1"/>
    <xf numFmtId="168" fontId="8" fillId="0" borderId="0" xfId="0" applyNumberFormat="1" applyFont="1"/>
    <xf numFmtId="171" fontId="5" fillId="0" borderId="0" xfId="0" applyNumberFormat="1" applyFont="1"/>
    <xf numFmtId="172" fontId="3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C0504D"/>
      <rgbColor rgb="FFFFF2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B7DB1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Cambio en el FGP 2027 por entidad (%)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Resumen!$Z$6</c:f>
              <c:strCache>
                <c:ptCount val="1"/>
                <c:pt idx="0">
                  <c:v>Gana</c:v>
                </c:pt>
              </c:strCache>
            </c:strRef>
          </c:tx>
          <c:spPr>
            <a:solidFill>
              <a:srgbClr val="2E75B6"/>
            </a:solidFill>
            <a:ln w="0">
              <a:solidFill>
                <a:srgbClr val="2E75B6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MX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Resumen!$X$7:$X$38</c:f>
              <c:strCache>
                <c:ptCount val="32"/>
                <c:pt idx="0">
                  <c:v>Guerrero</c:v>
                </c:pt>
                <c:pt idx="1">
                  <c:v>Tlaxcala</c:v>
                </c:pt>
                <c:pt idx="2">
                  <c:v>Veracruz</c:v>
                </c:pt>
                <c:pt idx="3">
                  <c:v>Chiapas</c:v>
                </c:pt>
                <c:pt idx="4">
                  <c:v>Chihuahua</c:v>
                </c:pt>
                <c:pt idx="5">
                  <c:v>Oaxaca</c:v>
                </c:pt>
                <c:pt idx="6">
                  <c:v>Michoacán</c:v>
                </c:pt>
                <c:pt idx="7">
                  <c:v>Sinaloa</c:v>
                </c:pt>
                <c:pt idx="8">
                  <c:v>Ciudad de México</c:v>
                </c:pt>
                <c:pt idx="9">
                  <c:v>Coahuila</c:v>
                </c:pt>
                <c:pt idx="10">
                  <c:v>México</c:v>
                </c:pt>
                <c:pt idx="11">
                  <c:v>Tabasco</c:v>
                </c:pt>
                <c:pt idx="12">
                  <c:v>Jalisco</c:v>
                </c:pt>
                <c:pt idx="13">
                  <c:v>Zacatecas</c:v>
                </c:pt>
                <c:pt idx="14">
                  <c:v>Hidalgo</c:v>
                </c:pt>
                <c:pt idx="15">
                  <c:v>Durango</c:v>
                </c:pt>
                <c:pt idx="16">
                  <c:v>San Luis Potosí</c:v>
                </c:pt>
                <c:pt idx="17">
                  <c:v>Sonora</c:v>
                </c:pt>
                <c:pt idx="18">
                  <c:v>Morelos</c:v>
                </c:pt>
                <c:pt idx="19">
                  <c:v>Tamaulipas</c:v>
                </c:pt>
                <c:pt idx="20">
                  <c:v>Guanajuato</c:v>
                </c:pt>
                <c:pt idx="21">
                  <c:v>Aguascalientes</c:v>
                </c:pt>
                <c:pt idx="22">
                  <c:v>Nuevo León</c:v>
                </c:pt>
                <c:pt idx="23">
                  <c:v>Querétaro</c:v>
                </c:pt>
                <c:pt idx="24">
                  <c:v>Puebla</c:v>
                </c:pt>
                <c:pt idx="25">
                  <c:v>Campeche</c:v>
                </c:pt>
                <c:pt idx="26">
                  <c:v>Colima</c:v>
                </c:pt>
                <c:pt idx="27">
                  <c:v>Nayarit</c:v>
                </c:pt>
                <c:pt idx="28">
                  <c:v>Yucatán</c:v>
                </c:pt>
                <c:pt idx="29">
                  <c:v>Baja California</c:v>
                </c:pt>
                <c:pt idx="30">
                  <c:v>Baja California Sur</c:v>
                </c:pt>
                <c:pt idx="31">
                  <c:v>Quintana Roo</c:v>
                </c:pt>
              </c:strCache>
            </c:strRef>
          </c:cat>
          <c:val>
            <c:numRef>
              <c:f>Resumen!$Z$7:$Z$38</c:f>
              <c:numCache>
                <c:formatCode>0.00</c:formatCode>
                <c:ptCount val="3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3.1146269285424341E-2</c:v>
                </c:pt>
                <c:pt idx="17">
                  <c:v>0.12058401137758472</c:v>
                </c:pt>
                <c:pt idx="18">
                  <c:v>0.41322932393476408</c:v>
                </c:pt>
                <c:pt idx="19">
                  <c:v>1.002915359715272</c:v>
                </c:pt>
                <c:pt idx="20">
                  <c:v>1.2131569720182811</c:v>
                </c:pt>
                <c:pt idx="21">
                  <c:v>1.7006082236050091</c:v>
                </c:pt>
                <c:pt idx="22">
                  <c:v>1.7131850548766085</c:v>
                </c:pt>
                <c:pt idx="23">
                  <c:v>2.3366012848703535</c:v>
                </c:pt>
                <c:pt idx="24">
                  <c:v>2.6002628745274765</c:v>
                </c:pt>
                <c:pt idx="25">
                  <c:v>2.8914543312553618</c:v>
                </c:pt>
                <c:pt idx="26">
                  <c:v>3.0966044396534791</c:v>
                </c:pt>
                <c:pt idx="27">
                  <c:v>3.1290286402208842</c:v>
                </c:pt>
                <c:pt idx="28">
                  <c:v>3.3272313329301113</c:v>
                </c:pt>
                <c:pt idx="29">
                  <c:v>4.6655142180494691</c:v>
                </c:pt>
                <c:pt idx="30">
                  <c:v>6.6688018533861237</c:v>
                </c:pt>
                <c:pt idx="31">
                  <c:v>8.0783772002302374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AA-C24C-A90A-241481F648D4}"/>
            </c:ext>
          </c:extLst>
        </c:ser>
        <c:ser>
          <c:idx val="1"/>
          <c:order val="1"/>
          <c:tx>
            <c:strRef>
              <c:f>Resumen!$AA$6</c:f>
              <c:strCache>
                <c:ptCount val="1"/>
                <c:pt idx="0">
                  <c:v>Pierde</c:v>
                </c:pt>
              </c:strCache>
            </c:strRef>
          </c:tx>
          <c:spPr>
            <a:solidFill>
              <a:srgbClr val="C0504D"/>
            </a:solidFill>
            <a:ln w="0">
              <a:solidFill>
                <a:srgbClr val="C0504D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MX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Resumen!$X$7:$X$38</c:f>
              <c:strCache>
                <c:ptCount val="32"/>
                <c:pt idx="0">
                  <c:v>Guerrero</c:v>
                </c:pt>
                <c:pt idx="1">
                  <c:v>Tlaxcala</c:v>
                </c:pt>
                <c:pt idx="2">
                  <c:v>Veracruz</c:v>
                </c:pt>
                <c:pt idx="3">
                  <c:v>Chiapas</c:v>
                </c:pt>
                <c:pt idx="4">
                  <c:v>Chihuahua</c:v>
                </c:pt>
                <c:pt idx="5">
                  <c:v>Oaxaca</c:v>
                </c:pt>
                <c:pt idx="6">
                  <c:v>Michoacán</c:v>
                </c:pt>
                <c:pt idx="7">
                  <c:v>Sinaloa</c:v>
                </c:pt>
                <c:pt idx="8">
                  <c:v>Ciudad de México</c:v>
                </c:pt>
                <c:pt idx="9">
                  <c:v>Coahuila</c:v>
                </c:pt>
                <c:pt idx="10">
                  <c:v>México</c:v>
                </c:pt>
                <c:pt idx="11">
                  <c:v>Tabasco</c:v>
                </c:pt>
                <c:pt idx="12">
                  <c:v>Jalisco</c:v>
                </c:pt>
                <c:pt idx="13">
                  <c:v>Zacatecas</c:v>
                </c:pt>
                <c:pt idx="14">
                  <c:v>Hidalgo</c:v>
                </c:pt>
                <c:pt idx="15">
                  <c:v>Durango</c:v>
                </c:pt>
                <c:pt idx="16">
                  <c:v>San Luis Potosí</c:v>
                </c:pt>
                <c:pt idx="17">
                  <c:v>Sonora</c:v>
                </c:pt>
                <c:pt idx="18">
                  <c:v>Morelos</c:v>
                </c:pt>
                <c:pt idx="19">
                  <c:v>Tamaulipas</c:v>
                </c:pt>
                <c:pt idx="20">
                  <c:v>Guanajuato</c:v>
                </c:pt>
                <c:pt idx="21">
                  <c:v>Aguascalientes</c:v>
                </c:pt>
                <c:pt idx="22">
                  <c:v>Nuevo León</c:v>
                </c:pt>
                <c:pt idx="23">
                  <c:v>Querétaro</c:v>
                </c:pt>
                <c:pt idx="24">
                  <c:v>Puebla</c:v>
                </c:pt>
                <c:pt idx="25">
                  <c:v>Campeche</c:v>
                </c:pt>
                <c:pt idx="26">
                  <c:v>Colima</c:v>
                </c:pt>
                <c:pt idx="27">
                  <c:v>Nayarit</c:v>
                </c:pt>
                <c:pt idx="28">
                  <c:v>Yucatán</c:v>
                </c:pt>
                <c:pt idx="29">
                  <c:v>Baja California</c:v>
                </c:pt>
                <c:pt idx="30">
                  <c:v>Baja California Sur</c:v>
                </c:pt>
                <c:pt idx="31">
                  <c:v>Quintana Roo</c:v>
                </c:pt>
              </c:strCache>
            </c:strRef>
          </c:cat>
          <c:val>
            <c:numRef>
              <c:f>Resumen!$AA$7:$AA$38</c:f>
              <c:numCache>
                <c:formatCode>0.00</c:formatCode>
                <c:ptCount val="32"/>
                <c:pt idx="0">
                  <c:v>-4.1932114735682839</c:v>
                </c:pt>
                <c:pt idx="1">
                  <c:v>-3.044340311490815</c:v>
                </c:pt>
                <c:pt idx="2">
                  <c:v>-1.9052761417396085</c:v>
                </c:pt>
                <c:pt idx="3">
                  <c:v>-1.534585186161346</c:v>
                </c:pt>
                <c:pt idx="4">
                  <c:v>-1.4658745770494861</c:v>
                </c:pt>
                <c:pt idx="5">
                  <c:v>-1.2882857522749311</c:v>
                </c:pt>
                <c:pt idx="6">
                  <c:v>-1.0676879548558664</c:v>
                </c:pt>
                <c:pt idx="7">
                  <c:v>-1.0650211698924708</c:v>
                </c:pt>
                <c:pt idx="8">
                  <c:v>-1.0309826523459946</c:v>
                </c:pt>
                <c:pt idx="9">
                  <c:v>-0.92022358144318095</c:v>
                </c:pt>
                <c:pt idx="10">
                  <c:v>-0.82856551254320254</c:v>
                </c:pt>
                <c:pt idx="11">
                  <c:v>-0.65921310576859382</c:v>
                </c:pt>
                <c:pt idx="12">
                  <c:v>-0.58565064053502547</c:v>
                </c:pt>
                <c:pt idx="13">
                  <c:v>-0.50179533949491861</c:v>
                </c:pt>
                <c:pt idx="14">
                  <c:v>-0.15880794144666829</c:v>
                </c:pt>
                <c:pt idx="15">
                  <c:v>-0.13390260326671916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5AA-C24C-A90A-241481F648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65479168"/>
        <c:axId val="44330699"/>
      </c:barChart>
      <c:catAx>
        <c:axId val="654791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MX"/>
          </a:p>
        </c:txPr>
        <c:crossAx val="44330699"/>
        <c:crosses val="autoZero"/>
        <c:auto val="1"/>
        <c:lblAlgn val="ctr"/>
        <c:lblOffset val="100"/>
        <c:noMultiLvlLbl val="0"/>
      </c:catAx>
      <c:valAx>
        <c:axId val="4433069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%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MX"/>
          </a:p>
        </c:txPr>
        <c:crossAx val="6547916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3</xdr:row>
      <xdr:rowOff>176040</xdr:rowOff>
    </xdr:from>
    <xdr:to>
      <xdr:col>19</xdr:col>
      <xdr:colOff>4680</xdr:colOff>
      <xdr:row>32</xdr:row>
      <xdr:rowOff>180720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44"/>
  <sheetViews>
    <sheetView showGridLines="0" tabSelected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baseColWidth="10" defaultColWidth="8.6640625" defaultRowHeight="15" x14ac:dyDescent="0.2"/>
  <cols>
    <col min="1" max="1" width="24" customWidth="1"/>
    <col min="2" max="2" width="22" customWidth="1"/>
    <col min="3" max="4" width="17" customWidth="1"/>
    <col min="5" max="5" width="16" customWidth="1"/>
    <col min="6" max="6" width="22" customWidth="1"/>
    <col min="7" max="7" width="17" customWidth="1"/>
    <col min="8" max="8" width="12" customWidth="1"/>
    <col min="24" max="24" width="20" customWidth="1"/>
  </cols>
  <sheetData>
    <row r="1" spans="1:27" ht="17" x14ac:dyDescent="0.2">
      <c r="A1" s="1" t="s">
        <v>0</v>
      </c>
    </row>
    <row r="2" spans="1:27" x14ac:dyDescent="0.2">
      <c r="A2" s="2" t="s">
        <v>1</v>
      </c>
    </row>
    <row r="5" spans="1:27" x14ac:dyDescent="0.2">
      <c r="F5" s="3" t="s">
        <v>2</v>
      </c>
      <c r="G5" s="4">
        <f>-SUMIF(G7:G38,"&lt;0")</f>
        <v>8768055198.2133541</v>
      </c>
      <c r="X5" s="3" t="s">
        <v>3</v>
      </c>
    </row>
    <row r="6" spans="1:27" ht="61.5" customHeight="1" x14ac:dyDescent="0.2">
      <c r="A6" s="5" t="s">
        <v>4</v>
      </c>
      <c r="B6" s="5" t="s">
        <v>5</v>
      </c>
      <c r="C6" s="5" t="s">
        <v>6</v>
      </c>
      <c r="D6" s="5" t="s">
        <v>7</v>
      </c>
      <c r="E6" s="5" t="s">
        <v>8</v>
      </c>
      <c r="F6" s="5" t="s">
        <v>9</v>
      </c>
      <c r="G6" s="5" t="s">
        <v>10</v>
      </c>
      <c r="H6" s="5" t="s">
        <v>11</v>
      </c>
      <c r="X6" s="5" t="s">
        <v>4</v>
      </c>
      <c r="Y6" s="5" t="s">
        <v>12</v>
      </c>
      <c r="Z6" s="5" t="s">
        <v>13</v>
      </c>
      <c r="AA6" s="5" t="s">
        <v>14</v>
      </c>
    </row>
    <row r="7" spans="1:27" x14ac:dyDescent="0.2">
      <c r="A7" s="6" t="s">
        <v>15</v>
      </c>
      <c r="B7" s="7">
        <f>'Cuadro 7'!F7</f>
        <v>12224845617.518362</v>
      </c>
      <c r="C7" s="8">
        <f>'Cuadro 3'!L7</f>
        <v>133009839.80745983</v>
      </c>
      <c r="D7" s="8">
        <f>'Cuadro 4'!M7</f>
        <v>69267996.721049309</v>
      </c>
      <c r="E7" s="8">
        <f>'Cuadro 5'!J7</f>
        <v>5618893.366024673</v>
      </c>
      <c r="F7" s="8">
        <f t="shared" ref="F7:F38" si="0">B7+G7</f>
        <v>12432742347.412895</v>
      </c>
      <c r="G7" s="9">
        <f t="shared" ref="G7:G38" si="1">C7+D7+E7</f>
        <v>207896729.89453381</v>
      </c>
      <c r="H7" s="10">
        <f t="shared" ref="H7:H39" si="2">G7/B7</f>
        <v>1.7006082236050091E-2</v>
      </c>
      <c r="X7" s="6" t="str">
        <f t="shared" ref="X7:X38" si="3">INDEX($A$7:$A$38,MATCH(Y7,$H$7:$H$38,0))</f>
        <v>Guerrero</v>
      </c>
      <c r="Y7" s="11">
        <f>SMALL($H$7:$H$38,1)</f>
        <v>-4.1932114735682841E-2</v>
      </c>
      <c r="Z7" s="12">
        <f t="shared" ref="Z7:Z38" si="4">IF(Y7&gt;=0,Y7*100,0)</f>
        <v>0</v>
      </c>
      <c r="AA7" s="12">
        <f t="shared" ref="AA7:AA38" si="5">IF(Y7&lt;0,Y7*100,0)</f>
        <v>-4.1932114735682839</v>
      </c>
    </row>
    <row r="8" spans="1:27" x14ac:dyDescent="0.2">
      <c r="A8" s="6" t="s">
        <v>16</v>
      </c>
      <c r="B8" s="7">
        <f>'Cuadro 7'!F8</f>
        <v>33375251230.458199</v>
      </c>
      <c r="C8" s="8">
        <f>'Cuadro 3'!L8</f>
        <v>897173672.62720871</v>
      </c>
      <c r="D8" s="8">
        <f>'Cuadro 4'!M8</f>
        <v>475156911.71511555</v>
      </c>
      <c r="E8" s="8">
        <f>'Cuadro 5'!J8</f>
        <v>184796507.12443352</v>
      </c>
      <c r="F8" s="8">
        <f t="shared" si="0"/>
        <v>34932378321.924957</v>
      </c>
      <c r="G8" s="9">
        <f t="shared" si="1"/>
        <v>1557127091.4667578</v>
      </c>
      <c r="H8" s="10">
        <f t="shared" si="2"/>
        <v>4.6655142180494692E-2</v>
      </c>
      <c r="X8" s="6" t="str">
        <f t="shared" si="3"/>
        <v>Tlaxcala</v>
      </c>
      <c r="Y8" s="11">
        <f>SMALL($H$7:$H$38,2)</f>
        <v>-3.044340311490815E-2</v>
      </c>
      <c r="Z8" s="12">
        <f t="shared" si="4"/>
        <v>0</v>
      </c>
      <c r="AA8" s="12">
        <f t="shared" si="5"/>
        <v>-3.044340311490815</v>
      </c>
    </row>
    <row r="9" spans="1:27" x14ac:dyDescent="0.2">
      <c r="A9" s="6" t="s">
        <v>17</v>
      </c>
      <c r="B9" s="7">
        <f>'Cuadro 7'!F9</f>
        <v>7406242107.0007935</v>
      </c>
      <c r="C9" s="8">
        <f>'Cuadro 3'!L9</f>
        <v>324884813.9793582</v>
      </c>
      <c r="D9" s="8">
        <f>'Cuadro 4'!M9</f>
        <v>156671425.56294203</v>
      </c>
      <c r="E9" s="8">
        <f>'Cuadro 5'!J9</f>
        <v>12351371.355632141</v>
      </c>
      <c r="F9" s="8">
        <f t="shared" si="0"/>
        <v>7900149717.8987255</v>
      </c>
      <c r="G9" s="9">
        <f t="shared" si="1"/>
        <v>493907610.89793235</v>
      </c>
      <c r="H9" s="10">
        <f t="shared" si="2"/>
        <v>6.6688018533861235E-2</v>
      </c>
      <c r="X9" s="6" t="str">
        <f t="shared" si="3"/>
        <v>Veracruz</v>
      </c>
      <c r="Y9" s="11">
        <f>SMALL($H$7:$H$38,3)</f>
        <v>-1.9052761417396084E-2</v>
      </c>
      <c r="Z9" s="12">
        <f t="shared" si="4"/>
        <v>0</v>
      </c>
      <c r="AA9" s="12">
        <f t="shared" si="5"/>
        <v>-1.9052761417396085</v>
      </c>
    </row>
    <row r="10" spans="1:27" x14ac:dyDescent="0.2">
      <c r="A10" s="6" t="s">
        <v>18</v>
      </c>
      <c r="B10" s="7">
        <f>'Cuadro 7'!F10</f>
        <v>7599135606.6999683</v>
      </c>
      <c r="C10" s="8">
        <f>'Cuadro 3'!L10</f>
        <v>138187797.05519581</v>
      </c>
      <c r="D10" s="8">
        <f>'Cuadro 4'!M10</f>
        <v>77971975.885240555</v>
      </c>
      <c r="E10" s="8">
        <f>'Cuadro 5'!J10</f>
        <v>3565762.6974582672</v>
      </c>
      <c r="F10" s="8">
        <f t="shared" si="0"/>
        <v>7818861142.337863</v>
      </c>
      <c r="G10" s="9">
        <f t="shared" si="1"/>
        <v>219725535.63789463</v>
      </c>
      <c r="H10" s="10">
        <f t="shared" si="2"/>
        <v>2.8914543312553616E-2</v>
      </c>
      <c r="X10" s="6" t="str">
        <f t="shared" si="3"/>
        <v>Chiapas</v>
      </c>
      <c r="Y10" s="11">
        <f>SMALL($H$7:$H$38,4)</f>
        <v>-1.534585186161346E-2</v>
      </c>
      <c r="Z10" s="12">
        <f t="shared" si="4"/>
        <v>0</v>
      </c>
      <c r="AA10" s="12">
        <f t="shared" si="5"/>
        <v>-1.534585186161346</v>
      </c>
    </row>
    <row r="11" spans="1:27" x14ac:dyDescent="0.2">
      <c r="A11" s="6" t="s">
        <v>19</v>
      </c>
      <c r="B11" s="7">
        <f>'Cuadro 7'!F11</f>
        <v>28877687856.148689</v>
      </c>
      <c r="C11" s="8">
        <f>'Cuadro 3'!L11</f>
        <v>-165991945.87478828</v>
      </c>
      <c r="D11" s="8">
        <f>'Cuadro 4'!M11</f>
        <v>-87844175.778268814</v>
      </c>
      <c r="E11" s="8">
        <f>'Cuadro 5'!J11</f>
        <v>-11903171.774776936</v>
      </c>
      <c r="F11" s="8">
        <f t="shared" si="0"/>
        <v>28611948562.720856</v>
      </c>
      <c r="G11" s="9">
        <f t="shared" si="1"/>
        <v>-265739293.42783403</v>
      </c>
      <c r="H11" s="10">
        <f t="shared" si="2"/>
        <v>-9.2022358144318098E-3</v>
      </c>
      <c r="X11" s="6" t="str">
        <f t="shared" si="3"/>
        <v>Chihuahua</v>
      </c>
      <c r="Y11" s="11">
        <f>SMALL($H$7:$H$38,5)</f>
        <v>-1.4658745770494861E-2</v>
      </c>
      <c r="Z11" s="12">
        <f t="shared" si="4"/>
        <v>0</v>
      </c>
      <c r="AA11" s="12">
        <f t="shared" si="5"/>
        <v>-1.4658745770494861</v>
      </c>
    </row>
    <row r="12" spans="1:27" x14ac:dyDescent="0.2">
      <c r="A12" s="6" t="s">
        <v>20</v>
      </c>
      <c r="B12" s="7">
        <f>'Cuadro 7'!F12</f>
        <v>6390850129.7811413</v>
      </c>
      <c r="C12" s="8">
        <f>'Cuadro 3'!L12</f>
        <v>130696250.29241991</v>
      </c>
      <c r="D12" s="8">
        <f>'Cuadro 4'!M12</f>
        <v>64567420.542294025</v>
      </c>
      <c r="E12" s="8">
        <f>'Cuadro 5'!J12</f>
        <v>2635678.0156890228</v>
      </c>
      <c r="F12" s="8">
        <f t="shared" si="0"/>
        <v>6588749478.6315441</v>
      </c>
      <c r="G12" s="9">
        <f t="shared" si="1"/>
        <v>197899348.85040295</v>
      </c>
      <c r="H12" s="10">
        <f t="shared" si="2"/>
        <v>3.0966044396534789E-2</v>
      </c>
      <c r="X12" s="6" t="str">
        <f t="shared" si="3"/>
        <v>Oaxaca</v>
      </c>
      <c r="Y12" s="11">
        <f>SMALL($H$7:$H$38,6)</f>
        <v>-1.2882857522749312E-2</v>
      </c>
      <c r="Z12" s="12">
        <f t="shared" si="4"/>
        <v>0</v>
      </c>
      <c r="AA12" s="12">
        <f t="shared" si="5"/>
        <v>-1.2882857522749311</v>
      </c>
    </row>
    <row r="13" spans="1:27" x14ac:dyDescent="0.2">
      <c r="A13" s="6" t="s">
        <v>21</v>
      </c>
      <c r="B13" s="7">
        <f>'Cuadro 7'!F13</f>
        <v>50691976690.172485</v>
      </c>
      <c r="C13" s="8">
        <f>'Cuadro 3'!L13</f>
        <v>-488825142.58349228</v>
      </c>
      <c r="D13" s="8">
        <f>'Cuadro 4'!M13</f>
        <v>-269499697.48608208</v>
      </c>
      <c r="E13" s="8">
        <f>'Cuadro 5'!J13</f>
        <v>-19586724.7901752</v>
      </c>
      <c r="F13" s="8">
        <f t="shared" si="0"/>
        <v>49914065125.312737</v>
      </c>
      <c r="G13" s="9">
        <f t="shared" si="1"/>
        <v>-777911564.85974956</v>
      </c>
      <c r="H13" s="10">
        <f t="shared" si="2"/>
        <v>-1.534585186161346E-2</v>
      </c>
      <c r="X13" s="6" t="str">
        <f t="shared" si="3"/>
        <v>Michoacán</v>
      </c>
      <c r="Y13" s="11">
        <f>SMALL($H$7:$H$38,7)</f>
        <v>-1.0676879548558664E-2</v>
      </c>
      <c r="Z13" s="12">
        <f t="shared" si="4"/>
        <v>0</v>
      </c>
      <c r="AA13" s="12">
        <f t="shared" si="5"/>
        <v>-1.0676879548558664</v>
      </c>
    </row>
    <row r="14" spans="1:27" x14ac:dyDescent="0.2">
      <c r="A14" s="6" t="s">
        <v>22</v>
      </c>
      <c r="B14" s="7">
        <f>'Cuadro 7'!F14</f>
        <v>33916362515.280716</v>
      </c>
      <c r="C14" s="8">
        <f>'Cuadro 3'!L14</f>
        <v>-302460517.33996773</v>
      </c>
      <c r="D14" s="8">
        <f>'Cuadro 4'!M14</f>
        <v>-150027851.59608746</v>
      </c>
      <c r="E14" s="8">
        <f>'Cuadro 5'!J14</f>
        <v>-44682966.635386467</v>
      </c>
      <c r="F14" s="8">
        <f t="shared" si="0"/>
        <v>33419191179.709274</v>
      </c>
      <c r="G14" s="9">
        <f t="shared" si="1"/>
        <v>-497171335.57144165</v>
      </c>
      <c r="H14" s="10">
        <f t="shared" si="2"/>
        <v>-1.4658745770494861E-2</v>
      </c>
      <c r="X14" s="6" t="str">
        <f t="shared" si="3"/>
        <v>Sinaloa</v>
      </c>
      <c r="Y14" s="11">
        <f>SMALL($H$7:$H$38,8)</f>
        <v>-1.0650211698924708E-2</v>
      </c>
      <c r="Z14" s="12">
        <f t="shared" si="4"/>
        <v>0</v>
      </c>
      <c r="AA14" s="12">
        <f t="shared" si="5"/>
        <v>-1.0650211698924708</v>
      </c>
    </row>
    <row r="15" spans="1:27" x14ac:dyDescent="0.2">
      <c r="A15" s="6" t="s">
        <v>23</v>
      </c>
      <c r="B15" s="7">
        <f>'Cuadro 7'!F15</f>
        <v>113464112610.89195</v>
      </c>
      <c r="C15" s="8">
        <f>'Cuadro 3'!L15</f>
        <v>-586906148.02275848</v>
      </c>
      <c r="D15" s="8">
        <f>'Cuadro 4'!M15</f>
        <v>-299477626.36174011</v>
      </c>
      <c r="E15" s="8">
        <f>'Cuadro 5'!J15</f>
        <v>-283411543.27212143</v>
      </c>
      <c r="F15" s="8">
        <f t="shared" si="0"/>
        <v>112294317293.23534</v>
      </c>
      <c r="G15" s="9">
        <f t="shared" si="1"/>
        <v>-1169795317.65662</v>
      </c>
      <c r="H15" s="10">
        <f t="shared" si="2"/>
        <v>-1.0309826523459947E-2</v>
      </c>
      <c r="X15" s="6" t="str">
        <f t="shared" si="3"/>
        <v>Ciudad de México</v>
      </c>
      <c r="Y15" s="11">
        <f>SMALL($H$7:$H$38,9)</f>
        <v>-1.0309826523459947E-2</v>
      </c>
      <c r="Z15" s="12">
        <f t="shared" si="4"/>
        <v>0</v>
      </c>
      <c r="AA15" s="12">
        <f t="shared" si="5"/>
        <v>-1.0309826523459946</v>
      </c>
    </row>
    <row r="16" spans="1:27" x14ac:dyDescent="0.2">
      <c r="A16" s="6" t="s">
        <v>24</v>
      </c>
      <c r="B16" s="7">
        <f>'Cuadro 7'!F16</f>
        <v>16000941668.414488</v>
      </c>
      <c r="C16" s="8">
        <f>'Cuadro 3'!L16</f>
        <v>-14297637.020745277</v>
      </c>
      <c r="D16" s="8">
        <f>'Cuadro 4'!M16</f>
        <v>-7538696.3358435631</v>
      </c>
      <c r="E16" s="8">
        <f>'Cuadro 5'!J16</f>
        <v>410655.91539263725</v>
      </c>
      <c r="F16" s="8">
        <f t="shared" si="0"/>
        <v>15979515990.973291</v>
      </c>
      <c r="G16" s="9">
        <f t="shared" si="1"/>
        <v>-21425677.441196203</v>
      </c>
      <c r="H16" s="10">
        <f t="shared" si="2"/>
        <v>-1.3390260326671915E-3</v>
      </c>
      <c r="X16" s="6" t="str">
        <f t="shared" si="3"/>
        <v>Coahuila</v>
      </c>
      <c r="Y16" s="11">
        <f>SMALL($H$7:$H$38,10)</f>
        <v>-9.2022358144318098E-3</v>
      </c>
      <c r="Z16" s="12">
        <f t="shared" si="4"/>
        <v>0</v>
      </c>
      <c r="AA16" s="12">
        <f t="shared" si="5"/>
        <v>-0.92022358144318095</v>
      </c>
    </row>
    <row r="17" spans="1:27" x14ac:dyDescent="0.2">
      <c r="A17" s="6" t="s">
        <v>25</v>
      </c>
      <c r="B17" s="7">
        <f>'Cuadro 7'!F17</f>
        <v>52243078967.268929</v>
      </c>
      <c r="C17" s="8">
        <f>'Cuadro 3'!L17</f>
        <v>386433758.70294571</v>
      </c>
      <c r="D17" s="8">
        <f>'Cuadro 4'!M17</f>
        <v>184657585.50581169</v>
      </c>
      <c r="E17" s="8">
        <f>'Cuadro 5'!J17</f>
        <v>62699210.679681778</v>
      </c>
      <c r="F17" s="8">
        <f t="shared" si="0"/>
        <v>52876869522.157364</v>
      </c>
      <c r="G17" s="9">
        <f t="shared" si="1"/>
        <v>633790554.88843918</v>
      </c>
      <c r="H17" s="10">
        <f t="shared" si="2"/>
        <v>1.2131569720182811E-2</v>
      </c>
      <c r="X17" s="6" t="str">
        <f t="shared" si="3"/>
        <v>México</v>
      </c>
      <c r="Y17" s="11">
        <f>SMALL($H$7:$H$38,11)</f>
        <v>-8.2856551254320253E-3</v>
      </c>
      <c r="Z17" s="12">
        <f t="shared" si="4"/>
        <v>0</v>
      </c>
      <c r="AA17" s="12">
        <f t="shared" si="5"/>
        <v>-0.82856551254320254</v>
      </c>
    </row>
    <row r="18" spans="1:27" x14ac:dyDescent="0.2">
      <c r="A18" s="6" t="s">
        <v>26</v>
      </c>
      <c r="B18" s="7">
        <f>'Cuadro 7'!F18</f>
        <v>28316544472.002144</v>
      </c>
      <c r="C18" s="8">
        <f>'Cuadro 3'!L18</f>
        <v>-774035526.79459381</v>
      </c>
      <c r="D18" s="8">
        <f>'Cuadro 4'!M18</f>
        <v>-390253110.21597767</v>
      </c>
      <c r="E18" s="8">
        <f>'Cuadro 5'!J18</f>
        <v>-23083954.707487941</v>
      </c>
      <c r="F18" s="8">
        <f t="shared" si="0"/>
        <v>27129171880.284084</v>
      </c>
      <c r="G18" s="9">
        <f t="shared" si="1"/>
        <v>-1187372591.7180595</v>
      </c>
      <c r="H18" s="10">
        <f t="shared" si="2"/>
        <v>-4.1932114735682841E-2</v>
      </c>
      <c r="X18" s="6" t="str">
        <f t="shared" si="3"/>
        <v>Tabasco</v>
      </c>
      <c r="Y18" s="11">
        <f>SMALL($H$7:$H$38,12)</f>
        <v>-6.5921310576859387E-3</v>
      </c>
      <c r="Z18" s="12">
        <f t="shared" si="4"/>
        <v>0</v>
      </c>
      <c r="AA18" s="12">
        <f t="shared" si="5"/>
        <v>-0.65921310576859382</v>
      </c>
    </row>
    <row r="19" spans="1:27" x14ac:dyDescent="0.2">
      <c r="A19" s="6" t="s">
        <v>27</v>
      </c>
      <c r="B19" s="7">
        <f>'Cuadro 7'!F19</f>
        <v>25163766181.825485</v>
      </c>
      <c r="C19" s="8">
        <f>'Cuadro 3'!L19</f>
        <v>-26846720.90395546</v>
      </c>
      <c r="D19" s="8">
        <f>'Cuadro 4'!M19</f>
        <v>-13752490.279175758</v>
      </c>
      <c r="E19" s="8">
        <f>'Cuadro 5'!J19</f>
        <v>637152.11932128668</v>
      </c>
      <c r="F19" s="8">
        <f t="shared" si="0"/>
        <v>25123804122.761677</v>
      </c>
      <c r="G19" s="9">
        <f t="shared" si="1"/>
        <v>-39962059.063809931</v>
      </c>
      <c r="H19" s="10">
        <f t="shared" si="2"/>
        <v>-1.5880794144666828E-3</v>
      </c>
      <c r="X19" s="6" t="str">
        <f t="shared" si="3"/>
        <v>Jalisco</v>
      </c>
      <c r="Y19" s="11">
        <f>SMALL($H$7:$H$38,13)</f>
        <v>-5.8565064053502543E-3</v>
      </c>
      <c r="Z19" s="12">
        <f t="shared" si="4"/>
        <v>0</v>
      </c>
      <c r="AA19" s="12">
        <f t="shared" si="5"/>
        <v>-0.58565064053502547</v>
      </c>
    </row>
    <row r="20" spans="1:27" x14ac:dyDescent="0.2">
      <c r="A20" s="6" t="s">
        <v>28</v>
      </c>
      <c r="B20" s="7">
        <f>'Cuadro 7'!F20</f>
        <v>78138870113.987946</v>
      </c>
      <c r="C20" s="8">
        <f>'Cuadro 3'!L20</f>
        <v>-278525803.91377258</v>
      </c>
      <c r="D20" s="8">
        <f>'Cuadro 4'!M20</f>
        <v>-142789432.53857803</v>
      </c>
      <c r="E20" s="8">
        <f>'Cuadro 5'!J20</f>
        <v>-36305556.877051353</v>
      </c>
      <c r="F20" s="8">
        <f t="shared" si="0"/>
        <v>77681249320.658539</v>
      </c>
      <c r="G20" s="9">
        <f t="shared" si="1"/>
        <v>-457620793.32940197</v>
      </c>
      <c r="H20" s="10">
        <f t="shared" si="2"/>
        <v>-5.8565064053502543E-3</v>
      </c>
      <c r="X20" s="6" t="str">
        <f t="shared" si="3"/>
        <v>Zacatecas</v>
      </c>
      <c r="Y20" s="11">
        <f>SMALL($H$7:$H$38,14)</f>
        <v>-5.0179533949491865E-3</v>
      </c>
      <c r="Z20" s="12">
        <f t="shared" si="4"/>
        <v>0</v>
      </c>
      <c r="AA20" s="12">
        <f t="shared" si="5"/>
        <v>-0.50179533949491861</v>
      </c>
    </row>
    <row r="21" spans="1:27" x14ac:dyDescent="0.2">
      <c r="A21" s="6" t="s">
        <v>29</v>
      </c>
      <c r="B21" s="7">
        <f>'Cuadro 7'!F21</f>
        <v>163803178264.60803</v>
      </c>
      <c r="C21" s="8">
        <f>'Cuadro 3'!L21</f>
        <v>-789180014.99830627</v>
      </c>
      <c r="D21" s="8">
        <f>'Cuadro 4'!M21</f>
        <v>-393283821.00165558</v>
      </c>
      <c r="E21" s="8">
        <f>'Cuadro 5'!J21</f>
        <v>-174752807.55024338</v>
      </c>
      <c r="F21" s="8">
        <f t="shared" si="0"/>
        <v>162445961621.05783</v>
      </c>
      <c r="G21" s="9">
        <f t="shared" si="1"/>
        <v>-1357216643.5502052</v>
      </c>
      <c r="H21" s="10">
        <f t="shared" si="2"/>
        <v>-8.2856551254320253E-3</v>
      </c>
      <c r="X21" s="6" t="str">
        <f t="shared" si="3"/>
        <v>Hidalgo</v>
      </c>
      <c r="Y21" s="11">
        <f>SMALL($H$7:$H$38,15)</f>
        <v>-1.5880794144666828E-3</v>
      </c>
      <c r="Z21" s="12">
        <f t="shared" si="4"/>
        <v>0</v>
      </c>
      <c r="AA21" s="12">
        <f t="shared" si="5"/>
        <v>-0.15880794144666829</v>
      </c>
    </row>
    <row r="22" spans="1:27" x14ac:dyDescent="0.2">
      <c r="A22" s="6" t="s">
        <v>30</v>
      </c>
      <c r="B22" s="7">
        <f>'Cuadro 7'!F22</f>
        <v>37856666605.263458</v>
      </c>
      <c r="C22" s="8">
        <f>'Cuadro 3'!L22</f>
        <v>-265792302.89542389</v>
      </c>
      <c r="D22" s="8">
        <f>'Cuadro 4'!M22</f>
        <v>-126310913.03269958</v>
      </c>
      <c r="E22" s="8">
        <f>'Cuadro 5'!J22</f>
        <v>-12087853.526217699</v>
      </c>
      <c r="F22" s="8">
        <f t="shared" si="0"/>
        <v>37452475535.80912</v>
      </c>
      <c r="G22" s="9">
        <f t="shared" si="1"/>
        <v>-404191069.45434117</v>
      </c>
      <c r="H22" s="10">
        <f t="shared" si="2"/>
        <v>-1.0676879548558664E-2</v>
      </c>
      <c r="X22" s="6" t="str">
        <f t="shared" si="3"/>
        <v>Durango</v>
      </c>
      <c r="Y22" s="11">
        <f>SMALL($H$7:$H$38,16)</f>
        <v>-1.3390260326671915E-3</v>
      </c>
      <c r="Z22" s="12">
        <f t="shared" si="4"/>
        <v>0</v>
      </c>
      <c r="AA22" s="12">
        <f t="shared" si="5"/>
        <v>-0.13390260326671916</v>
      </c>
    </row>
    <row r="23" spans="1:27" x14ac:dyDescent="0.2">
      <c r="A23" s="6" t="s">
        <v>31</v>
      </c>
      <c r="B23" s="7">
        <f>'Cuadro 7'!F23</f>
        <v>15907078866.17157</v>
      </c>
      <c r="C23" s="8">
        <f>'Cuadro 3'!L23</f>
        <v>42546314.429646492</v>
      </c>
      <c r="D23" s="8">
        <f>'Cuadro 4'!M23</f>
        <v>21062998.051457882</v>
      </c>
      <c r="E23" s="8">
        <f>'Cuadro 5'!J23</f>
        <v>2123401.975346148</v>
      </c>
      <c r="F23" s="8">
        <f t="shared" si="0"/>
        <v>15972811580.628021</v>
      </c>
      <c r="G23" s="9">
        <f t="shared" si="1"/>
        <v>65732714.456450522</v>
      </c>
      <c r="H23" s="10">
        <f t="shared" si="2"/>
        <v>4.1322932393476411E-3</v>
      </c>
      <c r="X23" s="6" t="str">
        <f t="shared" si="3"/>
        <v>San Luis Potosí</v>
      </c>
      <c r="Y23" s="11">
        <f>SMALL($H$7:$H$38,17)</f>
        <v>3.1146269285424341E-4</v>
      </c>
      <c r="Z23" s="12">
        <f t="shared" si="4"/>
        <v>3.1146269285424341E-2</v>
      </c>
      <c r="AA23" s="12">
        <f t="shared" si="5"/>
        <v>0</v>
      </c>
    </row>
    <row r="24" spans="1:27" x14ac:dyDescent="0.2">
      <c r="A24" s="6" t="s">
        <v>32</v>
      </c>
      <c r="B24" s="7">
        <f>'Cuadro 7'!F24</f>
        <v>10141824882.39262</v>
      </c>
      <c r="C24" s="8">
        <f>'Cuadro 3'!L24</f>
        <v>205295313.45500374</v>
      </c>
      <c r="D24" s="8">
        <f>'Cuadro 4'!M24</f>
        <v>106386007.54835367</v>
      </c>
      <c r="E24" s="8">
        <f>'Cuadro 5'!J24</f>
        <v>5659284.2077556551</v>
      </c>
      <c r="F24" s="8">
        <f t="shared" si="0"/>
        <v>10459165487.603733</v>
      </c>
      <c r="G24" s="9">
        <f t="shared" si="1"/>
        <v>317340605.2111131</v>
      </c>
      <c r="H24" s="10">
        <f t="shared" si="2"/>
        <v>3.1290286402208843E-2</v>
      </c>
      <c r="X24" s="6" t="str">
        <f t="shared" si="3"/>
        <v>Sonora</v>
      </c>
      <c r="Y24" s="11">
        <f>SMALL($H$7:$H$38,18)</f>
        <v>1.2058401137758472E-3</v>
      </c>
      <c r="Z24" s="12">
        <f t="shared" si="4"/>
        <v>0.12058401137758472</v>
      </c>
      <c r="AA24" s="12">
        <f t="shared" si="5"/>
        <v>0</v>
      </c>
    </row>
    <row r="25" spans="1:27" x14ac:dyDescent="0.2">
      <c r="A25" s="6" t="s">
        <v>33</v>
      </c>
      <c r="B25" s="7">
        <f>'Cuadro 7'!F25</f>
        <v>56885673578.714111</v>
      </c>
      <c r="C25" s="8">
        <f>'Cuadro 3'!L25</f>
        <v>545955249.62685013</v>
      </c>
      <c r="D25" s="8">
        <f>'Cuadro 4'!M25</f>
        <v>262873217.50836563</v>
      </c>
      <c r="E25" s="8">
        <f>'Cuadro 5'!J25</f>
        <v>165728390.98120594</v>
      </c>
      <c r="F25" s="8">
        <f t="shared" si="0"/>
        <v>57860230436.830536</v>
      </c>
      <c r="G25" s="9">
        <f t="shared" si="1"/>
        <v>974556858.1164217</v>
      </c>
      <c r="H25" s="10">
        <f t="shared" si="2"/>
        <v>1.7131850548766085E-2</v>
      </c>
      <c r="X25" s="6" t="str">
        <f t="shared" si="3"/>
        <v>Morelos</v>
      </c>
      <c r="Y25" s="11">
        <f>SMALL($H$7:$H$38,19)</f>
        <v>4.1322932393476411E-3</v>
      </c>
      <c r="Z25" s="12">
        <f t="shared" si="4"/>
        <v>0.41322932393476408</v>
      </c>
      <c r="AA25" s="12">
        <f t="shared" si="5"/>
        <v>0</v>
      </c>
    </row>
    <row r="26" spans="1:27" x14ac:dyDescent="0.2">
      <c r="A26" s="6" t="s">
        <v>34</v>
      </c>
      <c r="B26" s="7">
        <f>'Cuadro 7'!F26</f>
        <v>33500006795.980801</v>
      </c>
      <c r="C26" s="8">
        <f>'Cuadro 3'!L26</f>
        <v>-283594548.06005478</v>
      </c>
      <c r="D26" s="8">
        <f>'Cuadro 4'!M26</f>
        <v>-140629335.84955597</v>
      </c>
      <c r="E26" s="8">
        <f>'Cuadro 5'!J26</f>
        <v>-7351930.6541435719</v>
      </c>
      <c r="F26" s="8">
        <f t="shared" si="0"/>
        <v>33068430981.417046</v>
      </c>
      <c r="G26" s="9">
        <f t="shared" si="1"/>
        <v>-431575814.56375432</v>
      </c>
      <c r="H26" s="10">
        <f t="shared" si="2"/>
        <v>-1.2882857522749312E-2</v>
      </c>
      <c r="X26" s="6" t="str">
        <f t="shared" si="3"/>
        <v>Tamaulipas</v>
      </c>
      <c r="Y26" s="11">
        <f>SMALL($H$7:$H$38,20)</f>
        <v>1.002915359715272E-2</v>
      </c>
      <c r="Z26" s="12">
        <f t="shared" si="4"/>
        <v>1.002915359715272</v>
      </c>
      <c r="AA26" s="12">
        <f t="shared" si="5"/>
        <v>0</v>
      </c>
    </row>
    <row r="27" spans="1:27" x14ac:dyDescent="0.2">
      <c r="A27" s="6" t="s">
        <v>35</v>
      </c>
      <c r="B27" s="7">
        <f>'Cuadro 7'!F27</f>
        <v>52991525849.0327</v>
      </c>
      <c r="C27" s="8">
        <f>'Cuadro 3'!L27</f>
        <v>886186516.38708115</v>
      </c>
      <c r="D27" s="8">
        <f>'Cuadro 4'!M27</f>
        <v>422925599.68267059</v>
      </c>
      <c r="E27" s="8">
        <f>'Cuadro 5'!J27</f>
        <v>68806857.22827673</v>
      </c>
      <c r="F27" s="8">
        <f t="shared" si="0"/>
        <v>54369444822.330727</v>
      </c>
      <c r="G27" s="9">
        <f t="shared" si="1"/>
        <v>1377918973.2980285</v>
      </c>
      <c r="H27" s="10">
        <f t="shared" si="2"/>
        <v>2.6002628745274765E-2</v>
      </c>
      <c r="X27" s="6" t="str">
        <f t="shared" si="3"/>
        <v>Guanajuato</v>
      </c>
      <c r="Y27" s="11">
        <f>SMALL($H$7:$H$38,21)</f>
        <v>1.2131569720182811E-2</v>
      </c>
      <c r="Z27" s="12">
        <f t="shared" si="4"/>
        <v>1.2131569720182811</v>
      </c>
      <c r="AA27" s="12">
        <f t="shared" si="5"/>
        <v>0</v>
      </c>
    </row>
    <row r="28" spans="1:27" x14ac:dyDescent="0.2">
      <c r="A28" s="6" t="s">
        <v>36</v>
      </c>
      <c r="B28" s="7">
        <f>'Cuadro 7'!F28</f>
        <v>20511490074.246891</v>
      </c>
      <c r="C28" s="8">
        <f>'Cuadro 3'!L28</f>
        <v>298956499.42895317</v>
      </c>
      <c r="D28" s="8">
        <f>'Cuadro 4'!M28</f>
        <v>146881566.79036427</v>
      </c>
      <c r="E28" s="8">
        <f>'Cuadro 5'!J28</f>
        <v>33433674.401590466</v>
      </c>
      <c r="F28" s="8">
        <f t="shared" si="0"/>
        <v>20990761814.867798</v>
      </c>
      <c r="G28" s="9">
        <f t="shared" si="1"/>
        <v>479271740.6209079</v>
      </c>
      <c r="H28" s="10">
        <f t="shared" si="2"/>
        <v>2.3366012848703537E-2</v>
      </c>
      <c r="X28" s="6" t="str">
        <f t="shared" si="3"/>
        <v>Aguascalientes</v>
      </c>
      <c r="Y28" s="11">
        <f>SMALL($H$7:$H$38,22)</f>
        <v>1.7006082236050091E-2</v>
      </c>
      <c r="Z28" s="12">
        <f t="shared" si="4"/>
        <v>1.7006082236050091</v>
      </c>
      <c r="AA28" s="12">
        <f t="shared" si="5"/>
        <v>0</v>
      </c>
    </row>
    <row r="29" spans="1:27" x14ac:dyDescent="0.2">
      <c r="A29" s="6" t="s">
        <v>37</v>
      </c>
      <c r="B29" s="7">
        <f>'Cuadro 7'!F29</f>
        <v>15501734181.414034</v>
      </c>
      <c r="C29" s="8">
        <f>'Cuadro 3'!L29</f>
        <v>750788428.40511608</v>
      </c>
      <c r="D29" s="8">
        <f>'Cuadro 4'!M29</f>
        <v>408440699.15076065</v>
      </c>
      <c r="E29" s="8">
        <f>'Cuadro 5'!J29</f>
        <v>93059432.195771933</v>
      </c>
      <c r="F29" s="8">
        <f t="shared" si="0"/>
        <v>16754022741.165682</v>
      </c>
      <c r="G29" s="9">
        <f t="shared" si="1"/>
        <v>1252288559.7516487</v>
      </c>
      <c r="H29" s="10">
        <f t="shared" si="2"/>
        <v>8.078377200230237E-2</v>
      </c>
      <c r="X29" s="6" t="str">
        <f t="shared" si="3"/>
        <v>Nuevo León</v>
      </c>
      <c r="Y29" s="11">
        <f>SMALL($H$7:$H$38,23)</f>
        <v>1.7131850548766085E-2</v>
      </c>
      <c r="Z29" s="12">
        <f t="shared" si="4"/>
        <v>1.7131850548766085</v>
      </c>
      <c r="AA29" s="12">
        <f t="shared" si="5"/>
        <v>0</v>
      </c>
    </row>
    <row r="30" spans="1:27" x14ac:dyDescent="0.2">
      <c r="A30" s="6" t="s">
        <v>38</v>
      </c>
      <c r="B30" s="7">
        <f>'Cuadro 7'!F30</f>
        <v>23065042363.095707</v>
      </c>
      <c r="C30" s="8">
        <f>'Cuadro 3'!L30</f>
        <v>3575503.5695438385</v>
      </c>
      <c r="D30" s="8">
        <f>'Cuadro 4'!M30</f>
        <v>1390395.9555940628</v>
      </c>
      <c r="E30" s="8">
        <f>'Cuadro 5'!J30</f>
        <v>2218000.6800690889</v>
      </c>
      <c r="F30" s="8">
        <f t="shared" si="0"/>
        <v>23072226263.300915</v>
      </c>
      <c r="G30" s="9">
        <f t="shared" si="1"/>
        <v>7183900.2052069902</v>
      </c>
      <c r="H30" s="10">
        <f t="shared" si="2"/>
        <v>3.1146269285424341E-4</v>
      </c>
      <c r="X30" s="6" t="str">
        <f t="shared" si="3"/>
        <v>Querétaro</v>
      </c>
      <c r="Y30" s="11">
        <f>SMALL($H$7:$H$38,24)</f>
        <v>2.3366012848703537E-2</v>
      </c>
      <c r="Z30" s="12">
        <f t="shared" si="4"/>
        <v>2.3366012848703535</v>
      </c>
      <c r="AA30" s="12">
        <f t="shared" si="5"/>
        <v>0</v>
      </c>
    </row>
    <row r="31" spans="1:27" x14ac:dyDescent="0.2">
      <c r="A31" s="6" t="s">
        <v>39</v>
      </c>
      <c r="B31" s="7">
        <f>'Cuadro 7'!F31</f>
        <v>25669044471.631962</v>
      </c>
      <c r="C31" s="8">
        <f>'Cuadro 3'!L31</f>
        <v>-176525954.73849487</v>
      </c>
      <c r="D31" s="8">
        <f>'Cuadro 4'!M31</f>
        <v>-85860339.920788765</v>
      </c>
      <c r="E31" s="8">
        <f>'Cuadro 5'!J31</f>
        <v>-10994463.07270968</v>
      </c>
      <c r="F31" s="8">
        <f t="shared" si="0"/>
        <v>25395663713.899967</v>
      </c>
      <c r="G31" s="9">
        <f t="shared" si="1"/>
        <v>-273380757.73199332</v>
      </c>
      <c r="H31" s="10">
        <f t="shared" si="2"/>
        <v>-1.0650211698924708E-2</v>
      </c>
      <c r="X31" s="6" t="str">
        <f t="shared" si="3"/>
        <v>Puebla</v>
      </c>
      <c r="Y31" s="11">
        <f>SMALL($H$7:$H$38,25)</f>
        <v>2.6002628745274765E-2</v>
      </c>
      <c r="Z31" s="12">
        <f t="shared" si="4"/>
        <v>2.6002628745274765</v>
      </c>
      <c r="AA31" s="12">
        <f t="shared" si="5"/>
        <v>0</v>
      </c>
    </row>
    <row r="32" spans="1:27" x14ac:dyDescent="0.2">
      <c r="A32" s="6" t="s">
        <v>40</v>
      </c>
      <c r="B32" s="7">
        <f>'Cuadro 7'!F32</f>
        <v>26073391716.398426</v>
      </c>
      <c r="C32" s="8">
        <f>'Cuadro 3'!L32</f>
        <v>17290538.750019073</v>
      </c>
      <c r="D32" s="8">
        <f>'Cuadro 4'!M32</f>
        <v>8465150.7774591446</v>
      </c>
      <c r="E32" s="8">
        <f>'Cuadro 5'!J32</f>
        <v>5684652.106345892</v>
      </c>
      <c r="F32" s="8">
        <f t="shared" si="0"/>
        <v>26104832058.032249</v>
      </c>
      <c r="G32" s="9">
        <f t="shared" si="1"/>
        <v>31440341.63382411</v>
      </c>
      <c r="H32" s="10">
        <f t="shared" si="2"/>
        <v>1.2058401137758472E-3</v>
      </c>
      <c r="X32" s="6" t="str">
        <f t="shared" si="3"/>
        <v>Campeche</v>
      </c>
      <c r="Y32" s="11">
        <f>SMALL($H$7:$H$38,26)</f>
        <v>2.8914543312553616E-2</v>
      </c>
      <c r="Z32" s="12">
        <f t="shared" si="4"/>
        <v>2.8914543312553618</v>
      </c>
      <c r="AA32" s="12">
        <f t="shared" si="5"/>
        <v>0</v>
      </c>
    </row>
    <row r="33" spans="1:27" x14ac:dyDescent="0.2">
      <c r="A33" s="6" t="s">
        <v>41</v>
      </c>
      <c r="B33" s="7">
        <f>'Cuadro 7'!F33</f>
        <v>25422741554.963634</v>
      </c>
      <c r="C33" s="8">
        <f>'Cuadro 3'!L33</f>
        <v>-104685826.39932442</v>
      </c>
      <c r="D33" s="8">
        <f>'Cuadro 4'!M33</f>
        <v>-60417503.825922012</v>
      </c>
      <c r="E33" s="8">
        <f>'Cuadro 5'!J33</f>
        <v>-2486713.9507522583</v>
      </c>
      <c r="F33" s="8">
        <f t="shared" si="0"/>
        <v>25255151510.787636</v>
      </c>
      <c r="G33" s="9">
        <f t="shared" si="1"/>
        <v>-167590044.17599869</v>
      </c>
      <c r="H33" s="10">
        <f t="shared" si="2"/>
        <v>-6.5921310576859387E-3</v>
      </c>
      <c r="X33" s="6" t="str">
        <f t="shared" si="3"/>
        <v>Colima</v>
      </c>
      <c r="Y33" s="11">
        <f>SMALL($H$7:$H$38,27)</f>
        <v>3.0966044396534789E-2</v>
      </c>
      <c r="Z33" s="12">
        <f t="shared" si="4"/>
        <v>3.0966044396534791</v>
      </c>
      <c r="AA33" s="12">
        <f t="shared" si="5"/>
        <v>0</v>
      </c>
    </row>
    <row r="34" spans="1:27" x14ac:dyDescent="0.2">
      <c r="A34" s="6" t="s">
        <v>42</v>
      </c>
      <c r="B34" s="7">
        <f>'Cuadro 7'!F34</f>
        <v>30423354478.140652</v>
      </c>
      <c r="C34" s="8">
        <f>'Cuadro 3'!L34</f>
        <v>190802562.76247406</v>
      </c>
      <c r="D34" s="8">
        <f>'Cuadro 4'!M34</f>
        <v>92722423.484721184</v>
      </c>
      <c r="E34" s="8">
        <f>'Cuadro 5'!J34</f>
        <v>21595508.754701376</v>
      </c>
      <c r="F34" s="8">
        <f t="shared" si="0"/>
        <v>30728474973.142548</v>
      </c>
      <c r="G34" s="9">
        <f t="shared" si="1"/>
        <v>305120495.00189662</v>
      </c>
      <c r="H34" s="10">
        <f t="shared" si="2"/>
        <v>1.002915359715272E-2</v>
      </c>
      <c r="X34" s="6" t="str">
        <f t="shared" si="3"/>
        <v>Nayarit</v>
      </c>
      <c r="Y34" s="11">
        <f>SMALL($H$7:$H$38,28)</f>
        <v>3.1290286402208843E-2</v>
      </c>
      <c r="Z34" s="12">
        <f t="shared" si="4"/>
        <v>3.1290286402208842</v>
      </c>
      <c r="AA34" s="12">
        <f t="shared" si="5"/>
        <v>0</v>
      </c>
    </row>
    <row r="35" spans="1:27" x14ac:dyDescent="0.2">
      <c r="A35" s="6" t="s">
        <v>43</v>
      </c>
      <c r="B35" s="7">
        <f>'Cuadro 7'!F35</f>
        <v>11699868456.18976</v>
      </c>
      <c r="C35" s="8">
        <f>'Cuadro 3'!L35</f>
        <v>-235554144.36612797</v>
      </c>
      <c r="D35" s="8">
        <f>'Cuadro 4'!M35</f>
        <v>-117780229.24437666</v>
      </c>
      <c r="E35" s="8">
        <f>'Cuadro 5'!J35</f>
        <v>-2849438.1926783323</v>
      </c>
      <c r="F35" s="8">
        <f t="shared" si="0"/>
        <v>11343684644.386578</v>
      </c>
      <c r="G35" s="9">
        <f t="shared" si="1"/>
        <v>-356183811.80318296</v>
      </c>
      <c r="H35" s="10">
        <f t="shared" si="2"/>
        <v>-3.044340311490815E-2</v>
      </c>
      <c r="X35" s="6" t="str">
        <f t="shared" si="3"/>
        <v>Yucatán</v>
      </c>
      <c r="Y35" s="11">
        <f>SMALL($H$7:$H$38,29)</f>
        <v>3.3272313329301112E-2</v>
      </c>
      <c r="Z35" s="12">
        <f t="shared" si="4"/>
        <v>3.3272313329301113</v>
      </c>
      <c r="AA35" s="12">
        <f t="shared" si="5"/>
        <v>0</v>
      </c>
    </row>
    <row r="36" spans="1:27" x14ac:dyDescent="0.2">
      <c r="A36" s="6" t="s">
        <v>44</v>
      </c>
      <c r="B36" s="7">
        <f>'Cuadro 7'!F36</f>
        <v>67704099901.248245</v>
      </c>
      <c r="C36" s="8">
        <f>'Cuadro 3'!L36</f>
        <v>-830858094.71368027</v>
      </c>
      <c r="D36" s="8">
        <f>'Cuadro 4'!M36</f>
        <v>-394733370.06799126</v>
      </c>
      <c r="E36" s="8">
        <f>'Cuadro 5'!J36</f>
        <v>-64358597.616361141</v>
      </c>
      <c r="F36" s="8">
        <f t="shared" si="0"/>
        <v>66414149838.850212</v>
      </c>
      <c r="G36" s="9">
        <f t="shared" si="1"/>
        <v>-1289950062.3980327</v>
      </c>
      <c r="H36" s="10">
        <f t="shared" si="2"/>
        <v>-1.9052761417396084E-2</v>
      </c>
      <c r="X36" s="6" t="str">
        <f t="shared" si="3"/>
        <v>Baja California</v>
      </c>
      <c r="Y36" s="11">
        <f>SMALL($H$7:$H$38,30)</f>
        <v>4.6655142180494692E-2</v>
      </c>
      <c r="Z36" s="12">
        <f t="shared" si="4"/>
        <v>4.6655142180494691</v>
      </c>
      <c r="AA36" s="12">
        <f t="shared" si="5"/>
        <v>0</v>
      </c>
    </row>
    <row r="37" spans="1:27" x14ac:dyDescent="0.2">
      <c r="A37" s="6" t="s">
        <v>45</v>
      </c>
      <c r="B37" s="7">
        <f>'Cuadro 7'!F37</f>
        <v>19441213235.76408</v>
      </c>
      <c r="C37" s="8">
        <f>'Cuadro 3'!L37</f>
        <v>420208291.58636475</v>
      </c>
      <c r="D37" s="8">
        <f>'Cuadro 4'!M37</f>
        <v>203097416.29689884</v>
      </c>
      <c r="E37" s="8">
        <f>'Cuadro 5'!J37</f>
        <v>23548430.398834825</v>
      </c>
      <c r="F37" s="8">
        <f t="shared" si="0"/>
        <v>20088067374.046177</v>
      </c>
      <c r="G37" s="9">
        <f t="shared" si="1"/>
        <v>646854138.28209841</v>
      </c>
      <c r="H37" s="10">
        <f t="shared" si="2"/>
        <v>3.3272313329301112E-2</v>
      </c>
      <c r="X37" s="6" t="str">
        <f t="shared" si="3"/>
        <v>Baja California Sur</v>
      </c>
      <c r="Y37" s="11">
        <f>SMALL($H$7:$H$38,31)</f>
        <v>6.6688018533861235E-2</v>
      </c>
      <c r="Z37" s="12">
        <f t="shared" si="4"/>
        <v>6.6688018533861237</v>
      </c>
      <c r="AA37" s="12">
        <f t="shared" si="5"/>
        <v>0</v>
      </c>
    </row>
    <row r="38" spans="1:27" x14ac:dyDescent="0.2">
      <c r="A38" s="6" t="s">
        <v>46</v>
      </c>
      <c r="B38" s="7">
        <f>'Cuadro 7'!F38</f>
        <v>14142889716.585848</v>
      </c>
      <c r="C38" s="8">
        <f>'Cuadro 3'!L38</f>
        <v>-47911022.240038872</v>
      </c>
      <c r="D38" s="8">
        <f>'Cuadro 4'!M38</f>
        <v>-22340197.644272327</v>
      </c>
      <c r="E38" s="8">
        <f>'Cuadro 5'!J38</f>
        <v>-717141.58342269063</v>
      </c>
      <c r="F38" s="8">
        <f t="shared" si="0"/>
        <v>14071921355.118114</v>
      </c>
      <c r="G38" s="9">
        <f t="shared" si="1"/>
        <v>-70968361.46773389</v>
      </c>
      <c r="H38" s="10">
        <f t="shared" si="2"/>
        <v>-5.0179533949491865E-3</v>
      </c>
      <c r="X38" s="6" t="str">
        <f t="shared" si="3"/>
        <v>Quintana Roo</v>
      </c>
      <c r="Y38" s="11">
        <f>SMALL($H$7:$H$38,32)</f>
        <v>8.078377200230237E-2</v>
      </c>
      <c r="Z38" s="12">
        <f t="shared" si="4"/>
        <v>8.0783772002302374</v>
      </c>
      <c r="AA38" s="12">
        <f t="shared" si="5"/>
        <v>0</v>
      </c>
    </row>
    <row r="39" spans="1:27" x14ac:dyDescent="0.2">
      <c r="A39" s="13" t="s">
        <v>47</v>
      </c>
      <c r="B39" s="14">
        <f t="shared" ref="B39:G39" si="6">SUM(B7:B38)</f>
        <v>1144550490759.2942</v>
      </c>
      <c r="C39" s="14">
        <f t="shared" si="6"/>
        <v>1.1539459228515625E-4</v>
      </c>
      <c r="D39" s="14">
        <f t="shared" si="6"/>
        <v>8.3446502685546875E-5</v>
      </c>
      <c r="E39" s="14">
        <f t="shared" si="6"/>
        <v>3.3080577850341797E-6</v>
      </c>
      <c r="F39" s="14">
        <f t="shared" si="6"/>
        <v>1144550490759.2939</v>
      </c>
      <c r="G39" s="14">
        <f t="shared" si="6"/>
        <v>2.0131468772888184E-4</v>
      </c>
      <c r="H39" s="15">
        <f t="shared" si="2"/>
        <v>1.7588973955646969E-16</v>
      </c>
    </row>
    <row r="41" spans="1:27" x14ac:dyDescent="0.2">
      <c r="A41" s="3" t="s">
        <v>48</v>
      </c>
    </row>
    <row r="42" spans="1:27" x14ac:dyDescent="0.2">
      <c r="A42" s="2" t="s">
        <v>49</v>
      </c>
    </row>
    <row r="43" spans="1:27" x14ac:dyDescent="0.2">
      <c r="A43" s="2" t="s">
        <v>50</v>
      </c>
    </row>
    <row r="44" spans="1:27" x14ac:dyDescent="0.2">
      <c r="A44" s="2" t="s">
        <v>51</v>
      </c>
    </row>
  </sheetData>
  <pageMargins left="0.75" right="0.75" top="1" bottom="1" header="0.511811023622047" footer="0.511811023622047"/>
  <pageSetup orientation="landscape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2"/>
  <sheetViews>
    <sheetView showGridLines="0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baseColWidth="10" defaultColWidth="8.6640625" defaultRowHeight="15" x14ac:dyDescent="0.2"/>
  <cols>
    <col min="1" max="1" width="24" customWidth="1"/>
    <col min="2" max="2" width="17" customWidth="1"/>
    <col min="3" max="4" width="18" customWidth="1"/>
    <col min="5" max="5" width="16" customWidth="1"/>
    <col min="6" max="6" width="14" customWidth="1"/>
    <col min="7" max="7" width="11" customWidth="1"/>
    <col min="8" max="8" width="18" customWidth="1"/>
  </cols>
  <sheetData>
    <row r="1" spans="1:8" ht="17" x14ac:dyDescent="0.2">
      <c r="A1" s="1" t="s">
        <v>52</v>
      </c>
    </row>
    <row r="6" spans="1:8" ht="61.5" customHeight="1" x14ac:dyDescent="0.2">
      <c r="A6" s="5" t="s">
        <v>4</v>
      </c>
      <c r="B6" s="5" t="s">
        <v>53</v>
      </c>
      <c r="C6" s="5" t="s">
        <v>54</v>
      </c>
      <c r="D6" s="5" t="s">
        <v>55</v>
      </c>
      <c r="E6" s="16" t="s">
        <v>56</v>
      </c>
      <c r="F6" s="5" t="s">
        <v>57</v>
      </c>
      <c r="G6" s="5" t="s">
        <v>58</v>
      </c>
      <c r="H6" s="17" t="s">
        <v>59</v>
      </c>
    </row>
    <row r="7" spans="1:8" x14ac:dyDescent="0.2">
      <c r="A7" s="6" t="s">
        <v>15</v>
      </c>
      <c r="B7" s="18">
        <v>1503564</v>
      </c>
      <c r="C7" s="18">
        <v>1534416</v>
      </c>
      <c r="D7" s="18">
        <v>4758</v>
      </c>
      <c r="E7" s="8">
        <f t="shared" ref="E7:E38" si="0">C7+D7</f>
        <v>1539174</v>
      </c>
      <c r="F7" s="8">
        <f t="shared" ref="F7:F38" si="1">E7-B7</f>
        <v>35610</v>
      </c>
      <c r="G7" s="11">
        <f t="shared" ref="G7:G39" si="2">E7/B7-1</f>
        <v>2.3683727463546633E-2</v>
      </c>
      <c r="H7" s="18">
        <v>1531396</v>
      </c>
    </row>
    <row r="8" spans="1:8" x14ac:dyDescent="0.2">
      <c r="A8" s="6" t="s">
        <v>16</v>
      </c>
      <c r="B8" s="18">
        <v>3778283</v>
      </c>
      <c r="C8" s="18">
        <v>3978593</v>
      </c>
      <c r="D8" s="18">
        <v>31085</v>
      </c>
      <c r="E8" s="8">
        <f t="shared" si="0"/>
        <v>4009678</v>
      </c>
      <c r="F8" s="8">
        <f t="shared" si="1"/>
        <v>231395</v>
      </c>
      <c r="G8" s="11">
        <f t="shared" si="2"/>
        <v>6.1243427239304093E-2</v>
      </c>
      <c r="H8" s="18">
        <v>3830329</v>
      </c>
    </row>
    <row r="9" spans="1:8" x14ac:dyDescent="0.2">
      <c r="A9" s="6" t="s">
        <v>17</v>
      </c>
      <c r="B9" s="18">
        <v>881164</v>
      </c>
      <c r="C9" s="18">
        <v>955465</v>
      </c>
      <c r="D9" s="18">
        <v>6049</v>
      </c>
      <c r="E9" s="8">
        <f t="shared" si="0"/>
        <v>961514</v>
      </c>
      <c r="F9" s="8">
        <f t="shared" si="1"/>
        <v>80350</v>
      </c>
      <c r="G9" s="11">
        <f t="shared" si="2"/>
        <v>9.1186203703283342E-2</v>
      </c>
      <c r="H9" s="18">
        <v>928591</v>
      </c>
    </row>
    <row r="10" spans="1:8" x14ac:dyDescent="0.2">
      <c r="A10" s="6" t="s">
        <v>18</v>
      </c>
      <c r="B10" s="18">
        <v>925978</v>
      </c>
      <c r="C10" s="18">
        <v>967098</v>
      </c>
      <c r="D10" s="18">
        <v>1575</v>
      </c>
      <c r="E10" s="8">
        <f t="shared" si="0"/>
        <v>968673</v>
      </c>
      <c r="F10" s="8">
        <f t="shared" si="1"/>
        <v>42695</v>
      </c>
      <c r="G10" s="11">
        <f t="shared" si="2"/>
        <v>4.6108006885692721E-2</v>
      </c>
      <c r="H10" s="18">
        <v>935371</v>
      </c>
    </row>
    <row r="11" spans="1:8" x14ac:dyDescent="0.2">
      <c r="A11" s="6" t="s">
        <v>19</v>
      </c>
      <c r="B11" s="18">
        <v>3452989</v>
      </c>
      <c r="C11" s="18">
        <v>3404559</v>
      </c>
      <c r="D11" s="18">
        <v>10569</v>
      </c>
      <c r="E11" s="8">
        <f t="shared" si="0"/>
        <v>3415128</v>
      </c>
      <c r="F11" s="8">
        <f t="shared" si="1"/>
        <v>-37861</v>
      </c>
      <c r="G11" s="11">
        <f t="shared" si="2"/>
        <v>-1.0964703333836257E-2</v>
      </c>
      <c r="H11" s="18">
        <v>3590747</v>
      </c>
    </row>
    <row r="12" spans="1:8" x14ac:dyDescent="0.2">
      <c r="A12" s="6" t="s">
        <v>20</v>
      </c>
      <c r="B12" s="18">
        <v>728776</v>
      </c>
      <c r="C12" s="18">
        <v>758987</v>
      </c>
      <c r="D12" s="18">
        <v>3225</v>
      </c>
      <c r="E12" s="8">
        <f t="shared" si="0"/>
        <v>762212</v>
      </c>
      <c r="F12" s="8">
        <f t="shared" si="1"/>
        <v>33436</v>
      </c>
      <c r="G12" s="11">
        <f t="shared" si="2"/>
        <v>4.5879666728871449E-2</v>
      </c>
      <c r="H12" s="18">
        <v>762355</v>
      </c>
    </row>
    <row r="13" spans="1:8" x14ac:dyDescent="0.2">
      <c r="A13" s="6" t="s">
        <v>21</v>
      </c>
      <c r="B13" s="18">
        <v>5975155</v>
      </c>
      <c r="C13" s="18">
        <v>5840294</v>
      </c>
      <c r="D13" s="18">
        <v>20434</v>
      </c>
      <c r="E13" s="8">
        <f t="shared" si="0"/>
        <v>5860728</v>
      </c>
      <c r="F13" s="8">
        <f t="shared" si="1"/>
        <v>-114427</v>
      </c>
      <c r="G13" s="11">
        <f t="shared" si="2"/>
        <v>-1.9150465552776441E-2</v>
      </c>
      <c r="H13" s="18">
        <v>5891372</v>
      </c>
    </row>
    <row r="14" spans="1:8" x14ac:dyDescent="0.2">
      <c r="A14" s="6" t="s">
        <v>22</v>
      </c>
      <c r="B14" s="18">
        <v>3976037</v>
      </c>
      <c r="C14" s="18">
        <v>3886377</v>
      </c>
      <c r="D14" s="18">
        <v>17567</v>
      </c>
      <c r="E14" s="8">
        <f t="shared" si="0"/>
        <v>3903944</v>
      </c>
      <c r="F14" s="8">
        <f t="shared" si="1"/>
        <v>-72093</v>
      </c>
      <c r="G14" s="11">
        <f t="shared" si="2"/>
        <v>-1.8131873521297748E-2</v>
      </c>
      <c r="H14" s="18">
        <v>4015493</v>
      </c>
    </row>
    <row r="15" spans="1:8" x14ac:dyDescent="0.2">
      <c r="A15" s="6" t="s">
        <v>23</v>
      </c>
      <c r="B15" s="18">
        <v>9350964</v>
      </c>
      <c r="C15" s="18">
        <v>9165819</v>
      </c>
      <c r="D15" s="18">
        <v>50588</v>
      </c>
      <c r="E15" s="8">
        <f t="shared" si="0"/>
        <v>9216407</v>
      </c>
      <c r="F15" s="8">
        <f t="shared" si="1"/>
        <v>-134557</v>
      </c>
      <c r="G15" s="11">
        <f t="shared" si="2"/>
        <v>-1.4389639399745358E-2</v>
      </c>
      <c r="H15" s="18">
        <v>9336468</v>
      </c>
    </row>
    <row r="16" spans="1:8" x14ac:dyDescent="0.2">
      <c r="A16" s="6" t="s">
        <v>24</v>
      </c>
      <c r="B16" s="18">
        <v>1944614</v>
      </c>
      <c r="C16" s="18">
        <v>1931226</v>
      </c>
      <c r="D16" s="18">
        <v>12064</v>
      </c>
      <c r="E16" s="8">
        <f t="shared" si="0"/>
        <v>1943290</v>
      </c>
      <c r="F16" s="8">
        <f t="shared" si="1"/>
        <v>-1324</v>
      </c>
      <c r="G16" s="11">
        <f t="shared" si="2"/>
        <v>-6.8085491516567398E-4</v>
      </c>
      <c r="H16" s="18">
        <v>1968132</v>
      </c>
    </row>
    <row r="17" spans="1:8" x14ac:dyDescent="0.2">
      <c r="A17" s="6" t="s">
        <v>25</v>
      </c>
      <c r="B17" s="18">
        <v>6345807</v>
      </c>
      <c r="C17" s="18">
        <v>6423384</v>
      </c>
      <c r="D17" s="18">
        <v>23551</v>
      </c>
      <c r="E17" s="8">
        <f t="shared" si="0"/>
        <v>6446935</v>
      </c>
      <c r="F17" s="8">
        <f t="shared" si="1"/>
        <v>101128</v>
      </c>
      <c r="G17" s="11">
        <f t="shared" si="2"/>
        <v>1.5936192197462118E-2</v>
      </c>
      <c r="H17" s="18">
        <v>6402249</v>
      </c>
    </row>
    <row r="18" spans="1:8" x14ac:dyDescent="0.2">
      <c r="A18" s="6" t="s">
        <v>26</v>
      </c>
      <c r="B18" s="18">
        <v>3606579</v>
      </c>
      <c r="C18" s="18">
        <v>3404404</v>
      </c>
      <c r="D18" s="18">
        <v>14498</v>
      </c>
      <c r="E18" s="8">
        <f t="shared" si="0"/>
        <v>3418902</v>
      </c>
      <c r="F18" s="8">
        <f t="shared" si="1"/>
        <v>-187677</v>
      </c>
      <c r="G18" s="11">
        <f t="shared" si="2"/>
        <v>-5.2037401648487358E-2</v>
      </c>
      <c r="H18" s="18">
        <v>3569633</v>
      </c>
    </row>
    <row r="19" spans="1:8" x14ac:dyDescent="0.2">
      <c r="A19" s="6" t="s">
        <v>27</v>
      </c>
      <c r="B19" s="18">
        <v>3248649</v>
      </c>
      <c r="C19" s="18">
        <v>3237527</v>
      </c>
      <c r="D19" s="18">
        <v>8068</v>
      </c>
      <c r="E19" s="8">
        <f t="shared" si="0"/>
        <v>3245595</v>
      </c>
      <c r="F19" s="8">
        <f t="shared" si="1"/>
        <v>-3054</v>
      </c>
      <c r="G19" s="11">
        <f t="shared" si="2"/>
        <v>-9.4008309300264159E-4</v>
      </c>
      <c r="H19" s="18">
        <v>3215821</v>
      </c>
    </row>
    <row r="20" spans="1:8" x14ac:dyDescent="0.2">
      <c r="A20" s="6" t="s">
        <v>28</v>
      </c>
      <c r="B20" s="18">
        <v>8739649</v>
      </c>
      <c r="C20" s="18">
        <v>8633761</v>
      </c>
      <c r="D20" s="18">
        <v>46090</v>
      </c>
      <c r="E20" s="8">
        <f t="shared" si="0"/>
        <v>8679851</v>
      </c>
      <c r="F20" s="8">
        <f t="shared" si="1"/>
        <v>-59798</v>
      </c>
      <c r="G20" s="11">
        <f t="shared" si="2"/>
        <v>-6.8421512122511796E-3</v>
      </c>
      <c r="H20" s="18">
        <v>8750952</v>
      </c>
    </row>
    <row r="21" spans="1:8" x14ac:dyDescent="0.2">
      <c r="A21" s="6" t="s">
        <v>29</v>
      </c>
      <c r="B21" s="18">
        <v>17788768</v>
      </c>
      <c r="C21" s="18">
        <v>17561797</v>
      </c>
      <c r="D21" s="18">
        <v>50683</v>
      </c>
      <c r="E21" s="8">
        <f t="shared" si="0"/>
        <v>17612480</v>
      </c>
      <c r="F21" s="8">
        <f t="shared" si="1"/>
        <v>-176288</v>
      </c>
      <c r="G21" s="11">
        <f t="shared" si="2"/>
        <v>-9.9100735925050643E-3</v>
      </c>
      <c r="H21" s="18">
        <v>17753727</v>
      </c>
    </row>
    <row r="22" spans="1:8" x14ac:dyDescent="0.2">
      <c r="A22" s="6" t="s">
        <v>30</v>
      </c>
      <c r="B22" s="18">
        <v>4950874</v>
      </c>
      <c r="C22" s="18">
        <v>4868274</v>
      </c>
      <c r="D22" s="18">
        <v>21300</v>
      </c>
      <c r="E22" s="8">
        <f t="shared" si="0"/>
        <v>4889574</v>
      </c>
      <c r="F22" s="8">
        <f t="shared" si="1"/>
        <v>-61300</v>
      </c>
      <c r="G22" s="11">
        <f t="shared" si="2"/>
        <v>-1.2381652209286664E-2</v>
      </c>
      <c r="H22" s="18">
        <v>4945881</v>
      </c>
    </row>
    <row r="23" spans="1:8" x14ac:dyDescent="0.2">
      <c r="A23" s="6" t="s">
        <v>31</v>
      </c>
      <c r="B23" s="18">
        <v>1984308</v>
      </c>
      <c r="C23" s="18">
        <v>1987247</v>
      </c>
      <c r="D23" s="18">
        <v>9970</v>
      </c>
      <c r="E23" s="8">
        <f t="shared" si="0"/>
        <v>1997217</v>
      </c>
      <c r="F23" s="8">
        <f t="shared" si="1"/>
        <v>12909</v>
      </c>
      <c r="G23" s="11">
        <f t="shared" si="2"/>
        <v>6.5055424863478262E-3</v>
      </c>
      <c r="H23" s="18">
        <v>1988503</v>
      </c>
    </row>
    <row r="24" spans="1:8" x14ac:dyDescent="0.2">
      <c r="A24" s="6" t="s">
        <v>32</v>
      </c>
      <c r="B24" s="18">
        <v>1245276</v>
      </c>
      <c r="C24" s="18">
        <v>1289318</v>
      </c>
      <c r="D24" s="18">
        <v>9757</v>
      </c>
      <c r="E24" s="8">
        <f t="shared" si="0"/>
        <v>1299075</v>
      </c>
      <c r="F24" s="8">
        <f t="shared" si="1"/>
        <v>53799</v>
      </c>
      <c r="G24" s="11">
        <f t="shared" si="2"/>
        <v>4.3202470777562674E-2</v>
      </c>
      <c r="H24" s="18">
        <v>1279298</v>
      </c>
    </row>
    <row r="25" spans="1:8" x14ac:dyDescent="0.2">
      <c r="A25" s="6" t="s">
        <v>33</v>
      </c>
      <c r="B25" s="18">
        <v>6152311</v>
      </c>
      <c r="C25" s="18">
        <v>6274840</v>
      </c>
      <c r="D25" s="18">
        <v>17059</v>
      </c>
      <c r="E25" s="8">
        <f t="shared" si="0"/>
        <v>6291899</v>
      </c>
      <c r="F25" s="8">
        <f t="shared" si="1"/>
        <v>139588</v>
      </c>
      <c r="G25" s="11">
        <f t="shared" si="2"/>
        <v>2.268870998231387E-2</v>
      </c>
      <c r="H25" s="18">
        <v>6234433</v>
      </c>
    </row>
    <row r="26" spans="1:8" x14ac:dyDescent="0.2">
      <c r="A26" s="6" t="s">
        <v>34</v>
      </c>
      <c r="B26" s="18">
        <v>4232451</v>
      </c>
      <c r="C26" s="18">
        <v>4150277</v>
      </c>
      <c r="D26" s="18">
        <v>18903</v>
      </c>
      <c r="E26" s="8">
        <f t="shared" si="0"/>
        <v>4169180</v>
      </c>
      <c r="F26" s="8">
        <f t="shared" si="1"/>
        <v>-63271</v>
      </c>
      <c r="G26" s="11">
        <f t="shared" si="2"/>
        <v>-1.4949021264510809E-2</v>
      </c>
      <c r="H26" s="18">
        <v>4178688</v>
      </c>
    </row>
    <row r="27" spans="1:8" x14ac:dyDescent="0.2">
      <c r="A27" s="6" t="s">
        <v>35</v>
      </c>
      <c r="B27" s="18">
        <v>6629599</v>
      </c>
      <c r="C27" s="18">
        <v>6835339</v>
      </c>
      <c r="D27" s="18">
        <v>16594</v>
      </c>
      <c r="E27" s="8">
        <f t="shared" si="0"/>
        <v>6851933</v>
      </c>
      <c r="F27" s="8">
        <f t="shared" si="1"/>
        <v>222334</v>
      </c>
      <c r="G27" s="11">
        <f t="shared" si="2"/>
        <v>3.3536568350514218E-2</v>
      </c>
      <c r="H27" s="18">
        <v>6638706</v>
      </c>
    </row>
    <row r="28" spans="1:8" x14ac:dyDescent="0.2">
      <c r="A28" s="6" t="s">
        <v>36</v>
      </c>
      <c r="B28" s="18">
        <v>2528745</v>
      </c>
      <c r="C28" s="18">
        <v>2599947</v>
      </c>
      <c r="D28" s="18">
        <v>6889</v>
      </c>
      <c r="E28" s="8">
        <f t="shared" si="0"/>
        <v>2606836</v>
      </c>
      <c r="F28" s="8">
        <f t="shared" si="1"/>
        <v>78091</v>
      </c>
      <c r="G28" s="11">
        <f t="shared" si="2"/>
        <v>3.0881326507813167E-2</v>
      </c>
      <c r="H28" s="18">
        <v>2535155</v>
      </c>
    </row>
    <row r="29" spans="1:8" x14ac:dyDescent="0.2">
      <c r="A29" s="6" t="s">
        <v>37</v>
      </c>
      <c r="B29" s="18">
        <v>1905221</v>
      </c>
      <c r="C29" s="18">
        <v>2095074</v>
      </c>
      <c r="D29" s="18">
        <v>5718</v>
      </c>
      <c r="E29" s="8">
        <f t="shared" si="0"/>
        <v>2100792</v>
      </c>
      <c r="F29" s="8">
        <f t="shared" si="1"/>
        <v>195571</v>
      </c>
      <c r="G29" s="11">
        <f t="shared" si="2"/>
        <v>0.10265003377560933</v>
      </c>
      <c r="H29" s="18">
        <v>1975372</v>
      </c>
    </row>
    <row r="30" spans="1:8" x14ac:dyDescent="0.2">
      <c r="A30" s="6" t="s">
        <v>38</v>
      </c>
      <c r="B30" s="18">
        <v>2885526</v>
      </c>
      <c r="C30" s="18">
        <v>2882533</v>
      </c>
      <c r="D30" s="18">
        <v>6991</v>
      </c>
      <c r="E30" s="8">
        <f t="shared" si="0"/>
        <v>2889524</v>
      </c>
      <c r="F30" s="8">
        <f t="shared" si="1"/>
        <v>3998</v>
      </c>
      <c r="G30" s="11">
        <f t="shared" si="2"/>
        <v>1.3855359473455842E-3</v>
      </c>
      <c r="H30" s="18">
        <v>2951151</v>
      </c>
    </row>
    <row r="31" spans="1:8" x14ac:dyDescent="0.2">
      <c r="A31" s="6" t="s">
        <v>39</v>
      </c>
      <c r="B31" s="18">
        <v>3144666</v>
      </c>
      <c r="C31" s="18">
        <v>3061863</v>
      </c>
      <c r="D31" s="18">
        <v>41072</v>
      </c>
      <c r="E31" s="8">
        <f t="shared" si="0"/>
        <v>3102935</v>
      </c>
      <c r="F31" s="8">
        <f t="shared" si="1"/>
        <v>-41731</v>
      </c>
      <c r="G31" s="11">
        <f t="shared" si="2"/>
        <v>-1.3270407731695522E-2</v>
      </c>
      <c r="H31" s="18">
        <v>3085699</v>
      </c>
    </row>
    <row r="32" spans="1:8" x14ac:dyDescent="0.2">
      <c r="A32" s="6" t="s">
        <v>40</v>
      </c>
      <c r="B32" s="18">
        <v>3042242</v>
      </c>
      <c r="C32" s="18">
        <v>3028969</v>
      </c>
      <c r="D32" s="18">
        <v>20920</v>
      </c>
      <c r="E32" s="8">
        <f t="shared" si="0"/>
        <v>3049889</v>
      </c>
      <c r="F32" s="8">
        <f t="shared" si="1"/>
        <v>7647</v>
      </c>
      <c r="G32" s="11">
        <f t="shared" si="2"/>
        <v>2.5136067413440433E-3</v>
      </c>
      <c r="H32" s="18">
        <v>3035624</v>
      </c>
    </row>
    <row r="33" spans="1:8" x14ac:dyDescent="0.2">
      <c r="A33" s="6" t="s">
        <v>41</v>
      </c>
      <c r="B33" s="18">
        <v>2554147</v>
      </c>
      <c r="C33" s="18">
        <v>2521237</v>
      </c>
      <c r="D33" s="18">
        <v>5772</v>
      </c>
      <c r="E33" s="8">
        <f t="shared" si="0"/>
        <v>2527009</v>
      </c>
      <c r="F33" s="8">
        <f t="shared" si="1"/>
        <v>-27138</v>
      </c>
      <c r="G33" s="11">
        <f t="shared" si="2"/>
        <v>-1.062507365472698E-2</v>
      </c>
      <c r="H33" s="18">
        <v>2578825</v>
      </c>
    </row>
    <row r="34" spans="1:8" x14ac:dyDescent="0.2">
      <c r="A34" s="6" t="s">
        <v>42</v>
      </c>
      <c r="B34" s="18">
        <v>3569939</v>
      </c>
      <c r="C34" s="18">
        <v>3611225</v>
      </c>
      <c r="D34" s="18">
        <v>9490</v>
      </c>
      <c r="E34" s="8">
        <f t="shared" si="0"/>
        <v>3620715</v>
      </c>
      <c r="F34" s="8">
        <f t="shared" si="1"/>
        <v>50776</v>
      </c>
      <c r="G34" s="11">
        <f t="shared" si="2"/>
        <v>1.4223212217351566E-2</v>
      </c>
      <c r="H34" s="18">
        <v>3602540</v>
      </c>
    </row>
    <row r="35" spans="1:8" x14ac:dyDescent="0.2">
      <c r="A35" s="6" t="s">
        <v>43</v>
      </c>
      <c r="B35" s="18">
        <v>1476723</v>
      </c>
      <c r="C35" s="18">
        <v>1417240</v>
      </c>
      <c r="D35" s="18">
        <v>2242</v>
      </c>
      <c r="E35" s="8">
        <f t="shared" si="0"/>
        <v>1419482</v>
      </c>
      <c r="F35" s="8">
        <f t="shared" si="1"/>
        <v>-57241</v>
      </c>
      <c r="G35" s="11">
        <f t="shared" si="2"/>
        <v>-3.8762178147154214E-2</v>
      </c>
      <c r="H35" s="18">
        <v>1426175</v>
      </c>
    </row>
    <row r="36" spans="1:8" x14ac:dyDescent="0.2">
      <c r="A36" s="6" t="s">
        <v>44</v>
      </c>
      <c r="B36" s="18">
        <v>8113343</v>
      </c>
      <c r="C36" s="18">
        <v>7902505</v>
      </c>
      <c r="D36" s="18">
        <v>15371</v>
      </c>
      <c r="E36" s="8">
        <f t="shared" si="0"/>
        <v>7917876</v>
      </c>
      <c r="F36" s="8">
        <f t="shared" si="1"/>
        <v>-195467</v>
      </c>
      <c r="G36" s="11">
        <f t="shared" si="2"/>
        <v>-2.4092041961001787E-2</v>
      </c>
      <c r="H36" s="18">
        <v>8066173</v>
      </c>
    </row>
    <row r="37" spans="1:8" x14ac:dyDescent="0.2">
      <c r="A37" s="6" t="s">
        <v>45</v>
      </c>
      <c r="B37" s="18">
        <v>2402017</v>
      </c>
      <c r="C37" s="18">
        <v>2502326</v>
      </c>
      <c r="D37" s="18">
        <v>4122</v>
      </c>
      <c r="E37" s="8">
        <f t="shared" si="0"/>
        <v>2506448</v>
      </c>
      <c r="F37" s="8">
        <f t="shared" si="1"/>
        <v>104431</v>
      </c>
      <c r="G37" s="11">
        <f t="shared" si="2"/>
        <v>4.3476378393658255E-2</v>
      </c>
      <c r="H37" s="18">
        <v>2456821</v>
      </c>
    </row>
    <row r="38" spans="1:8" x14ac:dyDescent="0.2">
      <c r="A38" s="6" t="s">
        <v>46</v>
      </c>
      <c r="B38" s="18">
        <v>1695685</v>
      </c>
      <c r="C38" s="18">
        <v>1681468</v>
      </c>
      <c r="D38" s="18">
        <v>4951</v>
      </c>
      <c r="E38" s="8">
        <f t="shared" si="0"/>
        <v>1686419</v>
      </c>
      <c r="F38" s="8">
        <f t="shared" si="1"/>
        <v>-9266</v>
      </c>
      <c r="G38" s="11">
        <f t="shared" si="2"/>
        <v>-5.4644583162556382E-3</v>
      </c>
      <c r="H38" s="18">
        <v>1689186</v>
      </c>
    </row>
    <row r="39" spans="1:8" x14ac:dyDescent="0.2">
      <c r="A39" s="13" t="s">
        <v>47</v>
      </c>
      <c r="B39" s="14">
        <f>SUM(B7:B38)</f>
        <v>130760049</v>
      </c>
      <c r="C39" s="14">
        <f>SUM(C7:C38)</f>
        <v>130393389</v>
      </c>
      <c r="D39" s="14">
        <f>SUM(D7:D38)</f>
        <v>517925</v>
      </c>
      <c r="E39" s="14">
        <f>SUM(E7:E38)</f>
        <v>130911314</v>
      </c>
      <c r="F39" s="14">
        <f>SUM(F7:F38)</f>
        <v>151265</v>
      </c>
      <c r="G39" s="15">
        <f t="shared" si="2"/>
        <v>1.1568135769053356E-3</v>
      </c>
      <c r="H39" s="14">
        <f>SUM(H7:H38)</f>
        <v>131150866</v>
      </c>
    </row>
    <row r="41" spans="1:8" x14ac:dyDescent="0.2">
      <c r="A41" s="2" t="s">
        <v>60</v>
      </c>
    </row>
    <row r="42" spans="1:8" x14ac:dyDescent="0.2">
      <c r="A42" s="2" t="s">
        <v>61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"/>
  <sheetViews>
    <sheetView showGridLines="0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baseColWidth="10" defaultColWidth="8.6640625" defaultRowHeight="15" x14ac:dyDescent="0.2"/>
  <cols>
    <col min="1" max="1" width="24" customWidth="1"/>
    <col min="2" max="7" width="16" customWidth="1"/>
    <col min="8" max="8" width="14" customWidth="1"/>
    <col min="9" max="9" width="15" customWidth="1"/>
    <col min="10" max="11" width="17" customWidth="1"/>
    <col min="12" max="12" width="15" customWidth="1"/>
    <col min="13" max="13" width="10" customWidth="1"/>
  </cols>
  <sheetData>
    <row r="1" spans="1:13" ht="17" x14ac:dyDescent="0.2">
      <c r="A1" s="1" t="s">
        <v>62</v>
      </c>
    </row>
    <row r="2" spans="1:13" x14ac:dyDescent="0.2">
      <c r="A2" s="2" t="s">
        <v>63</v>
      </c>
    </row>
    <row r="3" spans="1:13" x14ac:dyDescent="0.2">
      <c r="A3" s="3" t="s">
        <v>64</v>
      </c>
      <c r="F3" s="19">
        <f>'Cuadro 7'!F48</f>
        <v>527233462043.57635</v>
      </c>
    </row>
    <row r="4" spans="1:13" x14ac:dyDescent="0.2">
      <c r="A4" s="2" t="s">
        <v>65</v>
      </c>
    </row>
    <row r="6" spans="1:13" ht="61.5" customHeight="1" x14ac:dyDescent="0.2">
      <c r="A6" s="5" t="s">
        <v>4</v>
      </c>
      <c r="B6" s="5" t="s">
        <v>66</v>
      </c>
      <c r="C6" s="5" t="s">
        <v>67</v>
      </c>
      <c r="D6" s="5" t="s">
        <v>68</v>
      </c>
      <c r="E6" s="16" t="s">
        <v>69</v>
      </c>
      <c r="F6" s="16" t="s">
        <v>70</v>
      </c>
      <c r="G6" s="16" t="s">
        <v>71</v>
      </c>
      <c r="H6" s="17" t="s">
        <v>72</v>
      </c>
      <c r="I6" s="17" t="s">
        <v>73</v>
      </c>
      <c r="J6" s="17" t="s">
        <v>74</v>
      </c>
      <c r="K6" s="17" t="s">
        <v>75</v>
      </c>
      <c r="L6" s="17" t="s">
        <v>76</v>
      </c>
      <c r="M6" s="17" t="s">
        <v>58</v>
      </c>
    </row>
    <row r="7" spans="1:13" x14ac:dyDescent="0.2">
      <c r="A7" s="6" t="s">
        <v>15</v>
      </c>
      <c r="B7" s="18">
        <v>424228389</v>
      </c>
      <c r="C7" s="18">
        <v>435924518</v>
      </c>
      <c r="D7" s="20">
        <f t="shared" ref="D7:D38" si="0">C7/B7</f>
        <v>1.0275703590407288</v>
      </c>
      <c r="E7" s="7">
        <f>Población!E7</f>
        <v>1539174</v>
      </c>
      <c r="F7" s="8">
        <f t="shared" ref="F7:F38" si="1">D7*E7</f>
        <v>1581609.5798061546</v>
      </c>
      <c r="G7" s="21">
        <f t="shared" ref="G7:G38" si="2">F7/F$39*100</f>
        <v>1.142178839234687</v>
      </c>
      <c r="H7" s="21">
        <f>D7*Población!B7/SUMPRODUCT($D$7:$D$38,Población!$B$7:$B$38)*100</f>
        <v>1.1169509564497233</v>
      </c>
      <c r="I7" s="21">
        <f t="shared" ref="I7:I38" si="3">G7-H7</f>
        <v>2.5227882784963684E-2</v>
      </c>
      <c r="J7" s="8">
        <f t="shared" ref="J7:J38" si="4">H7/100*$F$3</f>
        <v>5888939197.0187149</v>
      </c>
      <c r="K7" s="8">
        <f t="shared" ref="K7:K38" si="5">G7/100*$F$3</f>
        <v>6021949036.8261747</v>
      </c>
      <c r="L7" s="9">
        <f t="shared" ref="L7:L38" si="6">K7-J7</f>
        <v>133009839.80745983</v>
      </c>
      <c r="M7" s="11">
        <f t="shared" ref="M7:M39" si="7">L7/J7</f>
        <v>2.2586383618088006E-2</v>
      </c>
    </row>
    <row r="8" spans="1:13" x14ac:dyDescent="0.2">
      <c r="A8" s="6" t="s">
        <v>16</v>
      </c>
      <c r="B8" s="18">
        <v>1248914231</v>
      </c>
      <c r="C8" s="18">
        <v>1294477582</v>
      </c>
      <c r="D8" s="20">
        <f t="shared" si="0"/>
        <v>1.0364823699410628</v>
      </c>
      <c r="E8" s="7">
        <f>Población!E8</f>
        <v>4009678</v>
      </c>
      <c r="F8" s="8">
        <f t="shared" si="1"/>
        <v>4155960.5561405406</v>
      </c>
      <c r="G8" s="21">
        <f t="shared" si="2"/>
        <v>3.0012781058771343</v>
      </c>
      <c r="H8" s="21">
        <f>D8*Población!B8/SUMPRODUCT($D$7:$D$38,Población!$B$7:$B$38)*100</f>
        <v>2.831111806274349</v>
      </c>
      <c r="I8" s="21">
        <f t="shared" si="3"/>
        <v>0.17016629960278529</v>
      </c>
      <c r="J8" s="8">
        <f t="shared" si="4"/>
        <v>14926568790.54468</v>
      </c>
      <c r="K8" s="8">
        <f t="shared" si="5"/>
        <v>15823742463.171888</v>
      </c>
      <c r="L8" s="9">
        <f t="shared" si="6"/>
        <v>897173672.62720871</v>
      </c>
      <c r="M8" s="11">
        <f t="shared" si="7"/>
        <v>6.010582105081836E-2</v>
      </c>
    </row>
    <row r="9" spans="1:13" x14ac:dyDescent="0.2">
      <c r="A9" s="6" t="s">
        <v>17</v>
      </c>
      <c r="B9" s="18">
        <v>235221280</v>
      </c>
      <c r="C9" s="18">
        <v>252768859</v>
      </c>
      <c r="D9" s="20">
        <f t="shared" si="0"/>
        <v>1.0746003040201124</v>
      </c>
      <c r="E9" s="7">
        <f>Población!E9</f>
        <v>961514</v>
      </c>
      <c r="F9" s="8">
        <f t="shared" si="1"/>
        <v>1033243.2367195943</v>
      </c>
      <c r="G9" s="21">
        <f t="shared" si="2"/>
        <v>0.74616933017573062</v>
      </c>
      <c r="H9" s="21">
        <f>D9*Población!B9/SUMPRODUCT($D$7:$D$38,Población!$B$7:$B$38)*100</f>
        <v>0.68454865596433057</v>
      </c>
      <c r="I9" s="21">
        <f t="shared" si="3"/>
        <v>6.1620674211400051E-2</v>
      </c>
      <c r="J9" s="8">
        <f t="shared" si="4"/>
        <v>3609169578.2135105</v>
      </c>
      <c r="K9" s="8">
        <f t="shared" si="5"/>
        <v>3934054392.1928687</v>
      </c>
      <c r="L9" s="9">
        <f t="shared" si="6"/>
        <v>324884813.9793582</v>
      </c>
      <c r="M9" s="11">
        <f t="shared" si="7"/>
        <v>9.0016500177908437E-2</v>
      </c>
    </row>
    <row r="10" spans="1:13" x14ac:dyDescent="0.2">
      <c r="A10" s="6" t="s">
        <v>18</v>
      </c>
      <c r="B10" s="18">
        <v>600870526</v>
      </c>
      <c r="C10" s="18">
        <v>522953325</v>
      </c>
      <c r="D10" s="20">
        <f t="shared" si="0"/>
        <v>0.87032613911237178</v>
      </c>
      <c r="E10" s="7">
        <f>Población!E10</f>
        <v>968673</v>
      </c>
      <c r="F10" s="8">
        <f t="shared" si="1"/>
        <v>843061.43215239851</v>
      </c>
      <c r="G10" s="21">
        <f t="shared" si="2"/>
        <v>0.60882719747902492</v>
      </c>
      <c r="H10" s="21">
        <f>D10*Población!B10/SUMPRODUCT($D$7:$D$38,Población!$B$7:$B$38)*100</f>
        <v>0.5826172151839758</v>
      </c>
      <c r="I10" s="21">
        <f t="shared" si="3"/>
        <v>2.6209982295049117E-2</v>
      </c>
      <c r="J10" s="8">
        <f t="shared" si="4"/>
        <v>3071752914.0763488</v>
      </c>
      <c r="K10" s="8">
        <f t="shared" si="5"/>
        <v>3209940711.1315446</v>
      </c>
      <c r="L10" s="9">
        <f t="shared" si="6"/>
        <v>138187797.05519581</v>
      </c>
      <c r="M10" s="11">
        <f t="shared" si="7"/>
        <v>4.4986625200857916E-2</v>
      </c>
    </row>
    <row r="11" spans="1:13" x14ac:dyDescent="0.2">
      <c r="A11" s="6" t="s">
        <v>19</v>
      </c>
      <c r="B11" s="18">
        <v>1180432300</v>
      </c>
      <c r="C11" s="18">
        <v>1238076976</v>
      </c>
      <c r="D11" s="20">
        <f t="shared" si="0"/>
        <v>1.0488335298856191</v>
      </c>
      <c r="E11" s="7">
        <f>Población!E11</f>
        <v>3415128</v>
      </c>
      <c r="F11" s="8">
        <f t="shared" si="1"/>
        <v>3581900.7552512144</v>
      </c>
      <c r="G11" s="21">
        <f t="shared" si="2"/>
        <v>2.5867137497915906</v>
      </c>
      <c r="H11" s="21">
        <f>D11*Población!B11/SUMPRODUCT($D$7:$D$38,Población!$B$7:$B$38)*100</f>
        <v>2.6181973254416255</v>
      </c>
      <c r="I11" s="21">
        <f t="shared" si="3"/>
        <v>-3.1483575650034901E-2</v>
      </c>
      <c r="J11" s="8">
        <f t="shared" si="4"/>
        <v>13804012402.058205</v>
      </c>
      <c r="K11" s="8">
        <f t="shared" si="5"/>
        <v>13638020456.183416</v>
      </c>
      <c r="L11" s="9">
        <f t="shared" si="6"/>
        <v>-165991945.87478828</v>
      </c>
      <c r="M11" s="11">
        <f t="shared" si="7"/>
        <v>-1.2024905588322898E-2</v>
      </c>
    </row>
    <row r="12" spans="1:13" x14ac:dyDescent="0.2">
      <c r="A12" s="6" t="s">
        <v>20</v>
      </c>
      <c r="B12" s="18">
        <v>204308084</v>
      </c>
      <c r="C12" s="18">
        <v>214770793</v>
      </c>
      <c r="D12" s="20">
        <f t="shared" si="0"/>
        <v>1.0512104503902058</v>
      </c>
      <c r="E12" s="7">
        <f>Población!E12</f>
        <v>762212</v>
      </c>
      <c r="F12" s="8">
        <f t="shared" si="1"/>
        <v>801245.2198128195</v>
      </c>
      <c r="G12" s="21">
        <f t="shared" si="2"/>
        <v>0.57862910467468986</v>
      </c>
      <c r="H12" s="21">
        <f>D12*Población!B12/SUMPRODUCT($D$7:$D$38,Población!$B$7:$B$38)*100</f>
        <v>0.55384003878614851</v>
      </c>
      <c r="I12" s="21">
        <f t="shared" si="3"/>
        <v>2.4789065888541351E-2</v>
      </c>
      <c r="J12" s="8">
        <f t="shared" si="4"/>
        <v>2920030010.6756968</v>
      </c>
      <c r="K12" s="8">
        <f t="shared" si="5"/>
        <v>3050726260.9681168</v>
      </c>
      <c r="L12" s="9">
        <f t="shared" si="6"/>
        <v>130696250.29241991</v>
      </c>
      <c r="M12" s="11">
        <f t="shared" si="7"/>
        <v>4.475852981462225E-2</v>
      </c>
    </row>
    <row r="13" spans="1:13" x14ac:dyDescent="0.2">
      <c r="A13" s="6" t="s">
        <v>21</v>
      </c>
      <c r="B13" s="18">
        <v>499718477</v>
      </c>
      <c r="C13" s="18">
        <v>530926151</v>
      </c>
      <c r="D13" s="20">
        <f t="shared" si="0"/>
        <v>1.0624505105101407</v>
      </c>
      <c r="E13" s="7">
        <f>Población!E13</f>
        <v>5860728</v>
      </c>
      <c r="F13" s="8">
        <f t="shared" si="1"/>
        <v>6226733.4555610763</v>
      </c>
      <c r="G13" s="21">
        <f t="shared" si="2"/>
        <v>4.4967122615482689</v>
      </c>
      <c r="H13" s="21">
        <f>D13*Población!B13/SUMPRODUCT($D$7:$D$38,Población!$B$7:$B$38)*100</f>
        <v>4.5894273826046579</v>
      </c>
      <c r="I13" s="21">
        <f t="shared" si="3"/>
        <v>-9.2715121056389016E-2</v>
      </c>
      <c r="J13" s="8">
        <f t="shared" si="4"/>
        <v>24196996877.282429</v>
      </c>
      <c r="K13" s="8">
        <f t="shared" si="5"/>
        <v>23708171734.698936</v>
      </c>
      <c r="L13" s="9">
        <f t="shared" si="6"/>
        <v>-488825142.58349228</v>
      </c>
      <c r="M13" s="11">
        <f t="shared" si="7"/>
        <v>-2.0201893030883936E-2</v>
      </c>
    </row>
    <row r="14" spans="1:13" x14ac:dyDescent="0.2">
      <c r="A14" s="6" t="s">
        <v>22</v>
      </c>
      <c r="B14" s="18">
        <v>1236374958</v>
      </c>
      <c r="C14" s="18">
        <v>1286224656</v>
      </c>
      <c r="D14" s="20">
        <f t="shared" si="0"/>
        <v>1.0403192394648937</v>
      </c>
      <c r="E14" s="7">
        <f>Población!E14</f>
        <v>3903944</v>
      </c>
      <c r="F14" s="8">
        <f t="shared" si="1"/>
        <v>4061348.0529935351</v>
      </c>
      <c r="G14" s="21">
        <f t="shared" si="2"/>
        <v>2.9329525213578629</v>
      </c>
      <c r="H14" s="21">
        <f>D14*Población!B14/SUMPRODUCT($D$7:$D$38,Población!$B$7:$B$38)*100</f>
        <v>2.9903199949942327</v>
      </c>
      <c r="I14" s="21">
        <f t="shared" si="3"/>
        <v>-5.7367473636369848E-2</v>
      </c>
      <c r="J14" s="8">
        <f t="shared" si="4"/>
        <v>15765967635.789392</v>
      </c>
      <c r="K14" s="8">
        <f t="shared" si="5"/>
        <v>15463507118.449425</v>
      </c>
      <c r="L14" s="9">
        <f t="shared" si="6"/>
        <v>-302460517.33996773</v>
      </c>
      <c r="M14" s="11">
        <f t="shared" si="7"/>
        <v>-1.9184392885176926E-2</v>
      </c>
    </row>
    <row r="15" spans="1:13" x14ac:dyDescent="0.2">
      <c r="A15" s="6" t="s">
        <v>23</v>
      </c>
      <c r="B15" s="18">
        <v>4710565535</v>
      </c>
      <c r="C15" s="18">
        <v>5021817466</v>
      </c>
      <c r="D15" s="20">
        <f t="shared" si="0"/>
        <v>1.0660752787934624</v>
      </c>
      <c r="E15" s="7">
        <f>Población!E15</f>
        <v>9216407</v>
      </c>
      <c r="F15" s="8">
        <f t="shared" si="1"/>
        <v>9825383.6619990189</v>
      </c>
      <c r="G15" s="21">
        <f t="shared" si="2"/>
        <v>7.0955218338225619</v>
      </c>
      <c r="H15" s="21">
        <f>D15*Población!B15/SUMPRODUCT($D$7:$D$38,Población!$B$7:$B$38)*100</f>
        <v>7.2068399102109399</v>
      </c>
      <c r="I15" s="21">
        <f t="shared" si="3"/>
        <v>-0.1113180763883781</v>
      </c>
      <c r="J15" s="8">
        <f t="shared" si="4"/>
        <v>37996871562.543304</v>
      </c>
      <c r="K15" s="8">
        <f t="shared" si="5"/>
        <v>37409965414.520546</v>
      </c>
      <c r="L15" s="9">
        <f t="shared" si="6"/>
        <v>-586906148.02275848</v>
      </c>
      <c r="M15" s="11">
        <f t="shared" si="7"/>
        <v>-1.5446170273694874E-2</v>
      </c>
    </row>
    <row r="16" spans="1:13" x14ac:dyDescent="0.2">
      <c r="A16" s="6" t="s">
        <v>24</v>
      </c>
      <c r="B16" s="18">
        <v>412994711</v>
      </c>
      <c r="C16" s="18">
        <v>454692285</v>
      </c>
      <c r="D16" s="20">
        <f t="shared" si="0"/>
        <v>1.1009639418844761</v>
      </c>
      <c r="E16" s="7">
        <f>Población!E16</f>
        <v>1943290</v>
      </c>
      <c r="F16" s="8">
        <f t="shared" si="1"/>
        <v>2139492.2186246836</v>
      </c>
      <c r="G16" s="21">
        <f t="shared" si="2"/>
        <v>1.5450606584716622</v>
      </c>
      <c r="H16" s="21">
        <f>D16*Población!B16/SUMPRODUCT($D$7:$D$38,Población!$B$7:$B$38)*100</f>
        <v>1.5477724812314178</v>
      </c>
      <c r="I16" s="21">
        <f t="shared" si="3"/>
        <v>-2.7118227597555666E-3</v>
      </c>
      <c r="J16" s="8">
        <f t="shared" si="4"/>
        <v>8160374437.354167</v>
      </c>
      <c r="K16" s="8">
        <f t="shared" si="5"/>
        <v>8146076800.3334217</v>
      </c>
      <c r="L16" s="9">
        <f t="shared" si="6"/>
        <v>-14297637.020745277</v>
      </c>
      <c r="M16" s="11">
        <f t="shared" si="7"/>
        <v>-1.7520810019816923E-3</v>
      </c>
    </row>
    <row r="17" spans="1:13" x14ac:dyDescent="0.2">
      <c r="A17" s="6" t="s">
        <v>25</v>
      </c>
      <c r="B17" s="18">
        <v>1413105293</v>
      </c>
      <c r="C17" s="18">
        <v>1520603357</v>
      </c>
      <c r="D17" s="20">
        <f t="shared" si="0"/>
        <v>1.0760722251430983</v>
      </c>
      <c r="E17" s="7">
        <f>Población!E17</f>
        <v>6446935</v>
      </c>
      <c r="F17" s="8">
        <f t="shared" si="1"/>
        <v>6937367.6908029206</v>
      </c>
      <c r="G17" s="21">
        <f t="shared" si="2"/>
        <v>5.009905527631318</v>
      </c>
      <c r="H17" s="21">
        <f>D17*Población!B17/SUMPRODUCT($D$7:$D$38,Población!$B$7:$B$38)*100</f>
        <v>4.9366109083548562</v>
      </c>
      <c r="I17" s="21">
        <f t="shared" si="3"/>
        <v>7.3294619276461859E-2</v>
      </c>
      <c r="J17" s="8">
        <f t="shared" si="4"/>
        <v>26027464599.74015</v>
      </c>
      <c r="K17" s="8">
        <f t="shared" si="5"/>
        <v>26413898358.443096</v>
      </c>
      <c r="L17" s="9">
        <f t="shared" si="6"/>
        <v>386433758.70294571</v>
      </c>
      <c r="M17" s="11">
        <f t="shared" si="7"/>
        <v>1.4847153368400076E-2</v>
      </c>
    </row>
    <row r="18" spans="1:13" x14ac:dyDescent="0.2">
      <c r="A18" s="6" t="s">
        <v>26</v>
      </c>
      <c r="B18" s="18">
        <v>407085984</v>
      </c>
      <c r="C18" s="18">
        <v>432049345</v>
      </c>
      <c r="D18" s="20">
        <f t="shared" si="0"/>
        <v>1.0613220842307358</v>
      </c>
      <c r="E18" s="7">
        <f>Población!E18</f>
        <v>3418902</v>
      </c>
      <c r="F18" s="8">
        <f t="shared" si="1"/>
        <v>3628556.1964206314</v>
      </c>
      <c r="G18" s="21">
        <f t="shared" si="2"/>
        <v>2.6204065513016817</v>
      </c>
      <c r="H18" s="21">
        <f>D18*Población!B18/SUMPRODUCT($D$7:$D$38,Población!$B$7:$B$38)*100</f>
        <v>2.7672173253740255</v>
      </c>
      <c r="I18" s="21">
        <f t="shared" si="3"/>
        <v>-0.14681077407234389</v>
      </c>
      <c r="J18" s="8">
        <f t="shared" si="4"/>
        <v>14589695706.839132</v>
      </c>
      <c r="K18" s="8">
        <f t="shared" si="5"/>
        <v>13815660180.044538</v>
      </c>
      <c r="L18" s="9">
        <f t="shared" si="6"/>
        <v>-774035526.79459381</v>
      </c>
      <c r="M18" s="11">
        <f t="shared" si="7"/>
        <v>-5.3053575780319627E-2</v>
      </c>
    </row>
    <row r="19" spans="1:13" x14ac:dyDescent="0.2">
      <c r="A19" s="6" t="s">
        <v>27</v>
      </c>
      <c r="B19" s="18">
        <v>545147032</v>
      </c>
      <c r="C19" s="18">
        <v>587732486</v>
      </c>
      <c r="D19" s="20">
        <f t="shared" si="0"/>
        <v>1.0781173729292173</v>
      </c>
      <c r="E19" s="7">
        <f>Población!E19</f>
        <v>3245595</v>
      </c>
      <c r="F19" s="8">
        <f t="shared" si="1"/>
        <v>3499132.3549922029</v>
      </c>
      <c r="G19" s="21">
        <f t="shared" si="2"/>
        <v>2.5269415300603875</v>
      </c>
      <c r="H19" s="21">
        <f>D19*Población!B19/SUMPRODUCT($D$7:$D$38,Población!$B$7:$B$38)*100</f>
        <v>2.5320335287358691</v>
      </c>
      <c r="I19" s="21">
        <f t="shared" si="3"/>
        <v>-5.0919986754816016E-3</v>
      </c>
      <c r="J19" s="8">
        <f t="shared" si="4"/>
        <v>13349728033.658257</v>
      </c>
      <c r="K19" s="8">
        <f t="shared" si="5"/>
        <v>13322881312.754301</v>
      </c>
      <c r="L19" s="9">
        <f t="shared" si="6"/>
        <v>-26846720.90395546</v>
      </c>
      <c r="M19" s="11">
        <f t="shared" si="7"/>
        <v>-2.0110312986352718E-3</v>
      </c>
    </row>
    <row r="20" spans="1:13" x14ac:dyDescent="0.2">
      <c r="A20" s="6" t="s">
        <v>28</v>
      </c>
      <c r="B20" s="18">
        <v>2396531777</v>
      </c>
      <c r="C20" s="18">
        <v>2534263696</v>
      </c>
      <c r="D20" s="20">
        <f t="shared" si="0"/>
        <v>1.0574713510256117</v>
      </c>
      <c r="E20" s="7">
        <f>Población!E20</f>
        <v>8679851</v>
      </c>
      <c r="F20" s="8">
        <f t="shared" si="1"/>
        <v>9178693.763671007</v>
      </c>
      <c r="G20" s="21">
        <f t="shared" si="2"/>
        <v>6.6285067582641455</v>
      </c>
      <c r="H20" s="21">
        <f>D20*Población!B20/SUMPRODUCT($D$7:$D$38,Población!$B$7:$B$38)*100</f>
        <v>6.6813345516356426</v>
      </c>
      <c r="I20" s="21">
        <f t="shared" si="3"/>
        <v>-5.2827793371497123E-2</v>
      </c>
      <c r="J20" s="8">
        <f t="shared" si="4"/>
        <v>35226231467.302261</v>
      </c>
      <c r="K20" s="8">
        <f t="shared" si="5"/>
        <v>34947705663.388489</v>
      </c>
      <c r="L20" s="9">
        <f t="shared" si="6"/>
        <v>-278525803.91377258</v>
      </c>
      <c r="M20" s="11">
        <f t="shared" si="7"/>
        <v>-7.9067726609446196E-3</v>
      </c>
    </row>
    <row r="21" spans="1:13" x14ac:dyDescent="0.2">
      <c r="A21" s="6" t="s">
        <v>29</v>
      </c>
      <c r="B21" s="18">
        <v>2883663903</v>
      </c>
      <c r="C21" s="18">
        <v>3059207706</v>
      </c>
      <c r="D21" s="20">
        <f t="shared" si="0"/>
        <v>1.0608752645609547</v>
      </c>
      <c r="E21" s="7">
        <f>Población!E21</f>
        <v>17612480</v>
      </c>
      <c r="F21" s="8">
        <f t="shared" si="1"/>
        <v>18684644.379574522</v>
      </c>
      <c r="G21" s="21">
        <f t="shared" si="2"/>
        <v>13.493346083292545</v>
      </c>
      <c r="H21" s="21">
        <f>D21*Población!B21/SUMPRODUCT($D$7:$D$38,Población!$B$7:$B$38)*100</f>
        <v>13.643029301793023</v>
      </c>
      <c r="I21" s="21">
        <f t="shared" si="3"/>
        <v>-0.14968321850047772</v>
      </c>
      <c r="J21" s="8">
        <f t="shared" si="4"/>
        <v>71930615715.462906</v>
      </c>
      <c r="K21" s="8">
        <f t="shared" si="5"/>
        <v>71141435700.4646</v>
      </c>
      <c r="L21" s="9">
        <f t="shared" si="6"/>
        <v>-789180014.99830627</v>
      </c>
      <c r="M21" s="11">
        <f t="shared" si="7"/>
        <v>-1.0971406363600144E-2</v>
      </c>
    </row>
    <row r="22" spans="1:13" x14ac:dyDescent="0.2">
      <c r="A22" s="6" t="s">
        <v>30</v>
      </c>
      <c r="B22" s="18">
        <v>881715642</v>
      </c>
      <c r="C22" s="18">
        <v>924007246</v>
      </c>
      <c r="D22" s="20">
        <f t="shared" si="0"/>
        <v>1.0479651284217548</v>
      </c>
      <c r="E22" s="7">
        <f>Población!E22</f>
        <v>4889574</v>
      </c>
      <c r="F22" s="8">
        <f t="shared" si="1"/>
        <v>5124103.0448376732</v>
      </c>
      <c r="G22" s="21">
        <f t="shared" si="2"/>
        <v>3.70043412900226</v>
      </c>
      <c r="H22" s="21">
        <f>D22*Población!B22/SUMPRODUCT($D$7:$D$38,Población!$B$7:$B$38)*100</f>
        <v>3.7508467681896898</v>
      </c>
      <c r="I22" s="21">
        <f t="shared" si="3"/>
        <v>-5.0412639187429775E-2</v>
      </c>
      <c r="J22" s="8">
        <f t="shared" si="4"/>
        <v>19775719271.876099</v>
      </c>
      <c r="K22" s="8">
        <f t="shared" si="5"/>
        <v>19509926968.980675</v>
      </c>
      <c r="L22" s="9">
        <f t="shared" si="6"/>
        <v>-265792302.89542389</v>
      </c>
      <c r="M22" s="11">
        <f t="shared" si="7"/>
        <v>-1.3440335557019085E-2</v>
      </c>
    </row>
    <row r="23" spans="1:13" x14ac:dyDescent="0.2">
      <c r="A23" s="6" t="s">
        <v>31</v>
      </c>
      <c r="B23" s="18">
        <v>341213619</v>
      </c>
      <c r="C23" s="18">
        <v>353709556</v>
      </c>
      <c r="D23" s="20">
        <f t="shared" si="0"/>
        <v>1.0366220347142709</v>
      </c>
      <c r="E23" s="7">
        <f>Población!E23</f>
        <v>1997217</v>
      </c>
      <c r="F23" s="8">
        <f t="shared" si="1"/>
        <v>2070359.1503059322</v>
      </c>
      <c r="G23" s="21">
        <f t="shared" si="2"/>
        <v>1.4951353616517469</v>
      </c>
      <c r="H23" s="21">
        <f>D23*Población!B23/SUMPRODUCT($D$7:$D$38,Población!$B$7:$B$38)*100</f>
        <v>1.4870656321120597</v>
      </c>
      <c r="I23" s="21">
        <f t="shared" si="3"/>
        <v>8.0697295396872093E-3</v>
      </c>
      <c r="J23" s="8">
        <f t="shared" si="4"/>
        <v>7840307615.0446053</v>
      </c>
      <c r="K23" s="8">
        <f t="shared" si="5"/>
        <v>7882853929.4742517</v>
      </c>
      <c r="L23" s="9">
        <f t="shared" si="6"/>
        <v>42546314.429646492</v>
      </c>
      <c r="M23" s="11">
        <f t="shared" si="7"/>
        <v>5.4266128981986933E-3</v>
      </c>
    </row>
    <row r="24" spans="1:13" x14ac:dyDescent="0.2">
      <c r="A24" s="6" t="s">
        <v>32</v>
      </c>
      <c r="B24" s="18">
        <v>218601000</v>
      </c>
      <c r="C24" s="18">
        <v>224668851</v>
      </c>
      <c r="D24" s="20">
        <f t="shared" si="0"/>
        <v>1.0277576543565674</v>
      </c>
      <c r="E24" s="7">
        <f>Población!E24</f>
        <v>1299075</v>
      </c>
      <c r="F24" s="8">
        <f t="shared" si="1"/>
        <v>1335134.2748332578</v>
      </c>
      <c r="G24" s="21">
        <f t="shared" si="2"/>
        <v>0.96418366183543114</v>
      </c>
      <c r="H24" s="21">
        <f>D24*Población!B24/SUMPRODUCT($D$7:$D$38,Población!$B$7:$B$38)*100</f>
        <v>0.92524544409422949</v>
      </c>
      <c r="I24" s="21">
        <f t="shared" si="3"/>
        <v>3.8938217741201653E-2</v>
      </c>
      <c r="J24" s="8">
        <f t="shared" si="4"/>
        <v>4878203587.2984686</v>
      </c>
      <c r="K24" s="8">
        <f t="shared" si="5"/>
        <v>5083498900.7534723</v>
      </c>
      <c r="L24" s="9">
        <f t="shared" si="6"/>
        <v>205295313.45500374</v>
      </c>
      <c r="M24" s="11">
        <f t="shared" si="7"/>
        <v>4.2084203699398193E-2</v>
      </c>
    </row>
    <row r="25" spans="1:13" x14ac:dyDescent="0.2">
      <c r="A25" s="6" t="s">
        <v>33</v>
      </c>
      <c r="B25" s="18">
        <v>2508449478</v>
      </c>
      <c r="C25" s="18">
        <v>2704699152</v>
      </c>
      <c r="D25" s="20">
        <f t="shared" si="0"/>
        <v>1.078235450114176</v>
      </c>
      <c r="E25" s="7">
        <f>Población!E25</f>
        <v>6291899</v>
      </c>
      <c r="F25" s="8">
        <f t="shared" si="1"/>
        <v>6784148.5503379339</v>
      </c>
      <c r="G25" s="21">
        <f t="shared" si="2"/>
        <v>4.8992564380966659</v>
      </c>
      <c r="H25" s="21">
        <f>D25*Población!B25/SUMPRODUCT($D$7:$D$38,Población!$B$7:$B$38)*100</f>
        <v>4.7957054898107385</v>
      </c>
      <c r="I25" s="21">
        <f t="shared" si="3"/>
        <v>0.10355094828592737</v>
      </c>
      <c r="J25" s="8">
        <f t="shared" si="4"/>
        <v>25284564083.343006</v>
      </c>
      <c r="K25" s="8">
        <f t="shared" si="5"/>
        <v>25830519332.969856</v>
      </c>
      <c r="L25" s="9">
        <f t="shared" si="6"/>
        <v>545955249.62685013</v>
      </c>
      <c r="M25" s="11">
        <f t="shared" si="7"/>
        <v>2.1592432751748138E-2</v>
      </c>
    </row>
    <row r="26" spans="1:13" x14ac:dyDescent="0.2">
      <c r="A26" s="6" t="s">
        <v>34</v>
      </c>
      <c r="B26" s="18">
        <v>575661140</v>
      </c>
      <c r="C26" s="18">
        <v>632287912</v>
      </c>
      <c r="D26" s="20">
        <f t="shared" si="0"/>
        <v>1.0983682379533208</v>
      </c>
      <c r="E26" s="7">
        <f>Población!E26</f>
        <v>4169180</v>
      </c>
      <c r="F26" s="8">
        <f t="shared" si="1"/>
        <v>4579294.890310226</v>
      </c>
      <c r="G26" s="21">
        <f t="shared" si="2"/>
        <v>3.3069942096385834</v>
      </c>
      <c r="H26" s="21">
        <f>D26*Población!B26/SUMPRODUCT($D$7:$D$38,Población!$B$7:$B$38)*100</f>
        <v>3.3607833881480116</v>
      </c>
      <c r="I26" s="21">
        <f t="shared" si="3"/>
        <v>-5.3789178509428215E-2</v>
      </c>
      <c r="J26" s="8">
        <f t="shared" si="4"/>
        <v>17719174609.118164</v>
      </c>
      <c r="K26" s="8">
        <f t="shared" si="5"/>
        <v>17435580061.058109</v>
      </c>
      <c r="L26" s="9">
        <f t="shared" si="6"/>
        <v>-283594548.06005478</v>
      </c>
      <c r="M26" s="11">
        <f t="shared" si="7"/>
        <v>-1.6004952505751537E-2</v>
      </c>
    </row>
    <row r="27" spans="1:13" x14ac:dyDescent="0.2">
      <c r="A27" s="6" t="s">
        <v>35</v>
      </c>
      <c r="B27" s="18">
        <v>1101908982</v>
      </c>
      <c r="C27" s="18">
        <v>1191656203</v>
      </c>
      <c r="D27" s="20">
        <f t="shared" si="0"/>
        <v>1.0814470364304554</v>
      </c>
      <c r="E27" s="7">
        <f>Población!E27</f>
        <v>6851933</v>
      </c>
      <c r="F27" s="8">
        <f t="shared" si="1"/>
        <v>7410002.636670039</v>
      </c>
      <c r="G27" s="21">
        <f t="shared" si="2"/>
        <v>5.3512246753810535</v>
      </c>
      <c r="H27" s="21">
        <f>D27*Población!B27/SUMPRODUCT($D$7:$D$38,Población!$B$7:$B$38)*100</f>
        <v>5.1831423019762637</v>
      </c>
      <c r="I27" s="21">
        <f t="shared" si="3"/>
        <v>0.16808237340478982</v>
      </c>
      <c r="J27" s="8">
        <f t="shared" si="4"/>
        <v>27327260601.354576</v>
      </c>
      <c r="K27" s="8">
        <f t="shared" si="5"/>
        <v>28213447117.741657</v>
      </c>
      <c r="L27" s="9">
        <f t="shared" si="6"/>
        <v>886186516.38708115</v>
      </c>
      <c r="M27" s="11">
        <f t="shared" si="7"/>
        <v>3.242866269380671E-2</v>
      </c>
    </row>
    <row r="28" spans="1:13" x14ac:dyDescent="0.2">
      <c r="A28" s="6" t="s">
        <v>36</v>
      </c>
      <c r="B28" s="18">
        <v>771545561</v>
      </c>
      <c r="C28" s="18">
        <v>803693959</v>
      </c>
      <c r="D28" s="20">
        <f t="shared" si="0"/>
        <v>1.0416675302471217</v>
      </c>
      <c r="E28" s="7">
        <f>Población!E28</f>
        <v>2606836</v>
      </c>
      <c r="F28" s="8">
        <f t="shared" si="1"/>
        <v>2715456.4178792858</v>
      </c>
      <c r="G28" s="21">
        <f t="shared" si="2"/>
        <v>1.9610002992937576</v>
      </c>
      <c r="H28" s="21">
        <f>D28*Población!B28/SUMPRODUCT($D$7:$D$38,Población!$B$7:$B$38)*100</f>
        <v>1.9042974302705764</v>
      </c>
      <c r="I28" s="21">
        <f t="shared" si="3"/>
        <v>5.6702869023181224E-2</v>
      </c>
      <c r="J28" s="8">
        <f t="shared" si="4"/>
        <v>10040093269.22242</v>
      </c>
      <c r="K28" s="8">
        <f t="shared" si="5"/>
        <v>10339049768.651373</v>
      </c>
      <c r="L28" s="9">
        <f t="shared" si="6"/>
        <v>298956499.42895317</v>
      </c>
      <c r="M28" s="11">
        <f t="shared" si="7"/>
        <v>2.9776267153353509E-2</v>
      </c>
    </row>
    <row r="29" spans="1:13" x14ac:dyDescent="0.2">
      <c r="A29" s="6" t="s">
        <v>37</v>
      </c>
      <c r="B29" s="18">
        <v>506079847</v>
      </c>
      <c r="C29" s="18">
        <v>515654002</v>
      </c>
      <c r="D29" s="20">
        <f t="shared" si="0"/>
        <v>1.0189182696302863</v>
      </c>
      <c r="E29" s="7">
        <f>Población!E29</f>
        <v>2100792</v>
      </c>
      <c r="F29" s="8">
        <f t="shared" si="1"/>
        <v>2140535.3494931483</v>
      </c>
      <c r="G29" s="21">
        <f t="shared" si="2"/>
        <v>1.5458139682768914</v>
      </c>
      <c r="H29" s="21">
        <f>D29*Población!B29/SUMPRODUCT($D$7:$D$38,Población!$B$7:$B$38)*100</f>
        <v>1.40341245500893</v>
      </c>
      <c r="I29" s="21">
        <f t="shared" si="3"/>
        <v>0.14240151326796147</v>
      </c>
      <c r="J29" s="8">
        <f t="shared" si="4"/>
        <v>7399260073.2943296</v>
      </c>
      <c r="K29" s="8">
        <f t="shared" si="5"/>
        <v>8150048501.6994457</v>
      </c>
      <c r="L29" s="9">
        <f t="shared" si="6"/>
        <v>750788428.40511608</v>
      </c>
      <c r="M29" s="11">
        <f t="shared" si="7"/>
        <v>0.10146804152956972</v>
      </c>
    </row>
    <row r="30" spans="1:13" x14ac:dyDescent="0.2">
      <c r="A30" s="6" t="s">
        <v>38</v>
      </c>
      <c r="B30" s="18">
        <v>749392730</v>
      </c>
      <c r="C30" s="18">
        <v>780605507</v>
      </c>
      <c r="D30" s="20">
        <f t="shared" si="0"/>
        <v>1.0416507603429779</v>
      </c>
      <c r="E30" s="7">
        <f>Población!E30</f>
        <v>2889524</v>
      </c>
      <c r="F30" s="8">
        <f t="shared" si="1"/>
        <v>3009874.8716292828</v>
      </c>
      <c r="G30" s="21">
        <f t="shared" si="2"/>
        <v>2.1736182121130883</v>
      </c>
      <c r="H30" s="21">
        <f>D30*Población!B30/SUMPRODUCT($D$7:$D$38,Población!$B$7:$B$38)*100</f>
        <v>2.172940048865315</v>
      </c>
      <c r="I30" s="21">
        <f t="shared" si="3"/>
        <v>6.7816324777325576E-4</v>
      </c>
      <c r="J30" s="8">
        <f t="shared" si="4"/>
        <v>11456467047.763979</v>
      </c>
      <c r="K30" s="8">
        <f t="shared" si="5"/>
        <v>11460042551.333523</v>
      </c>
      <c r="L30" s="9">
        <f t="shared" si="6"/>
        <v>3575503.5695438385</v>
      </c>
      <c r="M30" s="11">
        <f t="shared" si="7"/>
        <v>3.1209478058435904E-4</v>
      </c>
    </row>
    <row r="31" spans="1:13" x14ac:dyDescent="0.2">
      <c r="A31" s="6" t="s">
        <v>39</v>
      </c>
      <c r="B31" s="18">
        <v>691780332</v>
      </c>
      <c r="C31" s="18">
        <v>711064348</v>
      </c>
      <c r="D31" s="20">
        <f t="shared" si="0"/>
        <v>1.0278759240585058</v>
      </c>
      <c r="E31" s="7">
        <f>Población!E31</f>
        <v>3102935</v>
      </c>
      <c r="F31" s="8">
        <f t="shared" si="1"/>
        <v>3189432.1804184797</v>
      </c>
      <c r="G31" s="21">
        <f t="shared" si="2"/>
        <v>2.3032877343184892</v>
      </c>
      <c r="H31" s="21">
        <f>D31*Población!B31/SUMPRODUCT($D$7:$D$38,Población!$B$7:$B$38)*100</f>
        <v>2.3367692880222837</v>
      </c>
      <c r="I31" s="21">
        <f t="shared" si="3"/>
        <v>-3.3481553703794464E-2</v>
      </c>
      <c r="J31" s="8">
        <f t="shared" si="4"/>
        <v>12320229617.210917</v>
      </c>
      <c r="K31" s="8">
        <f t="shared" si="5"/>
        <v>12143703662.472422</v>
      </c>
      <c r="L31" s="9">
        <f t="shared" si="6"/>
        <v>-176525954.73849487</v>
      </c>
      <c r="M31" s="11">
        <f t="shared" si="7"/>
        <v>-1.4328138372672413E-2</v>
      </c>
    </row>
    <row r="32" spans="1:13" x14ac:dyDescent="0.2">
      <c r="A32" s="6" t="s">
        <v>40</v>
      </c>
      <c r="B32" s="18">
        <v>1068083904</v>
      </c>
      <c r="C32" s="18">
        <v>1106799464</v>
      </c>
      <c r="D32" s="20">
        <f t="shared" si="0"/>
        <v>1.0362476766619264</v>
      </c>
      <c r="E32" s="7">
        <f>Población!E32</f>
        <v>3049889</v>
      </c>
      <c r="F32" s="8">
        <f t="shared" si="1"/>
        <v>3160440.3903267663</v>
      </c>
      <c r="G32" s="21">
        <f t="shared" si="2"/>
        <v>2.2823509560028521</v>
      </c>
      <c r="H32" s="21">
        <f>D32*Población!B32/SUMPRODUCT($D$7:$D$38,Población!$B$7:$B$38)*100</f>
        <v>2.2790714716766867</v>
      </c>
      <c r="I32" s="21">
        <f t="shared" si="3"/>
        <v>3.2794843261654272E-3</v>
      </c>
      <c r="J32" s="8">
        <f t="shared" si="4"/>
        <v>12016027422.568481</v>
      </c>
      <c r="K32" s="8">
        <f t="shared" si="5"/>
        <v>12033317961.318501</v>
      </c>
      <c r="L32" s="9">
        <f t="shared" si="6"/>
        <v>17290538.750019073</v>
      </c>
      <c r="M32" s="11">
        <f t="shared" si="7"/>
        <v>1.4389563324018397E-3</v>
      </c>
    </row>
    <row r="33" spans="1:13" x14ac:dyDescent="0.2">
      <c r="A33" s="6" t="s">
        <v>41</v>
      </c>
      <c r="B33" s="18">
        <v>755855516</v>
      </c>
      <c r="C33" s="18">
        <v>695544144</v>
      </c>
      <c r="D33" s="20">
        <f t="shared" si="0"/>
        <v>0.92020780331250507</v>
      </c>
      <c r="E33" s="7">
        <f>Población!E33</f>
        <v>2527009</v>
      </c>
      <c r="F33" s="8">
        <f t="shared" si="1"/>
        <v>2325373.4008409302</v>
      </c>
      <c r="G33" s="21">
        <f t="shared" si="2"/>
        <v>1.6792970437655252</v>
      </c>
      <c r="H33" s="21">
        <f>D33*Población!B33/SUMPRODUCT($D$7:$D$38,Población!$B$7:$B$38)*100</f>
        <v>1.699152730844558</v>
      </c>
      <c r="I33" s="21">
        <f t="shared" si="3"/>
        <v>-1.9855687079032736E-2</v>
      </c>
      <c r="J33" s="8">
        <f t="shared" si="4"/>
        <v>8958501768.2397346</v>
      </c>
      <c r="K33" s="8">
        <f t="shared" si="5"/>
        <v>8853815941.8404102</v>
      </c>
      <c r="L33" s="9">
        <f t="shared" si="6"/>
        <v>-104685826.39932442</v>
      </c>
      <c r="M33" s="11">
        <f t="shared" si="7"/>
        <v>-1.16856399772631E-2</v>
      </c>
    </row>
    <row r="34" spans="1:13" x14ac:dyDescent="0.2">
      <c r="A34" s="6" t="s">
        <v>42</v>
      </c>
      <c r="B34" s="18">
        <v>944239456</v>
      </c>
      <c r="C34" s="18">
        <v>1007948890</v>
      </c>
      <c r="D34" s="20">
        <f t="shared" si="0"/>
        <v>1.0674716922653145</v>
      </c>
      <c r="E34" s="7">
        <f>Población!E34</f>
        <v>3620715</v>
      </c>
      <c r="F34" s="8">
        <f t="shared" si="1"/>
        <v>3865010.7682604082</v>
      </c>
      <c r="G34" s="21">
        <f t="shared" si="2"/>
        <v>2.7911651328403644</v>
      </c>
      <c r="H34" s="21">
        <f>D34*Población!B34/SUMPRODUCT($D$7:$D$38,Población!$B$7:$B$38)*100</f>
        <v>2.7549757449318433</v>
      </c>
      <c r="I34" s="21">
        <f t="shared" si="3"/>
        <v>3.6189387908521109E-2</v>
      </c>
      <c r="J34" s="8">
        <f t="shared" si="4"/>
        <v>14525153998.464966</v>
      </c>
      <c r="K34" s="8">
        <f t="shared" si="5"/>
        <v>14715956561.22744</v>
      </c>
      <c r="L34" s="9">
        <f t="shared" si="6"/>
        <v>190802562.76247406</v>
      </c>
      <c r="M34" s="11">
        <f t="shared" si="7"/>
        <v>1.3136009627342904E-2</v>
      </c>
    </row>
    <row r="35" spans="1:13" x14ac:dyDescent="0.2">
      <c r="A35" s="6" t="s">
        <v>43</v>
      </c>
      <c r="B35" s="18">
        <v>190406976</v>
      </c>
      <c r="C35" s="18">
        <v>200248308</v>
      </c>
      <c r="D35" s="20">
        <f t="shared" si="0"/>
        <v>1.0516857743699475</v>
      </c>
      <c r="E35" s="7">
        <f>Población!E35</f>
        <v>1419482</v>
      </c>
      <c r="F35" s="8">
        <f t="shared" si="1"/>
        <v>1492849.0263742018</v>
      </c>
      <c r="G35" s="21">
        <f t="shared" si="2"/>
        <v>1.0780793122824275</v>
      </c>
      <c r="H35" s="21">
        <f>D35*Población!B35/SUMPRODUCT($D$7:$D$38,Población!$B$7:$B$38)*100</f>
        <v>1.1227567012048059</v>
      </c>
      <c r="I35" s="21">
        <f t="shared" si="3"/>
        <v>-4.467738892237838E-2</v>
      </c>
      <c r="J35" s="8">
        <f t="shared" si="4"/>
        <v>5919549026.0883493</v>
      </c>
      <c r="K35" s="8">
        <f t="shared" si="5"/>
        <v>5683994881.7222214</v>
      </c>
      <c r="L35" s="9">
        <f t="shared" si="6"/>
        <v>-235554144.36612797</v>
      </c>
      <c r="M35" s="11">
        <f t="shared" si="7"/>
        <v>-3.9792582733584124E-2</v>
      </c>
    </row>
    <row r="36" spans="1:13" x14ac:dyDescent="0.2">
      <c r="A36" s="6" t="s">
        <v>44</v>
      </c>
      <c r="B36" s="18">
        <v>1354599913</v>
      </c>
      <c r="C36" s="18">
        <v>1447774025</v>
      </c>
      <c r="D36" s="20">
        <f t="shared" si="0"/>
        <v>1.0687834917940084</v>
      </c>
      <c r="E36" s="7">
        <f>Población!E36</f>
        <v>7917876</v>
      </c>
      <c r="F36" s="8">
        <f t="shared" si="1"/>
        <v>8462495.1588719767</v>
      </c>
      <c r="G36" s="21">
        <f t="shared" si="2"/>
        <v>6.1112951141673015</v>
      </c>
      <c r="H36" s="21">
        <f>D36*Población!B36/SUMPRODUCT($D$7:$D$38,Población!$B$7:$B$38)*100</f>
        <v>6.2688833847397429</v>
      </c>
      <c r="I36" s="21">
        <f t="shared" si="3"/>
        <v>-0.1575882705724414</v>
      </c>
      <c r="J36" s="8">
        <f t="shared" si="4"/>
        <v>33051650900.837875</v>
      </c>
      <c r="K36" s="8">
        <f t="shared" si="5"/>
        <v>32220792806.124195</v>
      </c>
      <c r="L36" s="9">
        <f t="shared" si="6"/>
        <v>-830858094.71368027</v>
      </c>
      <c r="M36" s="11">
        <f t="shared" si="7"/>
        <v>-2.5138172286958822E-2</v>
      </c>
    </row>
    <row r="37" spans="1:13" x14ac:dyDescent="0.2">
      <c r="A37" s="6" t="s">
        <v>45</v>
      </c>
      <c r="B37" s="18">
        <v>506355466</v>
      </c>
      <c r="C37" s="18">
        <v>548664528</v>
      </c>
      <c r="D37" s="20">
        <f t="shared" si="0"/>
        <v>1.0835560487461984</v>
      </c>
      <c r="E37" s="7">
        <f>Población!E37</f>
        <v>2506448</v>
      </c>
      <c r="F37" s="8">
        <f t="shared" si="1"/>
        <v>2715876.8912678114</v>
      </c>
      <c r="G37" s="21">
        <f t="shared" si="2"/>
        <v>1.961303949330383</v>
      </c>
      <c r="H37" s="21">
        <f>D37*Población!B37/SUMPRODUCT($D$7:$D$38,Población!$B$7:$B$38)*100</f>
        <v>1.8816033381518698</v>
      </c>
      <c r="I37" s="21">
        <f t="shared" si="3"/>
        <v>7.9700611178513237E-2</v>
      </c>
      <c r="J37" s="8">
        <f t="shared" si="4"/>
        <v>9920442421.6656036</v>
      </c>
      <c r="K37" s="8">
        <f t="shared" si="5"/>
        <v>10340650713.251968</v>
      </c>
      <c r="L37" s="9">
        <f t="shared" si="6"/>
        <v>420208291.58636475</v>
      </c>
      <c r="M37" s="11">
        <f t="shared" si="7"/>
        <v>4.2357817698599518E-2</v>
      </c>
    </row>
    <row r="38" spans="1:13" x14ac:dyDescent="0.2">
      <c r="A38" s="6" t="s">
        <v>46</v>
      </c>
      <c r="B38" s="18">
        <v>306036555</v>
      </c>
      <c r="C38" s="18">
        <v>347383977</v>
      </c>
      <c r="D38" s="20">
        <f t="shared" si="0"/>
        <v>1.135106154230497</v>
      </c>
      <c r="E38" s="7">
        <f>Población!E38</f>
        <v>1686419</v>
      </c>
      <c r="F38" s="8">
        <f t="shared" si="1"/>
        <v>1914264.5855112404</v>
      </c>
      <c r="G38" s="21">
        <f t="shared" si="2"/>
        <v>1.3824097490199012</v>
      </c>
      <c r="H38" s="21">
        <f>D38*Población!B38/SUMPRODUCT($D$7:$D$38,Población!$B$7:$B$38)*100</f>
        <v>1.3914969989175716</v>
      </c>
      <c r="I38" s="21">
        <f t="shared" si="3"/>
        <v>-9.0872498976704019E-3</v>
      </c>
      <c r="J38" s="8">
        <f t="shared" si="4"/>
        <v>7336437801.6255789</v>
      </c>
      <c r="K38" s="8">
        <f t="shared" si="5"/>
        <v>7288526779.38554</v>
      </c>
      <c r="L38" s="9">
        <f t="shared" si="6"/>
        <v>-47911022.240038872</v>
      </c>
      <c r="M38" s="11">
        <f t="shared" si="7"/>
        <v>-6.5305565910233621E-3</v>
      </c>
    </row>
    <row r="39" spans="1:13" x14ac:dyDescent="0.2">
      <c r="A39" s="13" t="s">
        <v>47</v>
      </c>
      <c r="B39" s="22"/>
      <c r="C39" s="22"/>
      <c r="D39" s="22"/>
      <c r="E39" s="14">
        <f t="shared" ref="E39:L39" si="8">SUM(E7:E38)</f>
        <v>130911314</v>
      </c>
      <c r="F39" s="14">
        <f t="shared" si="8"/>
        <v>138473024.1426909</v>
      </c>
      <c r="G39" s="23">
        <f t="shared" si="8"/>
        <v>100.00000000000003</v>
      </c>
      <c r="H39" s="23">
        <f t="shared" si="8"/>
        <v>99.999999999999986</v>
      </c>
      <c r="I39" s="23">
        <f t="shared" si="8"/>
        <v>1.9984014443252818E-14</v>
      </c>
      <c r="J39" s="14">
        <f t="shared" si="8"/>
        <v>527233462043.57629</v>
      </c>
      <c r="K39" s="14">
        <f t="shared" si="8"/>
        <v>527233462043.57629</v>
      </c>
      <c r="L39" s="14">
        <f t="shared" si="8"/>
        <v>1.1539459228515625E-4</v>
      </c>
      <c r="M39" s="15">
        <f t="shared" si="7"/>
        <v>2.1886811174291285E-16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1"/>
  <sheetViews>
    <sheetView showGridLines="0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baseColWidth="10" defaultColWidth="8.6640625" defaultRowHeight="15" x14ac:dyDescent="0.2"/>
  <cols>
    <col min="1" max="1" width="24" customWidth="1"/>
    <col min="2" max="8" width="16" customWidth="1"/>
    <col min="9" max="9" width="14" customWidth="1"/>
    <col min="10" max="10" width="15" customWidth="1"/>
    <col min="11" max="12" width="17" customWidth="1"/>
    <col min="13" max="13" width="15" customWidth="1"/>
    <col min="14" max="14" width="10" customWidth="1"/>
  </cols>
  <sheetData>
    <row r="1" spans="1:14" ht="17" x14ac:dyDescent="0.2">
      <c r="A1" s="1" t="s">
        <v>77</v>
      </c>
    </row>
    <row r="2" spans="1:14" x14ac:dyDescent="0.2">
      <c r="A2" s="2" t="s">
        <v>78</v>
      </c>
    </row>
    <row r="3" spans="1:14" x14ac:dyDescent="0.2">
      <c r="A3" s="3" t="s">
        <v>79</v>
      </c>
      <c r="F3" s="19">
        <f>'Cuadro 7'!F49</f>
        <v>263616731021.78818</v>
      </c>
    </row>
    <row r="4" spans="1:14" x14ac:dyDescent="0.2">
      <c r="A4" s="2" t="s">
        <v>65</v>
      </c>
    </row>
    <row r="6" spans="1:14" ht="61.5" customHeight="1" x14ac:dyDescent="0.2">
      <c r="A6" s="5" t="s">
        <v>4</v>
      </c>
      <c r="B6" s="5" t="s">
        <v>80</v>
      </c>
      <c r="C6" s="5" t="s">
        <v>81</v>
      </c>
      <c r="D6" s="5" t="s">
        <v>82</v>
      </c>
      <c r="E6" s="5" t="s">
        <v>83</v>
      </c>
      <c r="F6" s="16" t="s">
        <v>84</v>
      </c>
      <c r="G6" s="16" t="s">
        <v>85</v>
      </c>
      <c r="H6" s="16" t="s">
        <v>86</v>
      </c>
      <c r="I6" s="17" t="s">
        <v>72</v>
      </c>
      <c r="J6" s="17" t="s">
        <v>73</v>
      </c>
      <c r="K6" s="17" t="s">
        <v>74</v>
      </c>
      <c r="L6" s="17" t="s">
        <v>75</v>
      </c>
      <c r="M6" s="17" t="s">
        <v>76</v>
      </c>
      <c r="N6" s="17" t="s">
        <v>58</v>
      </c>
    </row>
    <row r="7" spans="1:14" x14ac:dyDescent="0.2">
      <c r="A7" s="6" t="s">
        <v>15</v>
      </c>
      <c r="B7" s="24">
        <v>1.169</v>
      </c>
      <c r="C7" s="24">
        <v>1.1200000000000001</v>
      </c>
      <c r="D7" s="24">
        <v>1.1140000000000001</v>
      </c>
      <c r="E7" s="25">
        <v>1.1343806566035199</v>
      </c>
      <c r="F7" s="7">
        <f>Población!E7</f>
        <v>1539174</v>
      </c>
      <c r="G7" s="8">
        <f t="shared" ref="G7:G38" si="0">E7*F7</f>
        <v>1746009.2127470663</v>
      </c>
      <c r="H7" s="21">
        <f t="shared" ref="H7:H38" si="1">G7/G$39*100</f>
        <v>1.1939219709744047</v>
      </c>
      <c r="I7" s="21">
        <f>E7*Población!B7/SUMPRODUCT($E$7:$E$38,Población!$B$7:$B$38)*100</f>
        <v>1.1676459465155002</v>
      </c>
      <c r="J7" s="21">
        <f t="shared" ref="J7:J38" si="2">H7-I7</f>
        <v>2.6276024458904423E-2</v>
      </c>
      <c r="K7" s="8">
        <f t="shared" ref="K7:K38" si="3">I7/100*$F$3</f>
        <v>3078110074.1125793</v>
      </c>
      <c r="L7" s="8">
        <f t="shared" ref="L7:L38" si="4">H7/100*$F$3</f>
        <v>3147378070.8336287</v>
      </c>
      <c r="M7" s="9">
        <f t="shared" ref="M7:M38" si="5">L7-K7</f>
        <v>69267996.721049309</v>
      </c>
      <c r="N7" s="11">
        <f t="shared" ref="N7:N39" si="6">M7/K7</f>
        <v>2.2503417698933104E-2</v>
      </c>
    </row>
    <row r="8" spans="1:14" x14ac:dyDescent="0.2">
      <c r="A8" s="6" t="s">
        <v>16</v>
      </c>
      <c r="B8" s="24">
        <v>1.286</v>
      </c>
      <c r="C8" s="24">
        <v>1.1100000000000001</v>
      </c>
      <c r="D8" s="24">
        <v>1.087</v>
      </c>
      <c r="E8" s="25">
        <v>1.1610329034398901</v>
      </c>
      <c r="F8" s="7">
        <f>Población!E8</f>
        <v>4009678</v>
      </c>
      <c r="G8" s="8">
        <f t="shared" si="0"/>
        <v>4655368.0901990514</v>
      </c>
      <c r="H8" s="21">
        <f t="shared" si="1"/>
        <v>3.1833430232117426</v>
      </c>
      <c r="I8" s="21">
        <f>E8*Población!B8/SUMPRODUCT($E$7:$E$38,Población!$B$7:$B$38)*100</f>
        <v>3.003097668573822</v>
      </c>
      <c r="J8" s="21">
        <f t="shared" si="2"/>
        <v>0.18024535463792057</v>
      </c>
      <c r="K8" s="8">
        <f t="shared" si="3"/>
        <v>7916667903.2858438</v>
      </c>
      <c r="L8" s="8">
        <f t="shared" si="4"/>
        <v>8391824815.0009594</v>
      </c>
      <c r="M8" s="9">
        <f t="shared" si="5"/>
        <v>475156911.71511555</v>
      </c>
      <c r="N8" s="11">
        <f t="shared" si="6"/>
        <v>6.0019811051806253E-2</v>
      </c>
    </row>
    <row r="9" spans="1:14" x14ac:dyDescent="0.2">
      <c r="A9" s="6" t="s">
        <v>17</v>
      </c>
      <c r="B9" s="24">
        <v>1.1419999999999999</v>
      </c>
      <c r="C9" s="24">
        <v>1.0569999999999999</v>
      </c>
      <c r="D9" s="24">
        <v>1.0880000000000001</v>
      </c>
      <c r="E9" s="25">
        <v>1.0955555244451001</v>
      </c>
      <c r="F9" s="7">
        <f>Población!E9</f>
        <v>961514</v>
      </c>
      <c r="G9" s="8">
        <f t="shared" si="0"/>
        <v>1053391.974531306</v>
      </c>
      <c r="H9" s="21">
        <f t="shared" si="1"/>
        <v>0.72030995785085072</v>
      </c>
      <c r="I9" s="21">
        <f>E9*Población!B9/SUMPRODUCT($E$7:$E$38,Población!$B$7:$B$38)*100</f>
        <v>0.66087843961766513</v>
      </c>
      <c r="J9" s="21">
        <f t="shared" si="2"/>
        <v>5.9431518233185598E-2</v>
      </c>
      <c r="K9" s="8">
        <f t="shared" si="3"/>
        <v>1742186138.5478909</v>
      </c>
      <c r="L9" s="8">
        <f t="shared" si="4"/>
        <v>1898857564.1108329</v>
      </c>
      <c r="M9" s="9">
        <f t="shared" si="5"/>
        <v>156671425.56294203</v>
      </c>
      <c r="N9" s="11">
        <f t="shared" si="6"/>
        <v>8.9928063423537152E-2</v>
      </c>
    </row>
    <row r="10" spans="1:14" x14ac:dyDescent="0.2">
      <c r="A10" s="6" t="s">
        <v>18</v>
      </c>
      <c r="B10" s="24">
        <v>1.2010000000000001</v>
      </c>
      <c r="C10" s="24">
        <v>0.998</v>
      </c>
      <c r="D10" s="24">
        <v>0.91900000000000004</v>
      </c>
      <c r="E10" s="25">
        <v>1.0391309972192899</v>
      </c>
      <c r="F10" s="7">
        <f>Población!E10</f>
        <v>968673</v>
      </c>
      <c r="G10" s="8">
        <f t="shared" si="0"/>
        <v>1006578.1404694013</v>
      </c>
      <c r="H10" s="21">
        <f t="shared" si="1"/>
        <v>0.68829863475816178</v>
      </c>
      <c r="I10" s="21">
        <f>E10*Población!B10/SUMPRODUCT($E$7:$E$38,Población!$B$7:$B$38)*100</f>
        <v>0.65872085508423206</v>
      </c>
      <c r="J10" s="21">
        <f t="shared" si="2"/>
        <v>2.9577779673929716E-2</v>
      </c>
      <c r="K10" s="8">
        <f t="shared" si="3"/>
        <v>1736498384.731823</v>
      </c>
      <c r="L10" s="8">
        <f t="shared" si="4"/>
        <v>1814470360.6170635</v>
      </c>
      <c r="M10" s="9">
        <f t="shared" si="5"/>
        <v>77971975.885240555</v>
      </c>
      <c r="N10" s="11">
        <f t="shared" si="6"/>
        <v>4.4901841873744214E-2</v>
      </c>
    </row>
    <row r="11" spans="1:14" x14ac:dyDescent="0.2">
      <c r="A11" s="6" t="s">
        <v>19</v>
      </c>
      <c r="B11" s="24">
        <v>1.0269999999999999</v>
      </c>
      <c r="C11" s="24">
        <v>1.2290000000000001</v>
      </c>
      <c r="D11" s="24">
        <v>1.238</v>
      </c>
      <c r="E11" s="25">
        <v>1.16452092002026</v>
      </c>
      <c r="F11" s="7">
        <f>Población!E11</f>
        <v>3415128</v>
      </c>
      <c r="G11" s="8">
        <f t="shared" si="0"/>
        <v>3976988.0005469504</v>
      </c>
      <c r="H11" s="21">
        <f t="shared" si="1"/>
        <v>2.7194663793806773</v>
      </c>
      <c r="I11" s="21">
        <f>E11*Población!B11/SUMPRODUCT($E$7:$E$38,Población!$B$7:$B$38)*100</f>
        <v>2.7527890654779448</v>
      </c>
      <c r="J11" s="21">
        <f t="shared" si="2"/>
        <v>-3.3322686097267518E-2</v>
      </c>
      <c r="K11" s="8">
        <f t="shared" si="3"/>
        <v>7256812546.3381901</v>
      </c>
      <c r="L11" s="8">
        <f t="shared" si="4"/>
        <v>7168968370.5599213</v>
      </c>
      <c r="M11" s="9">
        <f t="shared" si="5"/>
        <v>-87844175.778268814</v>
      </c>
      <c r="N11" s="11">
        <f t="shared" si="6"/>
        <v>-1.2105063375599422E-2</v>
      </c>
    </row>
    <row r="12" spans="1:14" x14ac:dyDescent="0.2">
      <c r="A12" s="6" t="s">
        <v>20</v>
      </c>
      <c r="B12" s="24">
        <v>1.089</v>
      </c>
      <c r="C12" s="24">
        <v>1.083</v>
      </c>
      <c r="D12" s="24">
        <v>1.1240000000000001</v>
      </c>
      <c r="E12" s="25">
        <v>1.0989132359596301</v>
      </c>
      <c r="F12" s="7">
        <f>Población!E12</f>
        <v>762212</v>
      </c>
      <c r="G12" s="8">
        <f t="shared" si="0"/>
        <v>837604.85540726152</v>
      </c>
      <c r="H12" s="21">
        <f t="shared" si="1"/>
        <v>0.57275461811119188</v>
      </c>
      <c r="I12" s="21">
        <f>E12*Población!B12/SUMPRODUCT($E$7:$E$38,Población!$B$7:$B$38)*100</f>
        <v>0.54826170360913118</v>
      </c>
      <c r="J12" s="21">
        <f t="shared" si="2"/>
        <v>2.4492914502060703E-2</v>
      </c>
      <c r="K12" s="8">
        <f t="shared" si="3"/>
        <v>1445309580.4987569</v>
      </c>
      <c r="L12" s="8">
        <f t="shared" si="4"/>
        <v>1509877001.0410509</v>
      </c>
      <c r="M12" s="9">
        <f t="shared" si="5"/>
        <v>64567420.542294025</v>
      </c>
      <c r="N12" s="11">
        <f t="shared" si="6"/>
        <v>4.4673764993665009E-2</v>
      </c>
    </row>
    <row r="13" spans="1:14" x14ac:dyDescent="0.2">
      <c r="A13" s="6" t="s">
        <v>21</v>
      </c>
      <c r="B13" s="24">
        <v>1.085</v>
      </c>
      <c r="C13" s="24">
        <v>1.0680000000000001</v>
      </c>
      <c r="D13" s="24">
        <v>1.544</v>
      </c>
      <c r="E13" s="25">
        <v>1.2322761149694801</v>
      </c>
      <c r="F13" s="7">
        <f>Población!E13</f>
        <v>5860728</v>
      </c>
      <c r="G13" s="8">
        <f t="shared" si="0"/>
        <v>7222035.1307328511</v>
      </c>
      <c r="H13" s="21">
        <f t="shared" si="1"/>
        <v>4.9384312263534724</v>
      </c>
      <c r="I13" s="21">
        <f>E13*Población!B13/SUMPRODUCT($E$7:$E$38,Población!$B$7:$B$38)*100</f>
        <v>5.0406628625783396</v>
      </c>
      <c r="J13" s="21">
        <f t="shared" si="2"/>
        <v>-0.1022316362248672</v>
      </c>
      <c r="K13" s="8">
        <f t="shared" si="3"/>
        <v>13288030660.15831</v>
      </c>
      <c r="L13" s="8">
        <f t="shared" si="4"/>
        <v>13018530962.672228</v>
      </c>
      <c r="M13" s="9">
        <f t="shared" si="5"/>
        <v>-269499697.48608208</v>
      </c>
      <c r="N13" s="11">
        <f t="shared" si="6"/>
        <v>-2.0281387391295449E-2</v>
      </c>
    </row>
    <row r="14" spans="1:14" x14ac:dyDescent="0.2">
      <c r="A14" s="6" t="s">
        <v>22</v>
      </c>
      <c r="B14" s="24">
        <v>1.0920000000000001</v>
      </c>
      <c r="C14" s="24">
        <v>1.0389999999999999</v>
      </c>
      <c r="D14" s="24">
        <v>1.125</v>
      </c>
      <c r="E14" s="25">
        <v>1.08535614431404</v>
      </c>
      <c r="F14" s="7">
        <f>Población!E14</f>
        <v>3903944</v>
      </c>
      <c r="G14" s="8">
        <f t="shared" si="0"/>
        <v>4237169.6074579312</v>
      </c>
      <c r="H14" s="21">
        <f t="shared" si="1"/>
        <v>2.8973786920228934</v>
      </c>
      <c r="I14" s="21">
        <f>E14*Población!B14/SUMPRODUCT($E$7:$E$38,Población!$B$7:$B$38)*100</f>
        <v>2.954290046250895</v>
      </c>
      <c r="J14" s="21">
        <f t="shared" si="2"/>
        <v>-5.6911354228001532E-2</v>
      </c>
      <c r="K14" s="8">
        <f t="shared" si="3"/>
        <v>7788002844.8286829</v>
      </c>
      <c r="L14" s="8">
        <f t="shared" si="4"/>
        <v>7637974993.2325954</v>
      </c>
      <c r="M14" s="9">
        <f t="shared" si="5"/>
        <v>-150027851.59608746</v>
      </c>
      <c r="N14" s="11">
        <f t="shared" si="6"/>
        <v>-1.9263969798843556E-2</v>
      </c>
    </row>
    <row r="15" spans="1:14" x14ac:dyDescent="0.2">
      <c r="A15" s="6" t="s">
        <v>23</v>
      </c>
      <c r="B15" s="24">
        <v>1.105</v>
      </c>
      <c r="C15" s="24">
        <v>1.08</v>
      </c>
      <c r="D15" s="24">
        <v>1.244</v>
      </c>
      <c r="E15" s="25">
        <v>1.1429930461926301</v>
      </c>
      <c r="F15" s="7">
        <f>Población!E15</f>
        <v>9216407</v>
      </c>
      <c r="G15" s="8">
        <f t="shared" si="0"/>
        <v>10534289.111881079</v>
      </c>
      <c r="H15" s="21">
        <f t="shared" si="1"/>
        <v>7.2033521515520418</v>
      </c>
      <c r="I15" s="21">
        <f>E15*Población!B15/SUMPRODUCT($E$7:$E$38,Población!$B$7:$B$38)*100</f>
        <v>7.3169555731561839</v>
      </c>
      <c r="J15" s="21">
        <f t="shared" si="2"/>
        <v>-0.11360342160414216</v>
      </c>
      <c r="K15" s="8">
        <f t="shared" si="3"/>
        <v>19288719092.270878</v>
      </c>
      <c r="L15" s="8">
        <f t="shared" si="4"/>
        <v>18989241465.909138</v>
      </c>
      <c r="M15" s="9">
        <f t="shared" si="5"/>
        <v>-299477626.36174011</v>
      </c>
      <c r="N15" s="11">
        <f t="shared" si="6"/>
        <v>-1.5526050482104996E-2</v>
      </c>
    </row>
    <row r="16" spans="1:14" x14ac:dyDescent="0.2">
      <c r="A16" s="6" t="s">
        <v>24</v>
      </c>
      <c r="B16" s="24">
        <v>1.32</v>
      </c>
      <c r="C16" s="24">
        <v>1.093</v>
      </c>
      <c r="D16" s="24">
        <v>1.103</v>
      </c>
      <c r="E16" s="25">
        <v>1.1718710940119901</v>
      </c>
      <c r="F16" s="7">
        <f>Población!E16</f>
        <v>1943290</v>
      </c>
      <c r="G16" s="8">
        <f t="shared" si="0"/>
        <v>2277285.37828256</v>
      </c>
      <c r="H16" s="21">
        <f t="shared" si="1"/>
        <v>1.5572088780863591</v>
      </c>
      <c r="I16" s="21">
        <f>E16*Población!B16/SUMPRODUCT($E$7:$E$38,Población!$B$7:$B$38)*100</f>
        <v>1.5600685965521115</v>
      </c>
      <c r="J16" s="21">
        <f t="shared" si="2"/>
        <v>-2.8597184657523922E-3</v>
      </c>
      <c r="K16" s="8">
        <f t="shared" si="3"/>
        <v>4112601835.9281659</v>
      </c>
      <c r="L16" s="8">
        <f t="shared" si="4"/>
        <v>4105063139.5923223</v>
      </c>
      <c r="M16" s="9">
        <f t="shared" si="5"/>
        <v>-7538696.3358435631</v>
      </c>
      <c r="N16" s="11">
        <f t="shared" si="6"/>
        <v>-1.833072258535859E-3</v>
      </c>
    </row>
    <row r="17" spans="1:14" x14ac:dyDescent="0.2">
      <c r="A17" s="6" t="s">
        <v>25</v>
      </c>
      <c r="B17" s="24">
        <v>1.1140000000000001</v>
      </c>
      <c r="C17" s="24">
        <v>1.0669999999999999</v>
      </c>
      <c r="D17" s="24">
        <v>1.0960000000000001</v>
      </c>
      <c r="E17" s="25">
        <v>1.0920659287072401</v>
      </c>
      <c r="F17" s="7">
        <f>Población!E17</f>
        <v>6446935</v>
      </c>
      <c r="G17" s="8">
        <f t="shared" si="0"/>
        <v>7040478.0580902109</v>
      </c>
      <c r="H17" s="21">
        <f t="shared" si="1"/>
        <v>4.8142824094793628</v>
      </c>
      <c r="I17" s="21">
        <f>E17*Población!B17/SUMPRODUCT($E$7:$E$38,Población!$B$7:$B$38)*100</f>
        <v>4.744234660692678</v>
      </c>
      <c r="J17" s="21">
        <f t="shared" si="2"/>
        <v>7.0047748786684849E-2</v>
      </c>
      <c r="K17" s="8">
        <f t="shared" si="3"/>
        <v>12506596324.520662</v>
      </c>
      <c r="L17" s="8">
        <f t="shared" si="4"/>
        <v>12691253910.026474</v>
      </c>
      <c r="M17" s="9">
        <f t="shared" si="5"/>
        <v>184657585.50581169</v>
      </c>
      <c r="N17" s="11">
        <f t="shared" si="6"/>
        <v>1.4764815359377086E-2</v>
      </c>
    </row>
    <row r="18" spans="1:14" x14ac:dyDescent="0.2">
      <c r="A18" s="6" t="s">
        <v>26</v>
      </c>
      <c r="B18" s="24">
        <v>1.0780000000000001</v>
      </c>
      <c r="C18" s="24">
        <v>1.0089999999999999</v>
      </c>
      <c r="D18" s="24">
        <v>1.298</v>
      </c>
      <c r="E18" s="25">
        <v>1.1285073283444</v>
      </c>
      <c r="F18" s="7">
        <f>Población!E18</f>
        <v>3418902</v>
      </c>
      <c r="G18" s="8">
        <f t="shared" si="0"/>
        <v>3858255.9618913261</v>
      </c>
      <c r="H18" s="21">
        <f t="shared" si="1"/>
        <v>2.6382773520979974</v>
      </c>
      <c r="I18" s="21">
        <f>E18*Población!B18/SUMPRODUCT($E$7:$E$38,Población!$B$7:$B$38)*100</f>
        <v>2.786315418082407</v>
      </c>
      <c r="J18" s="21">
        <f t="shared" si="2"/>
        <v>-0.14803806598440961</v>
      </c>
      <c r="K18" s="8">
        <f t="shared" si="3"/>
        <v>7345193621.1049109</v>
      </c>
      <c r="L18" s="8">
        <f t="shared" si="4"/>
        <v>6954940510.8889332</v>
      </c>
      <c r="M18" s="9">
        <f t="shared" si="5"/>
        <v>-390253110.21597767</v>
      </c>
      <c r="N18" s="11">
        <f t="shared" si="6"/>
        <v>-5.3130404771722449E-2</v>
      </c>
    </row>
    <row r="19" spans="1:14" x14ac:dyDescent="0.2">
      <c r="A19" s="6" t="s">
        <v>27</v>
      </c>
      <c r="B19" s="24">
        <v>1.22</v>
      </c>
      <c r="C19" s="24">
        <v>1.0469999999999999</v>
      </c>
      <c r="D19" s="24">
        <v>1.097</v>
      </c>
      <c r="E19" s="25">
        <v>1.1212775835470901</v>
      </c>
      <c r="F19" s="7">
        <f>Población!E19</f>
        <v>3245595</v>
      </c>
      <c r="G19" s="8">
        <f t="shared" si="0"/>
        <v>3639212.9187725177</v>
      </c>
      <c r="H19" s="21">
        <f t="shared" si="1"/>
        <v>2.4884956099059394</v>
      </c>
      <c r="I19" s="21">
        <f>E19*Población!B19/SUMPRODUCT($E$7:$E$38,Población!$B$7:$B$38)*100</f>
        <v>2.4937124602271883</v>
      </c>
      <c r="J19" s="21">
        <f t="shared" si="2"/>
        <v>-5.2168503212488559E-3</v>
      </c>
      <c r="K19" s="8">
        <f t="shared" si="3"/>
        <v>6573843268.7339239</v>
      </c>
      <c r="L19" s="8">
        <f t="shared" si="4"/>
        <v>6560090778.4547482</v>
      </c>
      <c r="M19" s="9">
        <f t="shared" si="5"/>
        <v>-13752490.279175758</v>
      </c>
      <c r="N19" s="11">
        <f t="shared" si="6"/>
        <v>-2.0920015456687927E-3</v>
      </c>
    </row>
    <row r="20" spans="1:14" x14ac:dyDescent="0.2">
      <c r="A20" s="6" t="s">
        <v>28</v>
      </c>
      <c r="B20" s="24">
        <v>1.1499999999999999</v>
      </c>
      <c r="C20" s="24">
        <v>1.0940000000000001</v>
      </c>
      <c r="D20" s="24">
        <v>1.1559999999999999</v>
      </c>
      <c r="E20" s="25">
        <v>1.1334453668583699</v>
      </c>
      <c r="F20" s="7">
        <f>Población!E20</f>
        <v>8679851</v>
      </c>
      <c r="G20" s="8">
        <f t="shared" si="0"/>
        <v>9838136.9009709898</v>
      </c>
      <c r="H20" s="21">
        <f t="shared" si="1"/>
        <v>6.7273229223360751</v>
      </c>
      <c r="I20" s="21">
        <f>E20*Población!B20/SUMPRODUCT($E$7:$E$38,Población!$B$7:$B$38)*100</f>
        <v>6.781488464858783</v>
      </c>
      <c r="J20" s="21">
        <f t="shared" si="2"/>
        <v>-5.4165542522707888E-2</v>
      </c>
      <c r="K20" s="8">
        <f t="shared" si="3"/>
        <v>17877138205.68037</v>
      </c>
      <c r="L20" s="8">
        <f t="shared" si="4"/>
        <v>17734348773.141792</v>
      </c>
      <c r="M20" s="9">
        <f t="shared" si="5"/>
        <v>-142789432.53857803</v>
      </c>
      <c r="N20" s="11">
        <f t="shared" si="6"/>
        <v>-7.9872645663838643E-3</v>
      </c>
    </row>
    <row r="21" spans="1:14" x14ac:dyDescent="0.2">
      <c r="A21" s="6" t="s">
        <v>29</v>
      </c>
      <c r="B21" s="24">
        <v>1.111</v>
      </c>
      <c r="C21" s="24">
        <v>1.155</v>
      </c>
      <c r="D21" s="24">
        <v>1.06</v>
      </c>
      <c r="E21" s="25">
        <v>1.1084846578974701</v>
      </c>
      <c r="F21" s="7">
        <f>Población!E21</f>
        <v>17612480</v>
      </c>
      <c r="G21" s="8">
        <f t="shared" si="0"/>
        <v>19523163.867526032</v>
      </c>
      <c r="H21" s="21">
        <f t="shared" si="1"/>
        <v>13.349949195113217</v>
      </c>
      <c r="I21" s="21">
        <f>E21*Población!B21/SUMPRODUCT($E$7:$E$38,Población!$B$7:$B$38)*100</f>
        <v>13.499136926664729</v>
      </c>
      <c r="J21" s="21">
        <f t="shared" si="2"/>
        <v>-0.14918773155151221</v>
      </c>
      <c r="K21" s="8">
        <f t="shared" si="3"/>
        <v>35585983482.228638</v>
      </c>
      <c r="L21" s="8">
        <f t="shared" si="4"/>
        <v>35192699661.226982</v>
      </c>
      <c r="M21" s="9">
        <f t="shared" si="5"/>
        <v>-393283821.00165558</v>
      </c>
      <c r="N21" s="11">
        <f t="shared" si="6"/>
        <v>-1.1051649624860261E-2</v>
      </c>
    </row>
    <row r="22" spans="1:14" x14ac:dyDescent="0.2">
      <c r="A22" s="6" t="s">
        <v>30</v>
      </c>
      <c r="B22" s="24">
        <v>0.97599999999999998</v>
      </c>
      <c r="C22" s="24">
        <v>1.0640000000000001</v>
      </c>
      <c r="D22" s="24">
        <v>1.097</v>
      </c>
      <c r="E22" s="25">
        <v>1.04560279553835</v>
      </c>
      <c r="F22" s="7">
        <f>Población!E22</f>
        <v>4889574</v>
      </c>
      <c r="G22" s="8">
        <f t="shared" si="0"/>
        <v>5112552.2433916321</v>
      </c>
      <c r="H22" s="21">
        <f t="shared" si="1"/>
        <v>3.4959657753100291</v>
      </c>
      <c r="I22" s="21">
        <f>E22*Población!B22/SUMPRODUCT($E$7:$E$38,Población!$B$7:$B$38)*100</f>
        <v>3.5438803794184679</v>
      </c>
      <c r="J22" s="21">
        <f t="shared" si="2"/>
        <v>-4.7914604108438841E-2</v>
      </c>
      <c r="K22" s="8">
        <f t="shared" si="3"/>
        <v>9342261607.5455093</v>
      </c>
      <c r="L22" s="8">
        <f t="shared" si="4"/>
        <v>9215950694.5128098</v>
      </c>
      <c r="M22" s="9">
        <f t="shared" si="5"/>
        <v>-126310913.03269958</v>
      </c>
      <c r="N22" s="11">
        <f t="shared" si="6"/>
        <v>-1.3520378505637375E-2</v>
      </c>
    </row>
    <row r="23" spans="1:14" x14ac:dyDescent="0.2">
      <c r="A23" s="6" t="s">
        <v>31</v>
      </c>
      <c r="B23" s="24">
        <v>1.091</v>
      </c>
      <c r="C23" s="24">
        <v>1.107</v>
      </c>
      <c r="D23" s="24">
        <v>1.103</v>
      </c>
      <c r="E23" s="25">
        <v>1.1004157398807</v>
      </c>
      <c r="F23" s="7">
        <f>Población!E23</f>
        <v>1997217</v>
      </c>
      <c r="G23" s="8">
        <f t="shared" si="0"/>
        <v>2197769.0227573118</v>
      </c>
      <c r="H23" s="21">
        <f t="shared" si="1"/>
        <v>1.5028355544977403</v>
      </c>
      <c r="I23" s="21">
        <f>E23*Población!B23/SUMPRODUCT($E$7:$E$38,Población!$B$7:$B$38)*100</f>
        <v>1.4948455464395201</v>
      </c>
      <c r="J23" s="21">
        <f t="shared" si="2"/>
        <v>7.9900080582202548E-3</v>
      </c>
      <c r="K23" s="8">
        <f t="shared" si="3"/>
        <v>3940662963.348649</v>
      </c>
      <c r="L23" s="8">
        <f t="shared" si="4"/>
        <v>3961725961.4001069</v>
      </c>
      <c r="M23" s="9">
        <f t="shared" si="5"/>
        <v>21062998.051457882</v>
      </c>
      <c r="N23" s="11">
        <f t="shared" si="6"/>
        <v>5.3450392097372425E-3</v>
      </c>
    </row>
    <row r="24" spans="1:14" x14ac:dyDescent="0.2">
      <c r="A24" s="6" t="s">
        <v>32</v>
      </c>
      <c r="B24" s="24">
        <v>1.143</v>
      </c>
      <c r="C24" s="24">
        <v>1.0760000000000001</v>
      </c>
      <c r="D24" s="24">
        <v>1.1619999999999999</v>
      </c>
      <c r="E24" s="25">
        <v>1.1271189355412099</v>
      </c>
      <c r="F24" s="7">
        <f>Población!E24</f>
        <v>1299075</v>
      </c>
      <c r="G24" s="8">
        <f t="shared" si="0"/>
        <v>1464212.0311881972</v>
      </c>
      <c r="H24" s="21">
        <f t="shared" si="1"/>
        <v>1.0012289176013032</v>
      </c>
      <c r="I24" s="21">
        <f>E24*Población!B24/SUMPRODUCT($E$7:$E$38,Población!$B$7:$B$38)*100</f>
        <v>0.96087259911726863</v>
      </c>
      <c r="J24" s="21">
        <f t="shared" si="2"/>
        <v>4.0356318484034537E-2</v>
      </c>
      <c r="K24" s="8">
        <f t="shared" si="3"/>
        <v>2533020935.077035</v>
      </c>
      <c r="L24" s="8">
        <f t="shared" si="4"/>
        <v>2639406942.6253886</v>
      </c>
      <c r="M24" s="9">
        <f t="shared" si="5"/>
        <v>106386007.54835367</v>
      </c>
      <c r="N24" s="11">
        <f t="shared" si="6"/>
        <v>4.1999655855634775E-2</v>
      </c>
    </row>
    <row r="25" spans="1:14" x14ac:dyDescent="0.2">
      <c r="A25" s="6" t="s">
        <v>33</v>
      </c>
      <c r="B25" s="24">
        <v>1.1359999999999999</v>
      </c>
      <c r="C25" s="24">
        <v>1.0589999999999999</v>
      </c>
      <c r="D25" s="24">
        <v>1.107</v>
      </c>
      <c r="E25" s="25">
        <v>1.1007111633086799</v>
      </c>
      <c r="F25" s="7">
        <f>Población!E25</f>
        <v>6291899</v>
      </c>
      <c r="G25" s="8">
        <f t="shared" si="0"/>
        <v>6925563.4677107194</v>
      </c>
      <c r="H25" s="21">
        <f t="shared" si="1"/>
        <v>4.7357037552328958</v>
      </c>
      <c r="I25" s="21">
        <f>E25*Población!B25/SUMPRODUCT($E$7:$E$38,Población!$B$7:$B$38)*100</f>
        <v>4.6359857986034134</v>
      </c>
      <c r="J25" s="21">
        <f t="shared" si="2"/>
        <v>9.9717956629482352E-2</v>
      </c>
      <c r="K25" s="8">
        <f t="shared" si="3"/>
        <v>12221234212.912659</v>
      </c>
      <c r="L25" s="8">
        <f t="shared" si="4"/>
        <v>12484107430.421024</v>
      </c>
      <c r="M25" s="9">
        <f t="shared" si="5"/>
        <v>262873217.50836563</v>
      </c>
      <c r="N25" s="11">
        <f t="shared" si="6"/>
        <v>2.1509547475214916E-2</v>
      </c>
    </row>
    <row r="26" spans="1:14" x14ac:dyDescent="0.2">
      <c r="A26" s="6" t="s">
        <v>34</v>
      </c>
      <c r="B26" s="24">
        <v>1.1379999999999999</v>
      </c>
      <c r="C26" s="24">
        <v>1.1659999999999999</v>
      </c>
      <c r="D26" s="24">
        <v>1.1299999999999999</v>
      </c>
      <c r="E26" s="25">
        <v>1.14463032415916</v>
      </c>
      <c r="F26" s="7">
        <f>Población!E26</f>
        <v>4169180</v>
      </c>
      <c r="G26" s="8">
        <f t="shared" si="0"/>
        <v>4772169.8548778864</v>
      </c>
      <c r="H26" s="21">
        <f t="shared" si="1"/>
        <v>3.2632121281858439</v>
      </c>
      <c r="I26" s="21">
        <f>E26*Población!B26/SUMPRODUCT($E$7:$E$38,Población!$B$7:$B$38)*100</f>
        <v>3.3165582626684587</v>
      </c>
      <c r="J26" s="21">
        <f t="shared" si="2"/>
        <v>-5.3346134482614715E-2</v>
      </c>
      <c r="K26" s="8">
        <f t="shared" si="3"/>
        <v>8743002474.4796009</v>
      </c>
      <c r="L26" s="8">
        <f t="shared" si="4"/>
        <v>8602373138.6300449</v>
      </c>
      <c r="M26" s="9">
        <f t="shared" si="5"/>
        <v>-140629335.84955597</v>
      </c>
      <c r="N26" s="11">
        <f t="shared" si="6"/>
        <v>-1.6084787378254344E-2</v>
      </c>
    </row>
    <row r="27" spans="1:14" x14ac:dyDescent="0.2">
      <c r="A27" s="6" t="s">
        <v>35</v>
      </c>
      <c r="B27" s="24">
        <v>1.129</v>
      </c>
      <c r="C27" s="24">
        <v>1.0649999999999999</v>
      </c>
      <c r="D27" s="24">
        <v>1.085</v>
      </c>
      <c r="E27" s="25">
        <v>1.0928674955631399</v>
      </c>
      <c r="F27" s="7">
        <f>Población!E27</f>
        <v>6851933</v>
      </c>
      <c r="G27" s="8">
        <f t="shared" si="0"/>
        <v>7488254.8574764319</v>
      </c>
      <c r="H27" s="21">
        <f t="shared" si="1"/>
        <v>5.1204724083503796</v>
      </c>
      <c r="I27" s="21">
        <f>E27*Población!B27/SUMPRODUCT($E$7:$E$38,Población!$B$7:$B$38)*100</f>
        <v>4.9600404061616734</v>
      </c>
      <c r="J27" s="21">
        <f t="shared" si="2"/>
        <v>0.16043200218870624</v>
      </c>
      <c r="K27" s="8">
        <f t="shared" si="3"/>
        <v>13075496376.083229</v>
      </c>
      <c r="L27" s="8">
        <f t="shared" si="4"/>
        <v>13498421975.7659</v>
      </c>
      <c r="M27" s="9">
        <f t="shared" si="5"/>
        <v>422925599.68267059</v>
      </c>
      <c r="N27" s="11">
        <f t="shared" si="6"/>
        <v>3.2344898236999715E-2</v>
      </c>
    </row>
    <row r="28" spans="1:14" x14ac:dyDescent="0.2">
      <c r="A28" s="6" t="s">
        <v>36</v>
      </c>
      <c r="B28" s="24">
        <v>1.091</v>
      </c>
      <c r="C28" s="24">
        <v>1.069</v>
      </c>
      <c r="D28" s="24">
        <v>1.091</v>
      </c>
      <c r="E28" s="25">
        <v>1.0839491076482499</v>
      </c>
      <c r="F28" s="7">
        <f>Población!E28</f>
        <v>2606836</v>
      </c>
      <c r="G28" s="8">
        <f t="shared" si="0"/>
        <v>2825677.5559853334</v>
      </c>
      <c r="H28" s="21">
        <f t="shared" si="1"/>
        <v>1.9321997228595758</v>
      </c>
      <c r="I28" s="21">
        <f>E28*Población!B28/SUMPRODUCT($E$7:$E$38,Población!$B$7:$B$38)*100</f>
        <v>1.8764818758848993</v>
      </c>
      <c r="J28" s="21">
        <f t="shared" si="2"/>
        <v>5.571784697467641E-2</v>
      </c>
      <c r="K28" s="8">
        <f t="shared" si="3"/>
        <v>4946720179.4240999</v>
      </c>
      <c r="L28" s="8">
        <f t="shared" si="4"/>
        <v>5093601746.2144642</v>
      </c>
      <c r="M28" s="9">
        <f t="shared" si="5"/>
        <v>146881566.79036427</v>
      </c>
      <c r="N28" s="11">
        <f t="shared" si="6"/>
        <v>2.9692717894438149E-2</v>
      </c>
    </row>
    <row r="29" spans="1:14" x14ac:dyDescent="0.2">
      <c r="A29" s="6" t="s">
        <v>37</v>
      </c>
      <c r="B29" s="24">
        <v>1.349</v>
      </c>
      <c r="C29" s="24">
        <v>1.0980000000000001</v>
      </c>
      <c r="D29" s="24">
        <v>1.069</v>
      </c>
      <c r="E29" s="25">
        <v>1.1717463849847001</v>
      </c>
      <c r="F29" s="7">
        <f>Población!E29</f>
        <v>2100792</v>
      </c>
      <c r="G29" s="8">
        <f t="shared" si="0"/>
        <v>2461595.4316047779</v>
      </c>
      <c r="H29" s="21">
        <f t="shared" si="1"/>
        <v>1.6832401845229636</v>
      </c>
      <c r="I29" s="21">
        <f>E29*Población!B29/SUMPRODUCT($E$7:$E$38,Población!$B$7:$B$38)*100</f>
        <v>1.5283028641307301</v>
      </c>
      <c r="J29" s="21">
        <f t="shared" si="2"/>
        <v>0.15493732039223351</v>
      </c>
      <c r="K29" s="8">
        <f t="shared" si="3"/>
        <v>4028862050.5337915</v>
      </c>
      <c r="L29" s="8">
        <f t="shared" si="4"/>
        <v>4437302749.6845522</v>
      </c>
      <c r="M29" s="9">
        <f t="shared" si="5"/>
        <v>408440699.15076065</v>
      </c>
      <c r="N29" s="11">
        <f t="shared" si="6"/>
        <v>0.10137867567261222</v>
      </c>
    </row>
    <row r="30" spans="1:14" x14ac:dyDescent="0.2">
      <c r="A30" s="6" t="s">
        <v>38</v>
      </c>
      <c r="B30" s="24">
        <v>1.222</v>
      </c>
      <c r="C30" s="24">
        <v>1.0629999999999999</v>
      </c>
      <c r="D30" s="24">
        <v>1.1830000000000001</v>
      </c>
      <c r="E30" s="25">
        <v>1.1561611045995299</v>
      </c>
      <c r="F30" s="7">
        <f>Población!E30</f>
        <v>2889524</v>
      </c>
      <c r="G30" s="8">
        <f t="shared" si="0"/>
        <v>3340755.2596068522</v>
      </c>
      <c r="H30" s="21">
        <f t="shared" si="1"/>
        <v>2.2844101136313566</v>
      </c>
      <c r="I30" s="21">
        <f>E30*Población!B30/SUMPRODUCT($E$7:$E$38,Población!$B$7:$B$38)*100</f>
        <v>2.2838826827849892</v>
      </c>
      <c r="J30" s="21">
        <f t="shared" si="2"/>
        <v>5.27430846367416E-4</v>
      </c>
      <c r="K30" s="8">
        <f t="shared" si="3"/>
        <v>6020696868.730505</v>
      </c>
      <c r="L30" s="8">
        <f t="shared" si="4"/>
        <v>6022087264.6860991</v>
      </c>
      <c r="M30" s="9">
        <f t="shared" si="5"/>
        <v>1390395.9555940628</v>
      </c>
      <c r="N30" s="11">
        <f t="shared" si="6"/>
        <v>2.3093605041225651E-4</v>
      </c>
    </row>
    <row r="31" spans="1:14" x14ac:dyDescent="0.2">
      <c r="A31" s="6" t="s">
        <v>39</v>
      </c>
      <c r="B31" s="24">
        <v>1.0609999999999999</v>
      </c>
      <c r="C31" s="24">
        <v>1.0389999999999999</v>
      </c>
      <c r="D31" s="24">
        <v>1.05</v>
      </c>
      <c r="E31" s="25">
        <v>1.0500444145718699</v>
      </c>
      <c r="F31" s="7">
        <f>Población!E31</f>
        <v>3102935</v>
      </c>
      <c r="G31" s="8">
        <f t="shared" si="0"/>
        <v>3258219.5655295653</v>
      </c>
      <c r="H31" s="21">
        <f t="shared" si="1"/>
        <v>2.227972164834136</v>
      </c>
      <c r="I31" s="21">
        <f>E31*Población!B31/SUMPRODUCT($E$7:$E$38,Población!$B$7:$B$38)*100</f>
        <v>2.2605423054272578</v>
      </c>
      <c r="J31" s="21">
        <f t="shared" si="2"/>
        <v>-3.2570140593121799E-2</v>
      </c>
      <c r="K31" s="8">
        <f t="shared" si="3"/>
        <v>5959167728.9319038</v>
      </c>
      <c r="L31" s="8">
        <f t="shared" si="4"/>
        <v>5873307389.0111151</v>
      </c>
      <c r="M31" s="9">
        <f t="shared" si="5"/>
        <v>-85860339.920788765</v>
      </c>
      <c r="N31" s="11">
        <f t="shared" si="6"/>
        <v>-1.4408109290821725E-2</v>
      </c>
    </row>
    <row r="32" spans="1:14" x14ac:dyDescent="0.2">
      <c r="A32" s="6" t="s">
        <v>40</v>
      </c>
      <c r="B32" s="24">
        <v>1.121</v>
      </c>
      <c r="C32" s="24">
        <v>1.0860000000000001</v>
      </c>
      <c r="D32" s="24">
        <v>1.1990000000000001</v>
      </c>
      <c r="E32" s="25">
        <v>1.1356165981030599</v>
      </c>
      <c r="F32" s="7">
        <f>Población!E32</f>
        <v>3049889</v>
      </c>
      <c r="G32" s="8">
        <f t="shared" si="0"/>
        <v>3463504.5707719433</v>
      </c>
      <c r="H32" s="21">
        <f t="shared" si="1"/>
        <v>2.3683461538607196</v>
      </c>
      <c r="I32" s="21">
        <f>E32*Población!B32/SUMPRODUCT($E$7:$E$38,Población!$B$7:$B$38)*100</f>
        <v>2.3651349954700334</v>
      </c>
      <c r="J32" s="21">
        <f t="shared" si="2"/>
        <v>3.2111583906861974E-3</v>
      </c>
      <c r="K32" s="8">
        <f t="shared" si="3"/>
        <v>6234891559.31042</v>
      </c>
      <c r="L32" s="8">
        <f t="shared" si="4"/>
        <v>6243356710.0878792</v>
      </c>
      <c r="M32" s="9">
        <f t="shared" si="5"/>
        <v>8465150.7774591446</v>
      </c>
      <c r="N32" s="11">
        <f t="shared" si="6"/>
        <v>1.3577061761111675E-3</v>
      </c>
    </row>
    <row r="33" spans="1:14" x14ac:dyDescent="0.2">
      <c r="A33" s="6" t="s">
        <v>41</v>
      </c>
      <c r="B33" s="24">
        <v>1.1879999999999999</v>
      </c>
      <c r="C33" s="24">
        <v>1.0449999999999999</v>
      </c>
      <c r="D33" s="24">
        <v>1.109</v>
      </c>
      <c r="E33" s="25">
        <v>1.11401510377788</v>
      </c>
      <c r="F33" s="7">
        <f>Población!E33</f>
        <v>2527009</v>
      </c>
      <c r="G33" s="8">
        <f t="shared" si="0"/>
        <v>2815126.1933826366</v>
      </c>
      <c r="H33" s="21">
        <f t="shared" si="1"/>
        <v>1.924984695846484</v>
      </c>
      <c r="I33" s="21">
        <f>E33*Población!B33/SUMPRODUCT($E$7:$E$38,Población!$B$7:$B$38)*100</f>
        <v>1.9479033867777242</v>
      </c>
      <c r="J33" s="21">
        <f t="shared" si="2"/>
        <v>-2.2918690931240215E-2</v>
      </c>
      <c r="K33" s="8">
        <f t="shared" si="3"/>
        <v>5134999231.6861353</v>
      </c>
      <c r="L33" s="8">
        <f t="shared" si="4"/>
        <v>5074581727.8602133</v>
      </c>
      <c r="M33" s="9">
        <f t="shared" si="5"/>
        <v>-60417503.825922012</v>
      </c>
      <c r="N33" s="11">
        <f t="shared" si="6"/>
        <v>-1.1765825290315231E-2</v>
      </c>
    </row>
    <row r="34" spans="1:14" x14ac:dyDescent="0.2">
      <c r="A34" s="6" t="s">
        <v>42</v>
      </c>
      <c r="B34" s="24">
        <v>1.1000000000000001</v>
      </c>
      <c r="C34" s="24">
        <v>1.103</v>
      </c>
      <c r="D34" s="24">
        <v>1.1040000000000001</v>
      </c>
      <c r="E34" s="25">
        <v>1.1025118388692401</v>
      </c>
      <c r="F34" s="7">
        <f>Población!E34</f>
        <v>3620715</v>
      </c>
      <c r="G34" s="8">
        <f t="shared" si="0"/>
        <v>3991881.1526714405</v>
      </c>
      <c r="H34" s="21">
        <f t="shared" si="1"/>
        <v>2.7296503242354224</v>
      </c>
      <c r="I34" s="21">
        <f>E34*Población!B34/SUMPRODUCT($E$7:$E$38,Población!$B$7:$B$38)*100</f>
        <v>2.6944771305138686</v>
      </c>
      <c r="J34" s="21">
        <f t="shared" si="2"/>
        <v>3.5173193721553808E-2</v>
      </c>
      <c r="K34" s="8">
        <f t="shared" si="3"/>
        <v>7103092529.5903406</v>
      </c>
      <c r="L34" s="8">
        <f t="shared" si="4"/>
        <v>7195814953.0750618</v>
      </c>
      <c r="M34" s="9">
        <f t="shared" si="5"/>
        <v>92722423.484721184</v>
      </c>
      <c r="N34" s="11">
        <f t="shared" si="6"/>
        <v>1.3053810449245098E-2</v>
      </c>
    </row>
    <row r="35" spans="1:14" x14ac:dyDescent="0.2">
      <c r="A35" s="6" t="s">
        <v>43</v>
      </c>
      <c r="B35" s="24">
        <v>1.1850000000000001</v>
      </c>
      <c r="C35" s="24">
        <v>1.0489999999999999</v>
      </c>
      <c r="D35" s="24">
        <v>1.091</v>
      </c>
      <c r="E35" s="25">
        <v>1.1084558346626501</v>
      </c>
      <c r="F35" s="7">
        <f>Población!E35</f>
        <v>1419482</v>
      </c>
      <c r="G35" s="8">
        <f t="shared" si="0"/>
        <v>1573433.1050986079</v>
      </c>
      <c r="H35" s="21">
        <f t="shared" si="1"/>
        <v>1.0759143424450204</v>
      </c>
      <c r="I35" s="21">
        <f>E35*Población!B35/SUMPRODUCT($E$7:$E$38,Población!$B$7:$B$38)*100</f>
        <v>1.1205929289625967</v>
      </c>
      <c r="J35" s="21">
        <f t="shared" si="2"/>
        <v>-4.467858651757628E-2</v>
      </c>
      <c r="K35" s="8">
        <f t="shared" si="3"/>
        <v>2954070447.3925066</v>
      </c>
      <c r="L35" s="8">
        <f t="shared" si="4"/>
        <v>2836290218.1481299</v>
      </c>
      <c r="M35" s="9">
        <f t="shared" si="5"/>
        <v>-117780229.24437666</v>
      </c>
      <c r="N35" s="11">
        <f t="shared" si="6"/>
        <v>-3.9870487634558173E-2</v>
      </c>
    </row>
    <row r="36" spans="1:14" x14ac:dyDescent="0.2">
      <c r="A36" s="6" t="s">
        <v>44</v>
      </c>
      <c r="B36" s="24">
        <v>1.054</v>
      </c>
      <c r="C36" s="24">
        <v>1.08</v>
      </c>
      <c r="D36" s="24">
        <v>1.073</v>
      </c>
      <c r="E36" s="25">
        <v>1.0690612512278099</v>
      </c>
      <c r="F36" s="7">
        <f>Población!E36</f>
        <v>7917876</v>
      </c>
      <c r="G36" s="8">
        <f t="shared" si="0"/>
        <v>8464694.4236266464</v>
      </c>
      <c r="H36" s="21">
        <f t="shared" si="1"/>
        <v>5.7881622709492531</v>
      </c>
      <c r="I36" s="21">
        <f>E36*Población!B36/SUMPRODUCT($E$7:$E$38,Población!$B$7:$B$38)*100</f>
        <v>5.9378998724049685</v>
      </c>
      <c r="J36" s="21">
        <f t="shared" si="2"/>
        <v>-0.14973760145571546</v>
      </c>
      <c r="K36" s="8">
        <f t="shared" si="3"/>
        <v>15653297534.980909</v>
      </c>
      <c r="L36" s="8">
        <f t="shared" si="4"/>
        <v>15258564164.912918</v>
      </c>
      <c r="M36" s="9">
        <f t="shared" si="5"/>
        <v>-394733370.06799126</v>
      </c>
      <c r="N36" s="11">
        <f t="shared" si="6"/>
        <v>-2.5217266150206905E-2</v>
      </c>
    </row>
    <row r="37" spans="1:14" x14ac:dyDescent="0.2">
      <c r="A37" s="6" t="s">
        <v>45</v>
      </c>
      <c r="B37" s="24">
        <v>1.099</v>
      </c>
      <c r="C37" s="24">
        <v>1.042</v>
      </c>
      <c r="D37" s="24">
        <v>1.1850000000000001</v>
      </c>
      <c r="E37" s="25">
        <v>1.1083050006492099</v>
      </c>
      <c r="F37" s="7">
        <f>Población!E37</f>
        <v>2506448</v>
      </c>
      <c r="G37" s="8">
        <f t="shared" si="0"/>
        <v>2777908.8522672108</v>
      </c>
      <c r="H37" s="21">
        <f t="shared" si="1"/>
        <v>1.8995354594194633</v>
      </c>
      <c r="I37" s="21">
        <f>E37*Población!B37/SUMPRODUCT($E$7:$E$38,Población!$B$7:$B$38)*100</f>
        <v>1.8224927711539329</v>
      </c>
      <c r="J37" s="21">
        <f t="shared" si="2"/>
        <v>7.7042688265530401E-2</v>
      </c>
      <c r="K37" s="8">
        <f t="shared" si="3"/>
        <v>4804395866.4243965</v>
      </c>
      <c r="L37" s="8">
        <f t="shared" si="4"/>
        <v>5007493282.7212954</v>
      </c>
      <c r="M37" s="9">
        <f t="shared" si="5"/>
        <v>203097416.29689884</v>
      </c>
      <c r="N37" s="11">
        <f t="shared" si="6"/>
        <v>4.2273247655599873E-2</v>
      </c>
    </row>
    <row r="38" spans="1:14" x14ac:dyDescent="0.2">
      <c r="A38" s="6" t="s">
        <v>46</v>
      </c>
      <c r="B38" s="24">
        <v>1.171</v>
      </c>
      <c r="C38" s="24">
        <v>1.016</v>
      </c>
      <c r="D38" s="24">
        <v>1.1259999999999999</v>
      </c>
      <c r="E38" s="25">
        <v>1.1042330447919899</v>
      </c>
      <c r="F38" s="7">
        <f>Población!E38</f>
        <v>1686419</v>
      </c>
      <c r="G38" s="8">
        <f t="shared" si="0"/>
        <v>1862199.5871650628</v>
      </c>
      <c r="H38" s="21">
        <f t="shared" si="1"/>
        <v>1.2733730069830469</v>
      </c>
      <c r="I38" s="21">
        <f>E38*Población!B38/SUMPRODUCT($E$7:$E$38,Población!$B$7:$B$38)*100</f>
        <v>1.281847506138575</v>
      </c>
      <c r="J38" s="21">
        <f t="shared" si="2"/>
        <v>-8.4744991555281146E-3</v>
      </c>
      <c r="K38" s="8">
        <f t="shared" si="3"/>
        <v>3379164492.366827</v>
      </c>
      <c r="L38" s="8">
        <f t="shared" si="4"/>
        <v>3356824294.7225547</v>
      </c>
      <c r="M38" s="9">
        <f t="shared" si="5"/>
        <v>-22340197.644272327</v>
      </c>
      <c r="N38" s="11">
        <f t="shared" si="6"/>
        <v>-6.6111601535635382E-3</v>
      </c>
    </row>
    <row r="39" spans="1:14" x14ac:dyDescent="0.2">
      <c r="A39" s="13" t="s">
        <v>47</v>
      </c>
      <c r="B39" s="22"/>
      <c r="C39" s="22"/>
      <c r="D39" s="22"/>
      <c r="E39" s="22"/>
      <c r="F39" s="14">
        <f t="shared" ref="F39:M39" si="7">SUM(F7:F38)</f>
        <v>130911314</v>
      </c>
      <c r="G39" s="14">
        <f t="shared" si="7"/>
        <v>146241484.38461876</v>
      </c>
      <c r="H39" s="23">
        <f t="shared" si="7"/>
        <v>100.00000000000003</v>
      </c>
      <c r="I39" s="23">
        <f t="shared" si="7"/>
        <v>100.00000000000001</v>
      </c>
      <c r="J39" s="23">
        <f t="shared" si="7"/>
        <v>3.219646771412954E-14</v>
      </c>
      <c r="K39" s="14">
        <f t="shared" si="7"/>
        <v>263616731021.78812</v>
      </c>
      <c r="L39" s="14">
        <f t="shared" si="7"/>
        <v>263616731021.78827</v>
      </c>
      <c r="M39" s="14">
        <f t="shared" si="7"/>
        <v>8.3446502685546875E-5</v>
      </c>
      <c r="N39" s="15">
        <f t="shared" si="6"/>
        <v>3.1654478971082439E-16</v>
      </c>
    </row>
    <row r="41" spans="1:14" x14ac:dyDescent="0.2">
      <c r="A41" s="2" t="s">
        <v>87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39"/>
  <sheetViews>
    <sheetView showGridLines="0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baseColWidth="10" defaultColWidth="8.6640625" defaultRowHeight="15" x14ac:dyDescent="0.2"/>
  <cols>
    <col min="1" max="1" width="24" customWidth="1"/>
    <col min="2" max="5" width="16" customWidth="1"/>
    <col min="6" max="6" width="14" customWidth="1"/>
    <col min="7" max="7" width="15" customWidth="1"/>
    <col min="8" max="9" width="17" customWidth="1"/>
    <col min="10" max="10" width="15" customWidth="1"/>
    <col min="11" max="11" width="10" customWidth="1"/>
  </cols>
  <sheetData>
    <row r="1" spans="1:11" ht="17" x14ac:dyDescent="0.2">
      <c r="A1" s="1" t="s">
        <v>88</v>
      </c>
    </row>
    <row r="2" spans="1:11" x14ac:dyDescent="0.2">
      <c r="A2" s="2" t="s">
        <v>89</v>
      </c>
    </row>
    <row r="3" spans="1:11" x14ac:dyDescent="0.2">
      <c r="A3" s="3" t="s">
        <v>90</v>
      </c>
      <c r="F3" s="19">
        <f>'Cuadro 7'!F50</f>
        <v>87872243673.929398</v>
      </c>
    </row>
    <row r="4" spans="1:11" x14ac:dyDescent="0.2">
      <c r="A4" s="2" t="s">
        <v>65</v>
      </c>
    </row>
    <row r="6" spans="1:11" ht="61.5" customHeight="1" x14ac:dyDescent="0.2">
      <c r="A6" s="5" t="s">
        <v>4</v>
      </c>
      <c r="B6" s="5" t="s">
        <v>91</v>
      </c>
      <c r="C6" s="16" t="s">
        <v>92</v>
      </c>
      <c r="D6" s="16" t="s">
        <v>93</v>
      </c>
      <c r="E6" s="16" t="s">
        <v>94</v>
      </c>
      <c r="F6" s="17" t="s">
        <v>72</v>
      </c>
      <c r="G6" s="17" t="s">
        <v>73</v>
      </c>
      <c r="H6" s="17" t="s">
        <v>74</v>
      </c>
      <c r="I6" s="17" t="s">
        <v>75</v>
      </c>
      <c r="J6" s="17" t="s">
        <v>76</v>
      </c>
      <c r="K6" s="17" t="s">
        <v>58</v>
      </c>
    </row>
    <row r="7" spans="1:11" x14ac:dyDescent="0.2">
      <c r="A7" s="6" t="s">
        <v>15</v>
      </c>
      <c r="B7" s="18">
        <v>5999239609</v>
      </c>
      <c r="C7" s="7">
        <f>Población!E7</f>
        <v>1539174</v>
      </c>
      <c r="D7" s="8">
        <f t="shared" ref="D7:D38" si="0">B7*C7</f>
        <v>9233873625942966</v>
      </c>
      <c r="E7" s="21">
        <f t="shared" ref="E7:E38" si="1">D7/D$39*100</f>
        <v>0.25267133564607658</v>
      </c>
      <c r="F7" s="21">
        <f>B7*Población!B7/SUMPRODUCT($B$7:$B$38,Población!$B$7:$B$38)*100</f>
        <v>0.24627694632460337</v>
      </c>
      <c r="G7" s="21">
        <f t="shared" ref="G7:G38" si="2">E7-F7</f>
        <v>6.3943893214732095E-3</v>
      </c>
      <c r="H7" s="8">
        <f t="shared" ref="H7:H38" si="3">F7/100*$F$3</f>
        <v>216409078.38706776</v>
      </c>
      <c r="I7" s="8">
        <f t="shared" ref="I7:I38" si="4">E7/100*$F$3</f>
        <v>222027971.75309244</v>
      </c>
      <c r="J7" s="9">
        <f t="shared" ref="J7:J38" si="5">I7-H7</f>
        <v>5618893.366024673</v>
      </c>
      <c r="K7" s="11">
        <f t="shared" ref="K7:K39" si="6">J7/H7</f>
        <v>2.59642220553001E-2</v>
      </c>
    </row>
    <row r="8" spans="1:11" x14ac:dyDescent="0.2">
      <c r="A8" s="6" t="s">
        <v>16</v>
      </c>
      <c r="B8" s="18">
        <v>32050362891</v>
      </c>
      <c r="C8" s="7">
        <f>Población!E8</f>
        <v>4009678</v>
      </c>
      <c r="D8" s="8">
        <f t="shared" si="0"/>
        <v>1.285116349760591E+17</v>
      </c>
      <c r="E8" s="21">
        <f t="shared" si="1"/>
        <v>3.5165313898419237</v>
      </c>
      <c r="F8" s="21">
        <f>B8*Población!B8/SUMPRODUCT($B$7:$B$38,Población!$B$7:$B$38)*100</f>
        <v>3.3062300484875773</v>
      </c>
      <c r="G8" s="21">
        <f t="shared" si="2"/>
        <v>0.21030134135434642</v>
      </c>
      <c r="H8" s="8">
        <f t="shared" si="3"/>
        <v>2905258524.6276779</v>
      </c>
      <c r="I8" s="8">
        <f t="shared" si="4"/>
        <v>3090055031.7521114</v>
      </c>
      <c r="J8" s="9">
        <f t="shared" si="5"/>
        <v>184796507.12443352</v>
      </c>
      <c r="K8" s="11">
        <f t="shared" si="6"/>
        <v>6.3607594834651088E-2</v>
      </c>
    </row>
    <row r="9" spans="1:11" x14ac:dyDescent="0.2">
      <c r="A9" s="6" t="s">
        <v>17</v>
      </c>
      <c r="B9" s="18">
        <v>6240882605</v>
      </c>
      <c r="C9" s="7">
        <f>Población!E9</f>
        <v>961514</v>
      </c>
      <c r="D9" s="8">
        <f t="shared" si="0"/>
        <v>6000695997063970</v>
      </c>
      <c r="E9" s="21">
        <f t="shared" si="1"/>
        <v>0.1642001974257454</v>
      </c>
      <c r="F9" s="21">
        <f>B9*Población!B9/SUMPRODUCT($B$7:$B$38,Población!$B$7:$B$38)*100</f>
        <v>0.15014414190784511</v>
      </c>
      <c r="G9" s="21">
        <f t="shared" si="2"/>
        <v>1.405605551790029E-2</v>
      </c>
      <c r="H9" s="8">
        <f t="shared" si="3"/>
        <v>131935026.239392</v>
      </c>
      <c r="I9" s="8">
        <f t="shared" si="4"/>
        <v>144286397.59502414</v>
      </c>
      <c r="J9" s="9">
        <f t="shared" si="5"/>
        <v>12351371.355632141</v>
      </c>
      <c r="K9" s="11">
        <f t="shared" si="6"/>
        <v>9.3617075826558468E-2</v>
      </c>
    </row>
    <row r="10" spans="1:11" x14ac:dyDescent="0.2">
      <c r="A10" s="6" t="s">
        <v>18</v>
      </c>
      <c r="B10" s="18">
        <v>3313630825</v>
      </c>
      <c r="C10" s="7">
        <f>Población!E10</f>
        <v>968673</v>
      </c>
      <c r="D10" s="8">
        <f t="shared" si="0"/>
        <v>3209824712145225</v>
      </c>
      <c r="E10" s="21">
        <f t="shared" si="1"/>
        <v>8.7832120089762933E-2</v>
      </c>
      <c r="F10" s="21">
        <f>B10*Población!B10/SUMPRODUCT($B$7:$B$38,Población!$B$7:$B$38)*100</f>
        <v>8.3774225869274077E-2</v>
      </c>
      <c r="G10" s="21">
        <f t="shared" si="2"/>
        <v>4.0578942204888557E-3</v>
      </c>
      <c r="H10" s="8">
        <f t="shared" si="3"/>
        <v>73614291.891796514</v>
      </c>
      <c r="I10" s="8">
        <f t="shared" si="4"/>
        <v>77180054.589254782</v>
      </c>
      <c r="J10" s="9">
        <f t="shared" si="5"/>
        <v>3565762.6974582672</v>
      </c>
      <c r="K10" s="11">
        <f t="shared" si="6"/>
        <v>4.8438456797213737E-2</v>
      </c>
    </row>
    <row r="11" spans="1:11" x14ac:dyDescent="0.2">
      <c r="A11" s="6" t="s">
        <v>19</v>
      </c>
      <c r="B11" s="18">
        <v>16399735233</v>
      </c>
      <c r="C11" s="7">
        <f>Población!E11</f>
        <v>3415128</v>
      </c>
      <c r="D11" s="8">
        <f t="shared" si="0"/>
        <v>5.6007194986804824E+16</v>
      </c>
      <c r="E11" s="21">
        <f t="shared" si="1"/>
        <v>1.5325543034666638</v>
      </c>
      <c r="F11" s="21">
        <f>B11*Población!B11/SUMPRODUCT($B$7:$B$38,Población!$B$7:$B$38)*100</f>
        <v>1.5461003007885787</v>
      </c>
      <c r="G11" s="21">
        <f t="shared" si="2"/>
        <v>-1.3545997321914971E-2</v>
      </c>
      <c r="H11" s="8">
        <f t="shared" si="3"/>
        <v>1358593023.7522953</v>
      </c>
      <c r="I11" s="8">
        <f t="shared" si="4"/>
        <v>1346689851.9775183</v>
      </c>
      <c r="J11" s="9">
        <f t="shared" si="5"/>
        <v>-11903171.774776936</v>
      </c>
      <c r="K11" s="11">
        <f t="shared" si="6"/>
        <v>-8.7613962140785841E-3</v>
      </c>
    </row>
    <row r="12" spans="1:11" x14ac:dyDescent="0.2">
      <c r="A12" s="6" t="s">
        <v>20</v>
      </c>
      <c r="B12" s="18">
        <v>3126852128</v>
      </c>
      <c r="C12" s="7">
        <f>Población!E12</f>
        <v>762212</v>
      </c>
      <c r="D12" s="8">
        <f t="shared" si="0"/>
        <v>2383324214187136</v>
      </c>
      <c r="E12" s="21">
        <f t="shared" si="1"/>
        <v>6.521615270804651E-2</v>
      </c>
      <c r="F12" s="21">
        <f>B12*Población!B12/SUMPRODUCT($B$7:$B$38,Población!$B$7:$B$38)*100</f>
        <v>6.2216709532941838E-2</v>
      </c>
      <c r="G12" s="21">
        <f t="shared" si="2"/>
        <v>2.9994431751046713E-3</v>
      </c>
      <c r="H12" s="8">
        <f t="shared" si="3"/>
        <v>54671218.606687509</v>
      </c>
      <c r="I12" s="8">
        <f t="shared" si="4"/>
        <v>57306896.622376531</v>
      </c>
      <c r="J12" s="9">
        <f t="shared" si="5"/>
        <v>2635678.0156890228</v>
      </c>
      <c r="K12" s="11">
        <f t="shared" si="6"/>
        <v>4.8209607959362751E-2</v>
      </c>
    </row>
    <row r="13" spans="1:11" x14ac:dyDescent="0.2">
      <c r="A13" s="6" t="s">
        <v>21</v>
      </c>
      <c r="B13" s="18">
        <v>8053623880</v>
      </c>
      <c r="C13" s="7">
        <f>Población!E13</f>
        <v>5860728</v>
      </c>
      <c r="D13" s="8">
        <f t="shared" si="0"/>
        <v>4.720009897498464E+16</v>
      </c>
      <c r="E13" s="21">
        <f t="shared" si="1"/>
        <v>1.2915611079113594</v>
      </c>
      <c r="F13" s="21">
        <f>B13*Población!B13/SUMPRODUCT($B$7:$B$38,Población!$B$7:$B$38)*100</f>
        <v>1.3138511098178276</v>
      </c>
      <c r="G13" s="21">
        <f t="shared" si="2"/>
        <v>-2.2290001906468238E-2</v>
      </c>
      <c r="H13" s="8">
        <f t="shared" si="3"/>
        <v>1154510448.7317472</v>
      </c>
      <c r="I13" s="8">
        <f t="shared" si="4"/>
        <v>1134923723.941572</v>
      </c>
      <c r="J13" s="9">
        <f t="shared" si="5"/>
        <v>-19586724.7901752</v>
      </c>
      <c r="K13" s="11">
        <f t="shared" si="6"/>
        <v>-1.6965394130206105E-2</v>
      </c>
    </row>
    <row r="14" spans="1:11" x14ac:dyDescent="0.2">
      <c r="A14" s="6" t="s">
        <v>22</v>
      </c>
      <c r="B14" s="18">
        <v>29378013855</v>
      </c>
      <c r="C14" s="7">
        <f>Población!E14</f>
        <v>3903944</v>
      </c>
      <c r="D14" s="8">
        <f t="shared" si="0"/>
        <v>1.1469012092114413E+17</v>
      </c>
      <c r="E14" s="21">
        <f t="shared" si="1"/>
        <v>3.1383260387209582</v>
      </c>
      <c r="F14" s="21">
        <f>B14*Población!B14/SUMPRODUCT($B$7:$B$38,Población!$B$7:$B$38)*100</f>
        <v>3.189175959887411</v>
      </c>
      <c r="G14" s="21">
        <f t="shared" si="2"/>
        <v>-5.0849921166452816E-2</v>
      </c>
      <c r="H14" s="8">
        <f t="shared" si="3"/>
        <v>2802400470.6626425</v>
      </c>
      <c r="I14" s="8">
        <f t="shared" si="4"/>
        <v>2757717504.027256</v>
      </c>
      <c r="J14" s="9">
        <f t="shared" si="5"/>
        <v>-44682966.635386467</v>
      </c>
      <c r="K14" s="11">
        <f t="shared" si="6"/>
        <v>-1.5944532947077667E-2</v>
      </c>
    </row>
    <row r="15" spans="1:11" x14ac:dyDescent="0.2">
      <c r="A15" s="6" t="s">
        <v>23</v>
      </c>
      <c r="B15" s="18">
        <v>103599810122</v>
      </c>
      <c r="C15" s="7">
        <f>Población!E15</f>
        <v>9216407</v>
      </c>
      <c r="D15" s="8">
        <f t="shared" si="0"/>
        <v>9.5481801520707162E+17</v>
      </c>
      <c r="E15" s="21">
        <f t="shared" si="1"/>
        <v>26.127187026199916</v>
      </c>
      <c r="F15" s="21">
        <f>B15*Población!B15/SUMPRODUCT($B$7:$B$38,Población!$B$7:$B$38)*100</f>
        <v>26.449713834919841</v>
      </c>
      <c r="G15" s="21">
        <f t="shared" si="2"/>
        <v>-0.32252680871992467</v>
      </c>
      <c r="H15" s="8">
        <f t="shared" si="3"/>
        <v>23241956992.077778</v>
      </c>
      <c r="I15" s="8">
        <f t="shared" si="4"/>
        <v>22958545448.805656</v>
      </c>
      <c r="J15" s="9">
        <f t="shared" si="5"/>
        <v>-283411543.27212143</v>
      </c>
      <c r="K15" s="11">
        <f t="shared" si="6"/>
        <v>-1.2193962124993378E-2</v>
      </c>
    </row>
    <row r="16" spans="1:11" x14ac:dyDescent="0.2">
      <c r="A16" s="6" t="s">
        <v>24</v>
      </c>
      <c r="B16" s="18">
        <v>5695831479</v>
      </c>
      <c r="C16" s="7">
        <f>Población!E16</f>
        <v>1943290</v>
      </c>
      <c r="D16" s="8">
        <f t="shared" si="0"/>
        <v>1.106865235482591E+16</v>
      </c>
      <c r="E16" s="21">
        <f t="shared" si="1"/>
        <v>0.3028773500254992</v>
      </c>
      <c r="F16" s="21">
        <f>B16*Población!B16/SUMPRODUCT($B$7:$B$38,Población!$B$7:$B$38)*100</f>
        <v>0.3024100171132813</v>
      </c>
      <c r="G16" s="21">
        <f t="shared" si="2"/>
        <v>4.673329122178993E-4</v>
      </c>
      <c r="H16" s="8">
        <f t="shared" si="3"/>
        <v>265734467.13215411</v>
      </c>
      <c r="I16" s="8">
        <f t="shared" si="4"/>
        <v>266145123.04754674</v>
      </c>
      <c r="J16" s="9">
        <f t="shared" si="5"/>
        <v>410655.91539263725</v>
      </c>
      <c r="K16" s="11">
        <f t="shared" si="6"/>
        <v>1.5453618788126996E-3</v>
      </c>
    </row>
    <row r="17" spans="1:11" x14ac:dyDescent="0.2">
      <c r="A17" s="6" t="s">
        <v>25</v>
      </c>
      <c r="B17" s="18">
        <v>22628728014</v>
      </c>
      <c r="C17" s="7">
        <f>Población!E17</f>
        <v>6446935</v>
      </c>
      <c r="D17" s="8">
        <f t="shared" si="0"/>
        <v>1.4588593863893709E+17</v>
      </c>
      <c r="E17" s="21">
        <f t="shared" si="1"/>
        <v>3.9919535896959526</v>
      </c>
      <c r="F17" s="21">
        <f>B17*Población!B17/SUMPRODUCT($B$7:$B$38,Población!$B$7:$B$38)*100</f>
        <v>3.9206008984953709</v>
      </c>
      <c r="G17" s="21">
        <f t="shared" si="2"/>
        <v>7.1352691200581742E-2</v>
      </c>
      <c r="H17" s="8">
        <f t="shared" si="3"/>
        <v>3445119975.0081177</v>
      </c>
      <c r="I17" s="8">
        <f t="shared" si="4"/>
        <v>3507819185.6877995</v>
      </c>
      <c r="J17" s="9">
        <f t="shared" si="5"/>
        <v>62699210.679681778</v>
      </c>
      <c r="K17" s="11">
        <f t="shared" si="6"/>
        <v>1.8199427344916787E-2</v>
      </c>
    </row>
    <row r="18" spans="1:11" x14ac:dyDescent="0.2">
      <c r="A18" s="6" t="s">
        <v>26</v>
      </c>
      <c r="B18" s="18">
        <v>5343602918</v>
      </c>
      <c r="C18" s="7">
        <f>Población!E18</f>
        <v>3418902</v>
      </c>
      <c r="D18" s="8">
        <f t="shared" si="0"/>
        <v>1.8269254703556036E+16</v>
      </c>
      <c r="E18" s="21">
        <f t="shared" si="1"/>
        <v>0.49991121540116062</v>
      </c>
      <c r="F18" s="21">
        <f>B18*Población!B18/SUMPRODUCT($B$7:$B$38,Población!$B$7:$B$38)*100</f>
        <v>0.52618112014280627</v>
      </c>
      <c r="G18" s="21">
        <f t="shared" si="2"/>
        <v>-2.6269904741645644E-2</v>
      </c>
      <c r="H18" s="8">
        <f t="shared" si="3"/>
        <v>462367156.0580979</v>
      </c>
      <c r="I18" s="8">
        <f t="shared" si="4"/>
        <v>439283201.35060996</v>
      </c>
      <c r="J18" s="9">
        <f t="shared" si="5"/>
        <v>-23083954.707487941</v>
      </c>
      <c r="K18" s="11">
        <f t="shared" si="6"/>
        <v>-4.9925593557054837E-2</v>
      </c>
    </row>
    <row r="19" spans="1:11" x14ac:dyDescent="0.2">
      <c r="A19" s="6" t="s">
        <v>27</v>
      </c>
      <c r="B19" s="18">
        <v>6359045350</v>
      </c>
      <c r="C19" s="7">
        <f>Población!E19</f>
        <v>3245595</v>
      </c>
      <c r="D19" s="8">
        <f t="shared" si="0"/>
        <v>2.0638885792733248E+16</v>
      </c>
      <c r="E19" s="21">
        <f t="shared" si="1"/>
        <v>0.5647526759349818</v>
      </c>
      <c r="F19" s="21">
        <f>B19*Población!B19/SUMPRODUCT($B$7:$B$38,Población!$B$7:$B$38)*100</f>
        <v>0.56402758676838949</v>
      </c>
      <c r="G19" s="21">
        <f t="shared" si="2"/>
        <v>7.250891665923076E-4</v>
      </c>
      <c r="H19" s="8">
        <f t="shared" si="3"/>
        <v>495623695.43330276</v>
      </c>
      <c r="I19" s="8">
        <f t="shared" si="4"/>
        <v>496260847.55262405</v>
      </c>
      <c r="J19" s="9">
        <f t="shared" si="5"/>
        <v>637152.11932128668</v>
      </c>
      <c r="K19" s="11">
        <f t="shared" si="6"/>
        <v>1.2855562096647773E-3</v>
      </c>
    </row>
    <row r="20" spans="1:11" x14ac:dyDescent="0.2">
      <c r="A20" s="6" t="s">
        <v>28</v>
      </c>
      <c r="B20" s="18">
        <v>37400090365</v>
      </c>
      <c r="C20" s="7">
        <f>Población!E20</f>
        <v>8679851</v>
      </c>
      <c r="D20" s="8">
        <f t="shared" si="0"/>
        <v>3.2462721175473562E+17</v>
      </c>
      <c r="E20" s="21">
        <f t="shared" si="1"/>
        <v>8.8829449593809517</v>
      </c>
      <c r="F20" s="21">
        <f>B20*Población!B20/SUMPRODUCT($B$7:$B$38,Población!$B$7:$B$38)*100</f>
        <v>8.9242612560397365</v>
      </c>
      <c r="G20" s="21">
        <f t="shared" si="2"/>
        <v>-4.1316296658784779E-2</v>
      </c>
      <c r="H20" s="8">
        <f t="shared" si="3"/>
        <v>7841948597.0053101</v>
      </c>
      <c r="I20" s="8">
        <f t="shared" si="4"/>
        <v>7805643040.1282587</v>
      </c>
      <c r="J20" s="9">
        <f t="shared" si="5"/>
        <v>-36305556.877051353</v>
      </c>
      <c r="K20" s="11">
        <f t="shared" si="6"/>
        <v>-4.6296601447905119E-3</v>
      </c>
    </row>
    <row r="21" spans="1:11" x14ac:dyDescent="0.2">
      <c r="A21" s="6" t="s">
        <v>29</v>
      </c>
      <c r="B21" s="18">
        <v>53147294196</v>
      </c>
      <c r="C21" s="7">
        <f>Población!E21</f>
        <v>17612480</v>
      </c>
      <c r="D21" s="8">
        <f t="shared" si="0"/>
        <v>9.3605565608116608E+17</v>
      </c>
      <c r="E21" s="21">
        <f t="shared" si="1"/>
        <v>25.613782735405348</v>
      </c>
      <c r="F21" s="21">
        <f>B21*Población!B21/SUMPRODUCT($B$7:$B$38,Población!$B$7:$B$38)*100</f>
        <v>25.812654188146112</v>
      </c>
      <c r="G21" s="21">
        <f t="shared" si="2"/>
        <v>-0.19887145274076445</v>
      </c>
      <c r="H21" s="8">
        <f t="shared" si="3"/>
        <v>22682158386.916492</v>
      </c>
      <c r="I21" s="8">
        <f t="shared" si="4"/>
        <v>22507405579.366249</v>
      </c>
      <c r="J21" s="9">
        <f t="shared" si="5"/>
        <v>-174752807.55024338</v>
      </c>
      <c r="K21" s="11">
        <f t="shared" si="6"/>
        <v>-7.7044170386820054E-3</v>
      </c>
    </row>
    <row r="22" spans="1:11" x14ac:dyDescent="0.2">
      <c r="A22" s="6" t="s">
        <v>30</v>
      </c>
      <c r="B22" s="18">
        <v>9995352838</v>
      </c>
      <c r="C22" s="7">
        <f>Población!E22</f>
        <v>4889574</v>
      </c>
      <c r="D22" s="8">
        <f t="shared" si="0"/>
        <v>4.8873017357511008E+16</v>
      </c>
      <c r="E22" s="21">
        <f t="shared" si="1"/>
        <v>1.3373380525895084</v>
      </c>
      <c r="F22" s="21">
        <f>B22*Población!B22/SUMPRODUCT($B$7:$B$38,Población!$B$7:$B$38)*100</f>
        <v>1.3510942206589989</v>
      </c>
      <c r="G22" s="21">
        <f t="shared" si="2"/>
        <v>-1.3756168069490426E-2</v>
      </c>
      <c r="H22" s="8">
        <f t="shared" si="3"/>
        <v>1187236805.8418527</v>
      </c>
      <c r="I22" s="8">
        <f t="shared" si="4"/>
        <v>1175148952.315635</v>
      </c>
      <c r="J22" s="9">
        <f t="shared" si="5"/>
        <v>-12087853.526217699</v>
      </c>
      <c r="K22" s="11">
        <f t="shared" si="6"/>
        <v>-1.0181501674087989E-2</v>
      </c>
    </row>
    <row r="23" spans="1:11" x14ac:dyDescent="0.2">
      <c r="A23" s="6" t="s">
        <v>31</v>
      </c>
      <c r="B23" s="18">
        <v>5098806088</v>
      </c>
      <c r="C23" s="7">
        <f>Población!E23</f>
        <v>1997217</v>
      </c>
      <c r="D23" s="8">
        <f t="shared" si="0"/>
        <v>1.0183422198657096E+16</v>
      </c>
      <c r="E23" s="21">
        <f t="shared" si="1"/>
        <v>0.27865433214869589</v>
      </c>
      <c r="F23" s="21">
        <f>B23*Población!B23/SUMPRODUCT($B$7:$B$38,Población!$B$7:$B$38)*100</f>
        <v>0.27623786719165494</v>
      </c>
      <c r="G23" s="21">
        <f t="shared" si="2"/>
        <v>2.4164649570409535E-3</v>
      </c>
      <c r="H23" s="8">
        <f t="shared" si="3"/>
        <v>242736411.7783165</v>
      </c>
      <c r="I23" s="8">
        <f t="shared" si="4"/>
        <v>244859813.75366265</v>
      </c>
      <c r="J23" s="9">
        <f t="shared" si="5"/>
        <v>2123401.975346148</v>
      </c>
      <c r="K23" s="11">
        <f t="shared" si="6"/>
        <v>8.7477686589739322E-3</v>
      </c>
    </row>
    <row r="24" spans="1:11" x14ac:dyDescent="0.2">
      <c r="A24" s="6" t="s">
        <v>32</v>
      </c>
      <c r="B24" s="18">
        <v>4160780168</v>
      </c>
      <c r="C24" s="7">
        <f>Población!E24</f>
        <v>1299075</v>
      </c>
      <c r="D24" s="8">
        <f t="shared" si="0"/>
        <v>5405165496744600</v>
      </c>
      <c r="E24" s="21">
        <f t="shared" si="1"/>
        <v>0.14790438344461079</v>
      </c>
      <c r="F24" s="21">
        <f>B24*Población!B24/SUMPRODUCT($B$7:$B$38,Población!$B$7:$B$38)*100</f>
        <v>0.14146402870784572</v>
      </c>
      <c r="G24" s="21">
        <f t="shared" si="2"/>
        <v>6.4403547367650749E-3</v>
      </c>
      <c r="H24" s="8">
        <f t="shared" si="3"/>
        <v>124307616.01711562</v>
      </c>
      <c r="I24" s="8">
        <f t="shared" si="4"/>
        <v>129966900.22487128</v>
      </c>
      <c r="J24" s="9">
        <f t="shared" si="5"/>
        <v>5659284.2077556551</v>
      </c>
      <c r="K24" s="11">
        <f t="shared" si="6"/>
        <v>4.5526447928793366E-2</v>
      </c>
    </row>
    <row r="25" spans="1:11" x14ac:dyDescent="0.2">
      <c r="A25" s="6" t="s">
        <v>33</v>
      </c>
      <c r="B25" s="18">
        <v>44971267966</v>
      </c>
      <c r="C25" s="7">
        <f>Población!E25</f>
        <v>6291899</v>
      </c>
      <c r="D25" s="8">
        <f t="shared" si="0"/>
        <v>2.8295467594400742E+17</v>
      </c>
      <c r="E25" s="21">
        <f t="shared" si="1"/>
        <v>7.7426374665999482</v>
      </c>
      <c r="F25" s="21">
        <f>B25*Población!B25/SUMPRODUCT($B$7:$B$38,Población!$B$7:$B$38)*100</f>
        <v>7.5540359423277552</v>
      </c>
      <c r="G25" s="21">
        <f t="shared" si="2"/>
        <v>0.18860152427219301</v>
      </c>
      <c r="H25" s="8">
        <f t="shared" si="3"/>
        <v>6637900870.4584541</v>
      </c>
      <c r="I25" s="8">
        <f t="shared" si="4"/>
        <v>6803629261.4396601</v>
      </c>
      <c r="J25" s="9">
        <f t="shared" si="5"/>
        <v>165728390.98120594</v>
      </c>
      <c r="K25" s="11">
        <f t="shared" si="6"/>
        <v>2.4966987940234144E-2</v>
      </c>
    </row>
    <row r="26" spans="1:11" x14ac:dyDescent="0.2">
      <c r="A26" s="6" t="s">
        <v>34</v>
      </c>
      <c r="B26" s="18">
        <v>5676564891</v>
      </c>
      <c r="C26" s="7">
        <f>Población!E26</f>
        <v>4169180</v>
      </c>
      <c r="D26" s="8">
        <f t="shared" si="0"/>
        <v>2.366662081225938E+16</v>
      </c>
      <c r="E26" s="21">
        <f t="shared" si="1"/>
        <v>0.64760218009287995</v>
      </c>
      <c r="F26" s="21">
        <f>B26*Población!B26/SUMPRODUCT($B$7:$B$38,Población!$B$7:$B$38)*100</f>
        <v>0.65596879319704127</v>
      </c>
      <c r="G26" s="21">
        <f t="shared" si="2"/>
        <v>-8.3666131041613134E-3</v>
      </c>
      <c r="H26" s="8">
        <f t="shared" si="3"/>
        <v>576414496.38303816</v>
      </c>
      <c r="I26" s="8">
        <f t="shared" si="4"/>
        <v>569062565.72889459</v>
      </c>
      <c r="J26" s="9">
        <f t="shared" si="5"/>
        <v>-7351930.6541435719</v>
      </c>
      <c r="K26" s="11">
        <f t="shared" si="6"/>
        <v>-1.2754590143510335E-2</v>
      </c>
    </row>
    <row r="27" spans="1:11" x14ac:dyDescent="0.2">
      <c r="A27" s="6" t="s">
        <v>35</v>
      </c>
      <c r="B27" s="18">
        <v>12070661710</v>
      </c>
      <c r="C27" s="7">
        <f>Población!E27</f>
        <v>6851933</v>
      </c>
      <c r="D27" s="8">
        <f t="shared" si="0"/>
        <v>8.2707365302585424E+16</v>
      </c>
      <c r="E27" s="21">
        <f t="shared" si="1"/>
        <v>2.2631650924980189</v>
      </c>
      <c r="F27" s="21">
        <f>B27*Población!B27/SUMPRODUCT($B$7:$B$38,Población!$B$7:$B$38)*100</f>
        <v>2.1848618031412559</v>
      </c>
      <c r="G27" s="21">
        <f t="shared" si="2"/>
        <v>7.8303289356763006E-2</v>
      </c>
      <c r="H27" s="8">
        <f t="shared" si="3"/>
        <v>1919887087.594892</v>
      </c>
      <c r="I27" s="8">
        <f t="shared" si="4"/>
        <v>1988693944.8231688</v>
      </c>
      <c r="J27" s="9">
        <f t="shared" si="5"/>
        <v>68806857.22827673</v>
      </c>
      <c r="K27" s="11">
        <f t="shared" si="6"/>
        <v>3.5839012446546234E-2</v>
      </c>
    </row>
    <row r="28" spans="1:11" x14ac:dyDescent="0.2">
      <c r="A28" s="6" t="s">
        <v>36</v>
      </c>
      <c r="B28" s="18">
        <v>16610144570</v>
      </c>
      <c r="C28" s="7">
        <f>Población!E28</f>
        <v>2606836</v>
      </c>
      <c r="D28" s="8">
        <f t="shared" si="0"/>
        <v>4.329992283028052E+16</v>
      </c>
      <c r="E28" s="21">
        <f t="shared" si="1"/>
        <v>1.1848385388512139</v>
      </c>
      <c r="F28" s="21">
        <f>B28*Población!B28/SUMPRODUCT($B$7:$B$38,Población!$B$7:$B$38)*100</f>
        <v>1.1467904897702619</v>
      </c>
      <c r="G28" s="21">
        <f t="shared" si="2"/>
        <v>3.8048049080952051E-2</v>
      </c>
      <c r="H28" s="8">
        <f t="shared" si="3"/>
        <v>1007710533.6003728</v>
      </c>
      <c r="I28" s="8">
        <f t="shared" si="4"/>
        <v>1041144208.0019633</v>
      </c>
      <c r="J28" s="9">
        <f t="shared" si="5"/>
        <v>33433674.401590466</v>
      </c>
      <c r="K28" s="11">
        <f t="shared" si="6"/>
        <v>3.3177855432489939E-2</v>
      </c>
    </row>
    <row r="29" spans="1:11" x14ac:dyDescent="0.2">
      <c r="A29" s="6" t="s">
        <v>37</v>
      </c>
      <c r="B29" s="18">
        <v>19369943128</v>
      </c>
      <c r="C29" s="7">
        <f>Población!E29</f>
        <v>2100792</v>
      </c>
      <c r="D29" s="8">
        <f t="shared" si="0"/>
        <v>4.0692221563757376E+16</v>
      </c>
      <c r="E29" s="21">
        <f t="shared" si="1"/>
        <v>1.1134826389689385</v>
      </c>
      <c r="F29" s="21">
        <f>B29*Población!B29/SUMPRODUCT($B$7:$B$38,Población!$B$7:$B$38)*100</f>
        <v>1.0075795365728157</v>
      </c>
      <c r="G29" s="21">
        <f t="shared" si="2"/>
        <v>0.10590310239612277</v>
      </c>
      <c r="H29" s="8">
        <f t="shared" si="3"/>
        <v>885382745.5859133</v>
      </c>
      <c r="I29" s="8">
        <f t="shared" si="4"/>
        <v>978442177.78168523</v>
      </c>
      <c r="J29" s="9">
        <f t="shared" si="5"/>
        <v>93059432.195771933</v>
      </c>
      <c r="K29" s="11">
        <f t="shared" si="6"/>
        <v>0.10510644425783187</v>
      </c>
    </row>
    <row r="30" spans="1:11" x14ac:dyDescent="0.2">
      <c r="A30" s="6" t="s">
        <v>38</v>
      </c>
      <c r="B30" s="18">
        <v>8859478216</v>
      </c>
      <c r="C30" s="7">
        <f>Población!E30</f>
        <v>2889524</v>
      </c>
      <c r="D30" s="8">
        <f t="shared" si="0"/>
        <v>2.5599674932609184E+16</v>
      </c>
      <c r="E30" s="21">
        <f t="shared" si="1"/>
        <v>0.7004973556444144</v>
      </c>
      <c r="F30" s="21">
        <f>B30*Población!B30/SUMPRODUCT($B$7:$B$38,Población!$B$7:$B$38)*100</f>
        <v>0.69797323586855031</v>
      </c>
      <c r="G30" s="21">
        <f t="shared" si="2"/>
        <v>2.5241197758640865E-3</v>
      </c>
      <c r="H30" s="8">
        <f t="shared" si="3"/>
        <v>613324742.60122252</v>
      </c>
      <c r="I30" s="8">
        <f t="shared" si="4"/>
        <v>615542743.2812916</v>
      </c>
      <c r="J30" s="9">
        <f t="shared" si="5"/>
        <v>2218000.6800690889</v>
      </c>
      <c r="K30" s="11">
        <f t="shared" si="6"/>
        <v>3.6163561095907235E-3</v>
      </c>
    </row>
    <row r="31" spans="1:11" x14ac:dyDescent="0.2">
      <c r="A31" s="6" t="s">
        <v>39</v>
      </c>
      <c r="B31" s="18">
        <v>13161541989</v>
      </c>
      <c r="C31" s="7">
        <f>Población!E31</f>
        <v>3102935</v>
      </c>
      <c r="D31" s="8">
        <f t="shared" si="0"/>
        <v>4.0839409291637712E+16</v>
      </c>
      <c r="E31" s="21">
        <f t="shared" si="1"/>
        <v>1.1175102141016271</v>
      </c>
      <c r="F31" s="21">
        <f>B31*Población!B31/SUMPRODUCT($B$7:$B$38,Población!$B$7:$B$38)*100</f>
        <v>1.1300220865803898</v>
      </c>
      <c r="G31" s="21">
        <f t="shared" si="2"/>
        <v>-1.2511872478762731E-2</v>
      </c>
      <c r="H31" s="8">
        <f t="shared" si="3"/>
        <v>992975761.48914158</v>
      </c>
      <c r="I31" s="8">
        <f t="shared" si="4"/>
        <v>981981298.4164319</v>
      </c>
      <c r="J31" s="9">
        <f t="shared" si="5"/>
        <v>-10994463.07270968</v>
      </c>
      <c r="K31" s="11">
        <f t="shared" si="6"/>
        <v>-1.107223710699801E-2</v>
      </c>
    </row>
    <row r="32" spans="1:11" x14ac:dyDescent="0.2">
      <c r="A32" s="6" t="s">
        <v>40</v>
      </c>
      <c r="B32" s="18">
        <v>16407372864</v>
      </c>
      <c r="C32" s="7">
        <f>Población!E32</f>
        <v>3049889</v>
      </c>
      <c r="D32" s="8">
        <f t="shared" si="0"/>
        <v>5.0040666016812096E+16</v>
      </c>
      <c r="E32" s="21">
        <f t="shared" si="1"/>
        <v>1.3692890363545509</v>
      </c>
      <c r="F32" s="21">
        <f>B32*Población!B32/SUMPRODUCT($B$7:$B$38,Población!$B$7:$B$38)*100</f>
        <v>1.3628198125488631</v>
      </c>
      <c r="G32" s="21">
        <f t="shared" si="2"/>
        <v>6.4692238056878182E-3</v>
      </c>
      <c r="H32" s="8">
        <f t="shared" si="3"/>
        <v>1197540346.5195248</v>
      </c>
      <c r="I32" s="8">
        <f t="shared" si="4"/>
        <v>1203224998.6258707</v>
      </c>
      <c r="J32" s="9">
        <f t="shared" si="5"/>
        <v>5684652.106345892</v>
      </c>
      <c r="K32" s="11">
        <f t="shared" si="6"/>
        <v>4.7469399447521736E-3</v>
      </c>
    </row>
    <row r="33" spans="1:11" x14ac:dyDescent="0.2">
      <c r="A33" s="6" t="s">
        <v>41</v>
      </c>
      <c r="B33" s="18">
        <v>4819016505</v>
      </c>
      <c r="C33" s="7">
        <f>Población!E33</f>
        <v>2527009</v>
      </c>
      <c r="D33" s="8">
        <f t="shared" si="0"/>
        <v>1.2177698079283544E+16</v>
      </c>
      <c r="E33" s="21">
        <f t="shared" si="1"/>
        <v>0.33322475089353576</v>
      </c>
      <c r="F33" s="21">
        <f>B33*Población!B33/SUMPRODUCT($B$7:$B$38,Población!$B$7:$B$38)*100</f>
        <v>0.33605467061196215</v>
      </c>
      <c r="G33" s="21">
        <f t="shared" si="2"/>
        <v>-2.829919718426388E-3</v>
      </c>
      <c r="H33" s="8">
        <f t="shared" si="3"/>
        <v>295298779.03776419</v>
      </c>
      <c r="I33" s="8">
        <f t="shared" si="4"/>
        <v>292812065.08701193</v>
      </c>
      <c r="J33" s="9">
        <f t="shared" si="5"/>
        <v>-2486713.9507522583</v>
      </c>
      <c r="K33" s="11">
        <f t="shared" si="6"/>
        <v>-8.4210099305363044E-3</v>
      </c>
    </row>
    <row r="34" spans="1:11" x14ac:dyDescent="0.2">
      <c r="A34" s="6" t="s">
        <v>42</v>
      </c>
      <c r="B34" s="18">
        <v>15297439759</v>
      </c>
      <c r="C34" s="7">
        <f>Población!E34</f>
        <v>3620715</v>
      </c>
      <c r="D34" s="8">
        <f t="shared" si="0"/>
        <v>5.5387669597007688E+16</v>
      </c>
      <c r="E34" s="21">
        <f t="shared" si="1"/>
        <v>1.5156019047174647</v>
      </c>
      <c r="F34" s="21">
        <f>B34*Población!B34/SUMPRODUCT($B$7:$B$38,Población!$B$7:$B$38)*100</f>
        <v>1.4910258749590388</v>
      </c>
      <c r="G34" s="21">
        <f t="shared" si="2"/>
        <v>2.4576029758425877E-2</v>
      </c>
      <c r="H34" s="8">
        <f t="shared" si="3"/>
        <v>1310197890.0853446</v>
      </c>
      <c r="I34" s="8">
        <f t="shared" si="4"/>
        <v>1331793398.8400459</v>
      </c>
      <c r="J34" s="9">
        <f t="shared" si="5"/>
        <v>21595508.754701376</v>
      </c>
      <c r="K34" s="11">
        <f t="shared" si="6"/>
        <v>1.6482631301821645E-2</v>
      </c>
    </row>
    <row r="35" spans="1:11" x14ac:dyDescent="0.2">
      <c r="A35" s="6" t="s">
        <v>43</v>
      </c>
      <c r="B35" s="18">
        <v>2196216088</v>
      </c>
      <c r="C35" s="7">
        <f>Población!E35</f>
        <v>1419482</v>
      </c>
      <c r="D35" s="8">
        <f t="shared" si="0"/>
        <v>3117489205026416</v>
      </c>
      <c r="E35" s="21">
        <f t="shared" si="1"/>
        <v>8.5305495093973616E-2</v>
      </c>
      <c r="F35" s="21">
        <f>B35*Población!B35/SUMPRODUCT($B$7:$B$38,Población!$B$7:$B$38)*100</f>
        <v>8.8548200723810311E-2</v>
      </c>
      <c r="G35" s="21">
        <f t="shared" si="2"/>
        <v>-3.2427056298366952E-3</v>
      </c>
      <c r="H35" s="8">
        <f t="shared" si="3"/>
        <v>77809290.70890671</v>
      </c>
      <c r="I35" s="8">
        <f t="shared" si="4"/>
        <v>74959852.516228378</v>
      </c>
      <c r="J35" s="9">
        <f t="shared" si="5"/>
        <v>-2849438.1926783323</v>
      </c>
      <c r="K35" s="11">
        <f t="shared" si="6"/>
        <v>-3.6620796394846993E-2</v>
      </c>
    </row>
    <row r="36" spans="1:11" x14ac:dyDescent="0.2">
      <c r="A36" s="6" t="s">
        <v>44</v>
      </c>
      <c r="B36" s="18">
        <v>15085123820</v>
      </c>
      <c r="C36" s="7">
        <f>Población!E36</f>
        <v>7917876</v>
      </c>
      <c r="D36" s="8">
        <f t="shared" si="0"/>
        <v>1.1944213985140632E+17</v>
      </c>
      <c r="E36" s="21">
        <f t="shared" si="1"/>
        <v>3.2683580294936467</v>
      </c>
      <c r="F36" s="21">
        <f>B36*Población!B36/SUMPRODUCT($B$7:$B$38,Población!$B$7:$B$38)*100</f>
        <v>3.3415991292147131</v>
      </c>
      <c r="G36" s="21">
        <f t="shared" si="2"/>
        <v>-7.3241099721066405E-2</v>
      </c>
      <c r="H36" s="8">
        <f t="shared" si="3"/>
        <v>2936338129.4294558</v>
      </c>
      <c r="I36" s="8">
        <f t="shared" si="4"/>
        <v>2871979531.8130946</v>
      </c>
      <c r="J36" s="9">
        <f t="shared" si="5"/>
        <v>-64358597.616361141</v>
      </c>
      <c r="K36" s="11">
        <f t="shared" si="6"/>
        <v>-2.1917979054022065E-2</v>
      </c>
    </row>
    <row r="37" spans="1:11" x14ac:dyDescent="0.2">
      <c r="A37" s="6" t="s">
        <v>45</v>
      </c>
      <c r="B37" s="18">
        <v>8921829182</v>
      </c>
      <c r="C37" s="7">
        <f>Población!E37</f>
        <v>2506448</v>
      </c>
      <c r="D37" s="8">
        <f t="shared" si="0"/>
        <v>2.2362100909565536E+16</v>
      </c>
      <c r="E37" s="21">
        <f t="shared" si="1"/>
        <v>0.61190591658062266</v>
      </c>
      <c r="F37" s="21">
        <f>B37*Población!B37/SUMPRODUCT($B$7:$B$38,Población!$B$7:$B$38)*100</f>
        <v>0.58510743117240116</v>
      </c>
      <c r="G37" s="21">
        <f t="shared" si="2"/>
        <v>2.6798485408221495E-2</v>
      </c>
      <c r="H37" s="8">
        <f t="shared" si="3"/>
        <v>514147027.67408109</v>
      </c>
      <c r="I37" s="8">
        <f t="shared" si="4"/>
        <v>537695458.07291591</v>
      </c>
      <c r="J37" s="9">
        <f t="shared" si="5"/>
        <v>23548430.398834825</v>
      </c>
      <c r="K37" s="11">
        <f t="shared" si="6"/>
        <v>4.5800965738077216E-2</v>
      </c>
    </row>
    <row r="38" spans="1:11" x14ac:dyDescent="0.2">
      <c r="A38" s="6" t="s">
        <v>46</v>
      </c>
      <c r="B38" s="18">
        <v>5425831297</v>
      </c>
      <c r="C38" s="7">
        <f>Población!E38</f>
        <v>1686419</v>
      </c>
      <c r="D38" s="8">
        <f t="shared" si="0"/>
        <v>9150224990055444</v>
      </c>
      <c r="E38" s="21">
        <f t="shared" si="1"/>
        <v>0.2503824140720049</v>
      </c>
      <c r="F38" s="21">
        <f>B38*Población!B38/SUMPRODUCT($B$7:$B$38,Población!$B$7:$B$38)*100</f>
        <v>0.25119853251104673</v>
      </c>
      <c r="G38" s="21">
        <f t="shared" si="2"/>
        <v>-8.1611843904183523E-4</v>
      </c>
      <c r="H38" s="8">
        <f t="shared" si="3"/>
        <v>220733786.59344172</v>
      </c>
      <c r="I38" s="8">
        <f t="shared" si="4"/>
        <v>220016645.01001903</v>
      </c>
      <c r="J38" s="9">
        <f t="shared" si="5"/>
        <v>-717141.58342269063</v>
      </c>
      <c r="K38" s="11">
        <f t="shared" si="6"/>
        <v>-3.2488981160983619E-3</v>
      </c>
    </row>
    <row r="39" spans="1:11" x14ac:dyDescent="0.2">
      <c r="A39" s="13" t="s">
        <v>47</v>
      </c>
      <c r="B39" s="22"/>
      <c r="C39" s="14">
        <f t="shared" ref="C39:J39" si="7">SUM(C7:C38)</f>
        <v>130911314</v>
      </c>
      <c r="D39" s="14">
        <f t="shared" si="7"/>
        <v>3.6544998673205642E+18</v>
      </c>
      <c r="E39" s="23">
        <f t="shared" si="7"/>
        <v>99.999999999999972</v>
      </c>
      <c r="F39" s="23">
        <f t="shared" si="7"/>
        <v>100.00000000000001</v>
      </c>
      <c r="G39" s="23">
        <f t="shared" si="7"/>
        <v>1.6653345369377348E-16</v>
      </c>
      <c r="H39" s="14">
        <f t="shared" si="7"/>
        <v>87872243673.929413</v>
      </c>
      <c r="I39" s="14">
        <f t="shared" si="7"/>
        <v>87872243673.929428</v>
      </c>
      <c r="J39" s="14">
        <f t="shared" si="7"/>
        <v>3.3080577850341797E-6</v>
      </c>
      <c r="K39" s="15">
        <f t="shared" si="6"/>
        <v>3.7646219633465883E-17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50"/>
  <sheetViews>
    <sheetView showGridLines="0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baseColWidth="10" defaultColWidth="8.6640625" defaultRowHeight="15" x14ac:dyDescent="0.2"/>
  <cols>
    <col min="1" max="1" width="24" customWidth="1"/>
    <col min="2" max="2" width="17" customWidth="1"/>
    <col min="3" max="4" width="16" customWidth="1"/>
    <col min="5" max="5" width="15" customWidth="1"/>
    <col min="6" max="6" width="17" customWidth="1"/>
    <col min="7" max="8" width="16" customWidth="1"/>
    <col min="9" max="9" width="15" customWidth="1"/>
    <col min="10" max="10" width="17" customWidth="1"/>
    <col min="11" max="11" width="15" customWidth="1"/>
    <col min="12" max="12" width="10" customWidth="1"/>
  </cols>
  <sheetData>
    <row r="1" spans="1:12" ht="17" x14ac:dyDescent="0.2">
      <c r="A1" s="1" t="s">
        <v>95</v>
      </c>
    </row>
    <row r="2" spans="1:12" x14ac:dyDescent="0.2">
      <c r="A2" s="2" t="s">
        <v>96</v>
      </c>
    </row>
    <row r="6" spans="1:12" ht="61.5" customHeight="1" x14ac:dyDescent="0.2">
      <c r="A6" s="5" t="s">
        <v>4</v>
      </c>
      <c r="B6" s="5" t="s">
        <v>97</v>
      </c>
      <c r="C6" s="5" t="s">
        <v>98</v>
      </c>
      <c r="D6" s="5" t="s">
        <v>99</v>
      </c>
      <c r="E6" s="5" t="s">
        <v>100</v>
      </c>
      <c r="F6" s="5" t="s">
        <v>101</v>
      </c>
      <c r="G6" s="16" t="s">
        <v>102</v>
      </c>
      <c r="H6" s="16" t="s">
        <v>103</v>
      </c>
      <c r="I6" s="16" t="s">
        <v>104</v>
      </c>
      <c r="J6" s="16" t="s">
        <v>105</v>
      </c>
      <c r="K6" s="17" t="s">
        <v>76</v>
      </c>
      <c r="L6" s="17" t="s">
        <v>58</v>
      </c>
    </row>
    <row r="7" spans="1:12" x14ac:dyDescent="0.2">
      <c r="A7" s="6" t="s">
        <v>15</v>
      </c>
      <c r="B7" s="18">
        <v>3041387268</v>
      </c>
      <c r="C7" s="7">
        <f>'Cuadro 3'!J7</f>
        <v>5888939197.0187149</v>
      </c>
      <c r="D7" s="7">
        <f>'Cuadro 4'!K7</f>
        <v>3078110074.1125793</v>
      </c>
      <c r="E7" s="7">
        <f>'Cuadro 5'!H7</f>
        <v>216409078.38706776</v>
      </c>
      <c r="F7" s="9">
        <f t="shared" ref="F7:F38" si="0">SUM(B7:E7)</f>
        <v>12224845617.518362</v>
      </c>
      <c r="G7" s="7">
        <f>'Cuadro 3'!K7</f>
        <v>6021949036.8261747</v>
      </c>
      <c r="H7" s="7">
        <f>'Cuadro 4'!L7</f>
        <v>3147378070.8336287</v>
      </c>
      <c r="I7" s="7">
        <f>'Cuadro 5'!I7</f>
        <v>222027971.75309244</v>
      </c>
      <c r="J7" s="9">
        <f t="shared" ref="J7:J38" si="1">B7+SUM(G7:I7)</f>
        <v>12432742347.412895</v>
      </c>
      <c r="K7" s="9">
        <f t="shared" ref="K7:K38" si="2">J7-F7</f>
        <v>207896729.89453316</v>
      </c>
      <c r="L7" s="11">
        <f t="shared" ref="L7:L39" si="3">K7/F7</f>
        <v>1.7006082236050036E-2</v>
      </c>
    </row>
    <row r="8" spans="1:12" x14ac:dyDescent="0.2">
      <c r="A8" s="6" t="s">
        <v>16</v>
      </c>
      <c r="B8" s="18">
        <v>7626756012</v>
      </c>
      <c r="C8" s="7">
        <f>'Cuadro 3'!J8</f>
        <v>14926568790.54468</v>
      </c>
      <c r="D8" s="7">
        <f>'Cuadro 4'!K8</f>
        <v>7916667903.2858438</v>
      </c>
      <c r="E8" s="7">
        <f>'Cuadro 5'!H8</f>
        <v>2905258524.6276779</v>
      </c>
      <c r="F8" s="9">
        <f t="shared" si="0"/>
        <v>33375251230.458199</v>
      </c>
      <c r="G8" s="7">
        <f>'Cuadro 3'!K8</f>
        <v>15823742463.171888</v>
      </c>
      <c r="H8" s="7">
        <f>'Cuadro 4'!L8</f>
        <v>8391824815.0009594</v>
      </c>
      <c r="I8" s="7">
        <f>'Cuadro 5'!I8</f>
        <v>3090055031.7521114</v>
      </c>
      <c r="J8" s="9">
        <f t="shared" si="1"/>
        <v>34932378321.924957</v>
      </c>
      <c r="K8" s="9">
        <f t="shared" si="2"/>
        <v>1557127091.4667587</v>
      </c>
      <c r="L8" s="11">
        <f t="shared" si="3"/>
        <v>4.6655142180494727E-2</v>
      </c>
    </row>
    <row r="9" spans="1:12" x14ac:dyDescent="0.2">
      <c r="A9" s="6" t="s">
        <v>17</v>
      </c>
      <c r="B9" s="18">
        <v>1922951364</v>
      </c>
      <c r="C9" s="7">
        <f>'Cuadro 3'!J9</f>
        <v>3609169578.2135105</v>
      </c>
      <c r="D9" s="7">
        <f>'Cuadro 4'!K9</f>
        <v>1742186138.5478909</v>
      </c>
      <c r="E9" s="7">
        <f>'Cuadro 5'!H9</f>
        <v>131935026.239392</v>
      </c>
      <c r="F9" s="9">
        <f t="shared" si="0"/>
        <v>7406242107.0007935</v>
      </c>
      <c r="G9" s="7">
        <f>'Cuadro 3'!K9</f>
        <v>3934054392.1928687</v>
      </c>
      <c r="H9" s="7">
        <f>'Cuadro 4'!L9</f>
        <v>1898857564.1108329</v>
      </c>
      <c r="I9" s="7">
        <f>'Cuadro 5'!I9</f>
        <v>144286397.59502414</v>
      </c>
      <c r="J9" s="9">
        <f t="shared" si="1"/>
        <v>7900149717.8987255</v>
      </c>
      <c r="K9" s="9">
        <f t="shared" si="2"/>
        <v>493907610.89793205</v>
      </c>
      <c r="L9" s="11">
        <f t="shared" si="3"/>
        <v>6.6688018533861193E-2</v>
      </c>
    </row>
    <row r="10" spans="1:12" x14ac:dyDescent="0.2">
      <c r="A10" s="6" t="s">
        <v>18</v>
      </c>
      <c r="B10" s="18">
        <v>2717270016</v>
      </c>
      <c r="C10" s="7">
        <f>'Cuadro 3'!J10</f>
        <v>3071752914.0763488</v>
      </c>
      <c r="D10" s="7">
        <f>'Cuadro 4'!K10</f>
        <v>1736498384.731823</v>
      </c>
      <c r="E10" s="7">
        <f>'Cuadro 5'!H10</f>
        <v>73614291.891796514</v>
      </c>
      <c r="F10" s="9">
        <f t="shared" si="0"/>
        <v>7599135606.6999683</v>
      </c>
      <c r="G10" s="7">
        <f>'Cuadro 3'!K10</f>
        <v>3209940711.1315446</v>
      </c>
      <c r="H10" s="7">
        <f>'Cuadro 4'!L10</f>
        <v>1814470360.6170635</v>
      </c>
      <c r="I10" s="7">
        <f>'Cuadro 5'!I10</f>
        <v>77180054.589254782</v>
      </c>
      <c r="J10" s="9">
        <f t="shared" si="1"/>
        <v>7818861142.337862</v>
      </c>
      <c r="K10" s="9">
        <f t="shared" si="2"/>
        <v>219725535.63789368</v>
      </c>
      <c r="L10" s="11">
        <f t="shared" si="3"/>
        <v>2.8914543312553491E-2</v>
      </c>
    </row>
    <row r="11" spans="1:12" x14ac:dyDescent="0.2">
      <c r="A11" s="6" t="s">
        <v>19</v>
      </c>
      <c r="B11" s="18">
        <v>6458269884</v>
      </c>
      <c r="C11" s="7">
        <f>'Cuadro 3'!J11</f>
        <v>13804012402.058205</v>
      </c>
      <c r="D11" s="7">
        <f>'Cuadro 4'!K11</f>
        <v>7256812546.3381901</v>
      </c>
      <c r="E11" s="7">
        <f>'Cuadro 5'!H11</f>
        <v>1358593023.7522953</v>
      </c>
      <c r="F11" s="9">
        <f t="shared" si="0"/>
        <v>28877687856.148689</v>
      </c>
      <c r="G11" s="7">
        <f>'Cuadro 3'!K11</f>
        <v>13638020456.183416</v>
      </c>
      <c r="H11" s="7">
        <f>'Cuadro 4'!L11</f>
        <v>7168968370.5599213</v>
      </c>
      <c r="I11" s="7">
        <f>'Cuadro 5'!I11</f>
        <v>1346689851.9775183</v>
      </c>
      <c r="J11" s="9">
        <f t="shared" si="1"/>
        <v>28611948562.72086</v>
      </c>
      <c r="K11" s="9">
        <f t="shared" si="2"/>
        <v>-265739293.42782974</v>
      </c>
      <c r="L11" s="11">
        <f t="shared" si="3"/>
        <v>-9.2022358144316623E-3</v>
      </c>
    </row>
    <row r="12" spans="1:12" x14ac:dyDescent="0.2">
      <c r="A12" s="6" t="s">
        <v>20</v>
      </c>
      <c r="B12" s="18">
        <v>1970839320</v>
      </c>
      <c r="C12" s="7">
        <f>'Cuadro 3'!J12</f>
        <v>2920030010.6756968</v>
      </c>
      <c r="D12" s="7">
        <f>'Cuadro 4'!K12</f>
        <v>1445309580.4987569</v>
      </c>
      <c r="E12" s="7">
        <f>'Cuadro 5'!H12</f>
        <v>54671218.606687509</v>
      </c>
      <c r="F12" s="9">
        <f t="shared" si="0"/>
        <v>6390850129.7811413</v>
      </c>
      <c r="G12" s="7">
        <f>'Cuadro 3'!K12</f>
        <v>3050726260.9681168</v>
      </c>
      <c r="H12" s="7">
        <f>'Cuadro 4'!L12</f>
        <v>1509877001.0410509</v>
      </c>
      <c r="I12" s="7">
        <f>'Cuadro 5'!I12</f>
        <v>57306896.622376531</v>
      </c>
      <c r="J12" s="9">
        <f t="shared" si="1"/>
        <v>6588749478.6315441</v>
      </c>
      <c r="K12" s="9">
        <f t="shared" si="2"/>
        <v>197899348.85040283</v>
      </c>
      <c r="L12" s="11">
        <f t="shared" si="3"/>
        <v>3.0966044396534772E-2</v>
      </c>
    </row>
    <row r="13" spans="1:12" x14ac:dyDescent="0.2">
      <c r="A13" s="6" t="s">
        <v>21</v>
      </c>
      <c r="B13" s="18">
        <v>12052438704</v>
      </c>
      <c r="C13" s="7">
        <f>'Cuadro 3'!J13</f>
        <v>24196996877.282429</v>
      </c>
      <c r="D13" s="7">
        <f>'Cuadro 4'!K13</f>
        <v>13288030660.15831</v>
      </c>
      <c r="E13" s="7">
        <f>'Cuadro 5'!H13</f>
        <v>1154510448.7317472</v>
      </c>
      <c r="F13" s="9">
        <f t="shared" si="0"/>
        <v>50691976690.172485</v>
      </c>
      <c r="G13" s="7">
        <f>'Cuadro 3'!K13</f>
        <v>23708171734.698936</v>
      </c>
      <c r="H13" s="7">
        <f>'Cuadro 4'!L13</f>
        <v>13018530962.672228</v>
      </c>
      <c r="I13" s="7">
        <f>'Cuadro 5'!I13</f>
        <v>1134923723.941572</v>
      </c>
      <c r="J13" s="9">
        <f t="shared" si="1"/>
        <v>49914065125.312737</v>
      </c>
      <c r="K13" s="9">
        <f t="shared" si="2"/>
        <v>-777911564.85974884</v>
      </c>
      <c r="L13" s="11">
        <f t="shared" si="3"/>
        <v>-1.5345851861613446E-2</v>
      </c>
    </row>
    <row r="14" spans="1:12" x14ac:dyDescent="0.2">
      <c r="A14" s="6" t="s">
        <v>22</v>
      </c>
      <c r="B14" s="18">
        <v>7559991564</v>
      </c>
      <c r="C14" s="7">
        <f>'Cuadro 3'!J14</f>
        <v>15765967635.789392</v>
      </c>
      <c r="D14" s="7">
        <f>'Cuadro 4'!K14</f>
        <v>7788002844.8286829</v>
      </c>
      <c r="E14" s="7">
        <f>'Cuadro 5'!H14</f>
        <v>2802400470.6626425</v>
      </c>
      <c r="F14" s="9">
        <f t="shared" si="0"/>
        <v>33916362515.280716</v>
      </c>
      <c r="G14" s="7">
        <f>'Cuadro 3'!K14</f>
        <v>15463507118.449425</v>
      </c>
      <c r="H14" s="7">
        <f>'Cuadro 4'!L14</f>
        <v>7637974993.2325954</v>
      </c>
      <c r="I14" s="7">
        <f>'Cuadro 5'!I14</f>
        <v>2757717504.027256</v>
      </c>
      <c r="J14" s="9">
        <f t="shared" si="1"/>
        <v>33419191179.709278</v>
      </c>
      <c r="K14" s="9">
        <f t="shared" si="2"/>
        <v>-497171335.57143784</v>
      </c>
      <c r="L14" s="11">
        <f t="shared" si="3"/>
        <v>-1.4658745770494749E-2</v>
      </c>
    </row>
    <row r="15" spans="1:12" x14ac:dyDescent="0.2">
      <c r="A15" s="6" t="s">
        <v>23</v>
      </c>
      <c r="B15" s="18">
        <v>32936564964</v>
      </c>
      <c r="C15" s="7">
        <f>'Cuadro 3'!J15</f>
        <v>37996871562.543304</v>
      </c>
      <c r="D15" s="7">
        <f>'Cuadro 4'!K15</f>
        <v>19288719092.270878</v>
      </c>
      <c r="E15" s="7">
        <f>'Cuadro 5'!H15</f>
        <v>23241956992.077778</v>
      </c>
      <c r="F15" s="9">
        <f t="shared" si="0"/>
        <v>113464112610.89195</v>
      </c>
      <c r="G15" s="7">
        <f>'Cuadro 3'!K15</f>
        <v>37409965414.520546</v>
      </c>
      <c r="H15" s="7">
        <f>'Cuadro 4'!L15</f>
        <v>18989241465.909138</v>
      </c>
      <c r="I15" s="7">
        <f>'Cuadro 5'!I15</f>
        <v>22958545448.805656</v>
      </c>
      <c r="J15" s="9">
        <f t="shared" si="1"/>
        <v>112294317293.23535</v>
      </c>
      <c r="K15" s="9">
        <f t="shared" si="2"/>
        <v>-1169795317.656601</v>
      </c>
      <c r="L15" s="11">
        <f t="shared" si="3"/>
        <v>-1.0309826523459778E-2</v>
      </c>
    </row>
    <row r="16" spans="1:12" x14ac:dyDescent="0.2">
      <c r="A16" s="6" t="s">
        <v>24</v>
      </c>
      <c r="B16" s="18">
        <v>3462230928</v>
      </c>
      <c r="C16" s="7">
        <f>'Cuadro 3'!J16</f>
        <v>8160374437.354167</v>
      </c>
      <c r="D16" s="7">
        <f>'Cuadro 4'!K16</f>
        <v>4112601835.9281659</v>
      </c>
      <c r="E16" s="7">
        <f>'Cuadro 5'!H16</f>
        <v>265734467.13215411</v>
      </c>
      <c r="F16" s="9">
        <f t="shared" si="0"/>
        <v>16000941668.414488</v>
      </c>
      <c r="G16" s="7">
        <f>'Cuadro 3'!K16</f>
        <v>8146076800.3334217</v>
      </c>
      <c r="H16" s="7">
        <f>'Cuadro 4'!L16</f>
        <v>4105063139.5923223</v>
      </c>
      <c r="I16" s="7">
        <f>'Cuadro 5'!I16</f>
        <v>266145123.04754674</v>
      </c>
      <c r="J16" s="9">
        <f t="shared" si="1"/>
        <v>15979515990.973289</v>
      </c>
      <c r="K16" s="9">
        <f t="shared" si="2"/>
        <v>-21425677.441198349</v>
      </c>
      <c r="L16" s="11">
        <f t="shared" si="3"/>
        <v>-1.3390260326673255E-3</v>
      </c>
    </row>
    <row r="17" spans="1:12" x14ac:dyDescent="0.2">
      <c r="A17" s="6" t="s">
        <v>25</v>
      </c>
      <c r="B17" s="18">
        <v>10263898068</v>
      </c>
      <c r="C17" s="7">
        <f>'Cuadro 3'!J17</f>
        <v>26027464599.74015</v>
      </c>
      <c r="D17" s="7">
        <f>'Cuadro 4'!K17</f>
        <v>12506596324.520662</v>
      </c>
      <c r="E17" s="7">
        <f>'Cuadro 5'!H17</f>
        <v>3445119975.0081177</v>
      </c>
      <c r="F17" s="9">
        <f t="shared" si="0"/>
        <v>52243078967.268929</v>
      </c>
      <c r="G17" s="7">
        <f>'Cuadro 3'!K17</f>
        <v>26413898358.443096</v>
      </c>
      <c r="H17" s="7">
        <f>'Cuadro 4'!L17</f>
        <v>12691253910.026474</v>
      </c>
      <c r="I17" s="7">
        <f>'Cuadro 5'!I17</f>
        <v>3507819185.6877995</v>
      </c>
      <c r="J17" s="9">
        <f t="shared" si="1"/>
        <v>52876869522.157372</v>
      </c>
      <c r="K17" s="9">
        <f t="shared" si="2"/>
        <v>633790554.88844299</v>
      </c>
      <c r="L17" s="11">
        <f t="shared" si="3"/>
        <v>1.2131569720182884E-2</v>
      </c>
    </row>
    <row r="18" spans="1:12" x14ac:dyDescent="0.2">
      <c r="A18" s="6" t="s">
        <v>26</v>
      </c>
      <c r="B18" s="18">
        <v>5919287988</v>
      </c>
      <c r="C18" s="7">
        <f>'Cuadro 3'!J18</f>
        <v>14589695706.839132</v>
      </c>
      <c r="D18" s="7">
        <f>'Cuadro 4'!K18</f>
        <v>7345193621.1049109</v>
      </c>
      <c r="E18" s="7">
        <f>'Cuadro 5'!H18</f>
        <v>462367156.0580979</v>
      </c>
      <c r="F18" s="9">
        <f t="shared" si="0"/>
        <v>28316544472.002144</v>
      </c>
      <c r="G18" s="7">
        <f>'Cuadro 3'!K18</f>
        <v>13815660180.044538</v>
      </c>
      <c r="H18" s="7">
        <f>'Cuadro 4'!L18</f>
        <v>6954940510.8889332</v>
      </c>
      <c r="I18" s="7">
        <f>'Cuadro 5'!I18</f>
        <v>439283201.35060996</v>
      </c>
      <c r="J18" s="9">
        <f t="shared" si="1"/>
        <v>27129171880.284081</v>
      </c>
      <c r="K18" s="9">
        <f t="shared" si="2"/>
        <v>-1187372591.7180634</v>
      </c>
      <c r="L18" s="11">
        <f t="shared" si="3"/>
        <v>-4.1932114735682972E-2</v>
      </c>
    </row>
    <row r="19" spans="1:12" x14ac:dyDescent="0.2">
      <c r="A19" s="6" t="s">
        <v>27</v>
      </c>
      <c r="B19" s="18">
        <v>4744571184</v>
      </c>
      <c r="C19" s="7">
        <f>'Cuadro 3'!J19</f>
        <v>13349728033.658257</v>
      </c>
      <c r="D19" s="7">
        <f>'Cuadro 4'!K19</f>
        <v>6573843268.7339239</v>
      </c>
      <c r="E19" s="7">
        <f>'Cuadro 5'!H19</f>
        <v>495623695.43330276</v>
      </c>
      <c r="F19" s="9">
        <f t="shared" si="0"/>
        <v>25163766181.825485</v>
      </c>
      <c r="G19" s="7">
        <f>'Cuadro 3'!K19</f>
        <v>13322881312.754301</v>
      </c>
      <c r="H19" s="7">
        <f>'Cuadro 4'!L19</f>
        <v>6560090778.4547482</v>
      </c>
      <c r="I19" s="7">
        <f>'Cuadro 5'!I19</f>
        <v>496260847.55262405</v>
      </c>
      <c r="J19" s="9">
        <f t="shared" si="1"/>
        <v>25123804122.761673</v>
      </c>
      <c r="K19" s="9">
        <f t="shared" si="2"/>
        <v>-39962059.063812256</v>
      </c>
      <c r="L19" s="11">
        <f t="shared" si="3"/>
        <v>-1.5880794144667752E-3</v>
      </c>
    </row>
    <row r="20" spans="1:12" x14ac:dyDescent="0.2">
      <c r="A20" s="6" t="s">
        <v>28</v>
      </c>
      <c r="B20" s="18">
        <v>17193551844</v>
      </c>
      <c r="C20" s="7">
        <f>'Cuadro 3'!J20</f>
        <v>35226231467.302261</v>
      </c>
      <c r="D20" s="7">
        <f>'Cuadro 4'!K20</f>
        <v>17877138205.68037</v>
      </c>
      <c r="E20" s="7">
        <f>'Cuadro 5'!H20</f>
        <v>7841948597.0053101</v>
      </c>
      <c r="F20" s="9">
        <f t="shared" si="0"/>
        <v>78138870113.987946</v>
      </c>
      <c r="G20" s="7">
        <f>'Cuadro 3'!K20</f>
        <v>34947705663.388489</v>
      </c>
      <c r="H20" s="7">
        <f>'Cuadro 4'!L20</f>
        <v>17734348773.141792</v>
      </c>
      <c r="I20" s="7">
        <f>'Cuadro 5'!I20</f>
        <v>7805643040.1282587</v>
      </c>
      <c r="J20" s="9">
        <f t="shared" si="1"/>
        <v>77681249320.658539</v>
      </c>
      <c r="K20" s="9">
        <f t="shared" si="2"/>
        <v>-457620793.32940674</v>
      </c>
      <c r="L20" s="11">
        <f t="shared" si="3"/>
        <v>-5.8565064053503159E-3</v>
      </c>
    </row>
    <row r="21" spans="1:12" x14ac:dyDescent="0.2">
      <c r="A21" s="6" t="s">
        <v>29</v>
      </c>
      <c r="B21" s="18">
        <v>33604420680</v>
      </c>
      <c r="C21" s="7">
        <f>'Cuadro 3'!J21</f>
        <v>71930615715.462906</v>
      </c>
      <c r="D21" s="7">
        <f>'Cuadro 4'!K21</f>
        <v>35585983482.228638</v>
      </c>
      <c r="E21" s="7">
        <f>'Cuadro 5'!H21</f>
        <v>22682158386.916492</v>
      </c>
      <c r="F21" s="9">
        <f t="shared" si="0"/>
        <v>163803178264.60803</v>
      </c>
      <c r="G21" s="7">
        <f>'Cuadro 3'!K21</f>
        <v>71141435700.4646</v>
      </c>
      <c r="H21" s="7">
        <f>'Cuadro 4'!L21</f>
        <v>35192699661.226982</v>
      </c>
      <c r="I21" s="7">
        <f>'Cuadro 5'!I21</f>
        <v>22507405579.366249</v>
      </c>
      <c r="J21" s="9">
        <f t="shared" si="1"/>
        <v>162445961621.05783</v>
      </c>
      <c r="K21" s="9">
        <f t="shared" si="2"/>
        <v>-1357216643.5502014</v>
      </c>
      <c r="L21" s="11">
        <f t="shared" si="3"/>
        <v>-8.285655125432001E-3</v>
      </c>
    </row>
    <row r="22" spans="1:12" x14ac:dyDescent="0.2">
      <c r="A22" s="6" t="s">
        <v>30</v>
      </c>
      <c r="B22" s="18">
        <v>7551448920</v>
      </c>
      <c r="C22" s="7">
        <f>'Cuadro 3'!J22</f>
        <v>19775719271.876099</v>
      </c>
      <c r="D22" s="7">
        <f>'Cuadro 4'!K22</f>
        <v>9342261607.5455093</v>
      </c>
      <c r="E22" s="7">
        <f>'Cuadro 5'!H22</f>
        <v>1187236805.8418527</v>
      </c>
      <c r="F22" s="9">
        <f t="shared" si="0"/>
        <v>37856666605.263458</v>
      </c>
      <c r="G22" s="7">
        <f>'Cuadro 3'!K22</f>
        <v>19509926968.980675</v>
      </c>
      <c r="H22" s="7">
        <f>'Cuadro 4'!L22</f>
        <v>9215950694.5128098</v>
      </c>
      <c r="I22" s="7">
        <f>'Cuadro 5'!I22</f>
        <v>1175148952.315635</v>
      </c>
      <c r="J22" s="9">
        <f t="shared" si="1"/>
        <v>37452475535.80912</v>
      </c>
      <c r="K22" s="9">
        <f t="shared" si="2"/>
        <v>-404191069.45433807</v>
      </c>
      <c r="L22" s="11">
        <f t="shared" si="3"/>
        <v>-1.0676879548558582E-2</v>
      </c>
    </row>
    <row r="23" spans="1:12" x14ac:dyDescent="0.2">
      <c r="A23" s="6" t="s">
        <v>31</v>
      </c>
      <c r="B23" s="18">
        <v>3883371876</v>
      </c>
      <c r="C23" s="7">
        <f>'Cuadro 3'!J23</f>
        <v>7840307615.0446053</v>
      </c>
      <c r="D23" s="7">
        <f>'Cuadro 4'!K23</f>
        <v>3940662963.348649</v>
      </c>
      <c r="E23" s="7">
        <f>'Cuadro 5'!H23</f>
        <v>242736411.7783165</v>
      </c>
      <c r="F23" s="9">
        <f t="shared" si="0"/>
        <v>15907078866.17157</v>
      </c>
      <c r="G23" s="7">
        <f>'Cuadro 3'!K23</f>
        <v>7882853929.4742517</v>
      </c>
      <c r="H23" s="7">
        <f>'Cuadro 4'!L23</f>
        <v>3961725961.4001069</v>
      </c>
      <c r="I23" s="7">
        <f>'Cuadro 5'!I23</f>
        <v>244859813.75366265</v>
      </c>
      <c r="J23" s="9">
        <f t="shared" si="1"/>
        <v>15972811580.628021</v>
      </c>
      <c r="K23" s="9">
        <f t="shared" si="2"/>
        <v>65732714.456451416</v>
      </c>
      <c r="L23" s="11">
        <f t="shared" si="3"/>
        <v>4.1322932393476975E-3</v>
      </c>
    </row>
    <row r="24" spans="1:12" x14ac:dyDescent="0.2">
      <c r="A24" s="6" t="s">
        <v>32</v>
      </c>
      <c r="B24" s="18">
        <v>2606292744</v>
      </c>
      <c r="C24" s="7">
        <f>'Cuadro 3'!J24</f>
        <v>4878203587.2984686</v>
      </c>
      <c r="D24" s="7">
        <f>'Cuadro 4'!K24</f>
        <v>2533020935.077035</v>
      </c>
      <c r="E24" s="7">
        <f>'Cuadro 5'!H24</f>
        <v>124307616.01711562</v>
      </c>
      <c r="F24" s="9">
        <f t="shared" si="0"/>
        <v>10141824882.39262</v>
      </c>
      <c r="G24" s="7">
        <f>'Cuadro 3'!K24</f>
        <v>5083498900.7534723</v>
      </c>
      <c r="H24" s="7">
        <f>'Cuadro 4'!L24</f>
        <v>2639406942.6253886</v>
      </c>
      <c r="I24" s="7">
        <f>'Cuadro 5'!I24</f>
        <v>129966900.22487128</v>
      </c>
      <c r="J24" s="9">
        <f t="shared" si="1"/>
        <v>10459165487.603733</v>
      </c>
      <c r="K24" s="9">
        <f t="shared" si="2"/>
        <v>317340605.21111298</v>
      </c>
      <c r="L24" s="11">
        <f t="shared" si="3"/>
        <v>3.1290286402208829E-2</v>
      </c>
    </row>
    <row r="25" spans="1:12" x14ac:dyDescent="0.2">
      <c r="A25" s="6" t="s">
        <v>33</v>
      </c>
      <c r="B25" s="18">
        <v>12741974412</v>
      </c>
      <c r="C25" s="7">
        <f>'Cuadro 3'!J25</f>
        <v>25284564083.343006</v>
      </c>
      <c r="D25" s="7">
        <f>'Cuadro 4'!K25</f>
        <v>12221234212.912659</v>
      </c>
      <c r="E25" s="7">
        <f>'Cuadro 5'!H25</f>
        <v>6637900870.4584541</v>
      </c>
      <c r="F25" s="9">
        <f t="shared" si="0"/>
        <v>56885673578.714111</v>
      </c>
      <c r="G25" s="7">
        <f>'Cuadro 3'!K25</f>
        <v>25830519332.969856</v>
      </c>
      <c r="H25" s="7">
        <f>'Cuadro 4'!L25</f>
        <v>12484107430.421024</v>
      </c>
      <c r="I25" s="7">
        <f>'Cuadro 5'!I25</f>
        <v>6803629261.4396601</v>
      </c>
      <c r="J25" s="9">
        <f t="shared" si="1"/>
        <v>57860230436.830544</v>
      </c>
      <c r="K25" s="9">
        <f t="shared" si="2"/>
        <v>974556858.11643219</v>
      </c>
      <c r="L25" s="11">
        <f t="shared" si="3"/>
        <v>1.7131850548766269E-2</v>
      </c>
    </row>
    <row r="26" spans="1:12" x14ac:dyDescent="0.2">
      <c r="A26" s="6" t="s">
        <v>34</v>
      </c>
      <c r="B26" s="18">
        <v>6461415216</v>
      </c>
      <c r="C26" s="7">
        <f>'Cuadro 3'!J26</f>
        <v>17719174609.118164</v>
      </c>
      <c r="D26" s="7">
        <f>'Cuadro 4'!K26</f>
        <v>8743002474.4796009</v>
      </c>
      <c r="E26" s="7">
        <f>'Cuadro 5'!H26</f>
        <v>576414496.38303816</v>
      </c>
      <c r="F26" s="9">
        <f t="shared" si="0"/>
        <v>33500006795.980801</v>
      </c>
      <c r="G26" s="7">
        <f>'Cuadro 3'!K26</f>
        <v>17435580061.058109</v>
      </c>
      <c r="H26" s="7">
        <f>'Cuadro 4'!L26</f>
        <v>8602373138.6300449</v>
      </c>
      <c r="I26" s="7">
        <f>'Cuadro 5'!I26</f>
        <v>569062565.72889459</v>
      </c>
      <c r="J26" s="9">
        <f t="shared" si="1"/>
        <v>33068430981.417049</v>
      </c>
      <c r="K26" s="9">
        <f t="shared" si="2"/>
        <v>-431575814.56375122</v>
      </c>
      <c r="L26" s="11">
        <f t="shared" si="3"/>
        <v>-1.2882857522749218E-2</v>
      </c>
    </row>
    <row r="27" spans="1:12" x14ac:dyDescent="0.2">
      <c r="A27" s="6" t="s">
        <v>35</v>
      </c>
      <c r="B27" s="18">
        <v>10668881784</v>
      </c>
      <c r="C27" s="7">
        <f>'Cuadro 3'!J27</f>
        <v>27327260601.354576</v>
      </c>
      <c r="D27" s="7">
        <f>'Cuadro 4'!K27</f>
        <v>13075496376.083229</v>
      </c>
      <c r="E27" s="7">
        <f>'Cuadro 5'!H27</f>
        <v>1919887087.594892</v>
      </c>
      <c r="F27" s="9">
        <f t="shared" si="0"/>
        <v>52991525849.0327</v>
      </c>
      <c r="G27" s="7">
        <f>'Cuadro 3'!K27</f>
        <v>28213447117.741657</v>
      </c>
      <c r="H27" s="7">
        <f>'Cuadro 4'!L27</f>
        <v>13498421975.7659</v>
      </c>
      <c r="I27" s="7">
        <f>'Cuadro 5'!I27</f>
        <v>1988693944.8231688</v>
      </c>
      <c r="J27" s="9">
        <f t="shared" si="1"/>
        <v>54369444822.330719</v>
      </c>
      <c r="K27" s="9">
        <f t="shared" si="2"/>
        <v>1377918973.2980194</v>
      </c>
      <c r="L27" s="11">
        <f t="shared" si="3"/>
        <v>2.6002628745274595E-2</v>
      </c>
    </row>
    <row r="28" spans="1:12" x14ac:dyDescent="0.2">
      <c r="A28" s="6" t="s">
        <v>36</v>
      </c>
      <c r="B28" s="18">
        <v>4516966092</v>
      </c>
      <c r="C28" s="7">
        <f>'Cuadro 3'!J28</f>
        <v>10040093269.22242</v>
      </c>
      <c r="D28" s="7">
        <f>'Cuadro 4'!K28</f>
        <v>4946720179.4240999</v>
      </c>
      <c r="E28" s="7">
        <f>'Cuadro 5'!H28</f>
        <v>1007710533.6003728</v>
      </c>
      <c r="F28" s="9">
        <f t="shared" si="0"/>
        <v>20511490074.246891</v>
      </c>
      <c r="G28" s="7">
        <f>'Cuadro 3'!K28</f>
        <v>10339049768.651373</v>
      </c>
      <c r="H28" s="7">
        <f>'Cuadro 4'!L28</f>
        <v>5093601746.2144642</v>
      </c>
      <c r="I28" s="7">
        <f>'Cuadro 5'!I28</f>
        <v>1041144208.0019633</v>
      </c>
      <c r="J28" s="9">
        <f t="shared" si="1"/>
        <v>20990761814.867798</v>
      </c>
      <c r="K28" s="9">
        <f t="shared" si="2"/>
        <v>479271740.62090683</v>
      </c>
      <c r="L28" s="11">
        <f t="shared" si="3"/>
        <v>2.3366012848703484E-2</v>
      </c>
    </row>
    <row r="29" spans="1:12" x14ac:dyDescent="0.2">
      <c r="A29" s="6" t="s">
        <v>37</v>
      </c>
      <c r="B29" s="18">
        <v>3188229312</v>
      </c>
      <c r="C29" s="7">
        <f>'Cuadro 3'!J29</f>
        <v>7399260073.2943296</v>
      </c>
      <c r="D29" s="7">
        <f>'Cuadro 4'!K29</f>
        <v>4028862050.5337915</v>
      </c>
      <c r="E29" s="7">
        <f>'Cuadro 5'!H29</f>
        <v>885382745.5859133</v>
      </c>
      <c r="F29" s="9">
        <f t="shared" si="0"/>
        <v>15501734181.414034</v>
      </c>
      <c r="G29" s="7">
        <f>'Cuadro 3'!K29</f>
        <v>8150048501.6994457</v>
      </c>
      <c r="H29" s="7">
        <f>'Cuadro 4'!L29</f>
        <v>4437302749.6845522</v>
      </c>
      <c r="I29" s="7">
        <f>'Cuadro 5'!I29</f>
        <v>978442177.78168523</v>
      </c>
      <c r="J29" s="9">
        <f t="shared" si="1"/>
        <v>16754022741.165684</v>
      </c>
      <c r="K29" s="9">
        <f t="shared" si="2"/>
        <v>1252288559.7516499</v>
      </c>
      <c r="L29" s="11">
        <f t="shared" si="3"/>
        <v>8.078377200230244E-2</v>
      </c>
    </row>
    <row r="30" spans="1:12" x14ac:dyDescent="0.2">
      <c r="A30" s="6" t="s">
        <v>38</v>
      </c>
      <c r="B30" s="18">
        <v>4974553704</v>
      </c>
      <c r="C30" s="7">
        <f>'Cuadro 3'!J30</f>
        <v>11456467047.763979</v>
      </c>
      <c r="D30" s="7">
        <f>'Cuadro 4'!K30</f>
        <v>6020696868.730505</v>
      </c>
      <c r="E30" s="7">
        <f>'Cuadro 5'!H30</f>
        <v>613324742.60122252</v>
      </c>
      <c r="F30" s="9">
        <f t="shared" si="0"/>
        <v>23065042363.095707</v>
      </c>
      <c r="G30" s="7">
        <f>'Cuadro 3'!K30</f>
        <v>11460042551.333523</v>
      </c>
      <c r="H30" s="7">
        <f>'Cuadro 4'!L30</f>
        <v>6022087264.6860991</v>
      </c>
      <c r="I30" s="7">
        <f>'Cuadro 5'!I30</f>
        <v>615542743.2812916</v>
      </c>
      <c r="J30" s="9">
        <f t="shared" si="1"/>
        <v>23072226263.300915</v>
      </c>
      <c r="K30" s="9">
        <f t="shared" si="2"/>
        <v>7183900.2052078247</v>
      </c>
      <c r="L30" s="11">
        <f t="shared" si="3"/>
        <v>3.1146269285427957E-4</v>
      </c>
    </row>
    <row r="31" spans="1:12" x14ac:dyDescent="0.2">
      <c r="A31" s="6" t="s">
        <v>39</v>
      </c>
      <c r="B31" s="18">
        <v>6396671364</v>
      </c>
      <c r="C31" s="7">
        <f>'Cuadro 3'!J31</f>
        <v>12320229617.210917</v>
      </c>
      <c r="D31" s="7">
        <f>'Cuadro 4'!K31</f>
        <v>5959167728.9319038</v>
      </c>
      <c r="E31" s="7">
        <f>'Cuadro 5'!H31</f>
        <v>992975761.48914158</v>
      </c>
      <c r="F31" s="9">
        <f t="shared" si="0"/>
        <v>25669044471.631962</v>
      </c>
      <c r="G31" s="7">
        <f>'Cuadro 3'!K31</f>
        <v>12143703662.472422</v>
      </c>
      <c r="H31" s="7">
        <f>'Cuadro 4'!L31</f>
        <v>5873307389.0111151</v>
      </c>
      <c r="I31" s="7">
        <f>'Cuadro 5'!I31</f>
        <v>981981298.4164319</v>
      </c>
      <c r="J31" s="9">
        <f t="shared" si="1"/>
        <v>25395663713.899967</v>
      </c>
      <c r="K31" s="9">
        <f t="shared" si="2"/>
        <v>-273380757.73199463</v>
      </c>
      <c r="L31" s="11">
        <f t="shared" si="3"/>
        <v>-1.065021169892476E-2</v>
      </c>
    </row>
    <row r="32" spans="1:12" x14ac:dyDescent="0.2">
      <c r="A32" s="6" t="s">
        <v>40</v>
      </c>
      <c r="B32" s="18">
        <v>6624932388</v>
      </c>
      <c r="C32" s="7">
        <f>'Cuadro 3'!J32</f>
        <v>12016027422.568481</v>
      </c>
      <c r="D32" s="7">
        <f>'Cuadro 4'!K32</f>
        <v>6234891559.31042</v>
      </c>
      <c r="E32" s="7">
        <f>'Cuadro 5'!H32</f>
        <v>1197540346.5195248</v>
      </c>
      <c r="F32" s="9">
        <f t="shared" si="0"/>
        <v>26073391716.398426</v>
      </c>
      <c r="G32" s="7">
        <f>'Cuadro 3'!K32</f>
        <v>12033317961.318501</v>
      </c>
      <c r="H32" s="7">
        <f>'Cuadro 4'!L32</f>
        <v>6243356710.0878792</v>
      </c>
      <c r="I32" s="7">
        <f>'Cuadro 5'!I32</f>
        <v>1203224998.6258707</v>
      </c>
      <c r="J32" s="9">
        <f t="shared" si="1"/>
        <v>26104832058.032249</v>
      </c>
      <c r="K32" s="9">
        <f t="shared" si="2"/>
        <v>31440341.633823395</v>
      </c>
      <c r="L32" s="11">
        <f t="shared" si="3"/>
        <v>1.2058401137758198E-3</v>
      </c>
    </row>
    <row r="33" spans="1:12" x14ac:dyDescent="0.2">
      <c r="A33" s="6" t="s">
        <v>41</v>
      </c>
      <c r="B33" s="18">
        <v>11033941776</v>
      </c>
      <c r="C33" s="7">
        <f>'Cuadro 3'!J33</f>
        <v>8958501768.2397346</v>
      </c>
      <c r="D33" s="7">
        <f>'Cuadro 4'!K33</f>
        <v>5134999231.6861353</v>
      </c>
      <c r="E33" s="7">
        <f>'Cuadro 5'!H33</f>
        <v>295298779.03776419</v>
      </c>
      <c r="F33" s="9">
        <f t="shared" si="0"/>
        <v>25422741554.963634</v>
      </c>
      <c r="G33" s="7">
        <f>'Cuadro 3'!K33</f>
        <v>8853815941.8404102</v>
      </c>
      <c r="H33" s="7">
        <f>'Cuadro 4'!L33</f>
        <v>5074581727.8602133</v>
      </c>
      <c r="I33" s="7">
        <f>'Cuadro 5'!I33</f>
        <v>292812065.08701193</v>
      </c>
      <c r="J33" s="9">
        <f t="shared" si="1"/>
        <v>25255151510.787636</v>
      </c>
      <c r="K33" s="9">
        <f t="shared" si="2"/>
        <v>-167590044.17599869</v>
      </c>
      <c r="L33" s="11">
        <f t="shared" si="3"/>
        <v>-6.5921310576859387E-3</v>
      </c>
    </row>
    <row r="34" spans="1:12" x14ac:dyDescent="0.2">
      <c r="A34" s="6" t="s">
        <v>42</v>
      </c>
      <c r="B34" s="18">
        <v>7484910060</v>
      </c>
      <c r="C34" s="7">
        <f>'Cuadro 3'!J34</f>
        <v>14525153998.464966</v>
      </c>
      <c r="D34" s="7">
        <f>'Cuadro 4'!K34</f>
        <v>7103092529.5903406</v>
      </c>
      <c r="E34" s="7">
        <f>'Cuadro 5'!H34</f>
        <v>1310197890.0853446</v>
      </c>
      <c r="F34" s="9">
        <f t="shared" si="0"/>
        <v>30423354478.140652</v>
      </c>
      <c r="G34" s="7">
        <f>'Cuadro 3'!K34</f>
        <v>14715956561.22744</v>
      </c>
      <c r="H34" s="7">
        <f>'Cuadro 4'!L34</f>
        <v>7195814953.0750618</v>
      </c>
      <c r="I34" s="7">
        <f>'Cuadro 5'!I34</f>
        <v>1331793398.8400459</v>
      </c>
      <c r="J34" s="9">
        <f t="shared" si="1"/>
        <v>30728474973.142548</v>
      </c>
      <c r="K34" s="9">
        <f t="shared" si="2"/>
        <v>305120495.0018959</v>
      </c>
      <c r="L34" s="11">
        <f t="shared" si="3"/>
        <v>1.0029153597152696E-2</v>
      </c>
    </row>
    <row r="35" spans="1:12" x14ac:dyDescent="0.2">
      <c r="A35" s="6" t="s">
        <v>43</v>
      </c>
      <c r="B35" s="18">
        <v>2748439692</v>
      </c>
      <c r="C35" s="7">
        <f>'Cuadro 3'!J35</f>
        <v>5919549026.0883493</v>
      </c>
      <c r="D35" s="7">
        <f>'Cuadro 4'!K35</f>
        <v>2954070447.3925066</v>
      </c>
      <c r="E35" s="7">
        <f>'Cuadro 5'!H35</f>
        <v>77809290.70890671</v>
      </c>
      <c r="F35" s="9">
        <f t="shared" si="0"/>
        <v>11699868456.18976</v>
      </c>
      <c r="G35" s="7">
        <f>'Cuadro 3'!K35</f>
        <v>5683994881.7222214</v>
      </c>
      <c r="H35" s="7">
        <f>'Cuadro 4'!L35</f>
        <v>2836290218.1481299</v>
      </c>
      <c r="I35" s="7">
        <f>'Cuadro 5'!I35</f>
        <v>74959852.516228378</v>
      </c>
      <c r="J35" s="9">
        <f t="shared" si="1"/>
        <v>11343684644.38658</v>
      </c>
      <c r="K35" s="9">
        <f t="shared" si="2"/>
        <v>-356183811.80318069</v>
      </c>
      <c r="L35" s="11">
        <f t="shared" si="3"/>
        <v>-3.0443403114907956E-2</v>
      </c>
    </row>
    <row r="36" spans="1:12" x14ac:dyDescent="0.2">
      <c r="A36" s="6" t="s">
        <v>44</v>
      </c>
      <c r="B36" s="18">
        <v>16062813336</v>
      </c>
      <c r="C36" s="7">
        <f>'Cuadro 3'!J36</f>
        <v>33051650900.837875</v>
      </c>
      <c r="D36" s="7">
        <f>'Cuadro 4'!K36</f>
        <v>15653297534.980909</v>
      </c>
      <c r="E36" s="7">
        <f>'Cuadro 5'!H36</f>
        <v>2936338129.4294558</v>
      </c>
      <c r="F36" s="9">
        <f t="shared" si="0"/>
        <v>67704099901.248245</v>
      </c>
      <c r="G36" s="7">
        <f>'Cuadro 3'!K36</f>
        <v>32220792806.124195</v>
      </c>
      <c r="H36" s="7">
        <f>'Cuadro 4'!L36</f>
        <v>15258564164.912918</v>
      </c>
      <c r="I36" s="7">
        <f>'Cuadro 5'!I36</f>
        <v>2871979531.8130946</v>
      </c>
      <c r="J36" s="9">
        <f t="shared" si="1"/>
        <v>66414149838.850204</v>
      </c>
      <c r="K36" s="9">
        <f t="shared" si="2"/>
        <v>-1289950062.3980408</v>
      </c>
      <c r="L36" s="11">
        <f t="shared" si="3"/>
        <v>-1.9052761417396206E-2</v>
      </c>
    </row>
    <row r="37" spans="1:12" x14ac:dyDescent="0.2">
      <c r="A37" s="6" t="s">
        <v>45</v>
      </c>
      <c r="B37" s="18">
        <v>4202227920</v>
      </c>
      <c r="C37" s="7">
        <f>'Cuadro 3'!J37</f>
        <v>9920442421.6656036</v>
      </c>
      <c r="D37" s="7">
        <f>'Cuadro 4'!K37</f>
        <v>4804395866.4243965</v>
      </c>
      <c r="E37" s="7">
        <f>'Cuadro 5'!H37</f>
        <v>514147027.67408109</v>
      </c>
      <c r="F37" s="9">
        <f t="shared" si="0"/>
        <v>19441213235.76408</v>
      </c>
      <c r="G37" s="7">
        <f>'Cuadro 3'!K37</f>
        <v>10340650713.251968</v>
      </c>
      <c r="H37" s="7">
        <f>'Cuadro 4'!L37</f>
        <v>5007493282.7212954</v>
      </c>
      <c r="I37" s="7">
        <f>'Cuadro 5'!I37</f>
        <v>537695458.07291591</v>
      </c>
      <c r="J37" s="9">
        <f t="shared" si="1"/>
        <v>20088067374.046181</v>
      </c>
      <c r="K37" s="9">
        <f t="shared" si="2"/>
        <v>646854138.28210068</v>
      </c>
      <c r="L37" s="11">
        <f t="shared" si="3"/>
        <v>3.327231332930123E-2</v>
      </c>
    </row>
    <row r="38" spans="1:12" x14ac:dyDescent="0.2">
      <c r="A38" s="6" t="s">
        <v>46</v>
      </c>
      <c r="B38" s="18">
        <v>3206553636</v>
      </c>
      <c r="C38" s="7">
        <f>'Cuadro 3'!J38</f>
        <v>7336437801.6255789</v>
      </c>
      <c r="D38" s="7">
        <f>'Cuadro 4'!K38</f>
        <v>3379164492.366827</v>
      </c>
      <c r="E38" s="7">
        <f>'Cuadro 5'!H38</f>
        <v>220733786.59344172</v>
      </c>
      <c r="F38" s="9">
        <f t="shared" si="0"/>
        <v>14142889716.585848</v>
      </c>
      <c r="G38" s="7">
        <f>'Cuadro 3'!K38</f>
        <v>7288526779.38554</v>
      </c>
      <c r="H38" s="7">
        <f>'Cuadro 4'!L38</f>
        <v>3356824294.7225547</v>
      </c>
      <c r="I38" s="7">
        <f>'Cuadro 5'!I38</f>
        <v>220016645.01001903</v>
      </c>
      <c r="J38" s="9">
        <f t="shared" si="1"/>
        <v>14071921355.118114</v>
      </c>
      <c r="K38" s="9">
        <f t="shared" si="2"/>
        <v>-70968361.467733383</v>
      </c>
      <c r="L38" s="11">
        <f t="shared" si="3"/>
        <v>-5.0179533949491501E-3</v>
      </c>
    </row>
    <row r="39" spans="1:12" x14ac:dyDescent="0.2">
      <c r="A39" s="13" t="s">
        <v>47</v>
      </c>
      <c r="B39" s="14">
        <f t="shared" ref="B39:K39" si="4">SUM(B7:B38)</f>
        <v>265828054020</v>
      </c>
      <c r="C39" s="14">
        <f t="shared" si="4"/>
        <v>527233462043.57629</v>
      </c>
      <c r="D39" s="14">
        <f t="shared" si="4"/>
        <v>263616731021.78812</v>
      </c>
      <c r="E39" s="14">
        <f t="shared" si="4"/>
        <v>87872243673.929413</v>
      </c>
      <c r="F39" s="14">
        <f t="shared" si="4"/>
        <v>1144550490759.2942</v>
      </c>
      <c r="G39" s="14">
        <f t="shared" si="4"/>
        <v>527233462043.57629</v>
      </c>
      <c r="H39" s="14">
        <f t="shared" si="4"/>
        <v>263616731021.78827</v>
      </c>
      <c r="I39" s="14">
        <f t="shared" si="4"/>
        <v>87872243673.929428</v>
      </c>
      <c r="J39" s="14">
        <f t="shared" si="4"/>
        <v>1144550490759.2939</v>
      </c>
      <c r="K39" s="14">
        <f t="shared" si="4"/>
        <v>2.269744873046875E-4</v>
      </c>
      <c r="L39" s="15">
        <f t="shared" si="3"/>
        <v>1.9830884625641351E-16</v>
      </c>
    </row>
    <row r="42" spans="1:12" x14ac:dyDescent="0.2">
      <c r="A42" s="3" t="s">
        <v>106</v>
      </c>
    </row>
    <row r="43" spans="1:12" x14ac:dyDescent="0.2">
      <c r="A43" s="6" t="s">
        <v>107</v>
      </c>
      <c r="F43" s="18">
        <v>7782943337</v>
      </c>
    </row>
    <row r="44" spans="1:12" x14ac:dyDescent="0.2">
      <c r="A44" s="6" t="s">
        <v>108</v>
      </c>
      <c r="F44" s="8">
        <f>F43/0.00136</f>
        <v>5722752453676.4697</v>
      </c>
    </row>
    <row r="45" spans="1:12" x14ac:dyDescent="0.2">
      <c r="A45" s="6" t="s">
        <v>109</v>
      </c>
      <c r="F45" s="8">
        <f>0.2*F44</f>
        <v>1144550490735.2939</v>
      </c>
    </row>
    <row r="46" spans="1:12" x14ac:dyDescent="0.2">
      <c r="A46" s="6" t="s">
        <v>110</v>
      </c>
      <c r="F46" s="18">
        <v>265828053996</v>
      </c>
    </row>
    <row r="47" spans="1:12" x14ac:dyDescent="0.2">
      <c r="A47" s="6" t="s">
        <v>111</v>
      </c>
      <c r="F47" s="9">
        <f>F45-F46</f>
        <v>878722436739.29395</v>
      </c>
    </row>
    <row r="48" spans="1:12" x14ac:dyDescent="0.2">
      <c r="A48" s="6" t="s">
        <v>112</v>
      </c>
      <c r="F48" s="8">
        <f>0.6*F47</f>
        <v>527233462043.57635</v>
      </c>
    </row>
    <row r="49" spans="1:6" x14ac:dyDescent="0.2">
      <c r="A49" s="6" t="s">
        <v>113</v>
      </c>
      <c r="F49" s="8">
        <f>0.3*F47</f>
        <v>263616731021.78818</v>
      </c>
    </row>
    <row r="50" spans="1:6" x14ac:dyDescent="0.2">
      <c r="A50" s="6" t="s">
        <v>114</v>
      </c>
      <c r="F50" s="8">
        <f>0.1*F47</f>
        <v>87872243673.929398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42"/>
  <sheetViews>
    <sheetView showGridLines="0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baseColWidth="10" defaultColWidth="8.6640625" defaultRowHeight="15" x14ac:dyDescent="0.2"/>
  <cols>
    <col min="1" max="1" width="24" customWidth="1"/>
    <col min="2" max="10" width="13" customWidth="1"/>
  </cols>
  <sheetData>
    <row r="1" spans="1:10" ht="17" x14ac:dyDescent="0.2">
      <c r="A1" s="1" t="s">
        <v>115</v>
      </c>
    </row>
    <row r="2" spans="1:10" x14ac:dyDescent="0.2">
      <c r="A2" s="2" t="s">
        <v>116</v>
      </c>
    </row>
    <row r="6" spans="1:10" ht="61.5" customHeight="1" x14ac:dyDescent="0.2">
      <c r="A6" s="5" t="s">
        <v>4</v>
      </c>
      <c r="B6" s="5" t="s">
        <v>117</v>
      </c>
      <c r="C6" s="5" t="s">
        <v>118</v>
      </c>
      <c r="D6" s="5" t="s">
        <v>119</v>
      </c>
      <c r="E6" s="5" t="s">
        <v>120</v>
      </c>
      <c r="F6" s="5" t="s">
        <v>121</v>
      </c>
      <c r="G6" s="5" t="s">
        <v>122</v>
      </c>
      <c r="H6" s="5" t="s">
        <v>123</v>
      </c>
      <c r="I6" s="5" t="s">
        <v>124</v>
      </c>
      <c r="J6" s="5" t="s">
        <v>125</v>
      </c>
    </row>
    <row r="7" spans="1:10" x14ac:dyDescent="0.2">
      <c r="A7" s="6" t="s">
        <v>15</v>
      </c>
      <c r="B7" s="21">
        <f>'Cuadro 3'!D7*Población!H7/SUMPRODUCT('Cuadro 3'!$D$7:$D$38,Población!$H$7:$H$38)*100</f>
        <v>1.1343195812822506</v>
      </c>
      <c r="C7" s="26">
        <v>1.13432</v>
      </c>
      <c r="D7" s="27">
        <f t="shared" ref="D7:D38" si="0">B7-C7</f>
        <v>-4.1871774936197426E-7</v>
      </c>
      <c r="E7" s="21">
        <f>'Cuadro 4'!E7*Población!H7/SUMPRODUCT('Cuadro 4'!$E$7:$E$38,Población!$H$7:$H$38)*100</f>
        <v>1.1856770801695369</v>
      </c>
      <c r="F7" s="26">
        <v>1.1856770000000001</v>
      </c>
      <c r="G7" s="27">
        <f t="shared" ref="G7:G38" si="1">E7-F7</f>
        <v>8.0169536786911522E-8</v>
      </c>
      <c r="H7" s="21">
        <f>'Cuadro 5'!B7*Población!H7/SUMPRODUCT('Cuadro 5'!$B$7:$B$38,Población!$H$7:$H$38)*100</f>
        <v>0.25028246893387673</v>
      </c>
      <c r="I7" s="26">
        <v>0.250282</v>
      </c>
      <c r="J7" s="27">
        <f t="shared" ref="J7:J38" si="2">H7-I7</f>
        <v>4.68933876729416E-7</v>
      </c>
    </row>
    <row r="8" spans="1:10" x14ac:dyDescent="0.2">
      <c r="A8" s="6" t="s">
        <v>16</v>
      </c>
      <c r="B8" s="21">
        <f>'Cuadro 3'!D8*Población!H8/SUMPRODUCT('Cuadro 3'!$D$7:$D$38,Población!$H$7:$H$38)*100</f>
        <v>2.8617675214273728</v>
      </c>
      <c r="C8" s="26">
        <v>2.8617680000000001</v>
      </c>
      <c r="D8" s="27">
        <f t="shared" si="0"/>
        <v>-4.7857262730488515E-7</v>
      </c>
      <c r="E8" s="21">
        <f>'Cuadro 4'!E8*Población!H8/SUMPRODUCT('Cuadro 4'!$E$7:$E$38,Población!$H$7:$H$38)*100</f>
        <v>3.0352936294392161</v>
      </c>
      <c r="F8" s="26">
        <v>3.0352929999999998</v>
      </c>
      <c r="G8" s="27">
        <f t="shared" si="1"/>
        <v>6.2943921630420618E-7</v>
      </c>
      <c r="H8" s="21">
        <f>'Cuadro 5'!B8*Población!H8/SUMPRODUCT('Cuadro 5'!$B$7:$B$38,Población!$H$7:$H$38)*100</f>
        <v>3.3443809726452294</v>
      </c>
      <c r="I8" s="26">
        <v>3.3443809999999998</v>
      </c>
      <c r="J8" s="27">
        <f t="shared" si="2"/>
        <v>-2.7354770448795307E-8</v>
      </c>
    </row>
    <row r="9" spans="1:10" x14ac:dyDescent="0.2">
      <c r="A9" s="6" t="s">
        <v>17</v>
      </c>
      <c r="B9" s="21">
        <f>'Cuadro 3'!D9*Población!H9/SUMPRODUCT('Cuadro 3'!$D$7:$D$38,Población!$H$7:$H$38)*100</f>
        <v>0.71929622619852107</v>
      </c>
      <c r="C9" s="26">
        <v>0.71929600000000005</v>
      </c>
      <c r="D9" s="27">
        <f t="shared" si="0"/>
        <v>2.261985210250117E-7</v>
      </c>
      <c r="E9" s="21">
        <f>'Cuadro 4'!E9*Población!H9/SUMPRODUCT('Cuadro 4'!$E$7:$E$38,Población!$H$7:$H$38)*100</f>
        <v>0.69435084339230846</v>
      </c>
      <c r="F9" s="26">
        <v>0.69435100000000005</v>
      </c>
      <c r="G9" s="27">
        <f t="shared" si="1"/>
        <v>-1.5660769159264731E-7</v>
      </c>
      <c r="H9" s="21">
        <f>'Cuadro 5'!B9*Población!H9/SUMPRODUCT('Cuadro 5'!$B$7:$B$38,Población!$H$7:$H$38)*100</f>
        <v>0.15787639373696388</v>
      </c>
      <c r="I9" s="26">
        <v>0.15787599999999999</v>
      </c>
      <c r="J9" s="27">
        <f t="shared" si="2"/>
        <v>3.9373696389399804E-7</v>
      </c>
    </row>
    <row r="10" spans="1:10" x14ac:dyDescent="0.2">
      <c r="A10" s="6" t="s">
        <v>18</v>
      </c>
      <c r="B10" s="21">
        <f>'Cuadro 3'!D10*Población!H10/SUMPRODUCT('Cuadro 3'!$D$7:$D$38,Población!$H$7:$H$38)*100</f>
        <v>0.58681645136597649</v>
      </c>
      <c r="C10" s="26">
        <v>0.586816</v>
      </c>
      <c r="D10" s="27">
        <f t="shared" si="0"/>
        <v>4.5136597648376409E-7</v>
      </c>
      <c r="E10" s="21">
        <f>'Cuadro 4'!E10*Población!H10/SUMPRODUCT('Cuadro 4'!$E$7:$E$38,Población!$H$7:$H$38)*100</f>
        <v>0.66339822485538558</v>
      </c>
      <c r="F10" s="26">
        <v>0.66339800000000004</v>
      </c>
      <c r="G10" s="27">
        <f t="shared" si="1"/>
        <v>2.2485538553329576E-7</v>
      </c>
      <c r="H10" s="21">
        <f>'Cuadro 5'!B10*Población!H10/SUMPRODUCT('Cuadro 5'!$B$7:$B$38,Población!$H$7:$H$38)*100</f>
        <v>8.4437377584016926E-2</v>
      </c>
      <c r="I10" s="26">
        <v>8.4436999999999998E-2</v>
      </c>
      <c r="J10" s="27">
        <f t="shared" si="2"/>
        <v>3.775840169278899E-7</v>
      </c>
    </row>
    <row r="11" spans="1:10" x14ac:dyDescent="0.2">
      <c r="A11" s="6" t="s">
        <v>19</v>
      </c>
      <c r="B11" s="21">
        <f>'Cuadro 3'!D11*Población!H11/SUMPRODUCT('Cuadro 3'!$D$7:$D$38,Población!$H$7:$H$38)*100</f>
        <v>2.7147367467948871</v>
      </c>
      <c r="C11" s="26">
        <v>2.714737</v>
      </c>
      <c r="D11" s="27">
        <f t="shared" si="0"/>
        <v>-2.5320511287674208E-7</v>
      </c>
      <c r="E11" s="21">
        <f>'Cuadro 4'!E11*Población!H11/SUMPRODUCT('Cuadro 4'!$E$7:$E$38,Población!$H$7:$H$38)*100</f>
        <v>2.853988410411374</v>
      </c>
      <c r="F11" s="26">
        <v>2.8539889999999999</v>
      </c>
      <c r="G11" s="27">
        <f t="shared" si="1"/>
        <v>-5.8958862592106698E-7</v>
      </c>
      <c r="H11" s="21">
        <f>'Cuadro 5'!B11*Población!H11/SUMPRODUCT('Cuadro 5'!$B$7:$B$38,Población!$H$7:$H$38)*100</f>
        <v>1.6042363660022367</v>
      </c>
      <c r="I11" s="26">
        <v>1.604236</v>
      </c>
      <c r="J11" s="27">
        <f t="shared" si="2"/>
        <v>3.6600223674021493E-7</v>
      </c>
    </row>
    <row r="12" spans="1:10" x14ac:dyDescent="0.2">
      <c r="A12" s="6" t="s">
        <v>20</v>
      </c>
      <c r="B12" s="21">
        <f>'Cuadro 3'!D12*Población!H12/SUMPRODUCT('Cuadro 3'!$D$7:$D$38,Población!$H$7:$H$38)*100</f>
        <v>0.57767460392891112</v>
      </c>
      <c r="C12" s="26">
        <v>0.57767500000000005</v>
      </c>
      <c r="D12" s="27">
        <f t="shared" si="0"/>
        <v>-3.9607108892614207E-7</v>
      </c>
      <c r="E12" s="21">
        <f>'Cuadro 4'!E12*Población!H12/SUMPRODUCT('Cuadro 4'!$E$7:$E$38,Población!$H$7:$H$38)*100</f>
        <v>0.57179553717160614</v>
      </c>
      <c r="F12" s="26">
        <v>0.57179599999999997</v>
      </c>
      <c r="G12" s="27">
        <f t="shared" si="1"/>
        <v>-4.6282839383238183E-7</v>
      </c>
      <c r="H12" s="21">
        <f>'Cuadro 5'!B12*Población!H12/SUMPRODUCT('Cuadro 5'!$B$7:$B$38,Población!$H$7:$H$38)*100</f>
        <v>6.4939854410513254E-2</v>
      </c>
      <c r="I12" s="26">
        <v>6.4939999999999998E-2</v>
      </c>
      <c r="J12" s="27">
        <f t="shared" si="2"/>
        <v>-1.4558948674414651E-7</v>
      </c>
    </row>
    <row r="13" spans="1:10" x14ac:dyDescent="0.2">
      <c r="A13" s="6" t="s">
        <v>21</v>
      </c>
      <c r="B13" s="21">
        <f>'Cuadro 3'!D13*Población!H13/SUMPRODUCT('Cuadro 3'!$D$7:$D$38,Población!$H$7:$H$38)*100</f>
        <v>4.511921223528522</v>
      </c>
      <c r="C13" s="26">
        <v>4.5119210000000001</v>
      </c>
      <c r="D13" s="27">
        <f t="shared" si="0"/>
        <v>2.2352852191431793E-7</v>
      </c>
      <c r="E13" s="21">
        <f>'Cuadro 4'!E13*Población!H13/SUMPRODUCT('Cuadro 4'!$E$7:$E$38,Población!$H$7:$H$38)*100</f>
        <v>4.9550105225252299</v>
      </c>
      <c r="F13" s="26">
        <v>4.9550109999999998</v>
      </c>
      <c r="G13" s="27">
        <f t="shared" si="1"/>
        <v>-4.7747476994430826E-7</v>
      </c>
      <c r="H13" s="21">
        <f>'Cuadro 5'!B13*Población!H13/SUMPRODUCT('Cuadro 5'!$B$7:$B$38,Población!$H$7:$H$38)*100</f>
        <v>1.292571285408427</v>
      </c>
      <c r="I13" s="26">
        <v>1.2925709999999999</v>
      </c>
      <c r="J13" s="27">
        <f t="shared" si="2"/>
        <v>2.8540842711421988E-7</v>
      </c>
    </row>
    <row r="14" spans="1:10" x14ac:dyDescent="0.2">
      <c r="A14" s="6" t="s">
        <v>22</v>
      </c>
      <c r="B14" s="21">
        <f>'Cuadro 3'!D14*Población!H14/SUMPRODUCT('Cuadro 3'!$D$7:$D$38,Población!$H$7:$H$38)*100</f>
        <v>3.0112156302058919</v>
      </c>
      <c r="C14" s="26">
        <v>3.0112160000000001</v>
      </c>
      <c r="D14" s="27">
        <f t="shared" si="0"/>
        <v>-3.6979410822368664E-7</v>
      </c>
      <c r="E14" s="21">
        <f>'Cuadro 4'!E14*Población!H14/SUMPRODUCT('Cuadro 4'!$E$7:$E$38,Población!$H$7:$H$38)*100</f>
        <v>2.9746183067777956</v>
      </c>
      <c r="F14" s="26">
        <v>2.974618</v>
      </c>
      <c r="G14" s="27">
        <f t="shared" si="1"/>
        <v>3.0677779561116836E-7</v>
      </c>
      <c r="H14" s="21">
        <f>'Cuadro 5'!B14*Población!H14/SUMPRODUCT('Cuadro 5'!$B$7:$B$38,Población!$H$7:$H$38)*100</f>
        <v>3.2137198745801787</v>
      </c>
      <c r="I14" s="26">
        <v>3.2137199999999999</v>
      </c>
      <c r="J14" s="27">
        <f t="shared" si="2"/>
        <v>-1.2541982119529393E-7</v>
      </c>
    </row>
    <row r="15" spans="1:10" x14ac:dyDescent="0.2">
      <c r="A15" s="6" t="s">
        <v>23</v>
      </c>
      <c r="B15" s="21">
        <f>'Cuadro 3'!D15*Población!H15/SUMPRODUCT('Cuadro 3'!$D$7:$D$38,Población!$H$7:$H$38)*100</f>
        <v>7.1747510783376587</v>
      </c>
      <c r="C15" s="26">
        <v>7.1747509999999997</v>
      </c>
      <c r="D15" s="27">
        <f t="shared" si="0"/>
        <v>7.8337659026317397E-8</v>
      </c>
      <c r="E15" s="21">
        <f>'Cuadro 4'!E15*Población!H15/SUMPRODUCT('Cuadro 4'!$E$7:$E$38,Población!$H$7:$H$38)*100</f>
        <v>7.2836036574187455</v>
      </c>
      <c r="F15" s="26">
        <v>7.2836040000000004</v>
      </c>
      <c r="G15" s="27">
        <f t="shared" si="1"/>
        <v>-3.425812549195939E-7</v>
      </c>
      <c r="H15" s="21">
        <f>'Cuadro 5'!B15*Población!H15/SUMPRODUCT('Cuadro 5'!$B$7:$B$38,Población!$H$7:$H$38)*100</f>
        <v>26.350465187482826</v>
      </c>
      <c r="I15" s="26">
        <v>26.350465</v>
      </c>
      <c r="J15" s="27">
        <f t="shared" si="2"/>
        <v>1.8748282570868469E-7</v>
      </c>
    </row>
    <row r="16" spans="1:10" x14ac:dyDescent="0.2">
      <c r="A16" s="6" t="s">
        <v>24</v>
      </c>
      <c r="B16" s="21">
        <f>'Cuadro 3'!D16*Población!H16/SUMPRODUCT('Cuadro 3'!$D$7:$D$38,Población!$H$7:$H$38)*100</f>
        <v>1.5619375675102551</v>
      </c>
      <c r="C16" s="26">
        <v>1.561938</v>
      </c>
      <c r="D16" s="27">
        <f t="shared" si="0"/>
        <v>-4.324897449059506E-7</v>
      </c>
      <c r="E16" s="21">
        <f>'Cuadro 4'!E16*Población!H16/SUMPRODUCT('Cuadro 4'!$E$7:$E$38,Población!$H$7:$H$38)*100</f>
        <v>1.5741791959362903</v>
      </c>
      <c r="F16" s="26">
        <v>1.574179</v>
      </c>
      <c r="G16" s="27">
        <f t="shared" si="1"/>
        <v>1.9593629030367765E-7</v>
      </c>
      <c r="H16" s="21">
        <f>'Cuadro 5'!B16*Población!H16/SUMPRODUCT('Cuadro 5'!$B$7:$B$38,Población!$H$7:$H$38)*100</f>
        <v>0.30539228975203375</v>
      </c>
      <c r="I16" s="26">
        <v>0.305392</v>
      </c>
      <c r="J16" s="27">
        <f t="shared" si="2"/>
        <v>2.8975203375525282E-7</v>
      </c>
    </row>
    <row r="17" spans="1:10" x14ac:dyDescent="0.2">
      <c r="A17" s="6" t="s">
        <v>25</v>
      </c>
      <c r="B17" s="21">
        <f>'Cuadro 3'!D17*Población!H17/SUMPRODUCT('Cuadro 3'!$D$7:$D$38,Población!$H$7:$H$38)*100</f>
        <v>4.9660413949509357</v>
      </c>
      <c r="C17" s="26">
        <v>4.9660409999999997</v>
      </c>
      <c r="D17" s="27">
        <f t="shared" si="0"/>
        <v>3.9495093595576236E-7</v>
      </c>
      <c r="E17" s="21">
        <f>'Cuadro 4'!E17*Población!H17/SUMPRODUCT('Cuadro 4'!$E$7:$E$38,Población!$H$7:$H$38)*100</f>
        <v>4.7720119529662144</v>
      </c>
      <c r="F17" s="26">
        <v>4.7720120000000001</v>
      </c>
      <c r="G17" s="27">
        <f t="shared" si="1"/>
        <v>-4.7033785754990731E-8</v>
      </c>
      <c r="H17" s="21">
        <f>'Cuadro 5'!B17*Población!H17/SUMPRODUCT('Cuadro 5'!$B$7:$B$38,Población!$H$7:$H$38)*100</f>
        <v>3.9467481816825938</v>
      </c>
      <c r="I17" s="26">
        <v>3.9467479999999999</v>
      </c>
      <c r="J17" s="27">
        <f t="shared" si="2"/>
        <v>1.816825938583122E-7</v>
      </c>
    </row>
    <row r="18" spans="1:10" x14ac:dyDescent="0.2">
      <c r="A18" s="6" t="s">
        <v>26</v>
      </c>
      <c r="B18" s="21">
        <f>'Cuadro 3'!D18*Población!H18/SUMPRODUCT('Cuadro 3'!$D$7:$D$38,Población!$H$7:$H$38)*100</f>
        <v>2.7309083266080769</v>
      </c>
      <c r="C18" s="26">
        <v>2.7309079999999999</v>
      </c>
      <c r="D18" s="27">
        <f t="shared" si="0"/>
        <v>3.2660807702811212E-7</v>
      </c>
      <c r="E18" s="21">
        <f>'Cuadro 4'!E18*Población!H18/SUMPRODUCT('Cuadro 4'!$E$7:$E$38,Población!$H$7:$H$38)*100</f>
        <v>2.7494641135954989</v>
      </c>
      <c r="F18" s="26">
        <v>2.7494640000000001</v>
      </c>
      <c r="G18" s="27">
        <f t="shared" si="1"/>
        <v>1.135954987852017E-7</v>
      </c>
      <c r="H18" s="21">
        <f>'Cuadro 5'!B18*Población!H18/SUMPRODUCT('Cuadro 5'!$B$7:$B$38,Población!$H$7:$H$38)*100</f>
        <v>0.51964225688815091</v>
      </c>
      <c r="I18" s="26">
        <v>0.51964200000000005</v>
      </c>
      <c r="J18" s="27">
        <f t="shared" si="2"/>
        <v>2.5688815086244432E-7</v>
      </c>
    </row>
    <row r="19" spans="1:10" x14ac:dyDescent="0.2">
      <c r="A19" s="6" t="s">
        <v>27</v>
      </c>
      <c r="B19" s="21">
        <f>'Cuadro 3'!D19*Población!H19/SUMPRODUCT('Cuadro 3'!$D$7:$D$38,Población!$H$7:$H$38)*100</f>
        <v>2.4991611660821405</v>
      </c>
      <c r="C19" s="26">
        <v>2.499161</v>
      </c>
      <c r="D19" s="27">
        <f t="shared" si="0"/>
        <v>1.6608214048474679E-7</v>
      </c>
      <c r="E19" s="21">
        <f>'Cuadro 4'!E19*Población!H19/SUMPRODUCT('Cuadro 4'!$E$7:$E$38,Población!$H$7:$H$38)*100</f>
        <v>2.4610764849783124</v>
      </c>
      <c r="F19" s="26">
        <v>2.4610759999999998</v>
      </c>
      <c r="G19" s="27">
        <f t="shared" si="1"/>
        <v>4.8497831262039881E-7</v>
      </c>
      <c r="H19" s="21">
        <f>'Cuadro 5'!B19*Población!H19/SUMPRODUCT('Cuadro 5'!$B$7:$B$38,Población!$H$7:$H$38)*100</f>
        <v>0.55709659396886924</v>
      </c>
      <c r="I19" s="26">
        <v>0.55709699999999995</v>
      </c>
      <c r="J19" s="27">
        <f t="shared" si="2"/>
        <v>-4.0603113071746577E-7</v>
      </c>
    </row>
    <row r="20" spans="1:10" x14ac:dyDescent="0.2">
      <c r="A20" s="6" t="s">
        <v>28</v>
      </c>
      <c r="B20" s="21">
        <f>'Cuadro 3'!D20*Población!H20/SUMPRODUCT('Cuadro 3'!$D$7:$D$38,Población!$H$7:$H$38)*100</f>
        <v>6.6705288150769828</v>
      </c>
      <c r="C20" s="26">
        <v>6.6705290000000002</v>
      </c>
      <c r="D20" s="27">
        <f t="shared" si="0"/>
        <v>-1.8492301734340799E-7</v>
      </c>
      <c r="E20" s="21">
        <f>'Cuadro 4'!E20*Población!H20/SUMPRODUCT('Cuadro 4'!$E$7:$E$38,Población!$H$7:$H$38)*100</f>
        <v>6.7698024751993326</v>
      </c>
      <c r="F20" s="26">
        <v>6.7698029999999996</v>
      </c>
      <c r="G20" s="27">
        <f t="shared" si="1"/>
        <v>-5.2480066692339733E-7</v>
      </c>
      <c r="H20" s="21">
        <f>'Cuadro 5'!B20*Población!H20/SUMPRODUCT('Cuadro 5'!$B$7:$B$38,Población!$H$7:$H$38)*100</f>
        <v>8.9160945924862034</v>
      </c>
      <c r="I20" s="26">
        <v>8.9160950000000003</v>
      </c>
      <c r="J20" s="27">
        <f t="shared" si="2"/>
        <v>-4.0751379692949286E-7</v>
      </c>
    </row>
    <row r="21" spans="1:10" x14ac:dyDescent="0.2">
      <c r="A21" s="6" t="s">
        <v>29</v>
      </c>
      <c r="B21" s="21">
        <f>'Cuadro 3'!D21*Población!H21/SUMPRODUCT('Cuadro 3'!$D$7:$D$38,Población!$H$7:$H$38)*100</f>
        <v>13.576574698883533</v>
      </c>
      <c r="C21" s="26">
        <v>13.576575</v>
      </c>
      <c r="D21" s="27">
        <f t="shared" si="0"/>
        <v>-3.011164668720312E-7</v>
      </c>
      <c r="E21" s="21">
        <f>'Cuadro 4'!E21*Población!H21/SUMPRODUCT('Cuadro 4'!$E$7:$E$38,Población!$H$7:$H$38)*100</f>
        <v>13.431958090632321</v>
      </c>
      <c r="F21" s="26">
        <v>13.431958</v>
      </c>
      <c r="G21" s="27">
        <f t="shared" si="1"/>
        <v>9.0632321203543142E-8</v>
      </c>
      <c r="H21" s="21">
        <f>'Cuadro 5'!B21*Población!H21/SUMPRODUCT('Cuadro 5'!$B$7:$B$38,Población!$H$7:$H$38)*100</f>
        <v>25.70498829369728</v>
      </c>
      <c r="I21" s="26">
        <v>25.704988</v>
      </c>
      <c r="J21" s="27">
        <f t="shared" si="2"/>
        <v>2.9369727982953009E-7</v>
      </c>
    </row>
    <row r="22" spans="1:10" x14ac:dyDescent="0.2">
      <c r="A22" s="6" t="s">
        <v>30</v>
      </c>
      <c r="B22" s="21">
        <f>'Cuadro 3'!D22*Población!H22/SUMPRODUCT('Cuadro 3'!$D$7:$D$38,Población!$H$7:$H$38)*100</f>
        <v>3.7361718754452258</v>
      </c>
      <c r="C22" s="26">
        <v>3.7361719999999998</v>
      </c>
      <c r="D22" s="27">
        <f t="shared" si="0"/>
        <v>-1.2455477405026727E-7</v>
      </c>
      <c r="E22" s="21">
        <f>'Cuadro 4'!E22*Población!H22/SUMPRODUCT('Cuadro 4'!$E$7:$E$38,Población!$H$7:$H$38)*100</f>
        <v>3.529640732581258</v>
      </c>
      <c r="F22" s="26">
        <v>3.5296400000000001</v>
      </c>
      <c r="G22" s="27">
        <f t="shared" si="1"/>
        <v>7.3258125787845074E-7</v>
      </c>
      <c r="H22" s="21">
        <f>'Cuadro 5'!B22*Población!H22/SUMPRODUCT('Cuadro 5'!$B$7:$B$38,Población!$H$7:$H$38)*100</f>
        <v>1.3467547202099375</v>
      </c>
      <c r="I22" s="26">
        <v>1.3467549999999999</v>
      </c>
      <c r="J22" s="27">
        <f t="shared" si="2"/>
        <v>-2.7979006245182347E-7</v>
      </c>
    </row>
    <row r="23" spans="1:10" x14ac:dyDescent="0.2">
      <c r="A23" s="6" t="s">
        <v>31</v>
      </c>
      <c r="B23" s="21">
        <f>'Cuadro 3'!D23*Población!H23/SUMPRODUCT('Cuadro 3'!$D$7:$D$38,Población!$H$7:$H$38)*100</f>
        <v>1.4858776120188029</v>
      </c>
      <c r="C23" s="26">
        <v>1.485878</v>
      </c>
      <c r="D23" s="27">
        <f t="shared" si="0"/>
        <v>-3.8798119716965118E-7</v>
      </c>
      <c r="E23" s="21">
        <f>'Cuadro 4'!E23*Población!H23/SUMPRODUCT('Cuadro 4'!$E$7:$E$38,Población!$H$7:$H$38)*100</f>
        <v>1.4934928518220623</v>
      </c>
      <c r="F23" s="26">
        <v>1.493493</v>
      </c>
      <c r="G23" s="27">
        <f t="shared" si="1"/>
        <v>-1.4817793769772436E-7</v>
      </c>
      <c r="H23" s="21">
        <f>'Cuadro 5'!B23*Población!H23/SUMPRODUCT('Cuadro 5'!$B$7:$B$38,Población!$H$7:$H$38)*100</f>
        <v>0.27621131172561747</v>
      </c>
      <c r="I23" s="26">
        <v>0.27621099999999998</v>
      </c>
      <c r="J23" s="27">
        <f t="shared" si="2"/>
        <v>3.1172561748560312E-7</v>
      </c>
    </row>
    <row r="24" spans="1:10" x14ac:dyDescent="0.2">
      <c r="A24" s="6" t="s">
        <v>32</v>
      </c>
      <c r="B24" s="21">
        <f>'Cuadro 3'!D24*Población!H24/SUMPRODUCT('Cuadro 3'!$D$7:$D$38,Población!$H$7:$H$38)*100</f>
        <v>0.94776091210857505</v>
      </c>
      <c r="C24" s="26">
        <v>0.94776099999999996</v>
      </c>
      <c r="D24" s="27">
        <f t="shared" si="0"/>
        <v>-8.7891424915831351E-8</v>
      </c>
      <c r="E24" s="21">
        <f>'Cuadro 4'!E24*Población!H24/SUMPRODUCT('Cuadro 4'!$E$7:$E$38,Población!$H$7:$H$38)*100</f>
        <v>0.98415062124328279</v>
      </c>
      <c r="F24" s="26">
        <v>0.984151</v>
      </c>
      <c r="G24" s="27">
        <f t="shared" si="1"/>
        <v>-3.7875671721199211E-7</v>
      </c>
      <c r="H24" s="21">
        <f>'Cuadro 5'!B24*Población!H24/SUMPRODUCT('Cuadro 5'!$B$7:$B$38,Población!$H$7:$H$38)*100</f>
        <v>0.1450084150783213</v>
      </c>
      <c r="I24" s="26">
        <v>0.145008</v>
      </c>
      <c r="J24" s="27">
        <f t="shared" si="2"/>
        <v>4.1507832129750177E-7</v>
      </c>
    </row>
    <row r="25" spans="1:10" x14ac:dyDescent="0.2">
      <c r="A25" s="6" t="s">
        <v>33</v>
      </c>
      <c r="B25" s="21">
        <f>'Cuadro 3'!D25*Población!H25/SUMPRODUCT('Cuadro 3'!$D$7:$D$38,Población!$H$7:$H$38)*100</f>
        <v>4.8455928631377638</v>
      </c>
      <c r="C25" s="26">
        <v>4.845593</v>
      </c>
      <c r="D25" s="27">
        <f t="shared" si="0"/>
        <v>-1.3686223621078852E-7</v>
      </c>
      <c r="E25" s="21">
        <f>'Cuadro 4'!E25*Población!H25/SUMPRODUCT('Cuadro 4'!$E$7:$E$38,Población!$H$7:$H$38)*100</f>
        <v>4.683714745581776</v>
      </c>
      <c r="F25" s="26">
        <v>4.6837150000000003</v>
      </c>
      <c r="G25" s="27">
        <f t="shared" si="1"/>
        <v>-2.5441822426586214E-7</v>
      </c>
      <c r="H25" s="21">
        <f>'Cuadro 5'!B25*Población!H25/SUMPRODUCT('Cuadro 5'!$B$7:$B$38,Población!$H$7:$H$38)*100</f>
        <v>7.6379851354331336</v>
      </c>
      <c r="I25" s="26">
        <v>7.6379849999999996</v>
      </c>
      <c r="J25" s="27">
        <f t="shared" si="2"/>
        <v>1.3543313404085211E-7</v>
      </c>
    </row>
    <row r="26" spans="1:10" x14ac:dyDescent="0.2">
      <c r="A26" s="6" t="s">
        <v>34</v>
      </c>
      <c r="B26" s="21">
        <f>'Cuadro 3'!D26*Población!H26/SUMPRODUCT('Cuadro 3'!$D$7:$D$38,Población!$H$7:$H$38)*100</f>
        <v>3.3084476275730239</v>
      </c>
      <c r="C26" s="26">
        <v>3.3084479999999998</v>
      </c>
      <c r="D26" s="27">
        <f t="shared" si="0"/>
        <v>-3.7242697592532181E-7</v>
      </c>
      <c r="E26" s="21">
        <f>'Cuadro 4'!E26*Población!H26/SUMPRODUCT('Cuadro 4'!$E$7:$E$38,Población!$H$7:$H$38)*100</f>
        <v>3.2645648280242421</v>
      </c>
      <c r="F26" s="26">
        <v>3.2645650000000002</v>
      </c>
      <c r="G26" s="27">
        <f t="shared" si="1"/>
        <v>-1.719757580787018E-7</v>
      </c>
      <c r="H26" s="21">
        <f>'Cuadro 5'!B26*Población!H26/SUMPRODUCT('Cuadro 5'!$B$7:$B$38,Población!$H$7:$H$38)*100</f>
        <v>0.64620790569307918</v>
      </c>
      <c r="I26" s="26">
        <v>0.646208</v>
      </c>
      <c r="J26" s="27">
        <f t="shared" si="2"/>
        <v>-9.4306920828124419E-8</v>
      </c>
    </row>
    <row r="27" spans="1:10" x14ac:dyDescent="0.2">
      <c r="A27" s="6" t="s">
        <v>35</v>
      </c>
      <c r="B27" s="21">
        <f>'Cuadro 3'!D27*Población!H27/SUMPRODUCT('Cuadro 3'!$D$7:$D$38,Población!$H$7:$H$38)*100</f>
        <v>5.1751750386688498</v>
      </c>
      <c r="C27" s="26">
        <v>5.1751750000000003</v>
      </c>
      <c r="D27" s="27">
        <f t="shared" si="0"/>
        <v>3.8668849455802956E-8</v>
      </c>
      <c r="E27" s="21">
        <f>'Cuadro 4'!E27*Población!H27/SUMPRODUCT('Cuadro 4'!$E$7:$E$38,Población!$H$7:$H$38)*100</f>
        <v>4.9518906896843955</v>
      </c>
      <c r="F27" s="26">
        <v>4.9518909999999998</v>
      </c>
      <c r="G27" s="27">
        <f t="shared" si="1"/>
        <v>-3.1031560432381866E-7</v>
      </c>
      <c r="H27" s="21">
        <f>'Cuadro 5'!B27*Población!H27/SUMPRODUCT('Cuadro 5'!$B$7:$B$38,Población!$H$7:$H$38)*100</f>
        <v>2.1830376645779852</v>
      </c>
      <c r="I27" s="26">
        <v>2.1830379999999998</v>
      </c>
      <c r="J27" s="27">
        <f t="shared" si="2"/>
        <v>-3.3542201460790011E-7</v>
      </c>
    </row>
    <row r="28" spans="1:10" x14ac:dyDescent="0.2">
      <c r="A28" s="6" t="s">
        <v>36</v>
      </c>
      <c r="B28" s="21">
        <f>'Cuadro 3'!D28*Población!H28/SUMPRODUCT('Cuadro 3'!$D$7:$D$38,Población!$H$7:$H$38)*100</f>
        <v>1.9035750193386203</v>
      </c>
      <c r="C28" s="26">
        <v>1.903575</v>
      </c>
      <c r="D28" s="27">
        <f t="shared" si="0"/>
        <v>1.9338620260711537E-8</v>
      </c>
      <c r="E28" s="21">
        <f>'Cuadro 4'!E28*Población!H28/SUMPRODUCT('Cuadro 4'!$E$7:$E$38,Población!$H$7:$H$38)*100</f>
        <v>1.8755710195034931</v>
      </c>
      <c r="F28" s="26">
        <v>1.8755710000000001</v>
      </c>
      <c r="G28" s="27">
        <f t="shared" si="1"/>
        <v>1.9503493042805076E-8</v>
      </c>
      <c r="H28" s="21">
        <f>'Cuadro 5'!B28*Población!H28/SUMPRODUCT('Cuadro 5'!$B$7:$B$38,Población!$H$7:$H$38)*100</f>
        <v>1.1471617132904102</v>
      </c>
      <c r="I28" s="26">
        <v>1.147162</v>
      </c>
      <c r="J28" s="27">
        <f t="shared" si="2"/>
        <v>-2.8670958984733375E-7</v>
      </c>
    </row>
    <row r="29" spans="1:10" x14ac:dyDescent="0.2">
      <c r="A29" s="6" t="s">
        <v>37</v>
      </c>
      <c r="B29" s="21">
        <f>'Cuadro 3'!D29*Población!H29/SUMPRODUCT('Cuadro 3'!$D$7:$D$38,Población!$H$7:$H$38)*100</f>
        <v>1.450856953444549</v>
      </c>
      <c r="C29" s="26">
        <v>1.4508570000000001</v>
      </c>
      <c r="D29" s="27">
        <f t="shared" si="0"/>
        <v>-4.6555451049812291E-8</v>
      </c>
      <c r="E29" s="21">
        <f>'Cuadro 4'!E29*Población!H29/SUMPRODUCT('Cuadro 4'!$E$7:$E$38,Población!$H$7:$H$38)*100</f>
        <v>1.5798018568294965</v>
      </c>
      <c r="F29" s="26">
        <v>1.5798019999999999</v>
      </c>
      <c r="G29" s="27">
        <f t="shared" si="1"/>
        <v>-1.4317050345269422E-7</v>
      </c>
      <c r="H29" s="21">
        <f>'Cuadro 5'!B29*Población!H29/SUMPRODUCT('Cuadro 5'!$B$7:$B$38,Población!$H$7:$H$38)*100</f>
        <v>1.0423749193913348</v>
      </c>
      <c r="I29" s="26">
        <v>1.0423750000000001</v>
      </c>
      <c r="J29" s="27">
        <f t="shared" si="2"/>
        <v>-8.0608665298242954E-8</v>
      </c>
    </row>
    <row r="30" spans="1:10" x14ac:dyDescent="0.2">
      <c r="A30" s="6" t="s">
        <v>38</v>
      </c>
      <c r="B30" s="21">
        <f>'Cuadro 3'!D30*Población!H30/SUMPRODUCT('Cuadro 3'!$D$7:$D$38,Población!$H$7:$H$38)*100</f>
        <v>2.2158987838658506</v>
      </c>
      <c r="C30" s="26">
        <v>2.2158989999999998</v>
      </c>
      <c r="D30" s="27">
        <f t="shared" si="0"/>
        <v>-2.1613414924459562E-7</v>
      </c>
      <c r="E30" s="21">
        <f>'Cuadro 4'!E30*Población!H30/SUMPRODUCT('Cuadro 4'!$E$7:$E$38,Población!$H$7:$H$38)*100</f>
        <v>2.3287876552084463</v>
      </c>
      <c r="F30" s="26">
        <v>2.3287870000000002</v>
      </c>
      <c r="G30" s="27">
        <f t="shared" si="1"/>
        <v>6.5520844616528962E-7</v>
      </c>
      <c r="H30" s="21">
        <f>'Cuadro 5'!B30*Población!H30/SUMPRODUCT('Cuadro 5'!$B$7:$B$38,Población!$H$7:$H$38)*100</f>
        <v>0.71227268541900912</v>
      </c>
      <c r="I30" s="26">
        <v>0.71227300000000004</v>
      </c>
      <c r="J30" s="27">
        <f t="shared" si="2"/>
        <v>-3.1458099092329661E-7</v>
      </c>
    </row>
    <row r="31" spans="1:10" x14ac:dyDescent="0.2">
      <c r="A31" s="6" t="s">
        <v>39</v>
      </c>
      <c r="B31" s="21">
        <f>'Cuadro 3'!D31*Población!H31/SUMPRODUCT('Cuadro 3'!$D$7:$D$38,Población!$H$7:$H$38)*100</f>
        <v>2.286286258188206</v>
      </c>
      <c r="C31" s="26">
        <v>2.286286</v>
      </c>
      <c r="D31" s="27">
        <f t="shared" si="0"/>
        <v>2.5818820592604652E-7</v>
      </c>
      <c r="E31" s="21">
        <f>'Cuadro 4'!E31*Población!H31/SUMPRODUCT('Cuadro 4'!$E$7:$E$38,Población!$H$7:$H$38)*100</f>
        <v>2.2114714294704174</v>
      </c>
      <c r="F31" s="26">
        <v>2.211471</v>
      </c>
      <c r="G31" s="27">
        <f t="shared" si="1"/>
        <v>4.294704174512276E-7</v>
      </c>
      <c r="H31" s="21">
        <f>'Cuadro 5'!B31*Población!H31/SUMPRODUCT('Cuadro 5'!$B$7:$B$38,Población!$H$7:$H$38)*100</f>
        <v>1.1063869575219709</v>
      </c>
      <c r="I31" s="26">
        <v>1.106387</v>
      </c>
      <c r="J31" s="27">
        <f t="shared" si="2"/>
        <v>-4.2478029094183967E-8</v>
      </c>
    </row>
    <row r="32" spans="1:10" x14ac:dyDescent="0.2">
      <c r="A32" s="6" t="s">
        <v>40</v>
      </c>
      <c r="B32" s="21">
        <f>'Cuadro 3'!D32*Población!H32/SUMPRODUCT('Cuadro 3'!$D$7:$D$38,Población!$H$7:$H$38)*100</f>
        <v>2.2675031556865597</v>
      </c>
      <c r="C32" s="26">
        <v>2.267503</v>
      </c>
      <c r="D32" s="27">
        <f t="shared" si="0"/>
        <v>1.5568655964415257E-7</v>
      </c>
      <c r="E32" s="21">
        <f>'Cuadro 4'!E32*Población!H32/SUMPRODUCT('Cuadro 4'!$E$7:$E$38,Población!$H$7:$H$38)*100</f>
        <v>2.3528801906381007</v>
      </c>
      <c r="F32" s="26">
        <v>2.3528799999999999</v>
      </c>
      <c r="G32" s="27">
        <f t="shared" si="1"/>
        <v>1.9063810086095145E-7</v>
      </c>
      <c r="H32" s="21">
        <f>'Cuadro 5'!B32*Población!H32/SUMPRODUCT('Cuadro 5'!$B$7:$B$38,Población!$H$7:$H$38)*100</f>
        <v>1.3568559380056504</v>
      </c>
      <c r="I32" s="26">
        <v>1.3568560000000001</v>
      </c>
      <c r="J32" s="27">
        <f t="shared" si="2"/>
        <v>-6.1994349653815561E-8</v>
      </c>
    </row>
    <row r="33" spans="1:10" x14ac:dyDescent="0.2">
      <c r="A33" s="6" t="s">
        <v>41</v>
      </c>
      <c r="B33" s="21">
        <f>'Cuadro 3'!D33*Población!H33/SUMPRODUCT('Cuadro 3'!$D$7:$D$38,Población!$H$7:$H$38)*100</f>
        <v>1.7105829385722737</v>
      </c>
      <c r="C33" s="26">
        <v>1.710583</v>
      </c>
      <c r="D33" s="27">
        <f t="shared" si="0"/>
        <v>-6.1427726238960645E-8</v>
      </c>
      <c r="E33" s="21">
        <f>'Cuadro 4'!E33*Población!H33/SUMPRODUCT('Cuadro 4'!$E$7:$E$38,Población!$H$7:$H$38)*100</f>
        <v>1.9607989010762443</v>
      </c>
      <c r="F33" s="26">
        <v>1.960799</v>
      </c>
      <c r="G33" s="27">
        <f t="shared" si="1"/>
        <v>-9.8923755631474819E-8</v>
      </c>
      <c r="H33" s="21">
        <f>'Cuadro 5'!B33*Población!H33/SUMPRODUCT('Cuadro 5'!$B$7:$B$38,Población!$H$7:$H$38)*100</f>
        <v>0.3385532596578758</v>
      </c>
      <c r="I33" s="26">
        <v>0.33855299999999999</v>
      </c>
      <c r="J33" s="27">
        <f t="shared" si="2"/>
        <v>2.5965787581183619E-7</v>
      </c>
    </row>
    <row r="34" spans="1:10" x14ac:dyDescent="0.2">
      <c r="A34" s="6" t="s">
        <v>42</v>
      </c>
      <c r="B34" s="21">
        <f>'Cuadro 3'!D34*Población!H34/SUMPRODUCT('Cuadro 3'!$D$7:$D$38,Población!$H$7:$H$38)*100</f>
        <v>2.7720530108452683</v>
      </c>
      <c r="C34" s="26">
        <v>2.7720530000000001</v>
      </c>
      <c r="D34" s="27">
        <f t="shared" si="0"/>
        <v>1.0845268239023653E-8</v>
      </c>
      <c r="E34" s="21">
        <f>'Cuadro 4'!E34*Población!H34/SUMPRODUCT('Cuadro 4'!$E$7:$E$38,Población!$H$7:$H$38)*100</f>
        <v>2.7108917589318549</v>
      </c>
      <c r="F34" s="26">
        <v>2.7108910000000002</v>
      </c>
      <c r="G34" s="27">
        <f t="shared" si="1"/>
        <v>7.5893185469411151E-7</v>
      </c>
      <c r="H34" s="21">
        <f>'Cuadro 5'!B34*Población!H34/SUMPRODUCT('Cuadro 5'!$B$7:$B$38,Población!$H$7:$H$38)*100</f>
        <v>1.5013234818603451</v>
      </c>
      <c r="I34" s="26">
        <v>1.501323</v>
      </c>
      <c r="J34" s="27">
        <f t="shared" si="2"/>
        <v>4.8186034518060694E-7</v>
      </c>
    </row>
    <row r="35" spans="1:10" x14ac:dyDescent="0.2">
      <c r="A35" s="6" t="s">
        <v>43</v>
      </c>
      <c r="B35" s="21">
        <f>'Cuadro 3'!D35*Población!H35/SUMPRODUCT('Cuadro 3'!$D$7:$D$38,Población!$H$7:$H$38)*100</f>
        <v>1.0811729494541982</v>
      </c>
      <c r="C35" s="26">
        <v>1.0811729999999999</v>
      </c>
      <c r="D35" s="27">
        <f t="shared" si="0"/>
        <v>-5.0545801766332943E-8</v>
      </c>
      <c r="E35" s="21">
        <f>'Cuadro 4'!E35*Población!H35/SUMPRODUCT('Cuadro 4'!$E$7:$E$38,Población!$H$7:$H$38)*100</f>
        <v>1.0789748383536213</v>
      </c>
      <c r="F35" s="26">
        <v>1.078975</v>
      </c>
      <c r="G35" s="27">
        <f t="shared" si="1"/>
        <v>-1.6164637872684295E-7</v>
      </c>
      <c r="H35" s="21">
        <f>'Cuadro 5'!B35*Población!H35/SUMPRODUCT('Cuadro 5'!$B$7:$B$38,Población!$H$7:$H$38)*100</f>
        <v>8.5328596422387284E-2</v>
      </c>
      <c r="I35" s="26">
        <v>8.5329000000000002E-2</v>
      </c>
      <c r="J35" s="27">
        <f t="shared" si="2"/>
        <v>-4.0357761271758719E-7</v>
      </c>
    </row>
    <row r="36" spans="1:10" x14ac:dyDescent="0.2">
      <c r="A36" s="6" t="s">
        <v>44</v>
      </c>
      <c r="B36" s="21">
        <f>'Cuadro 3'!D36*Población!H36/SUMPRODUCT('Cuadro 3'!$D$7:$D$38,Población!$H$7:$H$38)*100</f>
        <v>6.2143201289436716</v>
      </c>
      <c r="C36" s="26">
        <v>6.2143199999999998</v>
      </c>
      <c r="D36" s="27">
        <f t="shared" si="0"/>
        <v>1.2894367173998944E-7</v>
      </c>
      <c r="E36" s="21">
        <f>'Cuadro 4'!E36*Población!H36/SUMPRODUCT('Cuadro 4'!$E$7:$E$38,Población!$H$7:$H$38)*100</f>
        <v>5.8855929791407169</v>
      </c>
      <c r="F36" s="26">
        <v>5.8855930000000001</v>
      </c>
      <c r="G36" s="27">
        <f t="shared" si="1"/>
        <v>-2.0859283189622602E-8</v>
      </c>
      <c r="H36" s="21">
        <f>'Cuadro 5'!B36*Población!H36/SUMPRODUCT('Cuadro 5'!$B$7:$B$38,Población!$H$7:$H$38)*100</f>
        <v>3.314844235411226</v>
      </c>
      <c r="I36" s="26">
        <v>3.3148439999999999</v>
      </c>
      <c r="J36" s="27">
        <f t="shared" si="2"/>
        <v>2.354112260682939E-7</v>
      </c>
    </row>
    <row r="37" spans="1:10" x14ac:dyDescent="0.2">
      <c r="A37" s="6" t="s">
        <v>45</v>
      </c>
      <c r="B37" s="21">
        <f>'Cuadro 3'!D37*Población!H37/SUMPRODUCT('Cuadro 3'!$D$7:$D$38,Población!$H$7:$H$38)*100</f>
        <v>1.9189393517312654</v>
      </c>
      <c r="C37" s="26">
        <v>1.918939</v>
      </c>
      <c r="D37" s="27">
        <f t="shared" si="0"/>
        <v>3.5173126544663091E-7</v>
      </c>
      <c r="E37" s="21">
        <f>'Cuadro 4'!E37*Población!H37/SUMPRODUCT('Cuadro 4'!$E$7:$E$38,Población!$H$7:$H$38)*100</f>
        <v>1.8584586920071751</v>
      </c>
      <c r="F37" s="26">
        <v>1.8584590000000001</v>
      </c>
      <c r="G37" s="27">
        <f t="shared" si="1"/>
        <v>-3.0799282502158576E-7</v>
      </c>
      <c r="H37" s="21">
        <f>'Cuadro 5'!B37*Población!H37/SUMPRODUCT('Cuadro 5'!$B$7:$B$38,Población!$H$7:$H$38)*100</f>
        <v>0.59713720871460763</v>
      </c>
      <c r="I37" s="26">
        <v>0.59713700000000003</v>
      </c>
      <c r="J37" s="27">
        <f t="shared" si="2"/>
        <v>2.0871460759686045E-7</v>
      </c>
    </row>
    <row r="38" spans="1:10" x14ac:dyDescent="0.2">
      <c r="A38" s="6" t="s">
        <v>46</v>
      </c>
      <c r="B38" s="21">
        <f>'Cuadro 3'!D38*Población!H38/SUMPRODUCT('Cuadro 3'!$D$7:$D$38,Población!$H$7:$H$38)*100</f>
        <v>1.3821344887953948</v>
      </c>
      <c r="C38" s="26">
        <v>1.382134</v>
      </c>
      <c r="D38" s="27">
        <f t="shared" si="0"/>
        <v>4.887953948262691E-7</v>
      </c>
      <c r="E38" s="21">
        <f>'Cuadro 4'!E38*Población!H38/SUMPRODUCT('Cuadro 4'!$E$7:$E$38,Población!$H$7:$H$38)*100</f>
        <v>1.2730876844342673</v>
      </c>
      <c r="F38" s="26">
        <v>1.273088</v>
      </c>
      <c r="G38" s="27">
        <f t="shared" si="1"/>
        <v>-3.1556573265589805E-7</v>
      </c>
      <c r="H38" s="21">
        <f>'Cuadro 5'!B38*Población!H38/SUMPRODUCT('Cuadro 5'!$B$7:$B$38,Población!$H$7:$H$38)*100</f>
        <v>0.24968386232773254</v>
      </c>
      <c r="I38" s="26">
        <v>0.24968399999999999</v>
      </c>
      <c r="J38" s="27">
        <f t="shared" si="2"/>
        <v>-1.3767226744731964E-7</v>
      </c>
    </row>
    <row r="39" spans="1:10" x14ac:dyDescent="0.2">
      <c r="A39" s="13" t="s">
        <v>47</v>
      </c>
      <c r="B39" s="23">
        <f>SUM(B7:B38)</f>
        <v>100.00000000000003</v>
      </c>
      <c r="C39" s="23">
        <f>SUM(C7:C38)</f>
        <v>100.000001</v>
      </c>
      <c r="D39" s="22"/>
      <c r="E39" s="23">
        <f>SUM(E7:E38)</f>
        <v>100.00000000000001</v>
      </c>
      <c r="F39" s="23">
        <f>SUM(F7:F38)</f>
        <v>100</v>
      </c>
      <c r="G39" s="22"/>
      <c r="H39" s="23">
        <f>SUM(H7:H38)</f>
        <v>100.00000000000001</v>
      </c>
      <c r="I39" s="23">
        <f>SUM(I7:I38)</f>
        <v>99.999997999999991</v>
      </c>
      <c r="J39" s="22"/>
    </row>
    <row r="40" spans="1:10" x14ac:dyDescent="0.2">
      <c r="A40" s="3" t="s">
        <v>126</v>
      </c>
      <c r="D40" s="28">
        <f>MAX(MAX(D7:D38),-MIN(D7:D38))</f>
        <v>4.887953948262691E-7</v>
      </c>
      <c r="G40" s="28">
        <f>MAX(MAX(G7:G38),-MIN(G7:G38))</f>
        <v>7.5893185469411151E-7</v>
      </c>
      <c r="J40" s="28">
        <f>MAX(MAX(J7:J38),-MIN(J7:J38))</f>
        <v>4.8186034518060694E-7</v>
      </c>
    </row>
    <row r="42" spans="1:10" x14ac:dyDescent="0.2">
      <c r="A42" s="2" t="s">
        <v>127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4" baseType="variant">
      <vt:variant>
        <vt:lpstr>Hojas de cálculo</vt:lpstr>
      </vt:variant>
      <vt:variant>
        <vt:i4>7</vt:i4>
      </vt:variant>
      <vt:variant>
        <vt:lpstr>Rangos con nombre</vt:lpstr>
      </vt:variant>
      <vt:variant>
        <vt:i4>1</vt:i4>
      </vt:variant>
    </vt:vector>
  </HeadingPairs>
  <TitlesOfParts>
    <vt:vector size="8" baseType="lpstr">
      <vt:lpstr>Resumen</vt:lpstr>
      <vt:lpstr>Población</vt:lpstr>
      <vt:lpstr>Cuadro 3</vt:lpstr>
      <vt:lpstr>Cuadro 4</vt:lpstr>
      <vt:lpstr>Cuadro 5</vt:lpstr>
      <vt:lpstr>Cuadro 7</vt:lpstr>
      <vt:lpstr>Validación DOF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EDUARDO ALFONSO MONTOYA AVILA</cp:lastModifiedBy>
  <cp:revision>1</cp:revision>
  <dcterms:created xsi:type="dcterms:W3CDTF">2026-10-02T19:45:49Z</dcterms:created>
  <dcterms:modified xsi:type="dcterms:W3CDTF">2026-10-02T20:01:15Z</dcterms:modified>
  <dc:language>en-US</dc:language>
</cp:coreProperties>
</file>