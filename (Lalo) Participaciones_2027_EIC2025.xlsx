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blación" sheetId="2" state="visible" r:id="rId4"/>
    <sheet name="Cuadro 3" sheetId="3" state="visible" r:id="rId5"/>
    <sheet name="Cuadro 4" sheetId="4" state="visible" r:id="rId6"/>
    <sheet name="Cuadro 5" sheetId="5" state="visible" r:id="rId7"/>
    <sheet name="Cuadro 7" sheetId="6" state="visible" r:id="rId8"/>
    <sheet name="Validación DOF" sheetId="7" state="visible" r:id="rId9"/>
  </sheets>
  <definedNames>
    <definedName function="false" hidden="false" localSheetId="0" name="_xlnm.Print_Area" vbProcedure="false">Resumen!$A$1:$R$52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<sst xmlns="http://schemas.openxmlformats.org/spreadsheetml/2006/main" count="350" uniqueCount="128">
  <si>
    <t xml:space="preserve">Fondo General de Participaciones 2027 con población de la Encuesta Intercensal 2025</t>
  </si>
  <si>
    <t xml:space="preserve">Cambio por entidad al sustituir la población ENOE 3T-2025 (DOF enero 2026) por la EIC 2025. Variables económicas del DOF de agosto 2026 y RFP del PPEF 2027. Todo lo demás constante.</t>
  </si>
  <si>
    <t xml:space="preserve">Monto redistribuido:</t>
  </si>
  <si>
    <t xml:space="preserve">Datos de la gráfica (ordenados)</t>
  </si>
  <si>
    <t xml:space="preserve">Entidad</t>
  </si>
  <si>
    <t xml:space="preserve">FGP 2027
con población ENOE 3T-2025
(pesos)</t>
  </si>
  <si>
    <t xml:space="preserve">Cambio primera parte
(Cuadro 3)</t>
  </si>
  <si>
    <t xml:space="preserve">Cambio segunda parte
(Cuadro 4)</t>
  </si>
  <si>
    <t xml:space="preserve">Cambio tercera parte
(Cuadro 5)</t>
  </si>
  <si>
    <t xml:space="preserve">FGP 2027
con EIC 2025
(pesos)</t>
  </si>
  <si>
    <t xml:space="preserve">Cambio FGP
(pesos)</t>
  </si>
  <si>
    <t xml:space="preserve">Cambio FGP
(%)</t>
  </si>
  <si>
    <t xml:space="preserve">Cambio FGP (%)</t>
  </si>
  <si>
    <t xml:space="preserve">Gana</t>
  </si>
  <si>
    <t xml:space="preserve">Pierde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</si>
  <si>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</si>
  <si>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</si>
  <si>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</si>
  <si>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</si>
  <si>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</si>
  <si>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</si>
  <si>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</si>
  <si>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</si>
  <si>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</si>
  <si>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</si>
  <si>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</si>
  <si>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</si>
  <si>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</si>
  <si>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</si>
  <si>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</si>
  <si>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</si>
  <si>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</si>
  <si>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</si>
  <si>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</si>
  <si>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</si>
  <si>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</si>
  <si>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</si>
  <si>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</si>
  <si>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</si>
  <si>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</si>
  <si>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</si>
  <si>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</si>
  <si>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</si>
  <si>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</si>
  <si>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</si>
  <si>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</si>
  <si>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</si>
  <si>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Totales</t>
  </si>
  <si>
    <t xml:space="preserve">Notas:</t>
  </si>
  <si>
    <t xml:space="preserve">• Se recalcularon población, resultado y coeficiente de los Cuadros 3, 4 y 5 del DOF (primera, segunda y tercera parte del crecimiento del FGP).</t>
  </si>
  <si>
    <t xml:space="preserve">• La parte fija del FGP (FGP de 2007) no depende de la población. Monto redistribuido = suma de las pérdidas.</t>
  </si>
  <si>
    <t xml:space="preserve">• Coeficiente base = mismas variables del DOF de agosto 2026 con población ENOE 3T-2025. La réplica del DOF de agosto (con ENOE 1T-2026) está en "Validación DOF". Azul = dato capturado; negro = fórmula; verde = vínculo.</t>
  </si>
  <si>
    <t xml:space="preserve">Población por entidad federativa (personas): ENOE 3T-2025 vs. Encuesta Intercensal 2025</t>
  </si>
  <si>
    <t xml:space="preserve">Población ENOE 3T-2025
(DOF enero 2026)</t>
  </si>
  <si>
    <t xml:space="preserve">EIC 2025: personas en viviendas particulares</t>
  </si>
  <si>
    <t xml:space="preserve">EIC 2025: personas en viviendas colectivas</t>
  </si>
  <si>
    <t xml:space="preserve">Población
EIC 2025
(total)</t>
  </si>
  <si>
    <t xml:space="preserve">Cambio
(personas)</t>
  </si>
  <si>
    <t xml:space="preserve">Cambio (%)</t>
  </si>
  <si>
    <t xml:space="preserve">Población ENOE 1T-2026
(DOF agosto 2026,
solo validación)</t>
  </si>
  <si>
    <t xml:space="preserve">Fuentes: ENOE 3T-2025 según DOF de enero 2026 (Acuerdo 23/2026, Cuadros 3-5). EIC 2025: INEGI (22-sep-2026). ENOE 1T-2026 según DOF 31-ago-2026 (Acuerdo 140/2026), solo para validar la réplica.</t>
  </si>
  <si>
    <t xml:space="preserve">Azul = dato capturado; negro = fórmula; verde = vínculo a otra hoja.</t>
  </si>
  <si>
    <t xml:space="preserve">Cuadro 3. Coeficientes de la primera parte del crecimiento del FGP 2027 (recalculado con EIC 2025)</t>
  </si>
  <si>
    <t xml:space="preserve">Art. 2o LCF. Variables del DOF de agosto 2026 (último cálculo publicado). PIB a miles de pesos corrientes.</t>
  </si>
  <si>
    <t xml:space="preserve">Primera parte del crecimiento del FGP 2027 (60%; hoja Cuadro 7):</t>
  </si>
  <si>
    <t xml:space="preserve">Columnas en amarillo = recalculadas con la población de la EIC 2025.</t>
  </si>
  <si>
    <t xml:space="preserve">PIB 2023
(1)</t>
  </si>
  <si>
    <t xml:space="preserve">PIB 2024
(2)</t>
  </si>
  <si>
    <t xml:space="preserve">Variación
2024/2023
(3=2/1)</t>
  </si>
  <si>
    <t xml:space="preserve">Población
EIC 2025
(4)</t>
  </si>
  <si>
    <t xml:space="preserve">Resultado variación PIB por población
(5=3*4)</t>
  </si>
  <si>
    <t xml:space="preserve">Coeficientes de participación
(6=(5/Σ5)100)</t>
  </si>
  <si>
    <t xml:space="preserve">Coeficiente con
ENOE 3T-2025</t>
  </si>
  <si>
    <t xml:space="preserve">Cambio en coeficiente
(puntos porcentuales)</t>
  </si>
  <si>
    <t xml:space="preserve">Monto 2027 con ENOE 3T-2025
(pesos)</t>
  </si>
  <si>
    <t xml:space="preserve">Monto 2027 con EIC 2025
(pesos)</t>
  </si>
  <si>
    <t xml:space="preserve">Cambio
(pesos)</t>
  </si>
  <si>
    <t xml:space="preserve">Cuadro 4. Coeficientes de la segunda parte del crecimiento del FGP 2027 (recalculado con EIC 2025)</t>
  </si>
  <si>
    <t xml:space="preserve">Art. 2o LCF. Media móvil de 3 años del crecimiento de impuestos y derechos locales (IE). Variables del DOF de agosto 2026.</t>
  </si>
  <si>
    <t xml:space="preserve">Segunda parte del crecimiento del FGP 2027 (30%; hoja Cuadro 7):</t>
  </si>
  <si>
    <t xml:space="preserve">Crecimiento IE
2023/2022
(1)</t>
  </si>
  <si>
    <t xml:space="preserve">Crecimiento IE
2024/2023
(2)</t>
  </si>
  <si>
    <t xml:space="preserve">Crecimiento IE
2025/2024
(3)</t>
  </si>
  <si>
    <t xml:space="preserve">Media móvil IE
(4=((1+2+3)/3))</t>
  </si>
  <si>
    <t xml:space="preserve">Población
EIC 2025
(5)</t>
  </si>
  <si>
    <t xml:space="preserve">Resultado media móvil por población
(6=4*5)</t>
  </si>
  <si>
    <t xml:space="preserve">Coeficientes de participación
(7=(6/Σ6)100)</t>
  </si>
  <si>
    <t xml:space="preserve">Columna (4): media móvil implícita en el DOF = Resultado (6) / Población (5) del Cuadro 4 original, para no perder precisión por el redondeo a 3 decimales.</t>
  </si>
  <si>
    <t xml:space="preserve">Cuadro 5. Coeficientes de la tercera parte del crecimiento del FGP 2027 (recalculado con EIC 2025)</t>
  </si>
  <si>
    <t xml:space="preserve">Art. 2o LCF. Impuestos y derechos locales 2025 × población. Variables del DOF de agosto 2026.</t>
  </si>
  <si>
    <t xml:space="preserve">Tercera parte del crecimiento del FGP 2027 (10%; hoja Cuadro 7):</t>
  </si>
  <si>
    <t xml:space="preserve">Impuestos y derechos locales de 2025
(1)</t>
  </si>
  <si>
    <t xml:space="preserve">Población
EIC 2025
(2)</t>
  </si>
  <si>
    <t xml:space="preserve">Resultado IE 2025 por población
(3=2*1)</t>
  </si>
  <si>
    <t xml:space="preserve">Coeficientes de participación
(4=(3/Σ3)100)</t>
  </si>
  <si>
    <t xml:space="preserve">Cuadro 7. Integración del FGP 2027 (anual): población ENOE 3T-2025 vs. EIC 2025</t>
  </si>
  <si>
    <t xml:space="preserve">FGP de 2007 = 12 × monto mensual del DOF de agosto 2026 (Cuadro 7). Crecimiento 2027 = 20% de la RFP del PPEF 2027 − FGP de 2007. Sin resarcimiento BET.</t>
  </si>
  <si>
    <t xml:space="preserve">FGP de 2007
(parte fija, no cambia)</t>
  </si>
  <si>
    <t xml:space="preserve">Primera parte
ENOE 3T-2025</t>
  </si>
  <si>
    <t xml:space="preserve">Segunda parte
ENOE 3T-2025</t>
  </si>
  <si>
    <t xml:space="preserve">Tercera parte
ENOE 3T-2025</t>
  </si>
  <si>
    <t xml:space="preserve">FGP total
ENOE 3T-2025</t>
  </si>
  <si>
    <t xml:space="preserve">Primera parte
EIC 2025</t>
  </si>
  <si>
    <t xml:space="preserve">Segunda parte
EIC 2025</t>
  </si>
  <si>
    <t xml:space="preserve">Tercera parte
EIC 2025</t>
  </si>
  <si>
    <t xml:space="preserve">FGP total
EIC 2025</t>
  </si>
  <si>
    <t xml:space="preserve">Monto del FGP 2027</t>
  </si>
  <si>
    <t xml:space="preserve">0.136% de la RFP 2027 (PPEF 2027, Ramo 28)</t>
  </si>
  <si>
    <t xml:space="preserve">RFP 2027 (= 0.136% / 0.00136)</t>
  </si>
  <si>
    <t xml:space="preserve">FGP 2027 (20% de la RFP)</t>
  </si>
  <si>
    <t xml:space="preserve">FGP de 2007 (12 × 22,152,337,833; DOF Cuadro 2)</t>
  </si>
  <si>
    <t xml:space="preserve">Crecimiento del FGP 2027</t>
  </si>
  <si>
    <t xml:space="preserve">Primera parte (60%)</t>
  </si>
  <si>
    <t xml:space="preserve">Segunda parte (30%)</t>
  </si>
  <si>
    <t xml:space="preserve">Tercera parte (10%)</t>
  </si>
  <si>
    <t xml:space="preserve">Validación: réplica de los coeficientes publicados en el DOF</t>
  </si>
  <si>
    <t xml:space="preserve">Mismo cálculo de cada cuadro con la población ENOE 1T-2026 que publicó el DOF de agosto 2026. La diferencia contra el coeficiente publicado debe ser ~0.</t>
  </si>
  <si>
    <t xml:space="preserve">Cuadro 3
replicado</t>
  </si>
  <si>
    <t xml:space="preserve">Cuadro 3
DOF</t>
  </si>
  <si>
    <t xml:space="preserve">Cuadro 3
diferencia</t>
  </si>
  <si>
    <t xml:space="preserve">Cuadro 4
replicado</t>
  </si>
  <si>
    <t xml:space="preserve">Cuadro 4
DOF</t>
  </si>
  <si>
    <t xml:space="preserve">Cuadro 4
diferencia</t>
  </si>
  <si>
    <t xml:space="preserve">Cuadro 5
replicado</t>
  </si>
  <si>
    <t xml:space="preserve">Cuadro 5
DOF</t>
  </si>
  <si>
    <t xml:space="preserve">Cuadro 5
diferencia</t>
  </si>
  <si>
    <t xml:space="preserve">Diferencia absoluta máxima</t>
  </si>
  <si>
    <t xml:space="preserve">Fuente: SHCP, Acuerdo 140/2026, DOF 31-ago-2026.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</si>
</sst>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0%;\-0.00%;\-"/>
    <numFmt numFmtId="167" formatCode="0.00"/>
    <numFmt numFmtId="168" formatCode="0.0"/>
    <numFmt numFmtId="169" formatCode="0.000000"/>
    <numFmt numFmtId="170" formatCode="0.000000;\-0.000000;\-"/>
    <numFmt numFmtId="171" formatCode="0.000"/>
    <numFmt numFmtId="172" formatCode="0.000000000"/>
    <numFmt numFmtId="173" formatCode="0.0000000;\-0.0000000;\-"/>
    <numFmt numFmtId="174" formatCode="0.0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5B7DB1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B7DB1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Cambio en el FGP 2027 por entidad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Resumen!Z6</c:f>
              <c:strCache>
                <c:ptCount val="1"/>
                <c:pt idx="0">
                  <c:v>Gana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Resumen!$X$7:$X$38</c:f>
              <c:strCache>
                <c:ptCount val="32"/>
                <c:pt idx="0">
                  <c:v>Guerrero</c:v>
                </c:pt>
                <c:pt idx="1">
                  <c:v>Tlaxcala</c:v>
                </c:pt>
                <c:pt idx="2">
                  <c:v>Veracruz</c:v>
                </c:pt>
                <c:pt idx="3">
                  <c:v>Chiapas</c:v>
                </c:pt>
                <c:pt idx="4">
                  <c:v>Chihuahua</c:v>
                </c:pt>
                <c:pt idx="5">
                  <c:v>Oaxaca</c:v>
                </c:pt>
                <c:pt idx="6">
                  <c:v>Michoacán</c:v>
                </c:pt>
                <c:pt idx="7">
                  <c:v>Sinaloa</c:v>
                </c:pt>
                <c:pt idx="8">
                  <c:v>Ciudad de México</c:v>
                </c:pt>
                <c:pt idx="9">
                  <c:v>Coahuila</c:v>
                </c:pt>
                <c:pt idx="10">
                  <c:v>México</c:v>
                </c:pt>
                <c:pt idx="11">
                  <c:v>Tabasco</c:v>
                </c:pt>
                <c:pt idx="12">
                  <c:v>Jalisco</c:v>
                </c:pt>
                <c:pt idx="13">
                  <c:v>Zacatecas</c:v>
                </c:pt>
                <c:pt idx="14">
                  <c:v>Hidalgo</c:v>
                </c:pt>
                <c:pt idx="15">
                  <c:v>Durango</c:v>
                </c:pt>
                <c:pt idx="16">
                  <c:v>San Luis Potosí</c:v>
                </c:pt>
                <c:pt idx="17">
                  <c:v>Sonora</c:v>
                </c:pt>
                <c:pt idx="18">
                  <c:v>Morelos</c:v>
                </c:pt>
                <c:pt idx="19">
                  <c:v>Tamaulipas</c:v>
                </c:pt>
                <c:pt idx="20">
                  <c:v>Guanajuato</c:v>
                </c:pt>
                <c:pt idx="21">
                  <c:v>Aguascalientes</c:v>
                </c:pt>
                <c:pt idx="22">
                  <c:v>Nuevo León</c:v>
                </c:pt>
                <c:pt idx="23">
                  <c:v>Querétaro</c:v>
                </c:pt>
                <c:pt idx="24">
                  <c:v>Puebla</c:v>
                </c:pt>
                <c:pt idx="25">
                  <c:v>Campeche</c:v>
                </c:pt>
                <c:pt idx="26">
                  <c:v>Colima</c:v>
                </c:pt>
                <c:pt idx="27">
                  <c:v>Nayarit</c:v>
                </c:pt>
                <c:pt idx="28">
                  <c:v>Yucatán</c:v>
                </c:pt>
                <c:pt idx="29">
                  <c:v>Baja California</c:v>
                </c:pt>
                <c:pt idx="30">
                  <c:v>Baja California Sur</c:v>
                </c:pt>
                <c:pt idx="31">
                  <c:v>Quintana Roo</c:v>
                </c:pt>
              </c:strCache>
            </c:strRef>
          </c:cat>
          <c:val>
            <c:numRef>
              <c:f>Resumen!$Z$7:$Z$38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0.0311462692854202</c:v>
                </c:pt>
                <c:pt idx="17">
                  <c:v>0.120584011377581</c:v>
                </c:pt>
                <c:pt idx="18">
                  <c:v>0.413229323934758</c:v>
                </c:pt>
                <c:pt idx="19">
                  <c:v>1.00291535971527</c:v>
                </c:pt>
                <c:pt idx="20">
                  <c:v>1.21315697201828</c:v>
                </c:pt>
                <c:pt idx="21">
                  <c:v>1.700608223605</c:v>
                </c:pt>
                <c:pt idx="22">
                  <c:v>1.71318505487661</c:v>
                </c:pt>
                <c:pt idx="23">
                  <c:v>2.33660128487035</c:v>
                </c:pt>
                <c:pt idx="24">
                  <c:v>2.60026287452747</c:v>
                </c:pt>
                <c:pt idx="25">
                  <c:v>2.89145433125536</c:v>
                </c:pt>
                <c:pt idx="26">
                  <c:v>3.09660443965347</c:v>
                </c:pt>
                <c:pt idx="27">
                  <c:v>3.12902864022087</c:v>
                </c:pt>
                <c:pt idx="28">
                  <c:v>3.32723133293011</c:v>
                </c:pt>
                <c:pt idx="29">
                  <c:v>4.66551421804946</c:v>
                </c:pt>
                <c:pt idx="30">
                  <c:v>6.66880185338612</c:v>
                </c:pt>
                <c:pt idx="31">
                  <c:v>8.07837720023023</c:v>
                </c:pt>
              </c:numCache>
            </c:numRef>
          </c:val>
        </c:ser>
        <c:ser>
          <c:idx val="1"/>
          <c:order val="1"/>
          <c:tx>
            <c:strRef>
              <c:f>Resumen!AA6</c:f>
              <c:strCache>
                <c:ptCount val="1"/>
                <c:pt idx="0">
                  <c:v>Pierde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Resumen!$X$7:$X$38</c:f>
              <c:strCache>
                <c:ptCount val="32"/>
                <c:pt idx="0">
                  <c:v>Guerrero</c:v>
                </c:pt>
                <c:pt idx="1">
                  <c:v>Tlaxcala</c:v>
                </c:pt>
                <c:pt idx="2">
                  <c:v>Veracruz</c:v>
                </c:pt>
                <c:pt idx="3">
                  <c:v>Chiapas</c:v>
                </c:pt>
                <c:pt idx="4">
                  <c:v>Chihuahua</c:v>
                </c:pt>
                <c:pt idx="5">
                  <c:v>Oaxaca</c:v>
                </c:pt>
                <c:pt idx="6">
                  <c:v>Michoacán</c:v>
                </c:pt>
                <c:pt idx="7">
                  <c:v>Sinaloa</c:v>
                </c:pt>
                <c:pt idx="8">
                  <c:v>Ciudad de México</c:v>
                </c:pt>
                <c:pt idx="9">
                  <c:v>Coahuila</c:v>
                </c:pt>
                <c:pt idx="10">
                  <c:v>México</c:v>
                </c:pt>
                <c:pt idx="11">
                  <c:v>Tabasco</c:v>
                </c:pt>
                <c:pt idx="12">
                  <c:v>Jalisco</c:v>
                </c:pt>
                <c:pt idx="13">
                  <c:v>Zacatecas</c:v>
                </c:pt>
                <c:pt idx="14">
                  <c:v>Hidalgo</c:v>
                </c:pt>
                <c:pt idx="15">
                  <c:v>Durango</c:v>
                </c:pt>
                <c:pt idx="16">
                  <c:v>San Luis Potosí</c:v>
                </c:pt>
                <c:pt idx="17">
                  <c:v>Sonora</c:v>
                </c:pt>
                <c:pt idx="18">
                  <c:v>Morelos</c:v>
                </c:pt>
                <c:pt idx="19">
                  <c:v>Tamaulipas</c:v>
                </c:pt>
                <c:pt idx="20">
                  <c:v>Guanajuato</c:v>
                </c:pt>
                <c:pt idx="21">
                  <c:v>Aguascalientes</c:v>
                </c:pt>
                <c:pt idx="22">
                  <c:v>Nuevo León</c:v>
                </c:pt>
                <c:pt idx="23">
                  <c:v>Querétaro</c:v>
                </c:pt>
                <c:pt idx="24">
                  <c:v>Puebla</c:v>
                </c:pt>
                <c:pt idx="25">
                  <c:v>Campeche</c:v>
                </c:pt>
                <c:pt idx="26">
                  <c:v>Colima</c:v>
                </c:pt>
                <c:pt idx="27">
                  <c:v>Nayarit</c:v>
                </c:pt>
                <c:pt idx="28">
                  <c:v>Yucatán</c:v>
                </c:pt>
                <c:pt idx="29">
                  <c:v>Baja California</c:v>
                </c:pt>
                <c:pt idx="30">
                  <c:v>Baja California Sur</c:v>
                </c:pt>
                <c:pt idx="31">
                  <c:v>Quintana Roo</c:v>
                </c:pt>
              </c:strCache>
            </c:strRef>
          </c:cat>
          <c:val>
            <c:numRef>
              <c:f>Resumen!$AA$7:$AA$38</c:f>
              <c:numCache>
                <c:formatCode>0.00</c:formatCode>
                <c:ptCount val="32"/>
                <c:pt idx="0">
                  <c:v>-4.1932114735683</c:v>
                </c:pt>
                <c:pt idx="1">
                  <c:v>-3.04434031149081</c:v>
                </c:pt>
                <c:pt idx="2">
                  <c:v>-1.90527614173961</c:v>
                </c:pt>
                <c:pt idx="3">
                  <c:v>-1.53458518616134</c:v>
                </c:pt>
                <c:pt idx="4">
                  <c:v>-1.46587457704949</c:v>
                </c:pt>
                <c:pt idx="5">
                  <c:v>-1.28828575227494</c:v>
                </c:pt>
                <c:pt idx="6">
                  <c:v>-1.06768795485586</c:v>
                </c:pt>
                <c:pt idx="7">
                  <c:v>-1.06502116989247</c:v>
                </c:pt>
                <c:pt idx="8">
                  <c:v>-1.030982652346</c:v>
                </c:pt>
                <c:pt idx="9">
                  <c:v>-0.920223581443187</c:v>
                </c:pt>
                <c:pt idx="10">
                  <c:v>-0.828565512543208</c:v>
                </c:pt>
                <c:pt idx="11">
                  <c:v>-0.659213105768597</c:v>
                </c:pt>
                <c:pt idx="12">
                  <c:v>-0.58565064053503</c:v>
                </c:pt>
                <c:pt idx="13">
                  <c:v>-0.501795339494922</c:v>
                </c:pt>
                <c:pt idx="14">
                  <c:v>-0.158807941446676</c:v>
                </c:pt>
                <c:pt idx="15">
                  <c:v>-0.133902603266719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gapWidth val="40"/>
        <c:overlap val="100"/>
        <c:axId val="65479168"/>
        <c:axId val="44330699"/>
      </c:barChart>
      <c:catAx>
        <c:axId val="654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30699"/>
        <c:crosses val="autoZero"/>
        <c:auto val="1"/>
        <c:lblAlgn val="ctr"/>
        <c:lblOffset val="100"/>
        <c:noMultiLvlLbl val="0"/>
      </c:catAx>
      <c:valAx>
        <c:axId val="44330699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791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176040</xdr:rowOff>
    </xdr:from>
    <xdr:to>
      <xdr:col>19</xdr:col>
      <xdr:colOff>4680</xdr:colOff>
      <xdr:row>32</xdr:row>
      <xdr:rowOff>180720</xdr:rowOff>
    </xdr:to>
    <xdr:graphicFrame>
      <xdr:nvGraphicFramePr>
        <xdr:cNvPr id="0" name="Chart 1"/>
        <xdr:cNvGraphicFramePr/>
      </xdr:nvGraphicFramePr>
      <xdr:xfrm>
        <a:off x="10972800" y="762120"/>
        <a:ext cx="611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17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24" min="2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F5" s="3" t="s">
        <v>2</v>
      </c>
      <c r="G5" s="4" t="n">
        <f aca="false">-SUMIF(G7:G38,"&lt;0")</f>
        <v>8768055198.21339</v>
      </c>
      <c r="X5" s="3" t="s">
        <v>3</v>
      </c>
    </row>
    <row r="6" customFormat="false" ht="6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X6" s="5" t="s">
        <v>4</v>
      </c>
      <c r="Y6" s="5" t="s">
        <v>12</v>
      </c>
      <c r="Z6" s="5" t="s">
        <v>13</v>
      </c>
      <c r="AA6" s="5" t="s">
        <v>14</v>
      </c>
    </row>
    <row r="7" customFormat="false" ht="15" hidden="false" customHeight="false" outlineLevel="0" collapsed="false">
      <c r="A7" s="6" t="s">
        <v>15</v>
      </c>
      <c r="B7" s="7" t="n">
        <f aca="false">'Cuadro 7'!F7</f>
        <v>12224845617.5184</v>
      </c>
      <c r="C7" s="8" t="n">
        <f aca="false">'Cuadro 3'!L7</f>
        <v>133009839.80746</v>
      </c>
      <c r="D7" s="8" t="n">
        <f aca="false">'Cuadro 4'!M7</f>
        <v>69267996.7210484</v>
      </c>
      <c r="E7" s="8" t="n">
        <f aca="false">'Cuadro 5'!J7</f>
        <v>5618893.36602467</v>
      </c>
      <c r="F7" s="8" t="n">
        <f aca="false">B7+G7</f>
        <v>12432742347.4129</v>
      </c>
      <c r="G7" s="9" t="n">
        <f aca="false">C7+D7+E7</f>
        <v>207896729.894533</v>
      </c>
      <c r="H7" s="10" t="n">
        <f aca="false">G7/B7</f>
        <v>0.01700608223605</v>
      </c>
      <c r="X7" s="6" t="str">
        <f aca="false">INDEX($A$7:$A$38,MATCH(Y7,$H$7:$H$38,0))</f>
        <v>Guerrero</v>
      </c>
      <c r="Y7" s="11" t="n">
        <f aca="false">SMALL($H$7:$H$38,1)</f>
        <v>-0.041932114735683</v>
      </c>
      <c r="Z7" s="12" t="n">
        <f aca="false">IF(Y7&gt;=0,Y7*100,0)</f>
        <v>0</v>
      </c>
      <c r="AA7" s="12" t="n">
        <f aca="false">IF(Y7&lt;0,Y7*100,0)</f>
        <v>-4.1932114735683</v>
      </c>
    </row>
    <row r="8" customFormat="false" ht="15" hidden="false" customHeight="false" outlineLevel="0" collapsed="false">
      <c r="A8" s="6" t="s">
        <v>16</v>
      </c>
      <c r="B8" s="7" t="n">
        <f aca="false">'Cuadro 7'!F8</f>
        <v>33375251230.4582</v>
      </c>
      <c r="C8" s="8" t="n">
        <f aca="false">'Cuadro 3'!L8</f>
        <v>897173672.627209</v>
      </c>
      <c r="D8" s="8" t="n">
        <f aca="false">'Cuadro 4'!M8</f>
        <v>475156911.715113</v>
      </c>
      <c r="E8" s="8" t="n">
        <f aca="false">'Cuadro 5'!J8</f>
        <v>184796507.124434</v>
      </c>
      <c r="F8" s="8" t="n">
        <f aca="false">B8+G8</f>
        <v>34932378321.9249</v>
      </c>
      <c r="G8" s="9" t="n">
        <f aca="false">C8+D8+E8</f>
        <v>1557127091.46676</v>
      </c>
      <c r="H8" s="10" t="n">
        <f aca="false">G8/B8</f>
        <v>0.0466551421804946</v>
      </c>
      <c r="X8" s="6" t="str">
        <f aca="false">INDEX($A$7:$A$38,MATCH(Y8,$H$7:$H$38,0))</f>
        <v>Tlaxcala</v>
      </c>
      <c r="Y8" s="11" t="n">
        <f aca="false">SMALL($H$7:$H$38,2)</f>
        <v>-0.0304434031149081</v>
      </c>
      <c r="Z8" s="12" t="n">
        <f aca="false">IF(Y8&gt;=0,Y8*100,0)</f>
        <v>0</v>
      </c>
      <c r="AA8" s="12" t="n">
        <f aca="false">IF(Y8&lt;0,Y8*100,0)</f>
        <v>-3.04434031149081</v>
      </c>
    </row>
    <row r="9" customFormat="false" ht="15" hidden="false" customHeight="false" outlineLevel="0" collapsed="false">
      <c r="A9" s="6" t="s">
        <v>17</v>
      </c>
      <c r="B9" s="7" t="n">
        <f aca="false">'Cuadro 7'!F9</f>
        <v>7406242107.00079</v>
      </c>
      <c r="C9" s="8" t="n">
        <f aca="false">'Cuadro 3'!L9</f>
        <v>324884813.979358</v>
      </c>
      <c r="D9" s="8" t="n">
        <f aca="false">'Cuadro 4'!M9</f>
        <v>156671425.562942</v>
      </c>
      <c r="E9" s="8" t="n">
        <f aca="false">'Cuadro 5'!J9</f>
        <v>12351371.3556321</v>
      </c>
      <c r="F9" s="8" t="n">
        <f aca="false">B9+G9</f>
        <v>7900149717.89873</v>
      </c>
      <c r="G9" s="9" t="n">
        <f aca="false">C9+D9+E9</f>
        <v>493907610.897932</v>
      </c>
      <c r="H9" s="10" t="n">
        <f aca="false">G9/B9</f>
        <v>0.0666880185338612</v>
      </c>
      <c r="X9" s="6" t="str">
        <f aca="false">INDEX($A$7:$A$38,MATCH(Y9,$H$7:$H$38,0))</f>
        <v>Veracruz</v>
      </c>
      <c r="Y9" s="11" t="n">
        <f aca="false">SMALL($H$7:$H$38,3)</f>
        <v>-0.0190527614173961</v>
      </c>
      <c r="Z9" s="12" t="n">
        <f aca="false">IF(Y9&gt;=0,Y9*100,0)</f>
        <v>0</v>
      </c>
      <c r="AA9" s="12" t="n">
        <f aca="false">IF(Y9&lt;0,Y9*100,0)</f>
        <v>-1.90527614173961</v>
      </c>
    </row>
    <row r="10" customFormat="false" ht="15" hidden="false" customHeight="false" outlineLevel="0" collapsed="false">
      <c r="A10" s="6" t="s">
        <v>18</v>
      </c>
      <c r="B10" s="7" t="n">
        <f aca="false">'Cuadro 7'!F10</f>
        <v>7599135606.69996</v>
      </c>
      <c r="C10" s="8" t="n">
        <f aca="false">'Cuadro 3'!L10</f>
        <v>138187797.055196</v>
      </c>
      <c r="D10" s="8" t="n">
        <f aca="false">'Cuadro 4'!M10</f>
        <v>77971975.8852398</v>
      </c>
      <c r="E10" s="8" t="n">
        <f aca="false">'Cuadro 5'!J10</f>
        <v>3565762.69745827</v>
      </c>
      <c r="F10" s="8" t="n">
        <f aca="false">B10+G10</f>
        <v>7818861142.33785</v>
      </c>
      <c r="G10" s="9" t="n">
        <f aca="false">C10+D10+E10</f>
        <v>219725535.637894</v>
      </c>
      <c r="H10" s="10" t="n">
        <f aca="false">G10/B10</f>
        <v>0.0289145433125536</v>
      </c>
      <c r="X10" s="6" t="str">
        <f aca="false">INDEX($A$7:$A$38,MATCH(Y10,$H$7:$H$38,0))</f>
        <v>Chiapas</v>
      </c>
      <c r="Y10" s="11" t="n">
        <f aca="false">SMALL($H$7:$H$38,4)</f>
        <v>-0.0153458518616134</v>
      </c>
      <c r="Z10" s="12" t="n">
        <f aca="false">IF(Y10&gt;=0,Y10*100,0)</f>
        <v>0</v>
      </c>
      <c r="AA10" s="12" t="n">
        <f aca="false">IF(Y10&lt;0,Y10*100,0)</f>
        <v>-1.53458518616134</v>
      </c>
    </row>
    <row r="11" customFormat="false" ht="15" hidden="false" customHeight="false" outlineLevel="0" collapsed="false">
      <c r="A11" s="6" t="s">
        <v>19</v>
      </c>
      <c r="B11" s="7" t="n">
        <f aca="false">'Cuadro 7'!F11</f>
        <v>28877687856.1487</v>
      </c>
      <c r="C11" s="8" t="n">
        <f aca="false">'Cuadro 3'!L11</f>
        <v>-165991945.874788</v>
      </c>
      <c r="D11" s="8" t="n">
        <f aca="false">'Cuadro 4'!M11</f>
        <v>-87844175.7782707</v>
      </c>
      <c r="E11" s="8" t="n">
        <f aca="false">'Cuadro 5'!J11</f>
        <v>-11903171.7747769</v>
      </c>
      <c r="F11" s="8" t="n">
        <f aca="false">B11+G11</f>
        <v>28611948562.7209</v>
      </c>
      <c r="G11" s="9" t="n">
        <f aca="false">C11+D11+E11</f>
        <v>-265739293.427836</v>
      </c>
      <c r="H11" s="10" t="n">
        <f aca="false">G11/B11</f>
        <v>-0.00920223581443187</v>
      </c>
      <c r="X11" s="6" t="str">
        <f aca="false">INDEX($A$7:$A$38,MATCH(Y11,$H$7:$H$38,0))</f>
        <v>Chihuahua</v>
      </c>
      <c r="Y11" s="11" t="n">
        <f aca="false">SMALL($H$7:$H$38,5)</f>
        <v>-0.0146587457704949</v>
      </c>
      <c r="Z11" s="12" t="n">
        <f aca="false">IF(Y11&gt;=0,Y11*100,0)</f>
        <v>0</v>
      </c>
      <c r="AA11" s="12" t="n">
        <f aca="false">IF(Y11&lt;0,Y11*100,0)</f>
        <v>-1.46587457704949</v>
      </c>
    </row>
    <row r="12" customFormat="false" ht="15" hidden="false" customHeight="false" outlineLevel="0" collapsed="false">
      <c r="A12" s="6" t="s">
        <v>20</v>
      </c>
      <c r="B12" s="7" t="n">
        <f aca="false">'Cuadro 7'!F12</f>
        <v>6390850129.78114</v>
      </c>
      <c r="C12" s="8" t="n">
        <f aca="false">'Cuadro 3'!L12</f>
        <v>130696250.29242</v>
      </c>
      <c r="D12" s="8" t="n">
        <f aca="false">'Cuadro 4'!M12</f>
        <v>64567420.5422931</v>
      </c>
      <c r="E12" s="8" t="n">
        <f aca="false">'Cuadro 5'!J12</f>
        <v>2635678.01568902</v>
      </c>
      <c r="F12" s="8" t="n">
        <f aca="false">B12+G12</f>
        <v>6588749478.63154</v>
      </c>
      <c r="G12" s="9" t="n">
        <f aca="false">C12+D12+E12</f>
        <v>197899348.850402</v>
      </c>
      <c r="H12" s="10" t="n">
        <f aca="false">G12/B12</f>
        <v>0.0309660443965347</v>
      </c>
      <c r="X12" s="6" t="str">
        <f aca="false">INDEX($A$7:$A$38,MATCH(Y12,$H$7:$H$38,0))</f>
        <v>Oaxaca</v>
      </c>
      <c r="Y12" s="11" t="n">
        <f aca="false">SMALL($H$7:$H$38,6)</f>
        <v>-0.0128828575227494</v>
      </c>
      <c r="Z12" s="12" t="n">
        <f aca="false">IF(Y12&gt;=0,Y12*100,0)</f>
        <v>0</v>
      </c>
      <c r="AA12" s="12" t="n">
        <f aca="false">IF(Y12&lt;0,Y12*100,0)</f>
        <v>-1.28828575227494</v>
      </c>
    </row>
    <row r="13" customFormat="false" ht="15" hidden="false" customHeight="false" outlineLevel="0" collapsed="false">
      <c r="A13" s="6" t="s">
        <v>21</v>
      </c>
      <c r="B13" s="7" t="n">
        <f aca="false">'Cuadro 7'!F13</f>
        <v>50691976690.1725</v>
      </c>
      <c r="C13" s="8" t="n">
        <f aca="false">'Cuadro 3'!L13</f>
        <v>-488825142.583492</v>
      </c>
      <c r="D13" s="8" t="n">
        <f aca="false">'Cuadro 4'!M13</f>
        <v>-269499697.486082</v>
      </c>
      <c r="E13" s="8" t="n">
        <f aca="false">'Cuadro 5'!J13</f>
        <v>-19586724.7901752</v>
      </c>
      <c r="F13" s="8" t="n">
        <f aca="false">B13+G13</f>
        <v>49914065125.3128</v>
      </c>
      <c r="G13" s="9" t="n">
        <f aca="false">C13+D13+E13</f>
        <v>-777911564.85975</v>
      </c>
      <c r="H13" s="10" t="n">
        <f aca="false">G13/B13</f>
        <v>-0.0153458518616134</v>
      </c>
      <c r="X13" s="6" t="str">
        <f aca="false">INDEX($A$7:$A$38,MATCH(Y13,$H$7:$H$38,0))</f>
        <v>Michoacán</v>
      </c>
      <c r="Y13" s="11" t="n">
        <f aca="false">SMALL($H$7:$H$38,7)</f>
        <v>-0.0106768795485586</v>
      </c>
      <c r="Z13" s="12" t="n">
        <f aca="false">IF(Y13&gt;=0,Y13*100,0)</f>
        <v>0</v>
      </c>
      <c r="AA13" s="12" t="n">
        <f aca="false">IF(Y13&lt;0,Y13*100,0)</f>
        <v>-1.06768795485586</v>
      </c>
    </row>
    <row r="14" customFormat="false" ht="15" hidden="false" customHeight="false" outlineLevel="0" collapsed="false">
      <c r="A14" s="6" t="s">
        <v>22</v>
      </c>
      <c r="B14" s="7" t="n">
        <f aca="false">'Cuadro 7'!F14</f>
        <v>33916362515.2807</v>
      </c>
      <c r="C14" s="8" t="n">
        <f aca="false">'Cuadro 3'!L14</f>
        <v>-302460517.339968</v>
      </c>
      <c r="D14" s="8" t="n">
        <f aca="false">'Cuadro 4'!M14</f>
        <v>-150027851.596088</v>
      </c>
      <c r="E14" s="8" t="n">
        <f aca="false">'Cuadro 5'!J14</f>
        <v>-44682966.6353865</v>
      </c>
      <c r="F14" s="8" t="n">
        <f aca="false">B14+G14</f>
        <v>33419191179.7093</v>
      </c>
      <c r="G14" s="9" t="n">
        <f aca="false">C14+D14+E14</f>
        <v>-497171335.571443</v>
      </c>
      <c r="H14" s="10" t="n">
        <f aca="false">G14/B14</f>
        <v>-0.0146587457704949</v>
      </c>
      <c r="X14" s="6" t="str">
        <f aca="false">INDEX($A$7:$A$38,MATCH(Y14,$H$7:$H$38,0))</f>
        <v>Sinaloa</v>
      </c>
      <c r="Y14" s="11" t="n">
        <f aca="false">SMALL($H$7:$H$38,8)</f>
        <v>-0.0106502116989247</v>
      </c>
      <c r="Z14" s="12" t="n">
        <f aca="false">IF(Y14&gt;=0,Y14*100,0)</f>
        <v>0</v>
      </c>
      <c r="AA14" s="12" t="n">
        <f aca="false">IF(Y14&lt;0,Y14*100,0)</f>
        <v>-1.06502116989247</v>
      </c>
    </row>
    <row r="15" customFormat="false" ht="15" hidden="false" customHeight="false" outlineLevel="0" collapsed="false">
      <c r="A15" s="6" t="s">
        <v>23</v>
      </c>
      <c r="B15" s="7" t="n">
        <f aca="false">'Cuadro 7'!F15</f>
        <v>113464112610.892</v>
      </c>
      <c r="C15" s="8" t="n">
        <f aca="false">'Cuadro 3'!L15</f>
        <v>-586906148.022759</v>
      </c>
      <c r="D15" s="8" t="n">
        <f aca="false">'Cuadro 4'!M15</f>
        <v>-299477626.361744</v>
      </c>
      <c r="E15" s="8" t="n">
        <f aca="false">'Cuadro 5'!J15</f>
        <v>-283411543.272121</v>
      </c>
      <c r="F15" s="8" t="n">
        <f aca="false">B15+G15</f>
        <v>112294317293.235</v>
      </c>
      <c r="G15" s="9" t="n">
        <f aca="false">C15+D15+E15</f>
        <v>-1169795317.65662</v>
      </c>
      <c r="H15" s="10" t="n">
        <f aca="false">G15/B15</f>
        <v>-0.01030982652346</v>
      </c>
      <c r="X15" s="6" t="str">
        <f aca="false">INDEX($A$7:$A$38,MATCH(Y15,$H$7:$H$38,0))</f>
        <v>Ciudad de México</v>
      </c>
      <c r="Y15" s="11" t="n">
        <f aca="false">SMALL($H$7:$H$38,9)</f>
        <v>-0.01030982652346</v>
      </c>
      <c r="Z15" s="12" t="n">
        <f aca="false">IF(Y15&gt;=0,Y15*100,0)</f>
        <v>0</v>
      </c>
      <c r="AA15" s="12" t="n">
        <f aca="false">IF(Y15&lt;0,Y15*100,0)</f>
        <v>-1.030982652346</v>
      </c>
    </row>
    <row r="16" customFormat="false" ht="15" hidden="false" customHeight="false" outlineLevel="0" collapsed="false">
      <c r="A16" s="6" t="s">
        <v>24</v>
      </c>
      <c r="B16" s="7" t="n">
        <f aca="false">'Cuadro 7'!F16</f>
        <v>16000941668.4145</v>
      </c>
      <c r="C16" s="8" t="n">
        <f aca="false">'Cuadro 3'!L16</f>
        <v>-14297637.0207453</v>
      </c>
      <c r="D16" s="8" t="n">
        <f aca="false">'Cuadro 4'!M16</f>
        <v>-7538696.33584356</v>
      </c>
      <c r="E16" s="8" t="n">
        <f aca="false">'Cuadro 5'!J16</f>
        <v>410655.915392637</v>
      </c>
      <c r="F16" s="8" t="n">
        <f aca="false">B16+G16</f>
        <v>15979515990.9733</v>
      </c>
      <c r="G16" s="9" t="n">
        <f aca="false">C16+D16+E16</f>
        <v>-21425677.4411962</v>
      </c>
      <c r="H16" s="10" t="n">
        <f aca="false">G16/B16</f>
        <v>-0.00133902603266719</v>
      </c>
      <c r="X16" s="6" t="str">
        <f aca="false">INDEX($A$7:$A$38,MATCH(Y16,$H$7:$H$38,0))</f>
        <v>Coahuila</v>
      </c>
      <c r="Y16" s="11" t="n">
        <f aca="false">SMALL($H$7:$H$38,10)</f>
        <v>-0.00920223581443187</v>
      </c>
      <c r="Z16" s="12" t="n">
        <f aca="false">IF(Y16&gt;=0,Y16*100,0)</f>
        <v>0</v>
      </c>
      <c r="AA16" s="12" t="n">
        <f aca="false">IF(Y16&lt;0,Y16*100,0)</f>
        <v>-0.920223581443187</v>
      </c>
    </row>
    <row r="17" customFormat="false" ht="15" hidden="false" customHeight="false" outlineLevel="0" collapsed="false">
      <c r="A17" s="6" t="s">
        <v>25</v>
      </c>
      <c r="B17" s="7" t="n">
        <f aca="false">'Cuadro 7'!F17</f>
        <v>52243078967.2689</v>
      </c>
      <c r="C17" s="8" t="n">
        <f aca="false">'Cuadro 3'!L17</f>
        <v>386433758.702946</v>
      </c>
      <c r="D17" s="8" t="n">
        <f aca="false">'Cuadro 4'!M17</f>
        <v>184657585.505814</v>
      </c>
      <c r="E17" s="8" t="n">
        <f aca="false">'Cuadro 5'!J17</f>
        <v>62699210.6796818</v>
      </c>
      <c r="F17" s="8" t="n">
        <f aca="false">B17+G17</f>
        <v>52876869522.1574</v>
      </c>
      <c r="G17" s="9" t="n">
        <f aca="false">C17+D17+E17</f>
        <v>633790554.888441</v>
      </c>
      <c r="H17" s="10" t="n">
        <f aca="false">G17/B17</f>
        <v>0.0121315697201828</v>
      </c>
      <c r="X17" s="6" t="str">
        <f aca="false">INDEX($A$7:$A$38,MATCH(Y17,$H$7:$H$38,0))</f>
        <v>México</v>
      </c>
      <c r="Y17" s="11" t="n">
        <f aca="false">SMALL($H$7:$H$38,11)</f>
        <v>-0.00828565512543208</v>
      </c>
      <c r="Z17" s="12" t="n">
        <f aca="false">IF(Y17&gt;=0,Y17*100,0)</f>
        <v>0</v>
      </c>
      <c r="AA17" s="12" t="n">
        <f aca="false">IF(Y17&lt;0,Y17*100,0)</f>
        <v>-0.828565512543208</v>
      </c>
    </row>
    <row r="18" customFormat="false" ht="15" hidden="false" customHeight="false" outlineLevel="0" collapsed="false">
      <c r="A18" s="6" t="s">
        <v>26</v>
      </c>
      <c r="B18" s="7" t="n">
        <f aca="false">'Cuadro 7'!F18</f>
        <v>28316544472.0021</v>
      </c>
      <c r="C18" s="8" t="n">
        <f aca="false">'Cuadro 3'!L18</f>
        <v>-774035526.794594</v>
      </c>
      <c r="D18" s="8" t="n">
        <f aca="false">'Cuadro 4'!M18</f>
        <v>-390253110.215981</v>
      </c>
      <c r="E18" s="8" t="n">
        <f aca="false">'Cuadro 5'!J18</f>
        <v>-23083954.7074879</v>
      </c>
      <c r="F18" s="8" t="n">
        <f aca="false">B18+G18</f>
        <v>27129171880.2841</v>
      </c>
      <c r="G18" s="9" t="n">
        <f aca="false">C18+D18+E18</f>
        <v>-1187372591.71806</v>
      </c>
      <c r="H18" s="10" t="n">
        <f aca="false">G18/B18</f>
        <v>-0.041932114735683</v>
      </c>
      <c r="X18" s="6" t="str">
        <f aca="false">INDEX($A$7:$A$38,MATCH(Y18,$H$7:$H$38,0))</f>
        <v>Tabasco</v>
      </c>
      <c r="Y18" s="11" t="n">
        <f aca="false">SMALL($H$7:$H$38,12)</f>
        <v>-0.00659213105768597</v>
      </c>
      <c r="Z18" s="12" t="n">
        <f aca="false">IF(Y18&gt;=0,Y18*100,0)</f>
        <v>0</v>
      </c>
      <c r="AA18" s="12" t="n">
        <f aca="false">IF(Y18&lt;0,Y18*100,0)</f>
        <v>-0.659213105768597</v>
      </c>
    </row>
    <row r="19" customFormat="false" ht="15" hidden="false" customHeight="false" outlineLevel="0" collapsed="false">
      <c r="A19" s="6" t="s">
        <v>27</v>
      </c>
      <c r="B19" s="7" t="n">
        <f aca="false">'Cuadro 7'!F19</f>
        <v>25163766181.8255</v>
      </c>
      <c r="C19" s="8" t="n">
        <f aca="false">'Cuadro 3'!L19</f>
        <v>-26846720.9039555</v>
      </c>
      <c r="D19" s="8" t="n">
        <f aca="false">'Cuadro 4'!M19</f>
        <v>-13752490.2791777</v>
      </c>
      <c r="E19" s="8" t="n">
        <f aca="false">'Cuadro 5'!J19</f>
        <v>637152.119321287</v>
      </c>
      <c r="F19" s="8" t="n">
        <f aca="false">B19+G19</f>
        <v>25123804122.7617</v>
      </c>
      <c r="G19" s="9" t="n">
        <f aca="false">C19+D19+E19</f>
        <v>-39962059.0638118</v>
      </c>
      <c r="H19" s="10" t="n">
        <f aca="false">G19/B19</f>
        <v>-0.00158807941446676</v>
      </c>
      <c r="X19" s="6" t="str">
        <f aca="false">INDEX($A$7:$A$38,MATCH(Y19,$H$7:$H$38,0))</f>
        <v>Jalisco</v>
      </c>
      <c r="Y19" s="11" t="n">
        <f aca="false">SMALL($H$7:$H$38,13)</f>
        <v>-0.0058565064053503</v>
      </c>
      <c r="Z19" s="12" t="n">
        <f aca="false">IF(Y19&gt;=0,Y19*100,0)</f>
        <v>0</v>
      </c>
      <c r="AA19" s="12" t="n">
        <f aca="false">IF(Y19&lt;0,Y19*100,0)</f>
        <v>-0.58565064053503</v>
      </c>
    </row>
    <row r="20" customFormat="false" ht="15" hidden="false" customHeight="false" outlineLevel="0" collapsed="false">
      <c r="A20" s="6" t="s">
        <v>28</v>
      </c>
      <c r="B20" s="7" t="n">
        <f aca="false">'Cuadro 7'!F20</f>
        <v>78138870113.988</v>
      </c>
      <c r="C20" s="8" t="n">
        <f aca="false">'Cuadro 3'!L20</f>
        <v>-278525803.913773</v>
      </c>
      <c r="D20" s="8" t="n">
        <f aca="false">'Cuadro 4'!M20</f>
        <v>-142789432.538582</v>
      </c>
      <c r="E20" s="8" t="n">
        <f aca="false">'Cuadro 5'!J20</f>
        <v>-36305556.8770514</v>
      </c>
      <c r="F20" s="8" t="n">
        <f aca="false">B20+G20</f>
        <v>77681249320.6586</v>
      </c>
      <c r="G20" s="9" t="n">
        <f aca="false">C20+D20+E20</f>
        <v>-457620793.329406</v>
      </c>
      <c r="H20" s="10" t="n">
        <f aca="false">G20/B20</f>
        <v>-0.0058565064053503</v>
      </c>
      <c r="X20" s="6" t="str">
        <f aca="false">INDEX($A$7:$A$38,MATCH(Y20,$H$7:$H$38,0))</f>
        <v>Zacatecas</v>
      </c>
      <c r="Y20" s="11" t="n">
        <f aca="false">SMALL($H$7:$H$38,14)</f>
        <v>-0.00501795339494922</v>
      </c>
      <c r="Z20" s="12" t="n">
        <f aca="false">IF(Y20&gt;=0,Y20*100,0)</f>
        <v>0</v>
      </c>
      <c r="AA20" s="12" t="n">
        <f aca="false">IF(Y20&lt;0,Y20*100,0)</f>
        <v>-0.501795339494922</v>
      </c>
    </row>
    <row r="21" customFormat="false" ht="15" hidden="false" customHeight="false" outlineLevel="0" collapsed="false">
      <c r="A21" s="6" t="s">
        <v>29</v>
      </c>
      <c r="B21" s="7" t="n">
        <f aca="false">'Cuadro 7'!F21</f>
        <v>163803178264.608</v>
      </c>
      <c r="C21" s="8" t="n">
        <f aca="false">'Cuadro 3'!L21</f>
        <v>-789180014.998306</v>
      </c>
      <c r="D21" s="8" t="n">
        <f aca="false">'Cuadro 4'!M21</f>
        <v>-393283821.001663</v>
      </c>
      <c r="E21" s="8" t="n">
        <f aca="false">'Cuadro 5'!J21</f>
        <v>-174752807.550243</v>
      </c>
      <c r="F21" s="8" t="n">
        <f aca="false">B21+G21</f>
        <v>162445961621.058</v>
      </c>
      <c r="G21" s="9" t="n">
        <f aca="false">C21+D21+E21</f>
        <v>-1357216643.55021</v>
      </c>
      <c r="H21" s="10" t="n">
        <f aca="false">G21/B21</f>
        <v>-0.00828565512543208</v>
      </c>
      <c r="X21" s="6" t="str">
        <f aca="false">INDEX($A$7:$A$38,MATCH(Y21,$H$7:$H$38,0))</f>
        <v>Hidalgo</v>
      </c>
      <c r="Y21" s="11" t="n">
        <f aca="false">SMALL($H$7:$H$38,15)</f>
        <v>-0.00158807941446676</v>
      </c>
      <c r="Z21" s="12" t="n">
        <f aca="false">IF(Y21&gt;=0,Y21*100,0)</f>
        <v>0</v>
      </c>
      <c r="AA21" s="12" t="n">
        <f aca="false">IF(Y21&lt;0,Y21*100,0)</f>
        <v>-0.158807941446676</v>
      </c>
    </row>
    <row r="22" customFormat="false" ht="15" hidden="false" customHeight="false" outlineLevel="0" collapsed="false">
      <c r="A22" s="6" t="s">
        <v>30</v>
      </c>
      <c r="B22" s="7" t="n">
        <f aca="false">'Cuadro 7'!F22</f>
        <v>37856666605.2634</v>
      </c>
      <c r="C22" s="8" t="n">
        <f aca="false">'Cuadro 3'!L22</f>
        <v>-265792302.895424</v>
      </c>
      <c r="D22" s="8" t="n">
        <f aca="false">'Cuadro 4'!M22</f>
        <v>-126310913.032698</v>
      </c>
      <c r="E22" s="8" t="n">
        <f aca="false">'Cuadro 5'!J22</f>
        <v>-12087853.5262177</v>
      </c>
      <c r="F22" s="8" t="n">
        <f aca="false">B22+G22</f>
        <v>37452475535.8091</v>
      </c>
      <c r="G22" s="9" t="n">
        <f aca="false">C22+D22+E22</f>
        <v>-404191069.454339</v>
      </c>
      <c r="H22" s="10" t="n">
        <f aca="false">G22/B22</f>
        <v>-0.0106768795485586</v>
      </c>
      <c r="X22" s="6" t="str">
        <f aca="false">INDEX($A$7:$A$38,MATCH(Y22,$H$7:$H$38,0))</f>
        <v>Durango</v>
      </c>
      <c r="Y22" s="11" t="n">
        <f aca="false">SMALL($H$7:$H$38,16)</f>
        <v>-0.00133902603266719</v>
      </c>
      <c r="Z22" s="12" t="n">
        <f aca="false">IF(Y22&gt;=0,Y22*100,0)</f>
        <v>0</v>
      </c>
      <c r="AA22" s="12" t="n">
        <f aca="false">IF(Y22&lt;0,Y22*100,0)</f>
        <v>-0.133902603266719</v>
      </c>
    </row>
    <row r="23" customFormat="false" ht="15" hidden="false" customHeight="false" outlineLevel="0" collapsed="false">
      <c r="A23" s="6" t="s">
        <v>31</v>
      </c>
      <c r="B23" s="7" t="n">
        <f aca="false">'Cuadro 7'!F23</f>
        <v>15907078866.1716</v>
      </c>
      <c r="C23" s="8" t="n">
        <f aca="false">'Cuadro 3'!L23</f>
        <v>42546314.4296465</v>
      </c>
      <c r="D23" s="8" t="n">
        <f aca="false">'Cuadro 4'!M23</f>
        <v>21062998.0514569</v>
      </c>
      <c r="E23" s="8" t="n">
        <f aca="false">'Cuadro 5'!J23</f>
        <v>2123401.97534615</v>
      </c>
      <c r="F23" s="8" t="n">
        <f aca="false">B23+G23</f>
        <v>15972811580.628</v>
      </c>
      <c r="G23" s="9" t="n">
        <f aca="false">C23+D23+E23</f>
        <v>65732714.4564496</v>
      </c>
      <c r="H23" s="10" t="n">
        <f aca="false">G23/B23</f>
        <v>0.00413229323934758</v>
      </c>
      <c r="X23" s="6" t="str">
        <f aca="false">INDEX($A$7:$A$38,MATCH(Y23,$H$7:$H$38,0))</f>
        <v>San Luis Potosí</v>
      </c>
      <c r="Y23" s="11" t="n">
        <f aca="false">SMALL($H$7:$H$38,17)</f>
        <v>0.000311462692854202</v>
      </c>
      <c r="Z23" s="12" t="n">
        <f aca="false">IF(Y23&gt;=0,Y23*100,0)</f>
        <v>0.0311462692854202</v>
      </c>
      <c r="AA23" s="12" t="n">
        <f aca="false">IF(Y23&lt;0,Y23*100,0)</f>
        <v>0</v>
      </c>
    </row>
    <row r="24" customFormat="false" ht="15" hidden="false" customHeight="false" outlineLevel="0" collapsed="false">
      <c r="A24" s="6" t="s">
        <v>32</v>
      </c>
      <c r="B24" s="7" t="n">
        <f aca="false">'Cuadro 7'!F24</f>
        <v>10141824882.3926</v>
      </c>
      <c r="C24" s="8" t="n">
        <f aca="false">'Cuadro 3'!L24</f>
        <v>205295313.455004</v>
      </c>
      <c r="D24" s="8" t="n">
        <f aca="false">'Cuadro 4'!M24</f>
        <v>106386007.548353</v>
      </c>
      <c r="E24" s="8" t="n">
        <f aca="false">'Cuadro 5'!J24</f>
        <v>5659284.20775566</v>
      </c>
      <c r="F24" s="8" t="n">
        <f aca="false">B24+G24</f>
        <v>10459165487.6037</v>
      </c>
      <c r="G24" s="9" t="n">
        <f aca="false">C24+D24+E24</f>
        <v>317340605.211112</v>
      </c>
      <c r="H24" s="10" t="n">
        <f aca="false">G24/B24</f>
        <v>0.0312902864022087</v>
      </c>
      <c r="X24" s="6" t="str">
        <f aca="false">INDEX($A$7:$A$38,MATCH(Y24,$H$7:$H$38,0))</f>
        <v>Sonora</v>
      </c>
      <c r="Y24" s="11" t="n">
        <f aca="false">SMALL($H$7:$H$38,18)</f>
        <v>0.00120584011377581</v>
      </c>
      <c r="Z24" s="12" t="n">
        <f aca="false">IF(Y24&gt;=0,Y24*100,0)</f>
        <v>0.120584011377581</v>
      </c>
      <c r="AA24" s="12" t="n">
        <f aca="false">IF(Y24&lt;0,Y24*100,0)</f>
        <v>0</v>
      </c>
    </row>
    <row r="25" customFormat="false" ht="15" hidden="false" customHeight="false" outlineLevel="0" collapsed="false">
      <c r="A25" s="6" t="s">
        <v>33</v>
      </c>
      <c r="B25" s="7" t="n">
        <f aca="false">'Cuadro 7'!F25</f>
        <v>56885673578.7141</v>
      </c>
      <c r="C25" s="8" t="n">
        <f aca="false">'Cuadro 3'!L25</f>
        <v>545955249.62685</v>
      </c>
      <c r="D25" s="8" t="n">
        <f aca="false">'Cuadro 4'!M25</f>
        <v>262873217.508364</v>
      </c>
      <c r="E25" s="8" t="n">
        <f aca="false">'Cuadro 5'!J25</f>
        <v>165728390.981206</v>
      </c>
      <c r="F25" s="8" t="n">
        <f aca="false">B25+G25</f>
        <v>57860230436.8305</v>
      </c>
      <c r="G25" s="9" t="n">
        <f aca="false">C25+D25+E25</f>
        <v>974556858.11642</v>
      </c>
      <c r="H25" s="10" t="n">
        <f aca="false">G25/B25</f>
        <v>0.0171318505487661</v>
      </c>
      <c r="X25" s="6" t="str">
        <f aca="false">INDEX($A$7:$A$38,MATCH(Y25,$H$7:$H$38,0))</f>
        <v>Morelos</v>
      </c>
      <c r="Y25" s="11" t="n">
        <f aca="false">SMALL($H$7:$H$38,19)</f>
        <v>0.00413229323934758</v>
      </c>
      <c r="Z25" s="12" t="n">
        <f aca="false">IF(Y25&gt;=0,Y25*100,0)</f>
        <v>0.413229323934758</v>
      </c>
      <c r="AA25" s="12" t="n">
        <f aca="false">IF(Y25&lt;0,Y25*100,0)</f>
        <v>0</v>
      </c>
    </row>
    <row r="26" customFormat="false" ht="15" hidden="false" customHeight="false" outlineLevel="0" collapsed="false">
      <c r="A26" s="6" t="s">
        <v>34</v>
      </c>
      <c r="B26" s="7" t="n">
        <f aca="false">'Cuadro 7'!F26</f>
        <v>33500006795.9808</v>
      </c>
      <c r="C26" s="8" t="n">
        <f aca="false">'Cuadro 3'!L26</f>
        <v>-283594548.060055</v>
      </c>
      <c r="D26" s="8" t="n">
        <f aca="false">'Cuadro 4'!M26</f>
        <v>-140629335.849558</v>
      </c>
      <c r="E26" s="8" t="n">
        <f aca="false">'Cuadro 5'!J26</f>
        <v>-7351930.65414357</v>
      </c>
      <c r="F26" s="8" t="n">
        <f aca="false">B26+G26</f>
        <v>33068430981.4171</v>
      </c>
      <c r="G26" s="9" t="n">
        <f aca="false">C26+D26+E26</f>
        <v>-431575814.563756</v>
      </c>
      <c r="H26" s="10" t="n">
        <f aca="false">G26/B26</f>
        <v>-0.0128828575227494</v>
      </c>
      <c r="X26" s="6" t="str">
        <f aca="false">INDEX($A$7:$A$38,MATCH(Y26,$H$7:$H$38,0))</f>
        <v>Tamaulipas</v>
      </c>
      <c r="Y26" s="11" t="n">
        <f aca="false">SMALL($H$7:$H$38,20)</f>
        <v>0.0100291535971527</v>
      </c>
      <c r="Z26" s="12" t="n">
        <f aca="false">IF(Y26&gt;=0,Y26*100,0)</f>
        <v>1.00291535971527</v>
      </c>
      <c r="AA26" s="12" t="n">
        <f aca="false">IF(Y26&lt;0,Y26*100,0)</f>
        <v>0</v>
      </c>
    </row>
    <row r="27" customFormat="false" ht="15" hidden="false" customHeight="false" outlineLevel="0" collapsed="false">
      <c r="A27" s="6" t="s">
        <v>35</v>
      </c>
      <c r="B27" s="7" t="n">
        <f aca="false">'Cuadro 7'!F27</f>
        <v>52991525849.0327</v>
      </c>
      <c r="C27" s="8" t="n">
        <f aca="false">'Cuadro 3'!L27</f>
        <v>886186516.387081</v>
      </c>
      <c r="D27" s="8" t="n">
        <f aca="false">'Cuadro 4'!M27</f>
        <v>422925599.682667</v>
      </c>
      <c r="E27" s="8" t="n">
        <f aca="false">'Cuadro 5'!J27</f>
        <v>68806857.2282767</v>
      </c>
      <c r="F27" s="8" t="n">
        <f aca="false">B27+G27</f>
        <v>54369444822.3307</v>
      </c>
      <c r="G27" s="9" t="n">
        <f aca="false">C27+D27+E27</f>
        <v>1377918973.29802</v>
      </c>
      <c r="H27" s="10" t="n">
        <f aca="false">G27/B27</f>
        <v>0.0260026287452747</v>
      </c>
      <c r="X27" s="6" t="str">
        <f aca="false">INDEX($A$7:$A$38,MATCH(Y27,$H$7:$H$38,0))</f>
        <v>Guanajuato</v>
      </c>
      <c r="Y27" s="11" t="n">
        <f aca="false">SMALL($H$7:$H$38,21)</f>
        <v>0.0121315697201828</v>
      </c>
      <c r="Z27" s="12" t="n">
        <f aca="false">IF(Y27&gt;=0,Y27*100,0)</f>
        <v>1.21315697201828</v>
      </c>
      <c r="AA27" s="12" t="n">
        <f aca="false">IF(Y27&lt;0,Y27*100,0)</f>
        <v>0</v>
      </c>
    </row>
    <row r="28" customFormat="false" ht="15" hidden="false" customHeight="false" outlineLevel="0" collapsed="false">
      <c r="A28" s="6" t="s">
        <v>36</v>
      </c>
      <c r="B28" s="7" t="n">
        <f aca="false">'Cuadro 7'!F28</f>
        <v>20511490074.2469</v>
      </c>
      <c r="C28" s="8" t="n">
        <f aca="false">'Cuadro 3'!L28</f>
        <v>298956499.428953</v>
      </c>
      <c r="D28" s="8" t="n">
        <f aca="false">'Cuadro 4'!M28</f>
        <v>146881566.790363</v>
      </c>
      <c r="E28" s="8" t="n">
        <f aca="false">'Cuadro 5'!J28</f>
        <v>33433674.4015905</v>
      </c>
      <c r="F28" s="8" t="n">
        <f aca="false">B28+G28</f>
        <v>20990761814.8678</v>
      </c>
      <c r="G28" s="9" t="n">
        <f aca="false">C28+D28+E28</f>
        <v>479271740.620907</v>
      </c>
      <c r="H28" s="10" t="n">
        <f aca="false">G28/B28</f>
        <v>0.0233660128487035</v>
      </c>
      <c r="X28" s="6" t="str">
        <f aca="false">INDEX($A$7:$A$38,MATCH(Y28,$H$7:$H$38,0))</f>
        <v>Aguascalientes</v>
      </c>
      <c r="Y28" s="11" t="n">
        <f aca="false">SMALL($H$7:$H$38,22)</f>
        <v>0.01700608223605</v>
      </c>
      <c r="Z28" s="12" t="n">
        <f aca="false">IF(Y28&gt;=0,Y28*100,0)</f>
        <v>1.700608223605</v>
      </c>
      <c r="AA28" s="12" t="n">
        <f aca="false">IF(Y28&lt;0,Y28*100,0)</f>
        <v>0</v>
      </c>
    </row>
    <row r="29" customFormat="false" ht="15" hidden="false" customHeight="false" outlineLevel="0" collapsed="false">
      <c r="A29" s="6" t="s">
        <v>37</v>
      </c>
      <c r="B29" s="7" t="n">
        <f aca="false">'Cuadro 7'!F29</f>
        <v>15501734181.414</v>
      </c>
      <c r="C29" s="8" t="n">
        <f aca="false">'Cuadro 3'!L29</f>
        <v>750788428.405116</v>
      </c>
      <c r="D29" s="8" t="n">
        <f aca="false">'Cuadro 4'!M29</f>
        <v>408440699.150761</v>
      </c>
      <c r="E29" s="8" t="n">
        <f aca="false">'Cuadro 5'!J29</f>
        <v>93059432.1957719</v>
      </c>
      <c r="F29" s="8" t="n">
        <f aca="false">B29+G29</f>
        <v>16754022741.1657</v>
      </c>
      <c r="G29" s="9" t="n">
        <f aca="false">C29+D29+E29</f>
        <v>1252288559.75165</v>
      </c>
      <c r="H29" s="10" t="n">
        <f aca="false">G29/B29</f>
        <v>0.0807837720023023</v>
      </c>
      <c r="X29" s="6" t="str">
        <f aca="false">INDEX($A$7:$A$38,MATCH(Y29,$H$7:$H$38,0))</f>
        <v>Nuevo León</v>
      </c>
      <c r="Y29" s="11" t="n">
        <f aca="false">SMALL($H$7:$H$38,23)</f>
        <v>0.0171318505487661</v>
      </c>
      <c r="Z29" s="12" t="n">
        <f aca="false">IF(Y29&gt;=0,Y29*100,0)</f>
        <v>1.71318505487661</v>
      </c>
      <c r="AA29" s="12" t="n">
        <f aca="false">IF(Y29&lt;0,Y29*100,0)</f>
        <v>0</v>
      </c>
    </row>
    <row r="30" customFormat="false" ht="15" hidden="false" customHeight="false" outlineLevel="0" collapsed="false">
      <c r="A30" s="6" t="s">
        <v>38</v>
      </c>
      <c r="B30" s="7" t="n">
        <f aca="false">'Cuadro 7'!F30</f>
        <v>23065042363.0957</v>
      </c>
      <c r="C30" s="8" t="n">
        <f aca="false">'Cuadro 3'!L30</f>
        <v>3575503.56954384</v>
      </c>
      <c r="D30" s="8" t="n">
        <f aca="false">'Cuadro 4'!M30</f>
        <v>1390395.95559311</v>
      </c>
      <c r="E30" s="8" t="n">
        <f aca="false">'Cuadro 5'!J30</f>
        <v>2218000.68006909</v>
      </c>
      <c r="F30" s="8" t="n">
        <f aca="false">B30+G30</f>
        <v>23072226263.3009</v>
      </c>
      <c r="G30" s="9" t="n">
        <f aca="false">C30+D30+E30</f>
        <v>7183900.20520604</v>
      </c>
      <c r="H30" s="10" t="n">
        <f aca="false">G30/B30</f>
        <v>0.000311462692854202</v>
      </c>
      <c r="X30" s="6" t="str">
        <f aca="false">INDEX($A$7:$A$38,MATCH(Y30,$H$7:$H$38,0))</f>
        <v>Querétaro</v>
      </c>
      <c r="Y30" s="11" t="n">
        <f aca="false">SMALL($H$7:$H$38,24)</f>
        <v>0.0233660128487035</v>
      </c>
      <c r="Z30" s="12" t="n">
        <f aca="false">IF(Y30&gt;=0,Y30*100,0)</f>
        <v>2.33660128487035</v>
      </c>
      <c r="AA30" s="12" t="n">
        <f aca="false">IF(Y30&lt;0,Y30*100,0)</f>
        <v>0</v>
      </c>
    </row>
    <row r="31" customFormat="false" ht="15" hidden="false" customHeight="false" outlineLevel="0" collapsed="false">
      <c r="A31" s="6" t="s">
        <v>39</v>
      </c>
      <c r="B31" s="7" t="n">
        <f aca="false">'Cuadro 7'!F31</f>
        <v>25669044471.632</v>
      </c>
      <c r="C31" s="8" t="n">
        <f aca="false">'Cuadro 3'!L31</f>
        <v>-176525954.738495</v>
      </c>
      <c r="D31" s="8" t="n">
        <f aca="false">'Cuadro 4'!M31</f>
        <v>-85860339.9207897</v>
      </c>
      <c r="E31" s="8" t="n">
        <f aca="false">'Cuadro 5'!J31</f>
        <v>-10994463.0727097</v>
      </c>
      <c r="F31" s="8" t="n">
        <f aca="false">B31+G31</f>
        <v>25395663713.9</v>
      </c>
      <c r="G31" s="9" t="n">
        <f aca="false">C31+D31+E31</f>
        <v>-273380757.731994</v>
      </c>
      <c r="H31" s="10" t="n">
        <f aca="false">G31/B31</f>
        <v>-0.0106502116989247</v>
      </c>
      <c r="X31" s="6" t="str">
        <f aca="false">INDEX($A$7:$A$38,MATCH(Y31,$H$7:$H$38,0))</f>
        <v>Puebla</v>
      </c>
      <c r="Y31" s="11" t="n">
        <f aca="false">SMALL($H$7:$H$38,25)</f>
        <v>0.0260026287452747</v>
      </c>
      <c r="Z31" s="12" t="n">
        <f aca="false">IF(Y31&gt;=0,Y31*100,0)</f>
        <v>2.60026287452747</v>
      </c>
      <c r="AA31" s="12" t="n">
        <f aca="false">IF(Y31&lt;0,Y31*100,0)</f>
        <v>0</v>
      </c>
    </row>
    <row r="32" customFormat="false" ht="15" hidden="false" customHeight="false" outlineLevel="0" collapsed="false">
      <c r="A32" s="6" t="s">
        <v>40</v>
      </c>
      <c r="B32" s="7" t="n">
        <f aca="false">'Cuadro 7'!F32</f>
        <v>26073391716.3984</v>
      </c>
      <c r="C32" s="8" t="n">
        <f aca="false">'Cuadro 3'!L32</f>
        <v>17290538.7500191</v>
      </c>
      <c r="D32" s="8" t="n">
        <f aca="false">'Cuadro 4'!M32</f>
        <v>8465150.77745819</v>
      </c>
      <c r="E32" s="8" t="n">
        <f aca="false">'Cuadro 5'!J32</f>
        <v>5684652.10634589</v>
      </c>
      <c r="F32" s="8" t="n">
        <f aca="false">B32+G32</f>
        <v>26104832058.0322</v>
      </c>
      <c r="G32" s="9" t="n">
        <f aca="false">C32+D32+E32</f>
        <v>31440341.6338232</v>
      </c>
      <c r="H32" s="10" t="n">
        <f aca="false">G32/B32</f>
        <v>0.00120584011377581</v>
      </c>
      <c r="X32" s="6" t="str">
        <f aca="false">INDEX($A$7:$A$38,MATCH(Y32,$H$7:$H$38,0))</f>
        <v>Campeche</v>
      </c>
      <c r="Y32" s="11" t="n">
        <f aca="false">SMALL($H$7:$H$38,26)</f>
        <v>0.0289145433125536</v>
      </c>
      <c r="Z32" s="12" t="n">
        <f aca="false">IF(Y32&gt;=0,Y32*100,0)</f>
        <v>2.89145433125536</v>
      </c>
      <c r="AA32" s="12" t="n">
        <f aca="false">IF(Y32&lt;0,Y32*100,0)</f>
        <v>0</v>
      </c>
    </row>
    <row r="33" customFormat="false" ht="15" hidden="false" customHeight="false" outlineLevel="0" collapsed="false">
      <c r="A33" s="6" t="s">
        <v>41</v>
      </c>
      <c r="B33" s="7" t="n">
        <f aca="false">'Cuadro 7'!F33</f>
        <v>25422741554.9637</v>
      </c>
      <c r="C33" s="8" t="n">
        <f aca="false">'Cuadro 3'!L33</f>
        <v>-104685826.399324</v>
      </c>
      <c r="D33" s="8" t="n">
        <f aca="false">'Cuadro 4'!M33</f>
        <v>-60417503.825923</v>
      </c>
      <c r="E33" s="8" t="n">
        <f aca="false">'Cuadro 5'!J33</f>
        <v>-2486713.95075226</v>
      </c>
      <c r="F33" s="8" t="n">
        <f aca="false">B33+G33</f>
        <v>25255151510.7877</v>
      </c>
      <c r="G33" s="9" t="n">
        <f aca="false">C33+D33+E33</f>
        <v>-167590044.176</v>
      </c>
      <c r="H33" s="10" t="n">
        <f aca="false">G33/B33</f>
        <v>-0.00659213105768597</v>
      </c>
      <c r="X33" s="6" t="str">
        <f aca="false">INDEX($A$7:$A$38,MATCH(Y33,$H$7:$H$38,0))</f>
        <v>Colima</v>
      </c>
      <c r="Y33" s="11" t="n">
        <f aca="false">SMALL($H$7:$H$38,27)</f>
        <v>0.0309660443965347</v>
      </c>
      <c r="Z33" s="12" t="n">
        <f aca="false">IF(Y33&gt;=0,Y33*100,0)</f>
        <v>3.09660443965347</v>
      </c>
      <c r="AA33" s="12" t="n">
        <f aca="false">IF(Y33&lt;0,Y33*100,0)</f>
        <v>0</v>
      </c>
    </row>
    <row r="34" customFormat="false" ht="15" hidden="false" customHeight="false" outlineLevel="0" collapsed="false">
      <c r="A34" s="6" t="s">
        <v>42</v>
      </c>
      <c r="B34" s="7" t="n">
        <f aca="false">'Cuadro 7'!F34</f>
        <v>30423354478.1407</v>
      </c>
      <c r="C34" s="8" t="n">
        <f aca="false">'Cuadro 3'!L34</f>
        <v>190802562.762474</v>
      </c>
      <c r="D34" s="8" t="n">
        <f aca="false">'Cuadro 4'!M34</f>
        <v>92722423.4847193</v>
      </c>
      <c r="E34" s="8" t="n">
        <f aca="false">'Cuadro 5'!J34</f>
        <v>21595508.7547014</v>
      </c>
      <c r="F34" s="8" t="n">
        <f aca="false">B34+G34</f>
        <v>30728474973.1426</v>
      </c>
      <c r="G34" s="9" t="n">
        <f aca="false">C34+D34+E34</f>
        <v>305120495.001895</v>
      </c>
      <c r="H34" s="10" t="n">
        <f aca="false">G34/B34</f>
        <v>0.0100291535971527</v>
      </c>
      <c r="X34" s="6" t="str">
        <f aca="false">INDEX($A$7:$A$38,MATCH(Y34,$H$7:$H$38,0))</f>
        <v>Nayarit</v>
      </c>
      <c r="Y34" s="11" t="n">
        <f aca="false">SMALL($H$7:$H$38,28)</f>
        <v>0.0312902864022087</v>
      </c>
      <c r="Z34" s="12" t="n">
        <f aca="false">IF(Y34&gt;=0,Y34*100,0)</f>
        <v>3.12902864022087</v>
      </c>
      <c r="AA34" s="12" t="n">
        <f aca="false">IF(Y34&lt;0,Y34*100,0)</f>
        <v>0</v>
      </c>
    </row>
    <row r="35" customFormat="false" ht="15" hidden="false" customHeight="false" outlineLevel="0" collapsed="false">
      <c r="A35" s="6" t="s">
        <v>43</v>
      </c>
      <c r="B35" s="7" t="n">
        <f aca="false">'Cuadro 7'!F35</f>
        <v>11699868456.1898</v>
      </c>
      <c r="C35" s="8" t="n">
        <f aca="false">'Cuadro 3'!L35</f>
        <v>-235554144.366128</v>
      </c>
      <c r="D35" s="8" t="n">
        <f aca="false">'Cuadro 4'!M35</f>
        <v>-117780229.244376</v>
      </c>
      <c r="E35" s="8" t="n">
        <f aca="false">'Cuadro 5'!J35</f>
        <v>-2849438.19267833</v>
      </c>
      <c r="F35" s="8" t="n">
        <f aca="false">B35+G35</f>
        <v>11343684644.3866</v>
      </c>
      <c r="G35" s="9" t="n">
        <f aca="false">C35+D35+E35</f>
        <v>-356183811.803183</v>
      </c>
      <c r="H35" s="10" t="n">
        <f aca="false">G35/B35</f>
        <v>-0.0304434031149081</v>
      </c>
      <c r="X35" s="6" t="str">
        <f aca="false">INDEX($A$7:$A$38,MATCH(Y35,$H$7:$H$38,0))</f>
        <v>Yucatán</v>
      </c>
      <c r="Y35" s="11" t="n">
        <f aca="false">SMALL($H$7:$H$38,29)</f>
        <v>0.0332723133293011</v>
      </c>
      <c r="Z35" s="12" t="n">
        <f aca="false">IF(Y35&gt;=0,Y35*100,0)</f>
        <v>3.32723133293011</v>
      </c>
      <c r="AA35" s="12" t="n">
        <f aca="false">IF(Y35&lt;0,Y35*100,0)</f>
        <v>0</v>
      </c>
    </row>
    <row r="36" customFormat="false" ht="15" hidden="false" customHeight="false" outlineLevel="0" collapsed="false">
      <c r="A36" s="6" t="s">
        <v>44</v>
      </c>
      <c r="B36" s="7" t="n">
        <f aca="false">'Cuadro 7'!F36</f>
        <v>67704099901.2483</v>
      </c>
      <c r="C36" s="8" t="n">
        <f aca="false">'Cuadro 3'!L36</f>
        <v>-830858094.71368</v>
      </c>
      <c r="D36" s="8" t="n">
        <f aca="false">'Cuadro 4'!M36</f>
        <v>-394733370.067995</v>
      </c>
      <c r="E36" s="8" t="n">
        <f aca="false">'Cuadro 5'!J36</f>
        <v>-64358597.6163611</v>
      </c>
      <c r="F36" s="8" t="n">
        <f aca="false">B36+G36</f>
        <v>66414149838.8503</v>
      </c>
      <c r="G36" s="9" t="n">
        <f aca="false">C36+D36+E36</f>
        <v>-1289950062.39804</v>
      </c>
      <c r="H36" s="10" t="n">
        <f aca="false">G36/B36</f>
        <v>-0.0190527614173961</v>
      </c>
      <c r="X36" s="6" t="str">
        <f aca="false">INDEX($A$7:$A$38,MATCH(Y36,$H$7:$H$38,0))</f>
        <v>Baja California</v>
      </c>
      <c r="Y36" s="11" t="n">
        <f aca="false">SMALL($H$7:$H$38,30)</f>
        <v>0.0466551421804946</v>
      </c>
      <c r="Z36" s="12" t="n">
        <f aca="false">IF(Y36&gt;=0,Y36*100,0)</f>
        <v>4.66551421804946</v>
      </c>
      <c r="AA36" s="12" t="n">
        <f aca="false">IF(Y36&lt;0,Y36*100,0)</f>
        <v>0</v>
      </c>
    </row>
    <row r="37" customFormat="false" ht="15" hidden="false" customHeight="false" outlineLevel="0" collapsed="false">
      <c r="A37" s="6" t="s">
        <v>45</v>
      </c>
      <c r="B37" s="7" t="n">
        <f aca="false">'Cuadro 7'!F37</f>
        <v>19441213235.7641</v>
      </c>
      <c r="C37" s="8" t="n">
        <f aca="false">'Cuadro 3'!L37</f>
        <v>420208291.586365</v>
      </c>
      <c r="D37" s="8" t="n">
        <f aca="false">'Cuadro 4'!M37</f>
        <v>203097416.296899</v>
      </c>
      <c r="E37" s="8" t="n">
        <f aca="false">'Cuadro 5'!J37</f>
        <v>23548430.3988348</v>
      </c>
      <c r="F37" s="8" t="n">
        <f aca="false">B37+G37</f>
        <v>20088067374.0462</v>
      </c>
      <c r="G37" s="9" t="n">
        <f aca="false">C37+D37+E37</f>
        <v>646854138.282098</v>
      </c>
      <c r="H37" s="10" t="n">
        <f aca="false">G37/B37</f>
        <v>0.0332723133293011</v>
      </c>
      <c r="X37" s="6" t="str">
        <f aca="false">INDEX($A$7:$A$38,MATCH(Y37,$H$7:$H$38,0))</f>
        <v>Baja California Sur</v>
      </c>
      <c r="Y37" s="11" t="n">
        <f aca="false">SMALL($H$7:$H$38,31)</f>
        <v>0.0666880185338612</v>
      </c>
      <c r="Z37" s="12" t="n">
        <f aca="false">IF(Y37&gt;=0,Y37*100,0)</f>
        <v>6.66880185338612</v>
      </c>
      <c r="AA37" s="12" t="n">
        <f aca="false">IF(Y37&lt;0,Y37*100,0)</f>
        <v>0</v>
      </c>
    </row>
    <row r="38" customFormat="false" ht="15" hidden="false" customHeight="false" outlineLevel="0" collapsed="false">
      <c r="A38" s="6" t="s">
        <v>46</v>
      </c>
      <c r="B38" s="7" t="n">
        <f aca="false">'Cuadro 7'!F38</f>
        <v>14142889716.5858</v>
      </c>
      <c r="C38" s="8" t="n">
        <f aca="false">'Cuadro 3'!L38</f>
        <v>-47911022.2400389</v>
      </c>
      <c r="D38" s="8" t="n">
        <f aca="false">'Cuadro 4'!M38</f>
        <v>-22340197.6442728</v>
      </c>
      <c r="E38" s="8" t="n">
        <f aca="false">'Cuadro 5'!J38</f>
        <v>-717141.583422691</v>
      </c>
      <c r="F38" s="8" t="n">
        <f aca="false">B38+G38</f>
        <v>14071921355.1181</v>
      </c>
      <c r="G38" s="9" t="n">
        <f aca="false">C38+D38+E38</f>
        <v>-70968361.4677344</v>
      </c>
      <c r="H38" s="10" t="n">
        <f aca="false">G38/B38</f>
        <v>-0.00501795339494922</v>
      </c>
      <c r="X38" s="6" t="str">
        <f aca="false">INDEX($A$7:$A$38,MATCH(Y38,$H$7:$H$38,0))</f>
        <v>Quintana Roo</v>
      </c>
      <c r="Y38" s="11" t="n">
        <f aca="false">SMALL($H$7:$H$38,32)</f>
        <v>0.0807837720023023</v>
      </c>
      <c r="Z38" s="12" t="n">
        <f aca="false">IF(Y38&gt;=0,Y38*100,0)</f>
        <v>8.07837720023023</v>
      </c>
      <c r="AA38" s="12" t="n">
        <f aca="false">IF(Y38&lt;0,Y38*100,0)</f>
        <v>0</v>
      </c>
    </row>
    <row r="39" customFormat="false" ht="15" hidden="false" customHeight="false" outlineLevel="0" collapsed="false">
      <c r="A39" s="13" t="s">
        <v>47</v>
      </c>
      <c r="B39" s="14" t="n">
        <f aca="false">SUM(B7:B38)</f>
        <v>1144550490759.29</v>
      </c>
      <c r="C39" s="14" t="n">
        <f aca="false">SUM(C7:C38)</f>
        <v>0.000115394592285156</v>
      </c>
      <c r="D39" s="14" t="n">
        <f aca="false">SUM(D7:D38)</f>
        <v>3.86238098144531E-005</v>
      </c>
      <c r="E39" s="14" t="n">
        <f aca="false">SUM(E7:E38)</f>
        <v>3.30060720443726E-006</v>
      </c>
      <c r="F39" s="14" t="n">
        <f aca="false">SUM(F7:F38)</f>
        <v>1144550490759.29</v>
      </c>
      <c r="G39" s="14" t="n">
        <f aca="false">SUM(G7:G38)</f>
        <v>0.000157207250595093</v>
      </c>
      <c r="H39" s="15" t="n">
        <f aca="false">G39/B39</f>
        <v>1.37352831407902E-016</v>
      </c>
    </row>
    <row r="41" customFormat="false" ht="15" hidden="false" customHeight="false" outlineLevel="0" collapsed="false">
      <c r="A41" s="3" t="s">
        <v>48</v>
      </c>
    </row>
    <row r="42" customFormat="false" ht="15" hidden="false" customHeight="false" outlineLevel="0" collapsed="false">
      <c r="A42" s="2" t="s">
        <v>49</v>
      </c>
    </row>
    <row r="43" customFormat="false" ht="15" hidden="false" customHeight="false" outlineLevel="0" collapsed="false">
      <c r="A43" s="2" t="s">
        <v>50</v>
      </c>
    </row>
    <row r="44" customFormat="false" ht="15" hidden="false" customHeight="false" outlineLevel="0" collapsed="false">
      <c r="A44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1" t="s">
        <v>52</v>
      </c>
    </row>
    <row r="6" customFormat="false" ht="61.5" hidden="false" customHeight="true" outlineLevel="0" collapsed="false">
      <c r="A6" s="5" t="s">
        <v>4</v>
      </c>
      <c r="B6" s="5" t="s">
        <v>53</v>
      </c>
      <c r="C6" s="5" t="s">
        <v>54</v>
      </c>
      <c r="D6" s="5" t="s">
        <v>55</v>
      </c>
      <c r="E6" s="16" t="s">
        <v>56</v>
      </c>
      <c r="F6" s="5" t="s">
        <v>57</v>
      </c>
      <c r="G6" s="5" t="s">
        <v>58</v>
      </c>
      <c r="H6" s="17" t="s">
        <v>59</v>
      </c>
    </row>
    <row r="7" customFormat="false" ht="15" hidden="false" customHeight="false" outlineLevel="0" collapsed="false">
      <c r="A7" s="6" t="s">
        <v>15</v>
      </c>
      <c r="B7" s="18" t="n">
        <v>1503564</v>
      </c>
      <c r="C7" s="18" t="n">
        <v>1534416</v>
      </c>
      <c r="D7" s="18" t="n">
        <v>4758</v>
      </c>
      <c r="E7" s="8" t="n">
        <f aca="false">C7+D7</f>
        <v>1539174</v>
      </c>
      <c r="F7" s="8" t="n">
        <f aca="false">E7-B7</f>
        <v>35610</v>
      </c>
      <c r="G7" s="11" t="n">
        <f aca="false">E7/B7-1</f>
        <v>0.0236837274635466</v>
      </c>
      <c r="H7" s="18" t="n">
        <v>1531396</v>
      </c>
    </row>
    <row r="8" customFormat="false" ht="15" hidden="false" customHeight="false" outlineLevel="0" collapsed="false">
      <c r="A8" s="6" t="s">
        <v>16</v>
      </c>
      <c r="B8" s="18" t="n">
        <v>3778283</v>
      </c>
      <c r="C8" s="18" t="n">
        <v>3978593</v>
      </c>
      <c r="D8" s="18" t="n">
        <v>31085</v>
      </c>
      <c r="E8" s="8" t="n">
        <f aca="false">C8+D8</f>
        <v>4009678</v>
      </c>
      <c r="F8" s="8" t="n">
        <f aca="false">E8-B8</f>
        <v>231395</v>
      </c>
      <c r="G8" s="11" t="n">
        <f aca="false">E8/B8-1</f>
        <v>0.0612434272393041</v>
      </c>
      <c r="H8" s="18" t="n">
        <v>3830329</v>
      </c>
    </row>
    <row r="9" customFormat="false" ht="15" hidden="false" customHeight="false" outlineLevel="0" collapsed="false">
      <c r="A9" s="6" t="s">
        <v>17</v>
      </c>
      <c r="B9" s="18" t="n">
        <v>881164</v>
      </c>
      <c r="C9" s="18" t="n">
        <v>955465</v>
      </c>
      <c r="D9" s="18" t="n">
        <v>6049</v>
      </c>
      <c r="E9" s="8" t="n">
        <f aca="false">C9+D9</f>
        <v>961514</v>
      </c>
      <c r="F9" s="8" t="n">
        <f aca="false">E9-B9</f>
        <v>80350</v>
      </c>
      <c r="G9" s="11" t="n">
        <f aca="false">E9/B9-1</f>
        <v>0.0911862037032833</v>
      </c>
      <c r="H9" s="18" t="n">
        <v>928591</v>
      </c>
    </row>
    <row r="10" customFormat="false" ht="15" hidden="false" customHeight="false" outlineLevel="0" collapsed="false">
      <c r="A10" s="6" t="s">
        <v>18</v>
      </c>
      <c r="B10" s="18" t="n">
        <v>925978</v>
      </c>
      <c r="C10" s="18" t="n">
        <v>967098</v>
      </c>
      <c r="D10" s="18" t="n">
        <v>1575</v>
      </c>
      <c r="E10" s="8" t="n">
        <f aca="false">C10+D10</f>
        <v>968673</v>
      </c>
      <c r="F10" s="8" t="n">
        <f aca="false">E10-B10</f>
        <v>42695</v>
      </c>
      <c r="G10" s="11" t="n">
        <f aca="false">E10/B10-1</f>
        <v>0.0461080068856927</v>
      </c>
      <c r="H10" s="18" t="n">
        <v>935371</v>
      </c>
    </row>
    <row r="11" customFormat="false" ht="15" hidden="false" customHeight="false" outlineLevel="0" collapsed="false">
      <c r="A11" s="6" t="s">
        <v>19</v>
      </c>
      <c r="B11" s="18" t="n">
        <v>3452989</v>
      </c>
      <c r="C11" s="18" t="n">
        <v>3404559</v>
      </c>
      <c r="D11" s="18" t="n">
        <v>10569</v>
      </c>
      <c r="E11" s="8" t="n">
        <f aca="false">C11+D11</f>
        <v>3415128</v>
      </c>
      <c r="F11" s="8" t="n">
        <f aca="false">E11-B11</f>
        <v>-37861</v>
      </c>
      <c r="G11" s="11" t="n">
        <f aca="false">E11/B11-1</f>
        <v>-0.0109647033338363</v>
      </c>
      <c r="H11" s="18" t="n">
        <v>3590747</v>
      </c>
    </row>
    <row r="12" customFormat="false" ht="15" hidden="false" customHeight="false" outlineLevel="0" collapsed="false">
      <c r="A12" s="6" t="s">
        <v>20</v>
      </c>
      <c r="B12" s="18" t="n">
        <v>728776</v>
      </c>
      <c r="C12" s="18" t="n">
        <v>758987</v>
      </c>
      <c r="D12" s="18" t="n">
        <v>3225</v>
      </c>
      <c r="E12" s="8" t="n">
        <f aca="false">C12+D12</f>
        <v>762212</v>
      </c>
      <c r="F12" s="8" t="n">
        <f aca="false">E12-B12</f>
        <v>33436</v>
      </c>
      <c r="G12" s="11" t="n">
        <f aca="false">E12/B12-1</f>
        <v>0.0458796667288715</v>
      </c>
      <c r="H12" s="18" t="n">
        <v>762355</v>
      </c>
    </row>
    <row r="13" customFormat="false" ht="15" hidden="false" customHeight="false" outlineLevel="0" collapsed="false">
      <c r="A13" s="6" t="s">
        <v>21</v>
      </c>
      <c r="B13" s="18" t="n">
        <v>5975155</v>
      </c>
      <c r="C13" s="18" t="n">
        <v>5840294</v>
      </c>
      <c r="D13" s="18" t="n">
        <v>20434</v>
      </c>
      <c r="E13" s="8" t="n">
        <f aca="false">C13+D13</f>
        <v>5860728</v>
      </c>
      <c r="F13" s="8" t="n">
        <f aca="false">E13-B13</f>
        <v>-114427</v>
      </c>
      <c r="G13" s="11" t="n">
        <f aca="false">E13/B13-1</f>
        <v>-0.0191504655527764</v>
      </c>
      <c r="H13" s="18" t="n">
        <v>5891372</v>
      </c>
    </row>
    <row r="14" customFormat="false" ht="15" hidden="false" customHeight="false" outlineLevel="0" collapsed="false">
      <c r="A14" s="6" t="s">
        <v>22</v>
      </c>
      <c r="B14" s="18" t="n">
        <v>3976037</v>
      </c>
      <c r="C14" s="18" t="n">
        <v>3886377</v>
      </c>
      <c r="D14" s="18" t="n">
        <v>17567</v>
      </c>
      <c r="E14" s="8" t="n">
        <f aca="false">C14+D14</f>
        <v>3903944</v>
      </c>
      <c r="F14" s="8" t="n">
        <f aca="false">E14-B14</f>
        <v>-72093</v>
      </c>
      <c r="G14" s="11" t="n">
        <f aca="false">E14/B14-1</f>
        <v>-0.0181318735212977</v>
      </c>
      <c r="H14" s="18" t="n">
        <v>4015493</v>
      </c>
    </row>
    <row r="15" customFormat="false" ht="15" hidden="false" customHeight="false" outlineLevel="0" collapsed="false">
      <c r="A15" s="6" t="s">
        <v>23</v>
      </c>
      <c r="B15" s="18" t="n">
        <v>9350964</v>
      </c>
      <c r="C15" s="18" t="n">
        <v>9165819</v>
      </c>
      <c r="D15" s="18" t="n">
        <v>50588</v>
      </c>
      <c r="E15" s="8" t="n">
        <f aca="false">C15+D15</f>
        <v>9216407</v>
      </c>
      <c r="F15" s="8" t="n">
        <f aca="false">E15-B15</f>
        <v>-134557</v>
      </c>
      <c r="G15" s="11" t="n">
        <f aca="false">E15/B15-1</f>
        <v>-0.0143896393997454</v>
      </c>
      <c r="H15" s="18" t="n">
        <v>9336468</v>
      </c>
    </row>
    <row r="16" customFormat="false" ht="15" hidden="false" customHeight="false" outlineLevel="0" collapsed="false">
      <c r="A16" s="6" t="s">
        <v>24</v>
      </c>
      <c r="B16" s="18" t="n">
        <v>1944614</v>
      </c>
      <c r="C16" s="18" t="n">
        <v>1931226</v>
      </c>
      <c r="D16" s="18" t="n">
        <v>12064</v>
      </c>
      <c r="E16" s="8" t="n">
        <f aca="false">C16+D16</f>
        <v>1943290</v>
      </c>
      <c r="F16" s="8" t="n">
        <f aca="false">E16-B16</f>
        <v>-1324</v>
      </c>
      <c r="G16" s="11" t="n">
        <f aca="false">E16/B16-1</f>
        <v>-0.000680854915165674</v>
      </c>
      <c r="H16" s="18" t="n">
        <v>1968132</v>
      </c>
    </row>
    <row r="17" customFormat="false" ht="15" hidden="false" customHeight="false" outlineLevel="0" collapsed="false">
      <c r="A17" s="6" t="s">
        <v>25</v>
      </c>
      <c r="B17" s="18" t="n">
        <v>6345807</v>
      </c>
      <c r="C17" s="18" t="n">
        <v>6423384</v>
      </c>
      <c r="D17" s="18" t="n">
        <v>23551</v>
      </c>
      <c r="E17" s="8" t="n">
        <f aca="false">C17+D17</f>
        <v>6446935</v>
      </c>
      <c r="F17" s="8" t="n">
        <f aca="false">E17-B17</f>
        <v>101128</v>
      </c>
      <c r="G17" s="11" t="n">
        <f aca="false">E17/B17-1</f>
        <v>0.0159361921974621</v>
      </c>
      <c r="H17" s="18" t="n">
        <v>6402249</v>
      </c>
    </row>
    <row r="18" customFormat="false" ht="15" hidden="false" customHeight="false" outlineLevel="0" collapsed="false">
      <c r="A18" s="6" t="s">
        <v>26</v>
      </c>
      <c r="B18" s="18" t="n">
        <v>3606579</v>
      </c>
      <c r="C18" s="18" t="n">
        <v>3404404</v>
      </c>
      <c r="D18" s="18" t="n">
        <v>14498</v>
      </c>
      <c r="E18" s="8" t="n">
        <f aca="false">C18+D18</f>
        <v>3418902</v>
      </c>
      <c r="F18" s="8" t="n">
        <f aca="false">E18-B18</f>
        <v>-187677</v>
      </c>
      <c r="G18" s="11" t="n">
        <f aca="false">E18/B18-1</f>
        <v>-0.0520374016484874</v>
      </c>
      <c r="H18" s="18" t="n">
        <v>3569633</v>
      </c>
    </row>
    <row r="19" customFormat="false" ht="15" hidden="false" customHeight="false" outlineLevel="0" collapsed="false">
      <c r="A19" s="6" t="s">
        <v>27</v>
      </c>
      <c r="B19" s="18" t="n">
        <v>3248649</v>
      </c>
      <c r="C19" s="18" t="n">
        <v>3237527</v>
      </c>
      <c r="D19" s="18" t="n">
        <v>8068</v>
      </c>
      <c r="E19" s="8" t="n">
        <f aca="false">C19+D19</f>
        <v>3245595</v>
      </c>
      <c r="F19" s="8" t="n">
        <f aca="false">E19-B19</f>
        <v>-3054</v>
      </c>
      <c r="G19" s="11" t="n">
        <f aca="false">E19/B19-1</f>
        <v>-0.000940083093002642</v>
      </c>
      <c r="H19" s="18" t="n">
        <v>3215821</v>
      </c>
    </row>
    <row r="20" customFormat="false" ht="15" hidden="false" customHeight="false" outlineLevel="0" collapsed="false">
      <c r="A20" s="6" t="s">
        <v>28</v>
      </c>
      <c r="B20" s="18" t="n">
        <v>8739649</v>
      </c>
      <c r="C20" s="18" t="n">
        <v>8633761</v>
      </c>
      <c r="D20" s="18" t="n">
        <v>46090</v>
      </c>
      <c r="E20" s="8" t="n">
        <f aca="false">C20+D20</f>
        <v>8679851</v>
      </c>
      <c r="F20" s="8" t="n">
        <f aca="false">E20-B20</f>
        <v>-59798</v>
      </c>
      <c r="G20" s="11" t="n">
        <f aca="false">E20/B20-1</f>
        <v>-0.00684215121225118</v>
      </c>
      <c r="H20" s="18" t="n">
        <v>8750952</v>
      </c>
    </row>
    <row r="21" customFormat="false" ht="15" hidden="false" customHeight="false" outlineLevel="0" collapsed="false">
      <c r="A21" s="6" t="s">
        <v>29</v>
      </c>
      <c r="B21" s="18" t="n">
        <v>17788768</v>
      </c>
      <c r="C21" s="18" t="n">
        <v>17561797</v>
      </c>
      <c r="D21" s="18" t="n">
        <v>50683</v>
      </c>
      <c r="E21" s="8" t="n">
        <f aca="false">C21+D21</f>
        <v>17612480</v>
      </c>
      <c r="F21" s="8" t="n">
        <f aca="false">E21-B21</f>
        <v>-176288</v>
      </c>
      <c r="G21" s="11" t="n">
        <f aca="false">E21/B21-1</f>
        <v>-0.00991007359250506</v>
      </c>
      <c r="H21" s="18" t="n">
        <v>17753727</v>
      </c>
    </row>
    <row r="22" customFormat="false" ht="15" hidden="false" customHeight="false" outlineLevel="0" collapsed="false">
      <c r="A22" s="6" t="s">
        <v>30</v>
      </c>
      <c r="B22" s="18" t="n">
        <v>4950874</v>
      </c>
      <c r="C22" s="18" t="n">
        <v>4868274</v>
      </c>
      <c r="D22" s="18" t="n">
        <v>21300</v>
      </c>
      <c r="E22" s="8" t="n">
        <f aca="false">C22+D22</f>
        <v>4889574</v>
      </c>
      <c r="F22" s="8" t="n">
        <f aca="false">E22-B22</f>
        <v>-61300</v>
      </c>
      <c r="G22" s="11" t="n">
        <f aca="false">E22/B22-1</f>
        <v>-0.0123816522092867</v>
      </c>
      <c r="H22" s="18" t="n">
        <v>4945881</v>
      </c>
    </row>
    <row r="23" customFormat="false" ht="15" hidden="false" customHeight="false" outlineLevel="0" collapsed="false">
      <c r="A23" s="6" t="s">
        <v>31</v>
      </c>
      <c r="B23" s="18" t="n">
        <v>1984308</v>
      </c>
      <c r="C23" s="18" t="n">
        <v>1987247</v>
      </c>
      <c r="D23" s="18" t="n">
        <v>9970</v>
      </c>
      <c r="E23" s="8" t="n">
        <f aca="false">C23+D23</f>
        <v>1997217</v>
      </c>
      <c r="F23" s="8" t="n">
        <f aca="false">E23-B23</f>
        <v>12909</v>
      </c>
      <c r="G23" s="11" t="n">
        <f aca="false">E23/B23-1</f>
        <v>0.00650554248634783</v>
      </c>
      <c r="H23" s="18" t="n">
        <v>1988503</v>
      </c>
    </row>
    <row r="24" customFormat="false" ht="15" hidden="false" customHeight="false" outlineLevel="0" collapsed="false">
      <c r="A24" s="6" t="s">
        <v>32</v>
      </c>
      <c r="B24" s="18" t="n">
        <v>1245276</v>
      </c>
      <c r="C24" s="18" t="n">
        <v>1289318</v>
      </c>
      <c r="D24" s="18" t="n">
        <v>9757</v>
      </c>
      <c r="E24" s="8" t="n">
        <f aca="false">C24+D24</f>
        <v>1299075</v>
      </c>
      <c r="F24" s="8" t="n">
        <f aca="false">E24-B24</f>
        <v>53799</v>
      </c>
      <c r="G24" s="11" t="n">
        <f aca="false">E24/B24-1</f>
        <v>0.0432024707775627</v>
      </c>
      <c r="H24" s="18" t="n">
        <v>1279298</v>
      </c>
    </row>
    <row r="25" customFormat="false" ht="15" hidden="false" customHeight="false" outlineLevel="0" collapsed="false">
      <c r="A25" s="6" t="s">
        <v>33</v>
      </c>
      <c r="B25" s="18" t="n">
        <v>6152311</v>
      </c>
      <c r="C25" s="18" t="n">
        <v>6274840</v>
      </c>
      <c r="D25" s="18" t="n">
        <v>17059</v>
      </c>
      <c r="E25" s="8" t="n">
        <f aca="false">C25+D25</f>
        <v>6291899</v>
      </c>
      <c r="F25" s="8" t="n">
        <f aca="false">E25-B25</f>
        <v>139588</v>
      </c>
      <c r="G25" s="11" t="n">
        <f aca="false">E25/B25-1</f>
        <v>0.0226887099823139</v>
      </c>
      <c r="H25" s="18" t="n">
        <v>6234433</v>
      </c>
    </row>
    <row r="26" customFormat="false" ht="15" hidden="false" customHeight="false" outlineLevel="0" collapsed="false">
      <c r="A26" s="6" t="s">
        <v>34</v>
      </c>
      <c r="B26" s="18" t="n">
        <v>4232451</v>
      </c>
      <c r="C26" s="18" t="n">
        <v>4150277</v>
      </c>
      <c r="D26" s="18" t="n">
        <v>18903</v>
      </c>
      <c r="E26" s="8" t="n">
        <f aca="false">C26+D26</f>
        <v>4169180</v>
      </c>
      <c r="F26" s="8" t="n">
        <f aca="false">E26-B26</f>
        <v>-63271</v>
      </c>
      <c r="G26" s="11" t="n">
        <f aca="false">E26/B26-1</f>
        <v>-0.0149490212645108</v>
      </c>
      <c r="H26" s="18" t="n">
        <v>4178688</v>
      </c>
    </row>
    <row r="27" customFormat="false" ht="15" hidden="false" customHeight="false" outlineLevel="0" collapsed="false">
      <c r="A27" s="6" t="s">
        <v>35</v>
      </c>
      <c r="B27" s="18" t="n">
        <v>6629599</v>
      </c>
      <c r="C27" s="18" t="n">
        <v>6835339</v>
      </c>
      <c r="D27" s="18" t="n">
        <v>16594</v>
      </c>
      <c r="E27" s="8" t="n">
        <f aca="false">C27+D27</f>
        <v>6851933</v>
      </c>
      <c r="F27" s="8" t="n">
        <f aca="false">E27-B27</f>
        <v>222334</v>
      </c>
      <c r="G27" s="11" t="n">
        <f aca="false">E27/B27-1</f>
        <v>0.0335365683505142</v>
      </c>
      <c r="H27" s="18" t="n">
        <v>6638706</v>
      </c>
    </row>
    <row r="28" customFormat="false" ht="15" hidden="false" customHeight="false" outlineLevel="0" collapsed="false">
      <c r="A28" s="6" t="s">
        <v>36</v>
      </c>
      <c r="B28" s="18" t="n">
        <v>2528745</v>
      </c>
      <c r="C28" s="18" t="n">
        <v>2599947</v>
      </c>
      <c r="D28" s="18" t="n">
        <v>6889</v>
      </c>
      <c r="E28" s="8" t="n">
        <f aca="false">C28+D28</f>
        <v>2606836</v>
      </c>
      <c r="F28" s="8" t="n">
        <f aca="false">E28-B28</f>
        <v>78091</v>
      </c>
      <c r="G28" s="11" t="n">
        <f aca="false">E28/B28-1</f>
        <v>0.0308813265078132</v>
      </c>
      <c r="H28" s="18" t="n">
        <v>2535155</v>
      </c>
    </row>
    <row r="29" customFormat="false" ht="15" hidden="false" customHeight="false" outlineLevel="0" collapsed="false">
      <c r="A29" s="6" t="s">
        <v>37</v>
      </c>
      <c r="B29" s="18" t="n">
        <v>1905221</v>
      </c>
      <c r="C29" s="18" t="n">
        <v>2095074</v>
      </c>
      <c r="D29" s="18" t="n">
        <v>5718</v>
      </c>
      <c r="E29" s="8" t="n">
        <f aca="false">C29+D29</f>
        <v>2100792</v>
      </c>
      <c r="F29" s="8" t="n">
        <f aca="false">E29-B29</f>
        <v>195571</v>
      </c>
      <c r="G29" s="11" t="n">
        <f aca="false">E29/B29-1</f>
        <v>0.102650033775609</v>
      </c>
      <c r="H29" s="18" t="n">
        <v>1975372</v>
      </c>
    </row>
    <row r="30" customFormat="false" ht="15" hidden="false" customHeight="false" outlineLevel="0" collapsed="false">
      <c r="A30" s="6" t="s">
        <v>38</v>
      </c>
      <c r="B30" s="18" t="n">
        <v>2885526</v>
      </c>
      <c r="C30" s="18" t="n">
        <v>2882533</v>
      </c>
      <c r="D30" s="18" t="n">
        <v>6991</v>
      </c>
      <c r="E30" s="8" t="n">
        <f aca="false">C30+D30</f>
        <v>2889524</v>
      </c>
      <c r="F30" s="8" t="n">
        <f aca="false">E30-B30</f>
        <v>3998</v>
      </c>
      <c r="G30" s="11" t="n">
        <f aca="false">E30/B30-1</f>
        <v>0.00138553594734558</v>
      </c>
      <c r="H30" s="18" t="n">
        <v>2951151</v>
      </c>
    </row>
    <row r="31" customFormat="false" ht="15" hidden="false" customHeight="false" outlineLevel="0" collapsed="false">
      <c r="A31" s="6" t="s">
        <v>39</v>
      </c>
      <c r="B31" s="18" t="n">
        <v>3144666</v>
      </c>
      <c r="C31" s="18" t="n">
        <v>3061863</v>
      </c>
      <c r="D31" s="18" t="n">
        <v>41072</v>
      </c>
      <c r="E31" s="8" t="n">
        <f aca="false">C31+D31</f>
        <v>3102935</v>
      </c>
      <c r="F31" s="8" t="n">
        <f aca="false">E31-B31</f>
        <v>-41731</v>
      </c>
      <c r="G31" s="11" t="n">
        <f aca="false">E31/B31-1</f>
        <v>-0.0132704077316955</v>
      </c>
      <c r="H31" s="18" t="n">
        <v>3085699</v>
      </c>
    </row>
    <row r="32" customFormat="false" ht="15" hidden="false" customHeight="false" outlineLevel="0" collapsed="false">
      <c r="A32" s="6" t="s">
        <v>40</v>
      </c>
      <c r="B32" s="18" t="n">
        <v>3042242</v>
      </c>
      <c r="C32" s="18" t="n">
        <v>3028969</v>
      </c>
      <c r="D32" s="18" t="n">
        <v>20920</v>
      </c>
      <c r="E32" s="8" t="n">
        <f aca="false">C32+D32</f>
        <v>3049889</v>
      </c>
      <c r="F32" s="8" t="n">
        <f aca="false">E32-B32</f>
        <v>7647</v>
      </c>
      <c r="G32" s="11" t="n">
        <f aca="false">E32/B32-1</f>
        <v>0.00251360674134404</v>
      </c>
      <c r="H32" s="18" t="n">
        <v>3035624</v>
      </c>
    </row>
    <row r="33" customFormat="false" ht="15" hidden="false" customHeight="false" outlineLevel="0" collapsed="false">
      <c r="A33" s="6" t="s">
        <v>41</v>
      </c>
      <c r="B33" s="18" t="n">
        <v>2554147</v>
      </c>
      <c r="C33" s="18" t="n">
        <v>2521237</v>
      </c>
      <c r="D33" s="18" t="n">
        <v>5772</v>
      </c>
      <c r="E33" s="8" t="n">
        <f aca="false">C33+D33</f>
        <v>2527009</v>
      </c>
      <c r="F33" s="8" t="n">
        <f aca="false">E33-B33</f>
        <v>-27138</v>
      </c>
      <c r="G33" s="11" t="n">
        <f aca="false">E33/B33-1</f>
        <v>-0.010625073654727</v>
      </c>
      <c r="H33" s="18" t="n">
        <v>2578825</v>
      </c>
    </row>
    <row r="34" customFormat="false" ht="15" hidden="false" customHeight="false" outlineLevel="0" collapsed="false">
      <c r="A34" s="6" t="s">
        <v>42</v>
      </c>
      <c r="B34" s="18" t="n">
        <v>3569939</v>
      </c>
      <c r="C34" s="18" t="n">
        <v>3611225</v>
      </c>
      <c r="D34" s="18" t="n">
        <v>9490</v>
      </c>
      <c r="E34" s="8" t="n">
        <f aca="false">C34+D34</f>
        <v>3620715</v>
      </c>
      <c r="F34" s="8" t="n">
        <f aca="false">E34-B34</f>
        <v>50776</v>
      </c>
      <c r="G34" s="11" t="n">
        <f aca="false">E34/B34-1</f>
        <v>0.0142232122173516</v>
      </c>
      <c r="H34" s="18" t="n">
        <v>3602540</v>
      </c>
    </row>
    <row r="35" customFormat="false" ht="15" hidden="false" customHeight="false" outlineLevel="0" collapsed="false">
      <c r="A35" s="6" t="s">
        <v>43</v>
      </c>
      <c r="B35" s="18" t="n">
        <v>1476723</v>
      </c>
      <c r="C35" s="18" t="n">
        <v>1417240</v>
      </c>
      <c r="D35" s="18" t="n">
        <v>2242</v>
      </c>
      <c r="E35" s="8" t="n">
        <f aca="false">C35+D35</f>
        <v>1419482</v>
      </c>
      <c r="F35" s="8" t="n">
        <f aca="false">E35-B35</f>
        <v>-57241</v>
      </c>
      <c r="G35" s="11" t="n">
        <f aca="false">E35/B35-1</f>
        <v>-0.0387621781471542</v>
      </c>
      <c r="H35" s="18" t="n">
        <v>1426175</v>
      </c>
    </row>
    <row r="36" customFormat="false" ht="15" hidden="false" customHeight="false" outlineLevel="0" collapsed="false">
      <c r="A36" s="6" t="s">
        <v>44</v>
      </c>
      <c r="B36" s="18" t="n">
        <v>8113343</v>
      </c>
      <c r="C36" s="18" t="n">
        <v>7902505</v>
      </c>
      <c r="D36" s="18" t="n">
        <v>15371</v>
      </c>
      <c r="E36" s="8" t="n">
        <f aca="false">C36+D36</f>
        <v>7917876</v>
      </c>
      <c r="F36" s="8" t="n">
        <f aca="false">E36-B36</f>
        <v>-195467</v>
      </c>
      <c r="G36" s="11" t="n">
        <f aca="false">E36/B36-1</f>
        <v>-0.0240920419610018</v>
      </c>
      <c r="H36" s="18" t="n">
        <v>8066173</v>
      </c>
    </row>
    <row r="37" customFormat="false" ht="15" hidden="false" customHeight="false" outlineLevel="0" collapsed="false">
      <c r="A37" s="6" t="s">
        <v>45</v>
      </c>
      <c r="B37" s="18" t="n">
        <v>2402017</v>
      </c>
      <c r="C37" s="18" t="n">
        <v>2502326</v>
      </c>
      <c r="D37" s="18" t="n">
        <v>4122</v>
      </c>
      <c r="E37" s="8" t="n">
        <f aca="false">C37+D37</f>
        <v>2506448</v>
      </c>
      <c r="F37" s="8" t="n">
        <f aca="false">E37-B37</f>
        <v>104431</v>
      </c>
      <c r="G37" s="11" t="n">
        <f aca="false">E37/B37-1</f>
        <v>0.0434763783936583</v>
      </c>
      <c r="H37" s="18" t="n">
        <v>2456821</v>
      </c>
    </row>
    <row r="38" customFormat="false" ht="15" hidden="false" customHeight="false" outlineLevel="0" collapsed="false">
      <c r="A38" s="6" t="s">
        <v>46</v>
      </c>
      <c r="B38" s="18" t="n">
        <v>1695685</v>
      </c>
      <c r="C38" s="18" t="n">
        <v>1681468</v>
      </c>
      <c r="D38" s="18" t="n">
        <v>4951</v>
      </c>
      <c r="E38" s="8" t="n">
        <f aca="false">C38+D38</f>
        <v>1686419</v>
      </c>
      <c r="F38" s="8" t="n">
        <f aca="false">E38-B38</f>
        <v>-9266</v>
      </c>
      <c r="G38" s="11" t="n">
        <f aca="false">E38/B38-1</f>
        <v>-0.00546445831625564</v>
      </c>
      <c r="H38" s="18" t="n">
        <v>1689186</v>
      </c>
    </row>
    <row r="39" customFormat="false" ht="15" hidden="false" customHeight="false" outlineLevel="0" collapsed="false">
      <c r="A39" s="13" t="s">
        <v>47</v>
      </c>
      <c r="B39" s="14" t="n">
        <f aca="false">SUM(B7:B38)</f>
        <v>130760049</v>
      </c>
      <c r="C39" s="14" t="n">
        <f aca="false">SUM(C7:C38)</f>
        <v>130393389</v>
      </c>
      <c r="D39" s="14" t="n">
        <f aca="false">SUM(D7:D38)</f>
        <v>517925</v>
      </c>
      <c r="E39" s="14" t="n">
        <f aca="false">SUM(E7:E38)</f>
        <v>130911314</v>
      </c>
      <c r="F39" s="14" t="n">
        <f aca="false">SUM(F7:F38)</f>
        <v>151265</v>
      </c>
      <c r="G39" s="15" t="n">
        <f aca="false">E39/B39-1</f>
        <v>0.00115681357690534</v>
      </c>
      <c r="H39" s="14" t="n">
        <f aca="false">SUM(H7:H38)</f>
        <v>131150866</v>
      </c>
    </row>
    <row r="41" customFormat="false" ht="15" hidden="false" customHeight="false" outlineLevel="0" collapsed="false">
      <c r="A41" s="2" t="s">
        <v>60</v>
      </c>
    </row>
    <row r="42" customFormat="false" ht="15" hidden="false" customHeight="false" outlineLevel="0" collapsed="false">
      <c r="A42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6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7"/>
    <col collapsed="false" customWidth="true" hidden="false" outlineLevel="0" max="12" min="12" style="0" width="15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3" customFormat="false" ht="15" hidden="false" customHeight="false" outlineLevel="0" collapsed="false">
      <c r="A3" s="3" t="s">
        <v>64</v>
      </c>
      <c r="F3" s="19" t="n">
        <f aca="false">'Cuadro 7'!F48</f>
        <v>527233462043.576</v>
      </c>
    </row>
    <row r="4" customFormat="false" ht="15" hidden="false" customHeight="false" outlineLevel="0" collapsed="false">
      <c r="A4" s="2" t="s">
        <v>65</v>
      </c>
    </row>
    <row r="6" customFormat="false" ht="61.5" hidden="false" customHeight="true" outlineLevel="0" collapsed="false">
      <c r="A6" s="5" t="s">
        <v>4</v>
      </c>
      <c r="B6" s="5" t="s">
        <v>66</v>
      </c>
      <c r="C6" s="5" t="s">
        <v>67</v>
      </c>
      <c r="D6" s="5" t="s">
        <v>68</v>
      </c>
      <c r="E6" s="16" t="s">
        <v>69</v>
      </c>
      <c r="F6" s="16" t="s">
        <v>70</v>
      </c>
      <c r="G6" s="16" t="s">
        <v>71</v>
      </c>
      <c r="H6" s="17" t="s">
        <v>72</v>
      </c>
      <c r="I6" s="17" t="s">
        <v>73</v>
      </c>
      <c r="J6" s="17" t="s">
        <v>74</v>
      </c>
      <c r="K6" s="17" t="s">
        <v>75</v>
      </c>
      <c r="L6" s="17" t="s">
        <v>76</v>
      </c>
      <c r="M6" s="17" t="s">
        <v>58</v>
      </c>
    </row>
    <row r="7" customFormat="false" ht="15" hidden="false" customHeight="false" outlineLevel="0" collapsed="false">
      <c r="A7" s="6" t="s">
        <v>15</v>
      </c>
      <c r="B7" s="18" t="n">
        <v>424228389</v>
      </c>
      <c r="C7" s="18" t="n">
        <v>435924518</v>
      </c>
      <c r="D7" s="20" t="n">
        <f aca="false">C7/B7</f>
        <v>1.02757035904073</v>
      </c>
      <c r="E7" s="7" t="n">
        <f aca="false">Población!E7</f>
        <v>1539174</v>
      </c>
      <c r="F7" s="8" t="n">
        <f aca="false">D7*E7</f>
        <v>1581609.57980615</v>
      </c>
      <c r="G7" s="21" t="n">
        <f aca="false">F7/F$39*100</f>
        <v>1.14217883923469</v>
      </c>
      <c r="H7" s="21" t="n">
        <f aca="false">D7*Población!B7/SUMPRODUCT($D$7:$D$38,Población!$B$7:$B$38)*100</f>
        <v>1.11695095644972</v>
      </c>
      <c r="I7" s="21" t="n">
        <f aca="false">G7-H7</f>
        <v>0.0252278827849637</v>
      </c>
      <c r="J7" s="8" t="n">
        <f aca="false">H7/100*$F$3</f>
        <v>5888939197.01872</v>
      </c>
      <c r="K7" s="8" t="n">
        <f aca="false">G7/100*$F$3</f>
        <v>6021949036.82618</v>
      </c>
      <c r="L7" s="9" t="n">
        <f aca="false">K7-J7</f>
        <v>133009839.80746</v>
      </c>
      <c r="M7" s="11" t="n">
        <f aca="false">L7/J7</f>
        <v>0.022586383618088</v>
      </c>
    </row>
    <row r="8" customFormat="false" ht="15" hidden="false" customHeight="false" outlineLevel="0" collapsed="false">
      <c r="A8" s="6" t="s">
        <v>16</v>
      </c>
      <c r="B8" s="18" t="n">
        <v>1248914231</v>
      </c>
      <c r="C8" s="18" t="n">
        <v>1294477582</v>
      </c>
      <c r="D8" s="20" t="n">
        <f aca="false">C8/B8</f>
        <v>1.03648236994106</v>
      </c>
      <c r="E8" s="7" t="n">
        <f aca="false">Población!E8</f>
        <v>4009678</v>
      </c>
      <c r="F8" s="8" t="n">
        <f aca="false">D8*E8</f>
        <v>4155960.55614054</v>
      </c>
      <c r="G8" s="21" t="n">
        <f aca="false">F8/F$39*100</f>
        <v>3.00127810587713</v>
      </c>
      <c r="H8" s="21" t="n">
        <f aca="false">D8*Población!B8/SUMPRODUCT($D$7:$D$38,Población!$B$7:$B$38)*100</f>
        <v>2.83111180627435</v>
      </c>
      <c r="I8" s="21" t="n">
        <f aca="false">G8-H8</f>
        <v>0.170166299602785</v>
      </c>
      <c r="J8" s="8" t="n">
        <f aca="false">H8/100*$F$3</f>
        <v>14926568790.5447</v>
      </c>
      <c r="K8" s="8" t="n">
        <f aca="false">G8/100*$F$3</f>
        <v>15823742463.1719</v>
      </c>
      <c r="L8" s="9" t="n">
        <f aca="false">K8-J8</f>
        <v>897173672.627209</v>
      </c>
      <c r="M8" s="11" t="n">
        <f aca="false">L8/J8</f>
        <v>0.0601058210508184</v>
      </c>
    </row>
    <row r="9" customFormat="false" ht="15" hidden="false" customHeight="false" outlineLevel="0" collapsed="false">
      <c r="A9" s="6" t="s">
        <v>17</v>
      </c>
      <c r="B9" s="18" t="n">
        <v>235221280</v>
      </c>
      <c r="C9" s="18" t="n">
        <v>252768859</v>
      </c>
      <c r="D9" s="20" t="n">
        <f aca="false">C9/B9</f>
        <v>1.07460030402011</v>
      </c>
      <c r="E9" s="7" t="n">
        <f aca="false">Población!E9</f>
        <v>961514</v>
      </c>
      <c r="F9" s="8" t="n">
        <f aca="false">D9*E9</f>
        <v>1033243.23671959</v>
      </c>
      <c r="G9" s="21" t="n">
        <f aca="false">F9/F$39*100</f>
        <v>0.746169330175731</v>
      </c>
      <c r="H9" s="21" t="n">
        <f aca="false">D9*Población!B9/SUMPRODUCT($D$7:$D$38,Población!$B$7:$B$38)*100</f>
        <v>0.684548655964331</v>
      </c>
      <c r="I9" s="21" t="n">
        <f aca="false">G9-H9</f>
        <v>0.0616206742114001</v>
      </c>
      <c r="J9" s="8" t="n">
        <f aca="false">H9/100*$F$3</f>
        <v>3609169578.21351</v>
      </c>
      <c r="K9" s="8" t="n">
        <f aca="false">G9/100*$F$3</f>
        <v>3934054392.19287</v>
      </c>
      <c r="L9" s="9" t="n">
        <f aca="false">K9-J9</f>
        <v>324884813.979358</v>
      </c>
      <c r="M9" s="11" t="n">
        <f aca="false">L9/J9</f>
        <v>0.0900165001779084</v>
      </c>
    </row>
    <row r="10" customFormat="false" ht="15" hidden="false" customHeight="false" outlineLevel="0" collapsed="false">
      <c r="A10" s="6" t="s">
        <v>18</v>
      </c>
      <c r="B10" s="18" t="n">
        <v>600870526</v>
      </c>
      <c r="C10" s="18" t="n">
        <v>522953325</v>
      </c>
      <c r="D10" s="20" t="n">
        <f aca="false">C10/B10</f>
        <v>0.870326139112372</v>
      </c>
      <c r="E10" s="7" t="n">
        <f aca="false">Población!E10</f>
        <v>968673</v>
      </c>
      <c r="F10" s="8" t="n">
        <f aca="false">D10*E10</f>
        <v>843061.432152399</v>
      </c>
      <c r="G10" s="21" t="n">
        <f aca="false">F10/F$39*100</f>
        <v>0.608827197479025</v>
      </c>
      <c r="H10" s="21" t="n">
        <f aca="false">D10*Población!B10/SUMPRODUCT($D$7:$D$38,Población!$B$7:$B$38)*100</f>
        <v>0.582617215183976</v>
      </c>
      <c r="I10" s="21" t="n">
        <f aca="false">G10-H10</f>
        <v>0.0262099822950491</v>
      </c>
      <c r="J10" s="8" t="n">
        <f aca="false">H10/100*$F$3</f>
        <v>3071752914.07635</v>
      </c>
      <c r="K10" s="8" t="n">
        <f aca="false">G10/100*$F$3</f>
        <v>3209940711.13154</v>
      </c>
      <c r="L10" s="9" t="n">
        <f aca="false">K10-J10</f>
        <v>138187797.055196</v>
      </c>
      <c r="M10" s="11" t="n">
        <f aca="false">L10/J10</f>
        <v>0.0449866252008579</v>
      </c>
    </row>
    <row r="11" customFormat="false" ht="15" hidden="false" customHeight="false" outlineLevel="0" collapsed="false">
      <c r="A11" s="6" t="s">
        <v>19</v>
      </c>
      <c r="B11" s="18" t="n">
        <v>1180432300</v>
      </c>
      <c r="C11" s="18" t="n">
        <v>1238076976</v>
      </c>
      <c r="D11" s="20" t="n">
        <f aca="false">C11/B11</f>
        <v>1.04883352988562</v>
      </c>
      <c r="E11" s="7" t="n">
        <f aca="false">Población!E11</f>
        <v>3415128</v>
      </c>
      <c r="F11" s="8" t="n">
        <f aca="false">D11*E11</f>
        <v>3581900.75525121</v>
      </c>
      <c r="G11" s="21" t="n">
        <f aca="false">F11/F$39*100</f>
        <v>2.58671374979159</v>
      </c>
      <c r="H11" s="21" t="n">
        <f aca="false">D11*Población!B11/SUMPRODUCT($D$7:$D$38,Población!$B$7:$B$38)*100</f>
        <v>2.61819732544163</v>
      </c>
      <c r="I11" s="21" t="n">
        <f aca="false">G11-H11</f>
        <v>-0.0314835756500349</v>
      </c>
      <c r="J11" s="8" t="n">
        <f aca="false">H11/100*$F$3</f>
        <v>13804012402.0582</v>
      </c>
      <c r="K11" s="8" t="n">
        <f aca="false">G11/100*$F$3</f>
        <v>13638020456.1834</v>
      </c>
      <c r="L11" s="9" t="n">
        <f aca="false">K11-J11</f>
        <v>-165991945.874788</v>
      </c>
      <c r="M11" s="11" t="n">
        <f aca="false">L11/J11</f>
        <v>-0.0120249055883229</v>
      </c>
    </row>
    <row r="12" customFormat="false" ht="15" hidden="false" customHeight="false" outlineLevel="0" collapsed="false">
      <c r="A12" s="6" t="s">
        <v>20</v>
      </c>
      <c r="B12" s="18" t="n">
        <v>204308084</v>
      </c>
      <c r="C12" s="18" t="n">
        <v>214770793</v>
      </c>
      <c r="D12" s="20" t="n">
        <f aca="false">C12/B12</f>
        <v>1.05121045039021</v>
      </c>
      <c r="E12" s="7" t="n">
        <f aca="false">Población!E12</f>
        <v>762212</v>
      </c>
      <c r="F12" s="8" t="n">
        <f aca="false">D12*E12</f>
        <v>801245.21981282</v>
      </c>
      <c r="G12" s="21" t="n">
        <f aca="false">F12/F$39*100</f>
        <v>0.57862910467469</v>
      </c>
      <c r="H12" s="21" t="n">
        <f aca="false">D12*Población!B12/SUMPRODUCT($D$7:$D$38,Población!$B$7:$B$38)*100</f>
        <v>0.553840038786149</v>
      </c>
      <c r="I12" s="21" t="n">
        <f aca="false">G12-H12</f>
        <v>0.0247890658885414</v>
      </c>
      <c r="J12" s="8" t="n">
        <f aca="false">H12/100*$F$3</f>
        <v>2920030010.6757</v>
      </c>
      <c r="K12" s="8" t="n">
        <f aca="false">G12/100*$F$3</f>
        <v>3050726260.96812</v>
      </c>
      <c r="L12" s="9" t="n">
        <f aca="false">K12-J12</f>
        <v>130696250.29242</v>
      </c>
      <c r="M12" s="11" t="n">
        <f aca="false">L12/J12</f>
        <v>0.0447585298146223</v>
      </c>
    </row>
    <row r="13" customFormat="false" ht="15" hidden="false" customHeight="false" outlineLevel="0" collapsed="false">
      <c r="A13" s="6" t="s">
        <v>21</v>
      </c>
      <c r="B13" s="18" t="n">
        <v>499718477</v>
      </c>
      <c r="C13" s="18" t="n">
        <v>530926151</v>
      </c>
      <c r="D13" s="20" t="n">
        <f aca="false">C13/B13</f>
        <v>1.06245051051014</v>
      </c>
      <c r="E13" s="7" t="n">
        <f aca="false">Población!E13</f>
        <v>5860728</v>
      </c>
      <c r="F13" s="8" t="n">
        <f aca="false">D13*E13</f>
        <v>6226733.45556108</v>
      </c>
      <c r="G13" s="21" t="n">
        <f aca="false">F13/F$39*100</f>
        <v>4.49671226154827</v>
      </c>
      <c r="H13" s="21" t="n">
        <f aca="false">D13*Población!B13/SUMPRODUCT($D$7:$D$38,Población!$B$7:$B$38)*100</f>
        <v>4.58942738260466</v>
      </c>
      <c r="I13" s="21" t="n">
        <f aca="false">G13-H13</f>
        <v>-0.092715121056389</v>
      </c>
      <c r="J13" s="8" t="n">
        <f aca="false">H13/100*$F$3</f>
        <v>24196996877.2824</v>
      </c>
      <c r="K13" s="8" t="n">
        <f aca="false">G13/100*$F$3</f>
        <v>23708171734.6989</v>
      </c>
      <c r="L13" s="9" t="n">
        <f aca="false">K13-J13</f>
        <v>-488825142.583492</v>
      </c>
      <c r="M13" s="11" t="n">
        <f aca="false">L13/J13</f>
        <v>-0.0202018930308839</v>
      </c>
    </row>
    <row r="14" customFormat="false" ht="15" hidden="false" customHeight="false" outlineLevel="0" collapsed="false">
      <c r="A14" s="6" t="s">
        <v>22</v>
      </c>
      <c r="B14" s="18" t="n">
        <v>1236374958</v>
      </c>
      <c r="C14" s="18" t="n">
        <v>1286224656</v>
      </c>
      <c r="D14" s="20" t="n">
        <f aca="false">C14/B14</f>
        <v>1.04031923946489</v>
      </c>
      <c r="E14" s="7" t="n">
        <f aca="false">Población!E14</f>
        <v>3903944</v>
      </c>
      <c r="F14" s="8" t="n">
        <f aca="false">D14*E14</f>
        <v>4061348.05299354</v>
      </c>
      <c r="G14" s="21" t="n">
        <f aca="false">F14/F$39*100</f>
        <v>2.93295252135786</v>
      </c>
      <c r="H14" s="21" t="n">
        <f aca="false">D14*Población!B14/SUMPRODUCT($D$7:$D$38,Población!$B$7:$B$38)*100</f>
        <v>2.99031999499423</v>
      </c>
      <c r="I14" s="21" t="n">
        <f aca="false">G14-H14</f>
        <v>-0.0573674736363699</v>
      </c>
      <c r="J14" s="8" t="n">
        <f aca="false">H14/100*$F$3</f>
        <v>15765967635.7894</v>
      </c>
      <c r="K14" s="8" t="n">
        <f aca="false">G14/100*$F$3</f>
        <v>15463507118.4494</v>
      </c>
      <c r="L14" s="9" t="n">
        <f aca="false">K14-J14</f>
        <v>-302460517.339968</v>
      </c>
      <c r="M14" s="11" t="n">
        <f aca="false">L14/J14</f>
        <v>-0.0191843928851769</v>
      </c>
    </row>
    <row r="15" customFormat="false" ht="15" hidden="false" customHeight="false" outlineLevel="0" collapsed="false">
      <c r="A15" s="6" t="s">
        <v>23</v>
      </c>
      <c r="B15" s="18" t="n">
        <v>4710565535</v>
      </c>
      <c r="C15" s="18" t="n">
        <v>5021817466</v>
      </c>
      <c r="D15" s="20" t="n">
        <f aca="false">C15/B15</f>
        <v>1.06607527879346</v>
      </c>
      <c r="E15" s="7" t="n">
        <f aca="false">Población!E15</f>
        <v>9216407</v>
      </c>
      <c r="F15" s="8" t="n">
        <f aca="false">D15*E15</f>
        <v>9825383.66199902</v>
      </c>
      <c r="G15" s="21" t="n">
        <f aca="false">F15/F$39*100</f>
        <v>7.09552183382256</v>
      </c>
      <c r="H15" s="21" t="n">
        <f aca="false">D15*Población!B15/SUMPRODUCT($D$7:$D$38,Población!$B$7:$B$38)*100</f>
        <v>7.20683991021094</v>
      </c>
      <c r="I15" s="21" t="n">
        <f aca="false">G15-H15</f>
        <v>-0.111318076388378</v>
      </c>
      <c r="J15" s="8" t="n">
        <f aca="false">H15/100*$F$3</f>
        <v>37996871562.5433</v>
      </c>
      <c r="K15" s="8" t="n">
        <f aca="false">G15/100*$F$3</f>
        <v>37409965414.5205</v>
      </c>
      <c r="L15" s="9" t="n">
        <f aca="false">K15-J15</f>
        <v>-586906148.022759</v>
      </c>
      <c r="M15" s="11" t="n">
        <f aca="false">L15/J15</f>
        <v>-0.0154461702736949</v>
      </c>
    </row>
    <row r="16" customFormat="false" ht="15" hidden="false" customHeight="false" outlineLevel="0" collapsed="false">
      <c r="A16" s="6" t="s">
        <v>24</v>
      </c>
      <c r="B16" s="18" t="n">
        <v>412994711</v>
      </c>
      <c r="C16" s="18" t="n">
        <v>454692285</v>
      </c>
      <c r="D16" s="20" t="n">
        <f aca="false">C16/B16</f>
        <v>1.10096394188448</v>
      </c>
      <c r="E16" s="7" t="n">
        <f aca="false">Población!E16</f>
        <v>1943290</v>
      </c>
      <c r="F16" s="8" t="n">
        <f aca="false">D16*E16</f>
        <v>2139492.21862468</v>
      </c>
      <c r="G16" s="21" t="n">
        <f aca="false">F16/F$39*100</f>
        <v>1.54506065847166</v>
      </c>
      <c r="H16" s="21" t="n">
        <f aca="false">D16*Población!B16/SUMPRODUCT($D$7:$D$38,Población!$B$7:$B$38)*100</f>
        <v>1.54777248123142</v>
      </c>
      <c r="I16" s="21" t="n">
        <f aca="false">G16-H16</f>
        <v>-0.00271182275975557</v>
      </c>
      <c r="J16" s="8" t="n">
        <f aca="false">H16/100*$F$3</f>
        <v>8160374437.35417</v>
      </c>
      <c r="K16" s="8" t="n">
        <f aca="false">G16/100*$F$3</f>
        <v>8146076800.33342</v>
      </c>
      <c r="L16" s="9" t="n">
        <f aca="false">K16-J16</f>
        <v>-14297637.0207453</v>
      </c>
      <c r="M16" s="11" t="n">
        <f aca="false">L16/J16</f>
        <v>-0.00175208100198169</v>
      </c>
    </row>
    <row r="17" customFormat="false" ht="15" hidden="false" customHeight="false" outlineLevel="0" collapsed="false">
      <c r="A17" s="6" t="s">
        <v>25</v>
      </c>
      <c r="B17" s="18" t="n">
        <v>1413105293</v>
      </c>
      <c r="C17" s="18" t="n">
        <v>1520603357</v>
      </c>
      <c r="D17" s="20" t="n">
        <f aca="false">C17/B17</f>
        <v>1.0760722251431</v>
      </c>
      <c r="E17" s="7" t="n">
        <f aca="false">Población!E17</f>
        <v>6446935</v>
      </c>
      <c r="F17" s="8" t="n">
        <f aca="false">D17*E17</f>
        <v>6937367.69080292</v>
      </c>
      <c r="G17" s="21" t="n">
        <f aca="false">F17/F$39*100</f>
        <v>5.00990552763132</v>
      </c>
      <c r="H17" s="21" t="n">
        <f aca="false">D17*Población!B17/SUMPRODUCT($D$7:$D$38,Población!$B$7:$B$38)*100</f>
        <v>4.93661090835486</v>
      </c>
      <c r="I17" s="21" t="n">
        <f aca="false">G17-H17</f>
        <v>0.0732946192764619</v>
      </c>
      <c r="J17" s="8" t="n">
        <f aca="false">H17/100*$F$3</f>
        <v>26027464599.7402</v>
      </c>
      <c r="K17" s="8" t="n">
        <f aca="false">G17/100*$F$3</f>
        <v>26413898358.4431</v>
      </c>
      <c r="L17" s="9" t="n">
        <f aca="false">K17-J17</f>
        <v>386433758.702946</v>
      </c>
      <c r="M17" s="11" t="n">
        <f aca="false">L17/J17</f>
        <v>0.0148471533684001</v>
      </c>
    </row>
    <row r="18" customFormat="false" ht="15" hidden="false" customHeight="false" outlineLevel="0" collapsed="false">
      <c r="A18" s="6" t="s">
        <v>26</v>
      </c>
      <c r="B18" s="18" t="n">
        <v>407085984</v>
      </c>
      <c r="C18" s="18" t="n">
        <v>432049345</v>
      </c>
      <c r="D18" s="20" t="n">
        <f aca="false">C18/B18</f>
        <v>1.06132208423074</v>
      </c>
      <c r="E18" s="7" t="n">
        <f aca="false">Población!E18</f>
        <v>3418902</v>
      </c>
      <c r="F18" s="8" t="n">
        <f aca="false">D18*E18</f>
        <v>3628556.19642063</v>
      </c>
      <c r="G18" s="21" t="n">
        <f aca="false">F18/F$39*100</f>
        <v>2.62040655130168</v>
      </c>
      <c r="H18" s="21" t="n">
        <f aca="false">D18*Población!B18/SUMPRODUCT($D$7:$D$38,Población!$B$7:$B$38)*100</f>
        <v>2.76721732537403</v>
      </c>
      <c r="I18" s="21" t="n">
        <f aca="false">G18-H18</f>
        <v>-0.146810774072344</v>
      </c>
      <c r="J18" s="8" t="n">
        <f aca="false">H18/100*$F$3</f>
        <v>14589695706.8391</v>
      </c>
      <c r="K18" s="8" t="n">
        <f aca="false">G18/100*$F$3</f>
        <v>13815660180.0445</v>
      </c>
      <c r="L18" s="9" t="n">
        <f aca="false">K18-J18</f>
        <v>-774035526.794594</v>
      </c>
      <c r="M18" s="11" t="n">
        <f aca="false">L18/J18</f>
        <v>-0.0530535757803196</v>
      </c>
    </row>
    <row r="19" customFormat="false" ht="15" hidden="false" customHeight="false" outlineLevel="0" collapsed="false">
      <c r="A19" s="6" t="s">
        <v>27</v>
      </c>
      <c r="B19" s="18" t="n">
        <v>545147032</v>
      </c>
      <c r="C19" s="18" t="n">
        <v>587732486</v>
      </c>
      <c r="D19" s="20" t="n">
        <f aca="false">C19/B19</f>
        <v>1.07811737292922</v>
      </c>
      <c r="E19" s="7" t="n">
        <f aca="false">Población!E19</f>
        <v>3245595</v>
      </c>
      <c r="F19" s="8" t="n">
        <f aca="false">D19*E19</f>
        <v>3499132.3549922</v>
      </c>
      <c r="G19" s="21" t="n">
        <f aca="false">F19/F$39*100</f>
        <v>2.52694153006039</v>
      </c>
      <c r="H19" s="21" t="n">
        <f aca="false">D19*Población!B19/SUMPRODUCT($D$7:$D$38,Población!$B$7:$B$38)*100</f>
        <v>2.53203352873587</v>
      </c>
      <c r="I19" s="21" t="n">
        <f aca="false">G19-H19</f>
        <v>-0.0050919986754816</v>
      </c>
      <c r="J19" s="8" t="n">
        <f aca="false">H19/100*$F$3</f>
        <v>13349728033.6583</v>
      </c>
      <c r="K19" s="8" t="n">
        <f aca="false">G19/100*$F$3</f>
        <v>13322881312.7543</v>
      </c>
      <c r="L19" s="9" t="n">
        <f aca="false">K19-J19</f>
        <v>-26846720.9039555</v>
      </c>
      <c r="M19" s="11" t="n">
        <f aca="false">L19/J19</f>
        <v>-0.00201103129863527</v>
      </c>
    </row>
    <row r="20" customFormat="false" ht="15" hidden="false" customHeight="false" outlineLevel="0" collapsed="false">
      <c r="A20" s="6" t="s">
        <v>28</v>
      </c>
      <c r="B20" s="18" t="n">
        <v>2396531777</v>
      </c>
      <c r="C20" s="18" t="n">
        <v>2534263696</v>
      </c>
      <c r="D20" s="20" t="n">
        <f aca="false">C20/B20</f>
        <v>1.05747135102561</v>
      </c>
      <c r="E20" s="7" t="n">
        <f aca="false">Población!E20</f>
        <v>8679851</v>
      </c>
      <c r="F20" s="8" t="n">
        <f aca="false">D20*E20</f>
        <v>9178693.76367101</v>
      </c>
      <c r="G20" s="21" t="n">
        <f aca="false">F20/F$39*100</f>
        <v>6.62850675826415</v>
      </c>
      <c r="H20" s="21" t="n">
        <f aca="false">D20*Población!B20/SUMPRODUCT($D$7:$D$38,Población!$B$7:$B$38)*100</f>
        <v>6.68133455163564</v>
      </c>
      <c r="I20" s="21" t="n">
        <f aca="false">G20-H20</f>
        <v>-0.0528277933714971</v>
      </c>
      <c r="J20" s="8" t="n">
        <f aca="false">H20/100*$F$3</f>
        <v>35226231467.3023</v>
      </c>
      <c r="K20" s="8" t="n">
        <f aca="false">G20/100*$F$3</f>
        <v>34947705663.3885</v>
      </c>
      <c r="L20" s="9" t="n">
        <f aca="false">K20-J20</f>
        <v>-278525803.913773</v>
      </c>
      <c r="M20" s="11" t="n">
        <f aca="false">L20/J20</f>
        <v>-0.00790677266094462</v>
      </c>
    </row>
    <row r="21" customFormat="false" ht="15" hidden="false" customHeight="false" outlineLevel="0" collapsed="false">
      <c r="A21" s="6" t="s">
        <v>29</v>
      </c>
      <c r="B21" s="18" t="n">
        <v>2883663903</v>
      </c>
      <c r="C21" s="18" t="n">
        <v>3059207706</v>
      </c>
      <c r="D21" s="20" t="n">
        <f aca="false">C21/B21</f>
        <v>1.06087526456095</v>
      </c>
      <c r="E21" s="7" t="n">
        <f aca="false">Población!E21</f>
        <v>17612480</v>
      </c>
      <c r="F21" s="8" t="n">
        <f aca="false">D21*E21</f>
        <v>18684644.3795745</v>
      </c>
      <c r="G21" s="21" t="n">
        <f aca="false">F21/F$39*100</f>
        <v>13.4933460832925</v>
      </c>
      <c r="H21" s="21" t="n">
        <f aca="false">D21*Población!B21/SUMPRODUCT($D$7:$D$38,Población!$B$7:$B$38)*100</f>
        <v>13.643029301793</v>
      </c>
      <c r="I21" s="21" t="n">
        <f aca="false">G21-H21</f>
        <v>-0.149683218500478</v>
      </c>
      <c r="J21" s="8" t="n">
        <f aca="false">H21/100*$F$3</f>
        <v>71930615715.4629</v>
      </c>
      <c r="K21" s="8" t="n">
        <f aca="false">G21/100*$F$3</f>
        <v>71141435700.4646</v>
      </c>
      <c r="L21" s="9" t="n">
        <f aca="false">K21-J21</f>
        <v>-789180014.998306</v>
      </c>
      <c r="M21" s="11" t="n">
        <f aca="false">L21/J21</f>
        <v>-0.0109714063636001</v>
      </c>
    </row>
    <row r="22" customFormat="false" ht="15" hidden="false" customHeight="false" outlineLevel="0" collapsed="false">
      <c r="A22" s="6" t="s">
        <v>30</v>
      </c>
      <c r="B22" s="18" t="n">
        <v>881715642</v>
      </c>
      <c r="C22" s="18" t="n">
        <v>924007246</v>
      </c>
      <c r="D22" s="20" t="n">
        <f aca="false">C22/B22</f>
        <v>1.04796512842175</v>
      </c>
      <c r="E22" s="7" t="n">
        <f aca="false">Población!E22</f>
        <v>4889574</v>
      </c>
      <c r="F22" s="8" t="n">
        <f aca="false">D22*E22</f>
        <v>5124103.04483767</v>
      </c>
      <c r="G22" s="21" t="n">
        <f aca="false">F22/F$39*100</f>
        <v>3.70043412900226</v>
      </c>
      <c r="H22" s="21" t="n">
        <f aca="false">D22*Población!B22/SUMPRODUCT($D$7:$D$38,Población!$B$7:$B$38)*100</f>
        <v>3.75084676818969</v>
      </c>
      <c r="I22" s="21" t="n">
        <f aca="false">G22-H22</f>
        <v>-0.0504126391874298</v>
      </c>
      <c r="J22" s="8" t="n">
        <f aca="false">H22/100*$F$3</f>
        <v>19775719271.8761</v>
      </c>
      <c r="K22" s="8" t="n">
        <f aca="false">G22/100*$F$3</f>
        <v>19509926968.9807</v>
      </c>
      <c r="L22" s="9" t="n">
        <f aca="false">K22-J22</f>
        <v>-265792302.895424</v>
      </c>
      <c r="M22" s="11" t="n">
        <f aca="false">L22/J22</f>
        <v>-0.0134403355570191</v>
      </c>
    </row>
    <row r="23" customFormat="false" ht="15" hidden="false" customHeight="false" outlineLevel="0" collapsed="false">
      <c r="A23" s="6" t="s">
        <v>31</v>
      </c>
      <c r="B23" s="18" t="n">
        <v>341213619</v>
      </c>
      <c r="C23" s="18" t="n">
        <v>353709556</v>
      </c>
      <c r="D23" s="20" t="n">
        <f aca="false">C23/B23</f>
        <v>1.03662203471427</v>
      </c>
      <c r="E23" s="7" t="n">
        <f aca="false">Población!E23</f>
        <v>1997217</v>
      </c>
      <c r="F23" s="8" t="n">
        <f aca="false">D23*E23</f>
        <v>2070359.15030593</v>
      </c>
      <c r="G23" s="21" t="n">
        <f aca="false">F23/F$39*100</f>
        <v>1.49513536165175</v>
      </c>
      <c r="H23" s="21" t="n">
        <f aca="false">D23*Población!B23/SUMPRODUCT($D$7:$D$38,Población!$B$7:$B$38)*100</f>
        <v>1.48706563211206</v>
      </c>
      <c r="I23" s="21" t="n">
        <f aca="false">G23-H23</f>
        <v>0.00806972953968721</v>
      </c>
      <c r="J23" s="8" t="n">
        <f aca="false">H23/100*$F$3</f>
        <v>7840307615.04461</v>
      </c>
      <c r="K23" s="8" t="n">
        <f aca="false">G23/100*$F$3</f>
        <v>7882853929.47425</v>
      </c>
      <c r="L23" s="9" t="n">
        <f aca="false">K23-J23</f>
        <v>42546314.4296465</v>
      </c>
      <c r="M23" s="11" t="n">
        <f aca="false">L23/J23</f>
        <v>0.00542661289819869</v>
      </c>
    </row>
    <row r="24" customFormat="false" ht="15" hidden="false" customHeight="false" outlineLevel="0" collapsed="false">
      <c r="A24" s="6" t="s">
        <v>32</v>
      </c>
      <c r="B24" s="18" t="n">
        <v>218601000</v>
      </c>
      <c r="C24" s="18" t="n">
        <v>224668851</v>
      </c>
      <c r="D24" s="20" t="n">
        <f aca="false">C24/B24</f>
        <v>1.02775765435657</v>
      </c>
      <c r="E24" s="7" t="n">
        <f aca="false">Población!E24</f>
        <v>1299075</v>
      </c>
      <c r="F24" s="8" t="n">
        <f aca="false">D24*E24</f>
        <v>1335134.27483326</v>
      </c>
      <c r="G24" s="21" t="n">
        <f aca="false">F24/F$39*100</f>
        <v>0.964183661835431</v>
      </c>
      <c r="H24" s="21" t="n">
        <f aca="false">D24*Población!B24/SUMPRODUCT($D$7:$D$38,Población!$B$7:$B$38)*100</f>
        <v>0.92524544409423</v>
      </c>
      <c r="I24" s="21" t="n">
        <f aca="false">G24-H24</f>
        <v>0.0389382177412017</v>
      </c>
      <c r="J24" s="8" t="n">
        <f aca="false">H24/100*$F$3</f>
        <v>4878203587.29847</v>
      </c>
      <c r="K24" s="8" t="n">
        <f aca="false">G24/100*$F$3</f>
        <v>5083498900.75347</v>
      </c>
      <c r="L24" s="9" t="n">
        <f aca="false">K24-J24</f>
        <v>205295313.455004</v>
      </c>
      <c r="M24" s="11" t="n">
        <f aca="false">L24/J24</f>
        <v>0.0420842036993982</v>
      </c>
    </row>
    <row r="25" customFormat="false" ht="15" hidden="false" customHeight="false" outlineLevel="0" collapsed="false">
      <c r="A25" s="6" t="s">
        <v>33</v>
      </c>
      <c r="B25" s="18" t="n">
        <v>2508449478</v>
      </c>
      <c r="C25" s="18" t="n">
        <v>2704699152</v>
      </c>
      <c r="D25" s="20" t="n">
        <f aca="false">C25/B25</f>
        <v>1.07823545011418</v>
      </c>
      <c r="E25" s="7" t="n">
        <f aca="false">Población!E25</f>
        <v>6291899</v>
      </c>
      <c r="F25" s="8" t="n">
        <f aca="false">D25*E25</f>
        <v>6784148.55033793</v>
      </c>
      <c r="G25" s="21" t="n">
        <f aca="false">F25/F$39*100</f>
        <v>4.89925643809667</v>
      </c>
      <c r="H25" s="21" t="n">
        <f aca="false">D25*Población!B25/SUMPRODUCT($D$7:$D$38,Población!$B$7:$B$38)*100</f>
        <v>4.79570548981074</v>
      </c>
      <c r="I25" s="21" t="n">
        <f aca="false">G25-H25</f>
        <v>0.103550948285927</v>
      </c>
      <c r="J25" s="8" t="n">
        <f aca="false">H25/100*$F$3</f>
        <v>25284564083.343</v>
      </c>
      <c r="K25" s="8" t="n">
        <f aca="false">G25/100*$F$3</f>
        <v>25830519332.9699</v>
      </c>
      <c r="L25" s="9" t="n">
        <f aca="false">K25-J25</f>
        <v>545955249.62685</v>
      </c>
      <c r="M25" s="11" t="n">
        <f aca="false">L25/J25</f>
        <v>0.0215924327517481</v>
      </c>
    </row>
    <row r="26" customFormat="false" ht="15" hidden="false" customHeight="false" outlineLevel="0" collapsed="false">
      <c r="A26" s="6" t="s">
        <v>34</v>
      </c>
      <c r="B26" s="18" t="n">
        <v>575661140</v>
      </c>
      <c r="C26" s="18" t="n">
        <v>632287912</v>
      </c>
      <c r="D26" s="20" t="n">
        <f aca="false">C26/B26</f>
        <v>1.09836823795332</v>
      </c>
      <c r="E26" s="7" t="n">
        <f aca="false">Población!E26</f>
        <v>4169180</v>
      </c>
      <c r="F26" s="8" t="n">
        <f aca="false">D26*E26</f>
        <v>4579294.89031023</v>
      </c>
      <c r="G26" s="21" t="n">
        <f aca="false">F26/F$39*100</f>
        <v>3.30699420963858</v>
      </c>
      <c r="H26" s="21" t="n">
        <f aca="false">D26*Población!B26/SUMPRODUCT($D$7:$D$38,Población!$B$7:$B$38)*100</f>
        <v>3.36078338814801</v>
      </c>
      <c r="I26" s="21" t="n">
        <f aca="false">G26-H26</f>
        <v>-0.0537891785094282</v>
      </c>
      <c r="J26" s="8" t="n">
        <f aca="false">H26/100*$F$3</f>
        <v>17719174609.1182</v>
      </c>
      <c r="K26" s="8" t="n">
        <f aca="false">G26/100*$F$3</f>
        <v>17435580061.0581</v>
      </c>
      <c r="L26" s="9" t="n">
        <f aca="false">K26-J26</f>
        <v>-283594548.060055</v>
      </c>
      <c r="M26" s="11" t="n">
        <f aca="false">L26/J26</f>
        <v>-0.0160049525057515</v>
      </c>
    </row>
    <row r="27" customFormat="false" ht="15" hidden="false" customHeight="false" outlineLevel="0" collapsed="false">
      <c r="A27" s="6" t="s">
        <v>35</v>
      </c>
      <c r="B27" s="18" t="n">
        <v>1101908982</v>
      </c>
      <c r="C27" s="18" t="n">
        <v>1191656203</v>
      </c>
      <c r="D27" s="20" t="n">
        <f aca="false">C27/B27</f>
        <v>1.08144703643046</v>
      </c>
      <c r="E27" s="7" t="n">
        <f aca="false">Población!E27</f>
        <v>6851933</v>
      </c>
      <c r="F27" s="8" t="n">
        <f aca="false">D27*E27</f>
        <v>7410002.63667004</v>
      </c>
      <c r="G27" s="21" t="n">
        <f aca="false">F27/F$39*100</f>
        <v>5.35122467538105</v>
      </c>
      <c r="H27" s="21" t="n">
        <f aca="false">D27*Población!B27/SUMPRODUCT($D$7:$D$38,Población!$B$7:$B$38)*100</f>
        <v>5.18314230197626</v>
      </c>
      <c r="I27" s="21" t="n">
        <f aca="false">G27-H27</f>
        <v>0.16808237340479</v>
      </c>
      <c r="J27" s="8" t="n">
        <f aca="false">H27/100*$F$3</f>
        <v>27327260601.3546</v>
      </c>
      <c r="K27" s="8" t="n">
        <f aca="false">G27/100*$F$3</f>
        <v>28213447117.7417</v>
      </c>
      <c r="L27" s="9" t="n">
        <f aca="false">K27-J27</f>
        <v>886186516.387081</v>
      </c>
      <c r="M27" s="11" t="n">
        <f aca="false">L27/J27</f>
        <v>0.0324286626938067</v>
      </c>
    </row>
    <row r="28" customFormat="false" ht="15" hidden="false" customHeight="false" outlineLevel="0" collapsed="false">
      <c r="A28" s="6" t="s">
        <v>36</v>
      </c>
      <c r="B28" s="18" t="n">
        <v>771545561</v>
      </c>
      <c r="C28" s="18" t="n">
        <v>803693959</v>
      </c>
      <c r="D28" s="20" t="n">
        <f aca="false">C28/B28</f>
        <v>1.04166753024712</v>
      </c>
      <c r="E28" s="7" t="n">
        <f aca="false">Población!E28</f>
        <v>2606836</v>
      </c>
      <c r="F28" s="8" t="n">
        <f aca="false">D28*E28</f>
        <v>2715456.41787929</v>
      </c>
      <c r="G28" s="21" t="n">
        <f aca="false">F28/F$39*100</f>
        <v>1.96100029929376</v>
      </c>
      <c r="H28" s="21" t="n">
        <f aca="false">D28*Población!B28/SUMPRODUCT($D$7:$D$38,Población!$B$7:$B$38)*100</f>
        <v>1.90429743027058</v>
      </c>
      <c r="I28" s="21" t="n">
        <f aca="false">G28-H28</f>
        <v>0.0567028690231812</v>
      </c>
      <c r="J28" s="8" t="n">
        <f aca="false">H28/100*$F$3</f>
        <v>10040093269.2224</v>
      </c>
      <c r="K28" s="8" t="n">
        <f aca="false">G28/100*$F$3</f>
        <v>10339049768.6514</v>
      </c>
      <c r="L28" s="9" t="n">
        <f aca="false">K28-J28</f>
        <v>298956499.428953</v>
      </c>
      <c r="M28" s="11" t="n">
        <f aca="false">L28/J28</f>
        <v>0.0297762671533535</v>
      </c>
    </row>
    <row r="29" customFormat="false" ht="15" hidden="false" customHeight="false" outlineLevel="0" collapsed="false">
      <c r="A29" s="6" t="s">
        <v>37</v>
      </c>
      <c r="B29" s="18" t="n">
        <v>506079847</v>
      </c>
      <c r="C29" s="18" t="n">
        <v>515654002</v>
      </c>
      <c r="D29" s="20" t="n">
        <f aca="false">C29/B29</f>
        <v>1.01891826963029</v>
      </c>
      <c r="E29" s="7" t="n">
        <f aca="false">Población!E29</f>
        <v>2100792</v>
      </c>
      <c r="F29" s="8" t="n">
        <f aca="false">D29*E29</f>
        <v>2140535.34949315</v>
      </c>
      <c r="G29" s="21" t="n">
        <f aca="false">F29/F$39*100</f>
        <v>1.54581396827689</v>
      </c>
      <c r="H29" s="21" t="n">
        <f aca="false">D29*Población!B29/SUMPRODUCT($D$7:$D$38,Población!$B$7:$B$38)*100</f>
        <v>1.40341245500893</v>
      </c>
      <c r="I29" s="21" t="n">
        <f aca="false">G29-H29</f>
        <v>0.142401513267961</v>
      </c>
      <c r="J29" s="8" t="n">
        <f aca="false">H29/100*$F$3</f>
        <v>7399260073.29433</v>
      </c>
      <c r="K29" s="8" t="n">
        <f aca="false">G29/100*$F$3</f>
        <v>8150048501.69945</v>
      </c>
      <c r="L29" s="9" t="n">
        <f aca="false">K29-J29</f>
        <v>750788428.405116</v>
      </c>
      <c r="M29" s="11" t="n">
        <f aca="false">L29/J29</f>
        <v>0.10146804152957</v>
      </c>
    </row>
    <row r="30" customFormat="false" ht="15" hidden="false" customHeight="false" outlineLevel="0" collapsed="false">
      <c r="A30" s="6" t="s">
        <v>38</v>
      </c>
      <c r="B30" s="18" t="n">
        <v>749392730</v>
      </c>
      <c r="C30" s="18" t="n">
        <v>780605507</v>
      </c>
      <c r="D30" s="20" t="n">
        <f aca="false">C30/B30</f>
        <v>1.04165076034298</v>
      </c>
      <c r="E30" s="7" t="n">
        <f aca="false">Población!E30</f>
        <v>2889524</v>
      </c>
      <c r="F30" s="8" t="n">
        <f aca="false">D30*E30</f>
        <v>3009874.87162928</v>
      </c>
      <c r="G30" s="21" t="n">
        <f aca="false">F30/F$39*100</f>
        <v>2.17361821211309</v>
      </c>
      <c r="H30" s="21" t="n">
        <f aca="false">D30*Población!B30/SUMPRODUCT($D$7:$D$38,Población!$B$7:$B$38)*100</f>
        <v>2.17294004886532</v>
      </c>
      <c r="I30" s="21" t="n">
        <f aca="false">G30-H30</f>
        <v>0.000678163247773256</v>
      </c>
      <c r="J30" s="8" t="n">
        <f aca="false">H30/100*$F$3</f>
        <v>11456467047.764</v>
      </c>
      <c r="K30" s="8" t="n">
        <f aca="false">G30/100*$F$3</f>
        <v>11460042551.3335</v>
      </c>
      <c r="L30" s="9" t="n">
        <f aca="false">K30-J30</f>
        <v>3575503.56954384</v>
      </c>
      <c r="M30" s="11" t="n">
        <f aca="false">L30/J30</f>
        <v>0.000312094780584359</v>
      </c>
    </row>
    <row r="31" customFormat="false" ht="15" hidden="false" customHeight="false" outlineLevel="0" collapsed="false">
      <c r="A31" s="6" t="s">
        <v>39</v>
      </c>
      <c r="B31" s="18" t="n">
        <v>691780332</v>
      </c>
      <c r="C31" s="18" t="n">
        <v>711064348</v>
      </c>
      <c r="D31" s="20" t="n">
        <f aca="false">C31/B31</f>
        <v>1.02787592405851</v>
      </c>
      <c r="E31" s="7" t="n">
        <f aca="false">Población!E31</f>
        <v>3102935</v>
      </c>
      <c r="F31" s="8" t="n">
        <f aca="false">D31*E31</f>
        <v>3189432.18041848</v>
      </c>
      <c r="G31" s="21" t="n">
        <f aca="false">F31/F$39*100</f>
        <v>2.30328773431849</v>
      </c>
      <c r="H31" s="21" t="n">
        <f aca="false">D31*Población!B31/SUMPRODUCT($D$7:$D$38,Población!$B$7:$B$38)*100</f>
        <v>2.33676928802228</v>
      </c>
      <c r="I31" s="21" t="n">
        <f aca="false">G31-H31</f>
        <v>-0.0334815537037945</v>
      </c>
      <c r="J31" s="8" t="n">
        <f aca="false">H31/100*$F$3</f>
        <v>12320229617.2109</v>
      </c>
      <c r="K31" s="8" t="n">
        <f aca="false">G31/100*$F$3</f>
        <v>12143703662.4724</v>
      </c>
      <c r="L31" s="9" t="n">
        <f aca="false">K31-J31</f>
        <v>-176525954.738495</v>
      </c>
      <c r="M31" s="11" t="n">
        <f aca="false">L31/J31</f>
        <v>-0.0143281383726724</v>
      </c>
    </row>
    <row r="32" customFormat="false" ht="15" hidden="false" customHeight="false" outlineLevel="0" collapsed="false">
      <c r="A32" s="6" t="s">
        <v>40</v>
      </c>
      <c r="B32" s="18" t="n">
        <v>1068083904</v>
      </c>
      <c r="C32" s="18" t="n">
        <v>1106799464</v>
      </c>
      <c r="D32" s="20" t="n">
        <f aca="false">C32/B32</f>
        <v>1.03624767666193</v>
      </c>
      <c r="E32" s="7" t="n">
        <f aca="false">Población!E32</f>
        <v>3049889</v>
      </c>
      <c r="F32" s="8" t="n">
        <f aca="false">D32*E32</f>
        <v>3160440.39032677</v>
      </c>
      <c r="G32" s="21" t="n">
        <f aca="false">F32/F$39*100</f>
        <v>2.28235095600285</v>
      </c>
      <c r="H32" s="21" t="n">
        <f aca="false">D32*Población!B32/SUMPRODUCT($D$7:$D$38,Población!$B$7:$B$38)*100</f>
        <v>2.27907147167669</v>
      </c>
      <c r="I32" s="21" t="n">
        <f aca="false">G32-H32</f>
        <v>0.00327948432616543</v>
      </c>
      <c r="J32" s="8" t="n">
        <f aca="false">H32/100*$F$3</f>
        <v>12016027422.5685</v>
      </c>
      <c r="K32" s="8" t="n">
        <f aca="false">G32/100*$F$3</f>
        <v>12033317961.3185</v>
      </c>
      <c r="L32" s="9" t="n">
        <f aca="false">K32-J32</f>
        <v>17290538.7500191</v>
      </c>
      <c r="M32" s="11" t="n">
        <f aca="false">L32/J32</f>
        <v>0.00143895633240184</v>
      </c>
    </row>
    <row r="33" customFormat="false" ht="15" hidden="false" customHeight="false" outlineLevel="0" collapsed="false">
      <c r="A33" s="6" t="s">
        <v>41</v>
      </c>
      <c r="B33" s="18" t="n">
        <v>755855516</v>
      </c>
      <c r="C33" s="18" t="n">
        <v>695544144</v>
      </c>
      <c r="D33" s="20" t="n">
        <f aca="false">C33/B33</f>
        <v>0.920207803312505</v>
      </c>
      <c r="E33" s="7" t="n">
        <f aca="false">Población!E33</f>
        <v>2527009</v>
      </c>
      <c r="F33" s="8" t="n">
        <f aca="false">D33*E33</f>
        <v>2325373.40084093</v>
      </c>
      <c r="G33" s="21" t="n">
        <f aca="false">F33/F$39*100</f>
        <v>1.67929704376553</v>
      </c>
      <c r="H33" s="21" t="n">
        <f aca="false">D33*Población!B33/SUMPRODUCT($D$7:$D$38,Población!$B$7:$B$38)*100</f>
        <v>1.69915273084456</v>
      </c>
      <c r="I33" s="21" t="n">
        <f aca="false">G33-H33</f>
        <v>-0.0198556870790327</v>
      </c>
      <c r="J33" s="8" t="n">
        <f aca="false">H33/100*$F$3</f>
        <v>8958501768.23974</v>
      </c>
      <c r="K33" s="8" t="n">
        <f aca="false">G33/100*$F$3</f>
        <v>8853815941.84041</v>
      </c>
      <c r="L33" s="9" t="n">
        <f aca="false">K33-J33</f>
        <v>-104685826.399324</v>
      </c>
      <c r="M33" s="11" t="n">
        <f aca="false">L33/J33</f>
        <v>-0.0116856399772631</v>
      </c>
    </row>
    <row r="34" customFormat="false" ht="15" hidden="false" customHeight="false" outlineLevel="0" collapsed="false">
      <c r="A34" s="6" t="s">
        <v>42</v>
      </c>
      <c r="B34" s="18" t="n">
        <v>944239456</v>
      </c>
      <c r="C34" s="18" t="n">
        <v>1007948890</v>
      </c>
      <c r="D34" s="20" t="n">
        <f aca="false">C34/B34</f>
        <v>1.06747169226531</v>
      </c>
      <c r="E34" s="7" t="n">
        <f aca="false">Población!E34</f>
        <v>3620715</v>
      </c>
      <c r="F34" s="8" t="n">
        <f aca="false">D34*E34</f>
        <v>3865010.76826041</v>
      </c>
      <c r="G34" s="21" t="n">
        <f aca="false">F34/F$39*100</f>
        <v>2.79116513284036</v>
      </c>
      <c r="H34" s="21" t="n">
        <f aca="false">D34*Población!B34/SUMPRODUCT($D$7:$D$38,Población!$B$7:$B$38)*100</f>
        <v>2.75497574493184</v>
      </c>
      <c r="I34" s="21" t="n">
        <f aca="false">G34-H34</f>
        <v>0.0361893879085211</v>
      </c>
      <c r="J34" s="8" t="n">
        <f aca="false">H34/100*$F$3</f>
        <v>14525153998.465</v>
      </c>
      <c r="K34" s="8" t="n">
        <f aca="false">G34/100*$F$3</f>
        <v>14715956561.2274</v>
      </c>
      <c r="L34" s="9" t="n">
        <f aca="false">K34-J34</f>
        <v>190802562.762474</v>
      </c>
      <c r="M34" s="11" t="n">
        <f aca="false">L34/J34</f>
        <v>0.0131360096273429</v>
      </c>
    </row>
    <row r="35" customFormat="false" ht="15" hidden="false" customHeight="false" outlineLevel="0" collapsed="false">
      <c r="A35" s="6" t="s">
        <v>43</v>
      </c>
      <c r="B35" s="18" t="n">
        <v>190406976</v>
      </c>
      <c r="C35" s="18" t="n">
        <v>200248308</v>
      </c>
      <c r="D35" s="20" t="n">
        <f aca="false">C35/B35</f>
        <v>1.05168577436995</v>
      </c>
      <c r="E35" s="7" t="n">
        <f aca="false">Población!E35</f>
        <v>1419482</v>
      </c>
      <c r="F35" s="8" t="n">
        <f aca="false">D35*E35</f>
        <v>1492849.0263742</v>
      </c>
      <c r="G35" s="21" t="n">
        <f aca="false">F35/F$39*100</f>
        <v>1.07807931228243</v>
      </c>
      <c r="H35" s="21" t="n">
        <f aca="false">D35*Población!B35/SUMPRODUCT($D$7:$D$38,Población!$B$7:$B$38)*100</f>
        <v>1.12275670120481</v>
      </c>
      <c r="I35" s="21" t="n">
        <f aca="false">G35-H35</f>
        <v>-0.0446773889223784</v>
      </c>
      <c r="J35" s="8" t="n">
        <f aca="false">H35/100*$F$3</f>
        <v>5919549026.08835</v>
      </c>
      <c r="K35" s="8" t="n">
        <f aca="false">G35/100*$F$3</f>
        <v>5683994881.72222</v>
      </c>
      <c r="L35" s="9" t="n">
        <f aca="false">K35-J35</f>
        <v>-235554144.366128</v>
      </c>
      <c r="M35" s="11" t="n">
        <f aca="false">L35/J35</f>
        <v>-0.0397925827335841</v>
      </c>
    </row>
    <row r="36" customFormat="false" ht="15" hidden="false" customHeight="false" outlineLevel="0" collapsed="false">
      <c r="A36" s="6" t="s">
        <v>44</v>
      </c>
      <c r="B36" s="18" t="n">
        <v>1354599913</v>
      </c>
      <c r="C36" s="18" t="n">
        <v>1447774025</v>
      </c>
      <c r="D36" s="20" t="n">
        <f aca="false">C36/B36</f>
        <v>1.06878349179401</v>
      </c>
      <c r="E36" s="7" t="n">
        <f aca="false">Población!E36</f>
        <v>7917876</v>
      </c>
      <c r="F36" s="8" t="n">
        <f aca="false">D36*E36</f>
        <v>8462495.15887198</v>
      </c>
      <c r="G36" s="21" t="n">
        <f aca="false">F36/F$39*100</f>
        <v>6.1112951141673</v>
      </c>
      <c r="H36" s="21" t="n">
        <f aca="false">D36*Población!B36/SUMPRODUCT($D$7:$D$38,Población!$B$7:$B$38)*100</f>
        <v>6.26888338473974</v>
      </c>
      <c r="I36" s="21" t="n">
        <f aca="false">G36-H36</f>
        <v>-0.157588270572441</v>
      </c>
      <c r="J36" s="8" t="n">
        <f aca="false">H36/100*$F$3</f>
        <v>33051650900.8379</v>
      </c>
      <c r="K36" s="8" t="n">
        <f aca="false">G36/100*$F$3</f>
        <v>32220792806.1242</v>
      </c>
      <c r="L36" s="9" t="n">
        <f aca="false">K36-J36</f>
        <v>-830858094.71368</v>
      </c>
      <c r="M36" s="11" t="n">
        <f aca="false">L36/J36</f>
        <v>-0.0251381722869588</v>
      </c>
    </row>
    <row r="37" customFormat="false" ht="15" hidden="false" customHeight="false" outlineLevel="0" collapsed="false">
      <c r="A37" s="6" t="s">
        <v>45</v>
      </c>
      <c r="B37" s="18" t="n">
        <v>506355466</v>
      </c>
      <c r="C37" s="18" t="n">
        <v>548664528</v>
      </c>
      <c r="D37" s="20" t="n">
        <f aca="false">C37/B37</f>
        <v>1.0835560487462</v>
      </c>
      <c r="E37" s="7" t="n">
        <f aca="false">Población!E37</f>
        <v>2506448</v>
      </c>
      <c r="F37" s="8" t="n">
        <f aca="false">D37*E37</f>
        <v>2715876.89126781</v>
      </c>
      <c r="G37" s="21" t="n">
        <f aca="false">F37/F$39*100</f>
        <v>1.96130394933038</v>
      </c>
      <c r="H37" s="21" t="n">
        <f aca="false">D37*Población!B37/SUMPRODUCT($D$7:$D$38,Población!$B$7:$B$38)*100</f>
        <v>1.88160333815187</v>
      </c>
      <c r="I37" s="21" t="n">
        <f aca="false">G37-H37</f>
        <v>0.0797006111785132</v>
      </c>
      <c r="J37" s="8" t="n">
        <f aca="false">H37/100*$F$3</f>
        <v>9920442421.6656</v>
      </c>
      <c r="K37" s="8" t="n">
        <f aca="false">G37/100*$F$3</f>
        <v>10340650713.252</v>
      </c>
      <c r="L37" s="9" t="n">
        <f aca="false">K37-J37</f>
        <v>420208291.586365</v>
      </c>
      <c r="M37" s="11" t="n">
        <f aca="false">L37/J37</f>
        <v>0.0423578176985995</v>
      </c>
    </row>
    <row r="38" customFormat="false" ht="15" hidden="false" customHeight="false" outlineLevel="0" collapsed="false">
      <c r="A38" s="6" t="s">
        <v>46</v>
      </c>
      <c r="B38" s="18" t="n">
        <v>306036555</v>
      </c>
      <c r="C38" s="18" t="n">
        <v>347383977</v>
      </c>
      <c r="D38" s="20" t="n">
        <f aca="false">C38/B38</f>
        <v>1.1351061542305</v>
      </c>
      <c r="E38" s="7" t="n">
        <f aca="false">Población!E38</f>
        <v>1686419</v>
      </c>
      <c r="F38" s="8" t="n">
        <f aca="false">D38*E38</f>
        <v>1914264.58551124</v>
      </c>
      <c r="G38" s="21" t="n">
        <f aca="false">F38/F$39*100</f>
        <v>1.3824097490199</v>
      </c>
      <c r="H38" s="21" t="n">
        <f aca="false">D38*Población!B38/SUMPRODUCT($D$7:$D$38,Población!$B$7:$B$38)*100</f>
        <v>1.39149699891757</v>
      </c>
      <c r="I38" s="21" t="n">
        <f aca="false">G38-H38</f>
        <v>-0.0090872498976704</v>
      </c>
      <c r="J38" s="8" t="n">
        <f aca="false">H38/100*$F$3</f>
        <v>7336437801.62558</v>
      </c>
      <c r="K38" s="8" t="n">
        <f aca="false">G38/100*$F$3</f>
        <v>7288526779.38554</v>
      </c>
      <c r="L38" s="9" t="n">
        <f aca="false">K38-J38</f>
        <v>-47911022.2400389</v>
      </c>
      <c r="M38" s="11" t="n">
        <f aca="false">L38/J38</f>
        <v>-0.00653055659102336</v>
      </c>
    </row>
    <row r="39" customFormat="false" ht="15" hidden="false" customHeight="false" outlineLevel="0" collapsed="false">
      <c r="A39" s="13" t="s">
        <v>47</v>
      </c>
      <c r="B39" s="22"/>
      <c r="C39" s="22"/>
      <c r="D39" s="22"/>
      <c r="E39" s="14" t="n">
        <f aca="false">SUM(E7:E38)</f>
        <v>130911314</v>
      </c>
      <c r="F39" s="14" t="n">
        <f aca="false">SUM(F7:F38)</f>
        <v>138473024.142691</v>
      </c>
      <c r="G39" s="23" t="n">
        <f aca="false">SUM(G7:G38)</f>
        <v>100</v>
      </c>
      <c r="H39" s="23" t="n">
        <f aca="false">SUM(H7:H38)</f>
        <v>100</v>
      </c>
      <c r="I39" s="23" t="n">
        <f aca="false">SUM(I7:I38)</f>
        <v>1.99840144432528E-014</v>
      </c>
      <c r="J39" s="14" t="n">
        <f aca="false">SUM(J7:J38)</f>
        <v>527233462043.576</v>
      </c>
      <c r="K39" s="14" t="n">
        <f aca="false">SUM(K7:K38)</f>
        <v>527233462043.576</v>
      </c>
      <c r="L39" s="14" t="n">
        <f aca="false">SUM(L7:L38)</f>
        <v>0.000115394592285156</v>
      </c>
      <c r="M39" s="15" t="n">
        <f aca="false">L39/J39</f>
        <v>2.18868111742913E-016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2" min="11" style="0" width="17"/>
    <col collapsed="false" customWidth="true" hidden="false" outlineLevel="0" max="13" min="13" style="0" width="15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3" t="s">
        <v>79</v>
      </c>
      <c r="F3" s="19" t="n">
        <f aca="false">'Cuadro 7'!F49</f>
        <v>263616731021.788</v>
      </c>
    </row>
    <row r="4" customFormat="false" ht="15" hidden="false" customHeight="false" outlineLevel="0" collapsed="false">
      <c r="A4" s="2" t="s">
        <v>65</v>
      </c>
    </row>
    <row r="6" customFormat="false" ht="61.5" hidden="false" customHeight="true" outlineLevel="0" collapsed="false">
      <c r="A6" s="5" t="s">
        <v>4</v>
      </c>
      <c r="B6" s="5" t="s">
        <v>80</v>
      </c>
      <c r="C6" s="5" t="s">
        <v>81</v>
      </c>
      <c r="D6" s="5" t="s">
        <v>82</v>
      </c>
      <c r="E6" s="5" t="s">
        <v>83</v>
      </c>
      <c r="F6" s="16" t="s">
        <v>84</v>
      </c>
      <c r="G6" s="16" t="s">
        <v>85</v>
      </c>
      <c r="H6" s="16" t="s">
        <v>86</v>
      </c>
      <c r="I6" s="17" t="s">
        <v>72</v>
      </c>
      <c r="J6" s="17" t="s">
        <v>73</v>
      </c>
      <c r="K6" s="17" t="s">
        <v>74</v>
      </c>
      <c r="L6" s="17" t="s">
        <v>75</v>
      </c>
      <c r="M6" s="17" t="s">
        <v>76</v>
      </c>
      <c r="N6" s="17" t="s">
        <v>58</v>
      </c>
    </row>
    <row r="7" customFormat="false" ht="15" hidden="false" customHeight="false" outlineLevel="0" collapsed="false">
      <c r="A7" s="6" t="s">
        <v>15</v>
      </c>
      <c r="B7" s="24" t="n">
        <v>1.169</v>
      </c>
      <c r="C7" s="24" t="n">
        <v>1.12</v>
      </c>
      <c r="D7" s="24" t="n">
        <v>1.114</v>
      </c>
      <c r="E7" s="25" t="n">
        <v>1.13438065660352</v>
      </c>
      <c r="F7" s="7" t="n">
        <f aca="false">Población!E7</f>
        <v>1539174</v>
      </c>
      <c r="G7" s="8" t="n">
        <f aca="false">E7*F7</f>
        <v>1746009.21274706</v>
      </c>
      <c r="H7" s="21" t="n">
        <f aca="false">G7/G$39*100</f>
        <v>1.1939219709744</v>
      </c>
      <c r="I7" s="21" t="n">
        <f aca="false">E7*Población!B7/SUMPRODUCT($E$7:$E$38,Población!$B$7:$B$38)*100</f>
        <v>1.1676459465155</v>
      </c>
      <c r="J7" s="21" t="n">
        <f aca="false">H7-I7</f>
        <v>0.026276024458904</v>
      </c>
      <c r="K7" s="8" t="n">
        <f aca="false">I7/100*$F$3</f>
        <v>3078110074.11257</v>
      </c>
      <c r="L7" s="8" t="n">
        <f aca="false">H7/100*$F$3</f>
        <v>3147378070.83362</v>
      </c>
      <c r="M7" s="9" t="n">
        <f aca="false">L7-K7</f>
        <v>69267996.7210484</v>
      </c>
      <c r="N7" s="11" t="n">
        <f aca="false">M7/K7</f>
        <v>0.0225034176989328</v>
      </c>
    </row>
    <row r="8" customFormat="false" ht="15" hidden="false" customHeight="false" outlineLevel="0" collapsed="false">
      <c r="A8" s="6" t="s">
        <v>16</v>
      </c>
      <c r="B8" s="24" t="n">
        <v>1.286</v>
      </c>
      <c r="C8" s="24" t="n">
        <v>1.11</v>
      </c>
      <c r="D8" s="24" t="n">
        <v>1.087</v>
      </c>
      <c r="E8" s="25" t="n">
        <v>1.16103290343989</v>
      </c>
      <c r="F8" s="7" t="n">
        <f aca="false">Población!E8</f>
        <v>4009678</v>
      </c>
      <c r="G8" s="8" t="n">
        <f aca="false">E8*F8</f>
        <v>4655368.09019904</v>
      </c>
      <c r="H8" s="21" t="n">
        <f aca="false">G8/G$39*100</f>
        <v>3.18334302321174</v>
      </c>
      <c r="I8" s="21" t="n">
        <f aca="false">E8*Población!B8/SUMPRODUCT($E$7:$E$38,Población!$B$7:$B$38)*100</f>
        <v>3.00309766857382</v>
      </c>
      <c r="J8" s="21" t="n">
        <f aca="false">H8-I8</f>
        <v>0.18024535463792</v>
      </c>
      <c r="K8" s="8" t="n">
        <f aca="false">I8/100*$F$3</f>
        <v>7916667903.28583</v>
      </c>
      <c r="L8" s="8" t="n">
        <f aca="false">H8/100*$F$3</f>
        <v>8391824815.00094</v>
      </c>
      <c r="M8" s="9" t="n">
        <f aca="false">L8-K8</f>
        <v>475156911.715113</v>
      </c>
      <c r="N8" s="11" t="n">
        <f aca="false">M8/K8</f>
        <v>0.060019811051806</v>
      </c>
    </row>
    <row r="9" customFormat="false" ht="15" hidden="false" customHeight="false" outlineLevel="0" collapsed="false">
      <c r="A9" s="6" t="s">
        <v>17</v>
      </c>
      <c r="B9" s="24" t="n">
        <v>1.142</v>
      </c>
      <c r="C9" s="24" t="n">
        <v>1.057</v>
      </c>
      <c r="D9" s="24" t="n">
        <v>1.088</v>
      </c>
      <c r="E9" s="25" t="n">
        <v>1.0955555244451</v>
      </c>
      <c r="F9" s="7" t="n">
        <f aca="false">Población!E9</f>
        <v>961514</v>
      </c>
      <c r="G9" s="8" t="n">
        <f aca="false">E9*F9</f>
        <v>1053391.97453131</v>
      </c>
      <c r="H9" s="21" t="n">
        <f aca="false">G9/G$39*100</f>
        <v>0.720309957850851</v>
      </c>
      <c r="I9" s="21" t="n">
        <f aca="false">E9*Población!B9/SUMPRODUCT($E$7:$E$38,Población!$B$7:$B$38)*100</f>
        <v>0.660878439617666</v>
      </c>
      <c r="J9" s="21" t="n">
        <f aca="false">H9-I9</f>
        <v>0.0594315182331855</v>
      </c>
      <c r="K9" s="8" t="n">
        <f aca="false">I9/100*$F$3</f>
        <v>1742186138.54789</v>
      </c>
      <c r="L9" s="8" t="n">
        <f aca="false">H9/100*$F$3</f>
        <v>1898857564.11083</v>
      </c>
      <c r="M9" s="9" t="n">
        <f aca="false">L9-K9</f>
        <v>156671425.562942</v>
      </c>
      <c r="N9" s="11" t="n">
        <f aca="false">M9/K9</f>
        <v>0.089928063423537</v>
      </c>
    </row>
    <row r="10" customFormat="false" ht="15" hidden="false" customHeight="false" outlineLevel="0" collapsed="false">
      <c r="A10" s="6" t="s">
        <v>18</v>
      </c>
      <c r="B10" s="24" t="n">
        <v>1.201</v>
      </c>
      <c r="C10" s="24" t="n">
        <v>0.998</v>
      </c>
      <c r="D10" s="24" t="n">
        <v>0.919</v>
      </c>
      <c r="E10" s="25" t="n">
        <v>1.03913099721929</v>
      </c>
      <c r="F10" s="7" t="n">
        <f aca="false">Población!E10</f>
        <v>968673</v>
      </c>
      <c r="G10" s="8" t="n">
        <f aca="false">E10*F10</f>
        <v>1006578.1404694</v>
      </c>
      <c r="H10" s="21" t="n">
        <f aca="false">G10/G$39*100</f>
        <v>0.688298634758159</v>
      </c>
      <c r="I10" s="21" t="n">
        <f aca="false">E10*Población!B10/SUMPRODUCT($E$7:$E$38,Población!$B$7:$B$38)*100</f>
        <v>0.658720855084229</v>
      </c>
      <c r="J10" s="21" t="n">
        <f aca="false">H10-I10</f>
        <v>0.0295777796739295</v>
      </c>
      <c r="K10" s="8" t="n">
        <f aca="false">I10/100*$F$3</f>
        <v>1736498384.73182</v>
      </c>
      <c r="L10" s="8" t="n">
        <f aca="false">H10/100*$F$3</f>
        <v>1814470360.61706</v>
      </c>
      <c r="M10" s="9" t="n">
        <f aca="false">L10-K10</f>
        <v>77971975.8852398</v>
      </c>
      <c r="N10" s="11" t="n">
        <f aca="false">M10/K10</f>
        <v>0.044901841873744</v>
      </c>
    </row>
    <row r="11" customFormat="false" ht="15" hidden="false" customHeight="false" outlineLevel="0" collapsed="false">
      <c r="A11" s="6" t="s">
        <v>19</v>
      </c>
      <c r="B11" s="24" t="n">
        <v>1.027</v>
      </c>
      <c r="C11" s="24" t="n">
        <v>1.229</v>
      </c>
      <c r="D11" s="24" t="n">
        <v>1.238</v>
      </c>
      <c r="E11" s="25" t="n">
        <v>1.16452092002026</v>
      </c>
      <c r="F11" s="7" t="n">
        <f aca="false">Población!E11</f>
        <v>3415128</v>
      </c>
      <c r="G11" s="8" t="n">
        <f aca="false">E11*F11</f>
        <v>3976988.00054696</v>
      </c>
      <c r="H11" s="21" t="n">
        <f aca="false">G11/G$39*100</f>
        <v>2.71946637938069</v>
      </c>
      <c r="I11" s="21" t="n">
        <f aca="false">E11*Población!B11/SUMPRODUCT($E$7:$E$38,Población!$B$7:$B$38)*100</f>
        <v>2.75278906547795</v>
      </c>
      <c r="J11" s="21" t="n">
        <f aca="false">H11-I11</f>
        <v>-0.0333226860972684</v>
      </c>
      <c r="K11" s="8" t="n">
        <f aca="false">I11/100*$F$3</f>
        <v>7256812546.33821</v>
      </c>
      <c r="L11" s="8" t="n">
        <f aca="false">H11/100*$F$3</f>
        <v>7168968370.55994</v>
      </c>
      <c r="M11" s="9" t="n">
        <f aca="false">L11-K11</f>
        <v>-87844175.7782707</v>
      </c>
      <c r="N11" s="11" t="n">
        <f aca="false">M11/K11</f>
        <v>-0.0121050633755996</v>
      </c>
    </row>
    <row r="12" customFormat="false" ht="15" hidden="false" customHeight="false" outlineLevel="0" collapsed="false">
      <c r="A12" s="6" t="s">
        <v>20</v>
      </c>
      <c r="B12" s="24" t="n">
        <v>1.089</v>
      </c>
      <c r="C12" s="24" t="n">
        <v>1.083</v>
      </c>
      <c r="D12" s="24" t="n">
        <v>1.124</v>
      </c>
      <c r="E12" s="25" t="n">
        <v>1.09891323595963</v>
      </c>
      <c r="F12" s="7" t="n">
        <f aca="false">Población!E12</f>
        <v>762212</v>
      </c>
      <c r="G12" s="8" t="n">
        <f aca="false">E12*F12</f>
        <v>837604.855407258</v>
      </c>
      <c r="H12" s="21" t="n">
        <f aca="false">G12/G$39*100</f>
        <v>0.572754618111189</v>
      </c>
      <c r="I12" s="21" t="n">
        <f aca="false">E12*Población!B12/SUMPRODUCT($E$7:$E$38,Población!$B$7:$B$38)*100</f>
        <v>0.548261703609129</v>
      </c>
      <c r="J12" s="21" t="n">
        <f aca="false">H12-I12</f>
        <v>0.0244929145020604</v>
      </c>
      <c r="K12" s="8" t="n">
        <f aca="false">I12/100*$F$3</f>
        <v>1445309580.49875</v>
      </c>
      <c r="L12" s="8" t="n">
        <f aca="false">H12/100*$F$3</f>
        <v>1509877001.04104</v>
      </c>
      <c r="M12" s="9" t="n">
        <f aca="false">L12-K12</f>
        <v>64567420.5422931</v>
      </c>
      <c r="N12" s="11" t="n">
        <f aca="false">M12/K12</f>
        <v>0.0446737649936645</v>
      </c>
    </row>
    <row r="13" customFormat="false" ht="15" hidden="false" customHeight="false" outlineLevel="0" collapsed="false">
      <c r="A13" s="6" t="s">
        <v>21</v>
      </c>
      <c r="B13" s="24" t="n">
        <v>1.085</v>
      </c>
      <c r="C13" s="24" t="n">
        <v>1.068</v>
      </c>
      <c r="D13" s="24" t="n">
        <v>1.544</v>
      </c>
      <c r="E13" s="25" t="n">
        <v>1.23227611496948</v>
      </c>
      <c r="F13" s="7" t="n">
        <f aca="false">Población!E13</f>
        <v>5860728</v>
      </c>
      <c r="G13" s="8" t="n">
        <f aca="false">E13*F13</f>
        <v>7222035.13073287</v>
      </c>
      <c r="H13" s="21" t="n">
        <f aca="false">G13/G$39*100</f>
        <v>4.93843122635349</v>
      </c>
      <c r="I13" s="21" t="n">
        <f aca="false">E13*Población!B13/SUMPRODUCT($E$7:$E$38,Población!$B$7:$B$38)*100</f>
        <v>5.04066286257836</v>
      </c>
      <c r="J13" s="21" t="n">
        <f aca="false">H13-I13</f>
        <v>-0.102231636224868</v>
      </c>
      <c r="K13" s="8" t="n">
        <f aca="false">I13/100*$F$3</f>
        <v>13288030660.1584</v>
      </c>
      <c r="L13" s="8" t="n">
        <f aca="false">H13/100*$F$3</f>
        <v>13018530962.6723</v>
      </c>
      <c r="M13" s="9" t="n">
        <f aca="false">L13-K13</f>
        <v>-269499697.486082</v>
      </c>
      <c r="N13" s="11" t="n">
        <f aca="false">M13/K13</f>
        <v>-0.0202813873912954</v>
      </c>
    </row>
    <row r="14" customFormat="false" ht="15" hidden="false" customHeight="false" outlineLevel="0" collapsed="false">
      <c r="A14" s="6" t="s">
        <v>22</v>
      </c>
      <c r="B14" s="24" t="n">
        <v>1.092</v>
      </c>
      <c r="C14" s="24" t="n">
        <v>1.039</v>
      </c>
      <c r="D14" s="24" t="n">
        <v>1.125</v>
      </c>
      <c r="E14" s="25" t="n">
        <v>1.08535614431404</v>
      </c>
      <c r="F14" s="7" t="n">
        <f aca="false">Población!E14</f>
        <v>3903944</v>
      </c>
      <c r="G14" s="8" t="n">
        <f aca="false">E14*F14</f>
        <v>4237169.60745792</v>
      </c>
      <c r="H14" s="21" t="n">
        <f aca="false">G14/G$39*100</f>
        <v>2.89737869202288</v>
      </c>
      <c r="I14" s="21" t="n">
        <f aca="false">E14*Población!B14/SUMPRODUCT($E$7:$E$38,Población!$B$7:$B$38)*100</f>
        <v>2.95429004625089</v>
      </c>
      <c r="J14" s="21" t="n">
        <f aca="false">H14-I14</f>
        <v>-0.056911354228002</v>
      </c>
      <c r="K14" s="8" t="n">
        <f aca="false">I14/100*$F$3</f>
        <v>7788002844.82866</v>
      </c>
      <c r="L14" s="8" t="n">
        <f aca="false">H14/100*$F$3</f>
        <v>7637974993.23257</v>
      </c>
      <c r="M14" s="9" t="n">
        <f aca="false">L14-K14</f>
        <v>-150027851.596088</v>
      </c>
      <c r="N14" s="11" t="n">
        <f aca="false">M14/K14</f>
        <v>-0.0192639697988437</v>
      </c>
    </row>
    <row r="15" customFormat="false" ht="15" hidden="false" customHeight="false" outlineLevel="0" collapsed="false">
      <c r="A15" s="6" t="s">
        <v>23</v>
      </c>
      <c r="B15" s="24" t="n">
        <v>1.105</v>
      </c>
      <c r="C15" s="24" t="n">
        <v>1.08</v>
      </c>
      <c r="D15" s="24" t="n">
        <v>1.244</v>
      </c>
      <c r="E15" s="25" t="n">
        <v>1.14299304619263</v>
      </c>
      <c r="F15" s="7" t="n">
        <f aca="false">Población!E15</f>
        <v>9216407</v>
      </c>
      <c r="G15" s="8" t="n">
        <f aca="false">E15*F15</f>
        <v>10534289.1118811</v>
      </c>
      <c r="H15" s="21" t="n">
        <f aca="false">G15/G$39*100</f>
        <v>7.20335215155204</v>
      </c>
      <c r="I15" s="21" t="n">
        <f aca="false">E15*Población!B15/SUMPRODUCT($E$7:$E$38,Población!$B$7:$B$38)*100</f>
        <v>7.31695557315618</v>
      </c>
      <c r="J15" s="21" t="n">
        <f aca="false">H15-I15</f>
        <v>-0.113603421604142</v>
      </c>
      <c r="K15" s="8" t="n">
        <f aca="false">I15/100*$F$3</f>
        <v>19288719092.2709</v>
      </c>
      <c r="L15" s="8" t="n">
        <f aca="false">H15/100*$F$3</f>
        <v>18989241465.9091</v>
      </c>
      <c r="M15" s="9" t="n">
        <f aca="false">L15-K15</f>
        <v>-299477626.361744</v>
      </c>
      <c r="N15" s="11" t="n">
        <f aca="false">M15/K15</f>
        <v>-0.0155260504821052</v>
      </c>
    </row>
    <row r="16" customFormat="false" ht="15" hidden="false" customHeight="false" outlineLevel="0" collapsed="false">
      <c r="A16" s="6" t="s">
        <v>24</v>
      </c>
      <c r="B16" s="24" t="n">
        <v>1.32</v>
      </c>
      <c r="C16" s="24" t="n">
        <v>1.093</v>
      </c>
      <c r="D16" s="24" t="n">
        <v>1.103</v>
      </c>
      <c r="E16" s="25" t="n">
        <v>1.17187109401199</v>
      </c>
      <c r="F16" s="7" t="n">
        <f aca="false">Población!E16</f>
        <v>1943290</v>
      </c>
      <c r="G16" s="8" t="n">
        <f aca="false">E16*F16</f>
        <v>2277285.37828255</v>
      </c>
      <c r="H16" s="21" t="n">
        <f aca="false">G16/G$39*100</f>
        <v>1.55720887808636</v>
      </c>
      <c r="I16" s="21" t="n">
        <f aca="false">E16*Población!B16/SUMPRODUCT($E$7:$E$38,Población!$B$7:$B$38)*100</f>
        <v>1.56006859655211</v>
      </c>
      <c r="J16" s="21" t="n">
        <f aca="false">H16-I16</f>
        <v>-0.00285971846575261</v>
      </c>
      <c r="K16" s="8" t="n">
        <f aca="false">I16/100*$F$3</f>
        <v>4112601835.92816</v>
      </c>
      <c r="L16" s="8" t="n">
        <f aca="false">H16/100*$F$3</f>
        <v>4105063139.59231</v>
      </c>
      <c r="M16" s="9" t="n">
        <f aca="false">L16-K16</f>
        <v>-7538696.33584356</v>
      </c>
      <c r="N16" s="11" t="n">
        <f aca="false">M16/K16</f>
        <v>-0.00183307225853586</v>
      </c>
    </row>
    <row r="17" customFormat="false" ht="15" hidden="false" customHeight="false" outlineLevel="0" collapsed="false">
      <c r="A17" s="6" t="s">
        <v>25</v>
      </c>
      <c r="B17" s="24" t="n">
        <v>1.114</v>
      </c>
      <c r="C17" s="24" t="n">
        <v>1.067</v>
      </c>
      <c r="D17" s="24" t="n">
        <v>1.096</v>
      </c>
      <c r="E17" s="25" t="n">
        <v>1.09206592870724</v>
      </c>
      <c r="F17" s="7" t="n">
        <f aca="false">Población!E17</f>
        <v>6446935</v>
      </c>
      <c r="G17" s="8" t="n">
        <f aca="false">E17*F17</f>
        <v>7040478.05809021</v>
      </c>
      <c r="H17" s="21" t="n">
        <f aca="false">G17/G$39*100</f>
        <v>4.81428240947937</v>
      </c>
      <c r="I17" s="21" t="n">
        <f aca="false">E17*Población!B17/SUMPRODUCT($E$7:$E$38,Población!$B$7:$B$38)*100</f>
        <v>4.74423466069268</v>
      </c>
      <c r="J17" s="21" t="n">
        <f aca="false">H17-I17</f>
        <v>0.0700477487866849</v>
      </c>
      <c r="K17" s="8" t="n">
        <f aca="false">I17/100*$F$3</f>
        <v>12506596324.5207</v>
      </c>
      <c r="L17" s="8" t="n">
        <f aca="false">H17/100*$F$3</f>
        <v>12691253910.0265</v>
      </c>
      <c r="M17" s="9" t="n">
        <f aca="false">L17-K17</f>
        <v>184657585.505814</v>
      </c>
      <c r="N17" s="11" t="n">
        <f aca="false">M17/K17</f>
        <v>0.0147648153593772</v>
      </c>
    </row>
    <row r="18" customFormat="false" ht="15" hidden="false" customHeight="false" outlineLevel="0" collapsed="false">
      <c r="A18" s="6" t="s">
        <v>26</v>
      </c>
      <c r="B18" s="24" t="n">
        <v>1.078</v>
      </c>
      <c r="C18" s="24" t="n">
        <v>1.009</v>
      </c>
      <c r="D18" s="24" t="n">
        <v>1.298</v>
      </c>
      <c r="E18" s="25" t="n">
        <v>1.1285073283444</v>
      </c>
      <c r="F18" s="7" t="n">
        <f aca="false">Población!E18</f>
        <v>3418902</v>
      </c>
      <c r="G18" s="8" t="n">
        <f aca="false">E18*F18</f>
        <v>3858255.96189132</v>
      </c>
      <c r="H18" s="21" t="n">
        <f aca="false">G18/G$39*100</f>
        <v>2.63827735209799</v>
      </c>
      <c r="I18" s="21" t="n">
        <f aca="false">E18*Población!B18/SUMPRODUCT($E$7:$E$38,Población!$B$7:$B$38)*100</f>
        <v>2.7863154180824</v>
      </c>
      <c r="J18" s="21" t="n">
        <f aca="false">H18-I18</f>
        <v>-0.148038065984411</v>
      </c>
      <c r="K18" s="8" t="n">
        <f aca="false">I18/100*$F$3</f>
        <v>7345193621.1049</v>
      </c>
      <c r="L18" s="8" t="n">
        <f aca="false">H18/100*$F$3</f>
        <v>6954940510.88892</v>
      </c>
      <c r="M18" s="9" t="n">
        <f aca="false">L18-K18</f>
        <v>-390253110.215981</v>
      </c>
      <c r="N18" s="11" t="n">
        <f aca="false">M18/K18</f>
        <v>-0.0531304047717229</v>
      </c>
    </row>
    <row r="19" customFormat="false" ht="15" hidden="false" customHeight="false" outlineLevel="0" collapsed="false">
      <c r="A19" s="6" t="s">
        <v>27</v>
      </c>
      <c r="B19" s="24" t="n">
        <v>1.22</v>
      </c>
      <c r="C19" s="24" t="n">
        <v>1.047</v>
      </c>
      <c r="D19" s="24" t="n">
        <v>1.097</v>
      </c>
      <c r="E19" s="25" t="n">
        <v>1.12127758354709</v>
      </c>
      <c r="F19" s="7" t="n">
        <f aca="false">Población!E19</f>
        <v>3245595</v>
      </c>
      <c r="G19" s="8" t="n">
        <f aca="false">E19*F19</f>
        <v>3639212.91877253</v>
      </c>
      <c r="H19" s="21" t="n">
        <f aca="false">G19/G$39*100</f>
        <v>2.48849560990595</v>
      </c>
      <c r="I19" s="21" t="n">
        <f aca="false">E19*Población!B19/SUMPRODUCT($E$7:$E$38,Población!$B$7:$B$38)*100</f>
        <v>2.4937124602272</v>
      </c>
      <c r="J19" s="21" t="n">
        <f aca="false">H19-I19</f>
        <v>-0.00521685032124974</v>
      </c>
      <c r="K19" s="8" t="n">
        <f aca="false">I19/100*$F$3</f>
        <v>6573843268.73395</v>
      </c>
      <c r="L19" s="8" t="n">
        <f aca="false">H19/100*$F$3</f>
        <v>6560090778.45477</v>
      </c>
      <c r="M19" s="9" t="n">
        <f aca="false">L19-K19</f>
        <v>-13752490.2791777</v>
      </c>
      <c r="N19" s="11" t="n">
        <f aca="false">M19/K19</f>
        <v>-0.00209200154566907</v>
      </c>
    </row>
    <row r="20" customFormat="false" ht="15" hidden="false" customHeight="false" outlineLevel="0" collapsed="false">
      <c r="A20" s="6" t="s">
        <v>28</v>
      </c>
      <c r="B20" s="24" t="n">
        <v>1.15</v>
      </c>
      <c r="C20" s="24" t="n">
        <v>1.094</v>
      </c>
      <c r="D20" s="24" t="n">
        <v>1.156</v>
      </c>
      <c r="E20" s="25" t="n">
        <v>1.13344536685837</v>
      </c>
      <c r="F20" s="7" t="n">
        <f aca="false">Población!E20</f>
        <v>8679851</v>
      </c>
      <c r="G20" s="8" t="n">
        <f aca="false">E20*F20</f>
        <v>9838136.900971</v>
      </c>
      <c r="H20" s="21" t="n">
        <f aca="false">G20/G$39*100</f>
        <v>6.72732292233608</v>
      </c>
      <c r="I20" s="21" t="n">
        <f aca="false">E20*Población!B20/SUMPRODUCT($E$7:$E$38,Población!$B$7:$B$38)*100</f>
        <v>6.78148846485879</v>
      </c>
      <c r="J20" s="21" t="n">
        <f aca="false">H20-I20</f>
        <v>-0.0541655425227079</v>
      </c>
      <c r="K20" s="8" t="n">
        <f aca="false">I20/100*$F$3</f>
        <v>17877138205.6804</v>
      </c>
      <c r="L20" s="8" t="n">
        <f aca="false">H20/100*$F$3</f>
        <v>17734348773.1418</v>
      </c>
      <c r="M20" s="9" t="n">
        <f aca="false">L20-K20</f>
        <v>-142789432.538582</v>
      </c>
      <c r="N20" s="11" t="n">
        <f aca="false">M20/K20</f>
        <v>-0.00798726456638407</v>
      </c>
    </row>
    <row r="21" customFormat="false" ht="15" hidden="false" customHeight="false" outlineLevel="0" collapsed="false">
      <c r="A21" s="6" t="s">
        <v>29</v>
      </c>
      <c r="B21" s="24" t="n">
        <v>1.111</v>
      </c>
      <c r="C21" s="24" t="n">
        <v>1.155</v>
      </c>
      <c r="D21" s="24" t="n">
        <v>1.06</v>
      </c>
      <c r="E21" s="25" t="n">
        <v>1.10848465789747</v>
      </c>
      <c r="F21" s="7" t="n">
        <f aca="false">Población!E21</f>
        <v>17612480</v>
      </c>
      <c r="G21" s="8" t="n">
        <f aca="false">E21*F21</f>
        <v>19523163.867526</v>
      </c>
      <c r="H21" s="21" t="n">
        <f aca="false">G21/G$39*100</f>
        <v>13.3499491951132</v>
      </c>
      <c r="I21" s="21" t="n">
        <f aca="false">E21*Población!B21/SUMPRODUCT($E$7:$E$38,Población!$B$7:$B$38)*100</f>
        <v>13.4991369266647</v>
      </c>
      <c r="J21" s="21" t="n">
        <f aca="false">H21-I21</f>
        <v>-0.149187731551514</v>
      </c>
      <c r="K21" s="8" t="n">
        <f aca="false">I21/100*$F$3</f>
        <v>35585983482.2285</v>
      </c>
      <c r="L21" s="8" t="n">
        <f aca="false">H21/100*$F$3</f>
        <v>35192699661.2269</v>
      </c>
      <c r="M21" s="9" t="n">
        <f aca="false">L21-K21</f>
        <v>-393283821.001663</v>
      </c>
      <c r="N21" s="11" t="n">
        <f aca="false">M21/K21</f>
        <v>-0.0110516496248605</v>
      </c>
    </row>
    <row r="22" customFormat="false" ht="15" hidden="false" customHeight="false" outlineLevel="0" collapsed="false">
      <c r="A22" s="6" t="s">
        <v>30</v>
      </c>
      <c r="B22" s="24" t="n">
        <v>0.976</v>
      </c>
      <c r="C22" s="24" t="n">
        <v>1.064</v>
      </c>
      <c r="D22" s="24" t="n">
        <v>1.097</v>
      </c>
      <c r="E22" s="25" t="n">
        <v>1.04560279553835</v>
      </c>
      <c r="F22" s="7" t="n">
        <f aca="false">Población!E22</f>
        <v>4889574</v>
      </c>
      <c r="G22" s="8" t="n">
        <f aca="false">E22*F22</f>
        <v>5112552.24339162</v>
      </c>
      <c r="H22" s="21" t="n">
        <f aca="false">G22/G$39*100</f>
        <v>3.49596577531002</v>
      </c>
      <c r="I22" s="21" t="n">
        <f aca="false">E22*Población!B22/SUMPRODUCT($E$7:$E$38,Población!$B$7:$B$38)*100</f>
        <v>3.54388037941846</v>
      </c>
      <c r="J22" s="21" t="n">
        <f aca="false">H22-I22</f>
        <v>-0.0479146041084393</v>
      </c>
      <c r="K22" s="8" t="n">
        <f aca="false">I22/100*$F$3</f>
        <v>9342261607.54549</v>
      </c>
      <c r="L22" s="8" t="n">
        <f aca="false">H22/100*$F$3</f>
        <v>9215950694.5128</v>
      </c>
      <c r="M22" s="9" t="n">
        <f aca="false">L22-K22</f>
        <v>-126310913.032698</v>
      </c>
      <c r="N22" s="11" t="n">
        <f aca="false">M22/K22</f>
        <v>-0.0135203785056372</v>
      </c>
    </row>
    <row r="23" customFormat="false" ht="15" hidden="false" customHeight="false" outlineLevel="0" collapsed="false">
      <c r="A23" s="6" t="s">
        <v>31</v>
      </c>
      <c r="B23" s="24" t="n">
        <v>1.091</v>
      </c>
      <c r="C23" s="24" t="n">
        <v>1.107</v>
      </c>
      <c r="D23" s="24" t="n">
        <v>1.103</v>
      </c>
      <c r="E23" s="25" t="n">
        <v>1.1004157398807</v>
      </c>
      <c r="F23" s="7" t="n">
        <f aca="false">Población!E23</f>
        <v>1997217</v>
      </c>
      <c r="G23" s="8" t="n">
        <f aca="false">E23*F23</f>
        <v>2197769.02275732</v>
      </c>
      <c r="H23" s="21" t="n">
        <f aca="false">G23/G$39*100</f>
        <v>1.50283555449775</v>
      </c>
      <c r="I23" s="21" t="n">
        <f aca="false">E23*Población!B23/SUMPRODUCT($E$7:$E$38,Población!$B$7:$B$38)*100</f>
        <v>1.49484554643953</v>
      </c>
      <c r="J23" s="21" t="n">
        <f aca="false">H23-I23</f>
        <v>0.00799000805822003</v>
      </c>
      <c r="K23" s="8" t="n">
        <f aca="false">I23/100*$F$3</f>
        <v>3940662963.34867</v>
      </c>
      <c r="L23" s="8" t="n">
        <f aca="false">H23/100*$F$3</f>
        <v>3961725961.40012</v>
      </c>
      <c r="M23" s="9" t="n">
        <f aca="false">L23-K23</f>
        <v>21062998.0514569</v>
      </c>
      <c r="N23" s="11" t="n">
        <f aca="false">M23/K23</f>
        <v>0.00534503920973698</v>
      </c>
    </row>
    <row r="24" customFormat="false" ht="15" hidden="false" customHeight="false" outlineLevel="0" collapsed="false">
      <c r="A24" s="6" t="s">
        <v>32</v>
      </c>
      <c r="B24" s="24" t="n">
        <v>1.143</v>
      </c>
      <c r="C24" s="24" t="n">
        <v>1.076</v>
      </c>
      <c r="D24" s="24" t="n">
        <v>1.162</v>
      </c>
      <c r="E24" s="25" t="n">
        <v>1.12711893554121</v>
      </c>
      <c r="F24" s="7" t="n">
        <f aca="false">Población!E24</f>
        <v>1299075</v>
      </c>
      <c r="G24" s="8" t="n">
        <f aca="false">E24*F24</f>
        <v>1464212.0311882</v>
      </c>
      <c r="H24" s="21" t="n">
        <f aca="false">G24/G$39*100</f>
        <v>1.0012289176013</v>
      </c>
      <c r="I24" s="21" t="n">
        <f aca="false">E24*Población!B24/SUMPRODUCT($E$7:$E$38,Población!$B$7:$B$38)*100</f>
        <v>0.96087259911727</v>
      </c>
      <c r="J24" s="21" t="n">
        <f aca="false">H24-I24</f>
        <v>0.0403563184840343</v>
      </c>
      <c r="K24" s="8" t="n">
        <f aca="false">I24/100*$F$3</f>
        <v>2533020935.07704</v>
      </c>
      <c r="L24" s="8" t="n">
        <f aca="false">H24/100*$F$3</f>
        <v>2639406942.62539</v>
      </c>
      <c r="M24" s="9" t="n">
        <f aca="false">L24-K24</f>
        <v>106386007.548353</v>
      </c>
      <c r="N24" s="11" t="n">
        <f aca="false">M24/K24</f>
        <v>0.0419996558556343</v>
      </c>
    </row>
    <row r="25" customFormat="false" ht="15" hidden="false" customHeight="false" outlineLevel="0" collapsed="false">
      <c r="A25" s="6" t="s">
        <v>33</v>
      </c>
      <c r="B25" s="24" t="n">
        <v>1.136</v>
      </c>
      <c r="C25" s="24" t="n">
        <v>1.059</v>
      </c>
      <c r="D25" s="24" t="n">
        <v>1.107</v>
      </c>
      <c r="E25" s="25" t="n">
        <v>1.10071116330868</v>
      </c>
      <c r="F25" s="7" t="n">
        <f aca="false">Población!E25</f>
        <v>6291899</v>
      </c>
      <c r="G25" s="8" t="n">
        <f aca="false">E25*F25</f>
        <v>6925563.46771069</v>
      </c>
      <c r="H25" s="21" t="n">
        <f aca="false">G25/G$39*100</f>
        <v>4.73570375523288</v>
      </c>
      <c r="I25" s="21" t="n">
        <f aca="false">E25*Población!B25/SUMPRODUCT($E$7:$E$38,Población!$B$7:$B$38)*100</f>
        <v>4.6359857986034</v>
      </c>
      <c r="J25" s="21" t="n">
        <f aca="false">H25-I25</f>
        <v>0.0997179566294815</v>
      </c>
      <c r="K25" s="8" t="n">
        <f aca="false">I25/100*$F$3</f>
        <v>12221234212.9126</v>
      </c>
      <c r="L25" s="8" t="n">
        <f aca="false">H25/100*$F$3</f>
        <v>12484107430.421</v>
      </c>
      <c r="M25" s="9" t="n">
        <f aca="false">L25-K25</f>
        <v>262873217.508364</v>
      </c>
      <c r="N25" s="11" t="n">
        <f aca="false">M25/K25</f>
        <v>0.0215095474752148</v>
      </c>
    </row>
    <row r="26" customFormat="false" ht="15" hidden="false" customHeight="false" outlineLevel="0" collapsed="false">
      <c r="A26" s="6" t="s">
        <v>34</v>
      </c>
      <c r="B26" s="24" t="n">
        <v>1.138</v>
      </c>
      <c r="C26" s="24" t="n">
        <v>1.166</v>
      </c>
      <c r="D26" s="24" t="n">
        <v>1.13</v>
      </c>
      <c r="E26" s="25" t="n">
        <v>1.14463032415916</v>
      </c>
      <c r="F26" s="7" t="n">
        <f aca="false">Población!E26</f>
        <v>4169180</v>
      </c>
      <c r="G26" s="8" t="n">
        <f aca="false">E26*F26</f>
        <v>4772169.8548779</v>
      </c>
      <c r="H26" s="21" t="n">
        <f aca="false">G26/G$39*100</f>
        <v>3.26321212818585</v>
      </c>
      <c r="I26" s="21" t="n">
        <f aca="false">E26*Población!B26/SUMPRODUCT($E$7:$E$38,Población!$B$7:$B$38)*100</f>
        <v>3.31655826266847</v>
      </c>
      <c r="J26" s="21" t="n">
        <f aca="false">H26-I26</f>
        <v>-0.0533461344826152</v>
      </c>
      <c r="K26" s="8" t="n">
        <f aca="false">I26/100*$F$3</f>
        <v>8743002474.47962</v>
      </c>
      <c r="L26" s="8" t="n">
        <f aca="false">H26/100*$F$3</f>
        <v>8602373138.63006</v>
      </c>
      <c r="M26" s="9" t="n">
        <f aca="false">L26-K26</f>
        <v>-140629335.849558</v>
      </c>
      <c r="N26" s="11" t="n">
        <f aca="false">M26/K26</f>
        <v>-0.0160847873782545</v>
      </c>
    </row>
    <row r="27" customFormat="false" ht="15" hidden="false" customHeight="false" outlineLevel="0" collapsed="false">
      <c r="A27" s="6" t="s">
        <v>35</v>
      </c>
      <c r="B27" s="24" t="n">
        <v>1.129</v>
      </c>
      <c r="C27" s="24" t="n">
        <v>1.065</v>
      </c>
      <c r="D27" s="24" t="n">
        <v>1.085</v>
      </c>
      <c r="E27" s="25" t="n">
        <v>1.09286749556314</v>
      </c>
      <c r="F27" s="7" t="n">
        <f aca="false">Población!E27</f>
        <v>6851933</v>
      </c>
      <c r="G27" s="8" t="n">
        <f aca="false">E27*F27</f>
        <v>7488254.85747644</v>
      </c>
      <c r="H27" s="21" t="n">
        <f aca="false">G27/G$39*100</f>
        <v>5.12047240835039</v>
      </c>
      <c r="I27" s="21" t="n">
        <f aca="false">E27*Población!B27/SUMPRODUCT($E$7:$E$38,Población!$B$7:$B$38)*100</f>
        <v>4.96004040616168</v>
      </c>
      <c r="J27" s="21" t="n">
        <f aca="false">H27-I27</f>
        <v>0.160432002188704</v>
      </c>
      <c r="K27" s="8" t="n">
        <f aca="false">I27/100*$F$3</f>
        <v>13075496376.0832</v>
      </c>
      <c r="L27" s="8" t="n">
        <f aca="false">H27/100*$F$3</f>
        <v>13498421975.7659</v>
      </c>
      <c r="M27" s="9" t="n">
        <f aca="false">L27-K27</f>
        <v>422925599.682667</v>
      </c>
      <c r="N27" s="11" t="n">
        <f aca="false">M27/K27</f>
        <v>0.0323448982369994</v>
      </c>
    </row>
    <row r="28" customFormat="false" ht="15" hidden="false" customHeight="false" outlineLevel="0" collapsed="false">
      <c r="A28" s="6" t="s">
        <v>36</v>
      </c>
      <c r="B28" s="24" t="n">
        <v>1.091</v>
      </c>
      <c r="C28" s="24" t="n">
        <v>1.069</v>
      </c>
      <c r="D28" s="24" t="n">
        <v>1.091</v>
      </c>
      <c r="E28" s="25" t="n">
        <v>1.08394910764825</v>
      </c>
      <c r="F28" s="7" t="n">
        <f aca="false">Población!E28</f>
        <v>2606836</v>
      </c>
      <c r="G28" s="8" t="n">
        <f aca="false">E28*F28</f>
        <v>2825677.55598533</v>
      </c>
      <c r="H28" s="21" t="n">
        <f aca="false">G28/G$39*100</f>
        <v>1.93219972285958</v>
      </c>
      <c r="I28" s="21" t="n">
        <f aca="false">E28*Población!B28/SUMPRODUCT($E$7:$E$38,Población!$B$7:$B$38)*100</f>
        <v>1.8764818758849</v>
      </c>
      <c r="J28" s="21" t="n">
        <f aca="false">H28-I28</f>
        <v>0.055717846974676</v>
      </c>
      <c r="K28" s="8" t="n">
        <f aca="false">I28/100*$F$3</f>
        <v>4946720179.4241</v>
      </c>
      <c r="L28" s="8" t="n">
        <f aca="false">H28/100*$F$3</f>
        <v>5093601746.21447</v>
      </c>
      <c r="M28" s="9" t="n">
        <f aca="false">L28-K28</f>
        <v>146881566.790363</v>
      </c>
      <c r="N28" s="11" t="n">
        <f aca="false">M28/K28</f>
        <v>0.0296927178944379</v>
      </c>
    </row>
    <row r="29" customFormat="false" ht="15" hidden="false" customHeight="false" outlineLevel="0" collapsed="false">
      <c r="A29" s="6" t="s">
        <v>37</v>
      </c>
      <c r="B29" s="24" t="n">
        <v>1.349</v>
      </c>
      <c r="C29" s="24" t="n">
        <v>1.098</v>
      </c>
      <c r="D29" s="24" t="n">
        <v>1.069</v>
      </c>
      <c r="E29" s="25" t="n">
        <v>1.1717463849847</v>
      </c>
      <c r="F29" s="7" t="n">
        <f aca="false">Población!E29</f>
        <v>2100792</v>
      </c>
      <c r="G29" s="8" t="n">
        <f aca="false">E29*F29</f>
        <v>2461595.43160478</v>
      </c>
      <c r="H29" s="21" t="n">
        <f aca="false">G29/G$39*100</f>
        <v>1.68324018452297</v>
      </c>
      <c r="I29" s="21" t="n">
        <f aca="false">E29*Población!B29/SUMPRODUCT($E$7:$E$38,Población!$B$7:$B$38)*100</f>
        <v>1.52830286413073</v>
      </c>
      <c r="J29" s="21" t="n">
        <f aca="false">H29-I29</f>
        <v>0.154937320392233</v>
      </c>
      <c r="K29" s="8" t="n">
        <f aca="false">I29/100*$F$3</f>
        <v>4028862050.5338</v>
      </c>
      <c r="L29" s="8" t="n">
        <f aca="false">H29/100*$F$3</f>
        <v>4437302749.68456</v>
      </c>
      <c r="M29" s="9" t="n">
        <f aca="false">L29-K29</f>
        <v>408440699.150761</v>
      </c>
      <c r="N29" s="11" t="n">
        <f aca="false">M29/K29</f>
        <v>0.101378675672612</v>
      </c>
    </row>
    <row r="30" customFormat="false" ht="15" hidden="false" customHeight="false" outlineLevel="0" collapsed="false">
      <c r="A30" s="6" t="s">
        <v>38</v>
      </c>
      <c r="B30" s="24" t="n">
        <v>1.222</v>
      </c>
      <c r="C30" s="24" t="n">
        <v>1.063</v>
      </c>
      <c r="D30" s="24" t="n">
        <v>1.183</v>
      </c>
      <c r="E30" s="25" t="n">
        <v>1.15616110459953</v>
      </c>
      <c r="F30" s="7" t="n">
        <f aca="false">Población!E30</f>
        <v>2889524</v>
      </c>
      <c r="G30" s="8" t="n">
        <f aca="false">E30*F30</f>
        <v>3340755.25960684</v>
      </c>
      <c r="H30" s="21" t="n">
        <f aca="false">G30/G$39*100</f>
        <v>2.28441011363135</v>
      </c>
      <c r="I30" s="21" t="n">
        <f aca="false">E30*Población!B30/SUMPRODUCT($E$7:$E$38,Población!$B$7:$B$38)*100</f>
        <v>2.28388268278498</v>
      </c>
      <c r="J30" s="21" t="n">
        <f aca="false">H30-I30</f>
        <v>0.000527430846366972</v>
      </c>
      <c r="K30" s="8" t="n">
        <f aca="false">I30/100*$F$3</f>
        <v>6020696868.73049</v>
      </c>
      <c r="L30" s="8" t="n">
        <f aca="false">H30/100*$F$3</f>
        <v>6022087264.68609</v>
      </c>
      <c r="M30" s="9" t="n">
        <f aca="false">L30-K30</f>
        <v>1390395.95559311</v>
      </c>
      <c r="N30" s="11" t="n">
        <f aca="false">M30/K30</f>
        <v>0.000230936050412099</v>
      </c>
    </row>
    <row r="31" customFormat="false" ht="15" hidden="false" customHeight="false" outlineLevel="0" collapsed="false">
      <c r="A31" s="6" t="s">
        <v>39</v>
      </c>
      <c r="B31" s="24" t="n">
        <v>1.061</v>
      </c>
      <c r="C31" s="24" t="n">
        <v>1.039</v>
      </c>
      <c r="D31" s="24" t="n">
        <v>1.05</v>
      </c>
      <c r="E31" s="25" t="n">
        <v>1.05004441457187</v>
      </c>
      <c r="F31" s="7" t="n">
        <f aca="false">Población!E31</f>
        <v>3102935</v>
      </c>
      <c r="G31" s="8" t="n">
        <f aca="false">E31*F31</f>
        <v>3258219.56552956</v>
      </c>
      <c r="H31" s="21" t="n">
        <f aca="false">G31/G$39*100</f>
        <v>2.22797216483413</v>
      </c>
      <c r="I31" s="21" t="n">
        <f aca="false">E31*Población!B31/SUMPRODUCT($E$7:$E$38,Población!$B$7:$B$38)*100</f>
        <v>2.26054230542726</v>
      </c>
      <c r="J31" s="21" t="n">
        <f aca="false">H31-I31</f>
        <v>-0.0325701405931222</v>
      </c>
      <c r="K31" s="8" t="n">
        <f aca="false">I31/100*$F$3</f>
        <v>5959167728.9319</v>
      </c>
      <c r="L31" s="8" t="n">
        <f aca="false">H31/100*$F$3</f>
        <v>5873307389.01111</v>
      </c>
      <c r="M31" s="9" t="n">
        <f aca="false">L31-K31</f>
        <v>-85860339.9207897</v>
      </c>
      <c r="N31" s="11" t="n">
        <f aca="false">M31/K31</f>
        <v>-0.0144081092908219</v>
      </c>
    </row>
    <row r="32" customFormat="false" ht="15" hidden="false" customHeight="false" outlineLevel="0" collapsed="false">
      <c r="A32" s="6" t="s">
        <v>40</v>
      </c>
      <c r="B32" s="24" t="n">
        <v>1.121</v>
      </c>
      <c r="C32" s="24" t="n">
        <v>1.086</v>
      </c>
      <c r="D32" s="24" t="n">
        <v>1.199</v>
      </c>
      <c r="E32" s="25" t="n">
        <v>1.13561659810306</v>
      </c>
      <c r="F32" s="7" t="n">
        <f aca="false">Población!E32</f>
        <v>3049889</v>
      </c>
      <c r="G32" s="8" t="n">
        <f aca="false">E32*F32</f>
        <v>3463504.57077194</v>
      </c>
      <c r="H32" s="21" t="n">
        <f aca="false">G32/G$39*100</f>
        <v>2.36834615386072</v>
      </c>
      <c r="I32" s="21" t="n">
        <f aca="false">E32*Población!B32/SUMPRODUCT($E$7:$E$38,Población!$B$7:$B$38)*100</f>
        <v>2.36513499547003</v>
      </c>
      <c r="J32" s="21" t="n">
        <f aca="false">H32-I32</f>
        <v>0.00321115839068575</v>
      </c>
      <c r="K32" s="8" t="n">
        <f aca="false">I32/100*$F$3</f>
        <v>6234891559.31042</v>
      </c>
      <c r="L32" s="8" t="n">
        <f aca="false">H32/100*$F$3</f>
        <v>6243356710.08788</v>
      </c>
      <c r="M32" s="9" t="n">
        <f aca="false">L32-K32</f>
        <v>8465150.77745819</v>
      </c>
      <c r="N32" s="11" t="n">
        <f aca="false">M32/K32</f>
        <v>0.00135770617611102</v>
      </c>
    </row>
    <row r="33" customFormat="false" ht="15" hidden="false" customHeight="false" outlineLevel="0" collapsed="false">
      <c r="A33" s="6" t="s">
        <v>41</v>
      </c>
      <c r="B33" s="24" t="n">
        <v>1.188</v>
      </c>
      <c r="C33" s="24" t="n">
        <v>1.045</v>
      </c>
      <c r="D33" s="24" t="n">
        <v>1.109</v>
      </c>
      <c r="E33" s="25" t="n">
        <v>1.11401510377788</v>
      </c>
      <c r="F33" s="7" t="n">
        <f aca="false">Población!E33</f>
        <v>2527009</v>
      </c>
      <c r="G33" s="8" t="n">
        <f aca="false">E33*F33</f>
        <v>2815126.19338264</v>
      </c>
      <c r="H33" s="21" t="n">
        <f aca="false">G33/G$39*100</f>
        <v>1.92498469584649</v>
      </c>
      <c r="I33" s="21" t="n">
        <f aca="false">E33*Población!B33/SUMPRODUCT($E$7:$E$38,Población!$B$7:$B$38)*100</f>
        <v>1.94790338677773</v>
      </c>
      <c r="J33" s="21" t="n">
        <f aca="false">H33-I33</f>
        <v>-0.0229186909312404</v>
      </c>
      <c r="K33" s="8" t="n">
        <f aca="false">I33/100*$F$3</f>
        <v>5134999231.68615</v>
      </c>
      <c r="L33" s="8" t="n">
        <f aca="false">H33/100*$F$3</f>
        <v>5074581727.86023</v>
      </c>
      <c r="M33" s="9" t="n">
        <f aca="false">L33-K33</f>
        <v>-60417503.825923</v>
      </c>
      <c r="N33" s="11" t="n">
        <f aca="false">M33/K33</f>
        <v>-0.0117658252903154</v>
      </c>
    </row>
    <row r="34" customFormat="false" ht="15" hidden="false" customHeight="false" outlineLevel="0" collapsed="false">
      <c r="A34" s="6" t="s">
        <v>42</v>
      </c>
      <c r="B34" s="24" t="n">
        <v>1.1</v>
      </c>
      <c r="C34" s="24" t="n">
        <v>1.103</v>
      </c>
      <c r="D34" s="24" t="n">
        <v>1.104</v>
      </c>
      <c r="E34" s="25" t="n">
        <v>1.10251183886924</v>
      </c>
      <c r="F34" s="7" t="n">
        <f aca="false">Población!E34</f>
        <v>3620715</v>
      </c>
      <c r="G34" s="8" t="n">
        <f aca="false">E34*F34</f>
        <v>3991881.15267145</v>
      </c>
      <c r="H34" s="21" t="n">
        <f aca="false">G34/G$39*100</f>
        <v>2.72965032423543</v>
      </c>
      <c r="I34" s="21" t="n">
        <f aca="false">E34*Población!B34/SUMPRODUCT($E$7:$E$38,Población!$B$7:$B$38)*100</f>
        <v>2.69447713051388</v>
      </c>
      <c r="J34" s="21" t="n">
        <f aca="false">H34-I34</f>
        <v>0.0351731937215529</v>
      </c>
      <c r="K34" s="8" t="n">
        <f aca="false">I34/100*$F$3</f>
        <v>7103092529.59036</v>
      </c>
      <c r="L34" s="8" t="n">
        <f aca="false">H34/100*$F$3</f>
        <v>7195814953.07508</v>
      </c>
      <c r="M34" s="9" t="n">
        <f aca="false">L34-K34</f>
        <v>92722423.4847193</v>
      </c>
      <c r="N34" s="11" t="n">
        <f aca="false">M34/K34</f>
        <v>0.0130538104492448</v>
      </c>
    </row>
    <row r="35" customFormat="false" ht="15" hidden="false" customHeight="false" outlineLevel="0" collapsed="false">
      <c r="A35" s="6" t="s">
        <v>43</v>
      </c>
      <c r="B35" s="24" t="n">
        <v>1.185</v>
      </c>
      <c r="C35" s="24" t="n">
        <v>1.049</v>
      </c>
      <c r="D35" s="24" t="n">
        <v>1.091</v>
      </c>
      <c r="E35" s="25" t="n">
        <v>1.10845583466265</v>
      </c>
      <c r="F35" s="7" t="n">
        <f aca="false">Población!E35</f>
        <v>1419482</v>
      </c>
      <c r="G35" s="8" t="n">
        <f aca="false">E35*F35</f>
        <v>1573433.1050986</v>
      </c>
      <c r="H35" s="21" t="n">
        <f aca="false">G35/G$39*100</f>
        <v>1.07591434244502</v>
      </c>
      <c r="I35" s="21" t="n">
        <f aca="false">E35*Población!B35/SUMPRODUCT($E$7:$E$38,Población!$B$7:$B$38)*100</f>
        <v>1.12059292896259</v>
      </c>
      <c r="J35" s="21" t="n">
        <f aca="false">H35-I35</f>
        <v>-0.0446785865175765</v>
      </c>
      <c r="K35" s="8" t="n">
        <f aca="false">I35/100*$F$3</f>
        <v>2954070447.3925</v>
      </c>
      <c r="L35" s="8" t="n">
        <f aca="false">H35/100*$F$3</f>
        <v>2836290218.14812</v>
      </c>
      <c r="M35" s="9" t="n">
        <f aca="false">L35-K35</f>
        <v>-117780229.244376</v>
      </c>
      <c r="N35" s="11" t="n">
        <f aca="false">M35/K35</f>
        <v>-0.0398704876345581</v>
      </c>
    </row>
    <row r="36" customFormat="false" ht="15" hidden="false" customHeight="false" outlineLevel="0" collapsed="false">
      <c r="A36" s="6" t="s">
        <v>44</v>
      </c>
      <c r="B36" s="24" t="n">
        <v>1.054</v>
      </c>
      <c r="C36" s="24" t="n">
        <v>1.08</v>
      </c>
      <c r="D36" s="24" t="n">
        <v>1.073</v>
      </c>
      <c r="E36" s="25" t="n">
        <v>1.06906125122781</v>
      </c>
      <c r="F36" s="7" t="n">
        <f aca="false">Población!E36</f>
        <v>7917876</v>
      </c>
      <c r="G36" s="8" t="n">
        <f aca="false">E36*F36</f>
        <v>8464694.42362667</v>
      </c>
      <c r="H36" s="21" t="n">
        <f aca="false">G36/G$39*100</f>
        <v>5.78816227094927</v>
      </c>
      <c r="I36" s="21" t="n">
        <f aca="false">E36*Población!B36/SUMPRODUCT($E$7:$E$38,Población!$B$7:$B$38)*100</f>
        <v>5.93789987240499</v>
      </c>
      <c r="J36" s="21" t="n">
        <f aca="false">H36-I36</f>
        <v>-0.149737601455717</v>
      </c>
      <c r="K36" s="8" t="n">
        <f aca="false">I36/100*$F$3</f>
        <v>15653297534.981</v>
      </c>
      <c r="L36" s="8" t="n">
        <f aca="false">H36/100*$F$3</f>
        <v>15258564164.913</v>
      </c>
      <c r="M36" s="9" t="n">
        <f aca="false">L36-K36</f>
        <v>-394733370.067995</v>
      </c>
      <c r="N36" s="11" t="n">
        <f aca="false">M36/K36</f>
        <v>-0.0252172661502071</v>
      </c>
    </row>
    <row r="37" customFormat="false" ht="15" hidden="false" customHeight="false" outlineLevel="0" collapsed="false">
      <c r="A37" s="6" t="s">
        <v>45</v>
      </c>
      <c r="B37" s="24" t="n">
        <v>1.099</v>
      </c>
      <c r="C37" s="24" t="n">
        <v>1.042</v>
      </c>
      <c r="D37" s="24" t="n">
        <v>1.185</v>
      </c>
      <c r="E37" s="25" t="n">
        <v>1.10830500064921</v>
      </c>
      <c r="F37" s="7" t="n">
        <f aca="false">Población!E37</f>
        <v>2506448</v>
      </c>
      <c r="G37" s="8" t="n">
        <f aca="false">E37*F37</f>
        <v>2777908.85226722</v>
      </c>
      <c r="H37" s="21" t="n">
        <f aca="false">G37/G$39*100</f>
        <v>1.89953545941947</v>
      </c>
      <c r="I37" s="21" t="n">
        <f aca="false">E37*Población!B37/SUMPRODUCT($E$7:$E$38,Población!$B$7:$B$38)*100</f>
        <v>1.82249277115394</v>
      </c>
      <c r="J37" s="21" t="n">
        <f aca="false">H37-I37</f>
        <v>0.0770426882655309</v>
      </c>
      <c r="K37" s="8" t="n">
        <f aca="false">I37/100*$F$3</f>
        <v>4804395866.42441</v>
      </c>
      <c r="L37" s="8" t="n">
        <f aca="false">H37/100*$F$3</f>
        <v>5007493282.72131</v>
      </c>
      <c r="M37" s="9" t="n">
        <f aca="false">L37-K37</f>
        <v>203097416.296899</v>
      </c>
      <c r="N37" s="11" t="n">
        <f aca="false">M37/K37</f>
        <v>0.0422732476555997</v>
      </c>
    </row>
    <row r="38" customFormat="false" ht="15" hidden="false" customHeight="false" outlineLevel="0" collapsed="false">
      <c r="A38" s="6" t="s">
        <v>46</v>
      </c>
      <c r="B38" s="24" t="n">
        <v>1.171</v>
      </c>
      <c r="C38" s="24" t="n">
        <v>1.016</v>
      </c>
      <c r="D38" s="24" t="n">
        <v>1.126</v>
      </c>
      <c r="E38" s="25" t="n">
        <v>1.10423304479199</v>
      </c>
      <c r="F38" s="7" t="n">
        <f aca="false">Población!E38</f>
        <v>1686419</v>
      </c>
      <c r="G38" s="8" t="n">
        <f aca="false">E38*F38</f>
        <v>1862199.58716506</v>
      </c>
      <c r="H38" s="21" t="n">
        <f aca="false">G38/G$39*100</f>
        <v>1.27337300698305</v>
      </c>
      <c r="I38" s="21" t="n">
        <f aca="false">E38*Población!B38/SUMPRODUCT($E$7:$E$38,Población!$B$7:$B$38)*100</f>
        <v>1.28184750613857</v>
      </c>
      <c r="J38" s="21" t="n">
        <f aca="false">H38-I38</f>
        <v>-0.00847449915552834</v>
      </c>
      <c r="K38" s="8" t="n">
        <f aca="false">I38/100*$F$3</f>
        <v>3379164492.36683</v>
      </c>
      <c r="L38" s="8" t="n">
        <f aca="false">H38/100*$F$3</f>
        <v>3356824294.72255</v>
      </c>
      <c r="M38" s="9" t="n">
        <f aca="false">L38-K38</f>
        <v>-22340197.6442728</v>
      </c>
      <c r="N38" s="11" t="n">
        <f aca="false">M38/K38</f>
        <v>-0.00661116015356368</v>
      </c>
    </row>
    <row r="39" customFormat="false" ht="15" hidden="false" customHeight="false" outlineLevel="0" collapsed="false">
      <c r="A39" s="13" t="s">
        <v>47</v>
      </c>
      <c r="B39" s="22"/>
      <c r="C39" s="22"/>
      <c r="D39" s="22"/>
      <c r="E39" s="22"/>
      <c r="F39" s="14" t="n">
        <f aca="false">SUM(F7:F38)</f>
        <v>130911314</v>
      </c>
      <c r="G39" s="14" t="n">
        <f aca="false">SUM(G7:G38)</f>
        <v>146241484.384619</v>
      </c>
      <c r="H39" s="23" t="n">
        <f aca="false">SUM(H7:H38)</f>
        <v>100</v>
      </c>
      <c r="I39" s="23" t="n">
        <f aca="false">SUM(I7:I38)</f>
        <v>100</v>
      </c>
      <c r="J39" s="23" t="n">
        <f aca="false">SUM(J7:J38)</f>
        <v>1.53210777398272E-014</v>
      </c>
      <c r="K39" s="14" t="n">
        <f aca="false">SUM(K7:K38)</f>
        <v>263616731021.788</v>
      </c>
      <c r="L39" s="14" t="n">
        <f aca="false">SUM(L7:L38)</f>
        <v>263616731021.788</v>
      </c>
      <c r="M39" s="14" t="n">
        <f aca="false">SUM(M7:M38)</f>
        <v>3.86238098144531E-005</v>
      </c>
      <c r="N39" s="15" t="n">
        <f aca="false">M39/K39</f>
        <v>1.46515016951867E-016</v>
      </c>
    </row>
    <row r="41" customFormat="false" ht="15" hidden="false" customHeight="false" outlineLevel="0" collapsed="false">
      <c r="A41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A3" s="3" t="s">
        <v>90</v>
      </c>
      <c r="F3" s="19" t="n">
        <f aca="false">'Cuadro 7'!F50</f>
        <v>87872243673.9294</v>
      </c>
    </row>
    <row r="4" customFormat="false" ht="15" hidden="false" customHeight="false" outlineLevel="0" collapsed="false">
      <c r="A4" s="2" t="s">
        <v>65</v>
      </c>
    </row>
    <row r="6" customFormat="false" ht="61.5" hidden="false" customHeight="true" outlineLevel="0" collapsed="false">
      <c r="A6" s="5" t="s">
        <v>4</v>
      </c>
      <c r="B6" s="5" t="s">
        <v>91</v>
      </c>
      <c r="C6" s="16" t="s">
        <v>92</v>
      </c>
      <c r="D6" s="16" t="s">
        <v>93</v>
      </c>
      <c r="E6" s="16" t="s">
        <v>94</v>
      </c>
      <c r="F6" s="17" t="s">
        <v>72</v>
      </c>
      <c r="G6" s="17" t="s">
        <v>73</v>
      </c>
      <c r="H6" s="17" t="s">
        <v>74</v>
      </c>
      <c r="I6" s="17" t="s">
        <v>75</v>
      </c>
      <c r="J6" s="17" t="s">
        <v>76</v>
      </c>
      <c r="K6" s="17" t="s">
        <v>58</v>
      </c>
    </row>
    <row r="7" customFormat="false" ht="15" hidden="false" customHeight="false" outlineLevel="0" collapsed="false">
      <c r="A7" s="6" t="s">
        <v>15</v>
      </c>
      <c r="B7" s="18" t="n">
        <v>5999239609</v>
      </c>
      <c r="C7" s="7" t="n">
        <f aca="false">Población!E7</f>
        <v>1539174</v>
      </c>
      <c r="D7" s="8" t="n">
        <f aca="false">B7*C7</f>
        <v>9233873625942970</v>
      </c>
      <c r="E7" s="21" t="n">
        <f aca="false">D7/D$39*100</f>
        <v>0.252671335646077</v>
      </c>
      <c r="F7" s="21" t="n">
        <f aca="false">B7*Población!B7/SUMPRODUCT($B$7:$B$38,Población!$B$7:$B$38)*100</f>
        <v>0.246276946324603</v>
      </c>
      <c r="G7" s="21" t="n">
        <f aca="false">E7-F7</f>
        <v>0.00639438932147321</v>
      </c>
      <c r="H7" s="8" t="n">
        <f aca="false">F7/100*$F$3</f>
        <v>216409078.387068</v>
      </c>
      <c r="I7" s="8" t="n">
        <f aca="false">E7/100*$F$3</f>
        <v>222027971.753092</v>
      </c>
      <c r="J7" s="9" t="n">
        <f aca="false">I7-H7</f>
        <v>5618893.36602467</v>
      </c>
      <c r="K7" s="11" t="n">
        <f aca="false">J7/H7</f>
        <v>0.0259642220553001</v>
      </c>
    </row>
    <row r="8" customFormat="false" ht="15" hidden="false" customHeight="false" outlineLevel="0" collapsed="false">
      <c r="A8" s="6" t="s">
        <v>16</v>
      </c>
      <c r="B8" s="18" t="n">
        <v>32050362891</v>
      </c>
      <c r="C8" s="7" t="n">
        <f aca="false">Población!E8</f>
        <v>4009678</v>
      </c>
      <c r="D8" s="8" t="n">
        <f aca="false">B8*C8</f>
        <v>1.28511634976059E+017</v>
      </c>
      <c r="E8" s="21" t="n">
        <f aca="false">D8/D$39*100</f>
        <v>3.51653138984192</v>
      </c>
      <c r="F8" s="21" t="n">
        <f aca="false">B8*Población!B8/SUMPRODUCT($B$7:$B$38,Población!$B$7:$B$38)*100</f>
        <v>3.30623004848758</v>
      </c>
      <c r="G8" s="21" t="n">
        <f aca="false">E8-F8</f>
        <v>0.210301341354346</v>
      </c>
      <c r="H8" s="8" t="n">
        <f aca="false">F8/100*$F$3</f>
        <v>2905258524.62768</v>
      </c>
      <c r="I8" s="8" t="n">
        <f aca="false">E8/100*$F$3</f>
        <v>3090055031.75211</v>
      </c>
      <c r="J8" s="9" t="n">
        <f aca="false">I8-H8</f>
        <v>184796507.124434</v>
      </c>
      <c r="K8" s="11" t="n">
        <f aca="false">J8/H8</f>
        <v>0.0636075948346511</v>
      </c>
    </row>
    <row r="9" customFormat="false" ht="15" hidden="false" customHeight="false" outlineLevel="0" collapsed="false">
      <c r="A9" s="6" t="s">
        <v>17</v>
      </c>
      <c r="B9" s="18" t="n">
        <v>6240882605</v>
      </c>
      <c r="C9" s="7" t="n">
        <f aca="false">Población!E9</f>
        <v>961514</v>
      </c>
      <c r="D9" s="8" t="n">
        <f aca="false">B9*C9</f>
        <v>6000695997063970</v>
      </c>
      <c r="E9" s="21" t="n">
        <f aca="false">D9/D$39*100</f>
        <v>0.164200197425745</v>
      </c>
      <c r="F9" s="21" t="n">
        <f aca="false">B9*Población!B9/SUMPRODUCT($B$7:$B$38,Población!$B$7:$B$38)*100</f>
        <v>0.150144141907845</v>
      </c>
      <c r="G9" s="21" t="n">
        <f aca="false">E9-F9</f>
        <v>0.0140560555179003</v>
      </c>
      <c r="H9" s="8" t="n">
        <f aca="false">F9/100*$F$3</f>
        <v>131935026.239392</v>
      </c>
      <c r="I9" s="8" t="n">
        <f aca="false">E9/100*$F$3</f>
        <v>144286397.595024</v>
      </c>
      <c r="J9" s="9" t="n">
        <f aca="false">I9-H9</f>
        <v>12351371.3556321</v>
      </c>
      <c r="K9" s="11" t="n">
        <f aca="false">J9/H9</f>
        <v>0.0936170758265585</v>
      </c>
    </row>
    <row r="10" customFormat="false" ht="15" hidden="false" customHeight="false" outlineLevel="0" collapsed="false">
      <c r="A10" s="6" t="s">
        <v>18</v>
      </c>
      <c r="B10" s="18" t="n">
        <v>3313630825</v>
      </c>
      <c r="C10" s="7" t="n">
        <f aca="false">Población!E10</f>
        <v>968673</v>
      </c>
      <c r="D10" s="8" t="n">
        <f aca="false">B10*C10</f>
        <v>3209824712145225</v>
      </c>
      <c r="E10" s="21" t="n">
        <f aca="false">D10/D$39*100</f>
        <v>0.0878321200897629</v>
      </c>
      <c r="F10" s="21" t="n">
        <f aca="false">B10*Población!B10/SUMPRODUCT($B$7:$B$38,Población!$B$7:$B$38)*100</f>
        <v>0.0837742258692741</v>
      </c>
      <c r="G10" s="21" t="n">
        <f aca="false">E10-F10</f>
        <v>0.00405789422048886</v>
      </c>
      <c r="H10" s="8" t="n">
        <f aca="false">F10/100*$F$3</f>
        <v>73614291.8917965</v>
      </c>
      <c r="I10" s="8" t="n">
        <f aca="false">E10/100*$F$3</f>
        <v>77180054.5892548</v>
      </c>
      <c r="J10" s="9" t="n">
        <f aca="false">I10-H10</f>
        <v>3565762.69745827</v>
      </c>
      <c r="K10" s="11" t="n">
        <f aca="false">J10/H10</f>
        <v>0.0484384567972137</v>
      </c>
    </row>
    <row r="11" customFormat="false" ht="15" hidden="false" customHeight="false" outlineLevel="0" collapsed="false">
      <c r="A11" s="6" t="s">
        <v>19</v>
      </c>
      <c r="B11" s="18" t="n">
        <v>16399735233</v>
      </c>
      <c r="C11" s="7" t="n">
        <f aca="false">Población!E11</f>
        <v>3415128</v>
      </c>
      <c r="D11" s="8" t="n">
        <f aca="false">B11*C11</f>
        <v>56007194986804800</v>
      </c>
      <c r="E11" s="21" t="n">
        <f aca="false">D11/D$39*100</f>
        <v>1.53255430346666</v>
      </c>
      <c r="F11" s="21" t="n">
        <f aca="false">B11*Población!B11/SUMPRODUCT($B$7:$B$38,Población!$B$7:$B$38)*100</f>
        <v>1.54610030078858</v>
      </c>
      <c r="G11" s="21" t="n">
        <f aca="false">E11-F11</f>
        <v>-0.013545997321915</v>
      </c>
      <c r="H11" s="8" t="n">
        <f aca="false">F11/100*$F$3</f>
        <v>1358593023.7523</v>
      </c>
      <c r="I11" s="8" t="n">
        <f aca="false">E11/100*$F$3</f>
        <v>1346689851.97752</v>
      </c>
      <c r="J11" s="9" t="n">
        <f aca="false">I11-H11</f>
        <v>-11903171.7747769</v>
      </c>
      <c r="K11" s="11" t="n">
        <f aca="false">J11/H11</f>
        <v>-0.00876139621407858</v>
      </c>
    </row>
    <row r="12" customFormat="false" ht="15" hidden="false" customHeight="false" outlineLevel="0" collapsed="false">
      <c r="A12" s="6" t="s">
        <v>20</v>
      </c>
      <c r="B12" s="18" t="n">
        <v>3126852128</v>
      </c>
      <c r="C12" s="7" t="n">
        <f aca="false">Población!E12</f>
        <v>762212</v>
      </c>
      <c r="D12" s="8" t="n">
        <f aca="false">B12*C12</f>
        <v>2383324214187136</v>
      </c>
      <c r="E12" s="21" t="n">
        <f aca="false">D12/D$39*100</f>
        <v>0.0652161527080465</v>
      </c>
      <c r="F12" s="21" t="n">
        <f aca="false">B12*Población!B12/SUMPRODUCT($B$7:$B$38,Población!$B$7:$B$38)*100</f>
        <v>0.0622167095329418</v>
      </c>
      <c r="G12" s="21" t="n">
        <f aca="false">E12-F12</f>
        <v>0.00299944317510467</v>
      </c>
      <c r="H12" s="8" t="n">
        <f aca="false">F12/100*$F$3</f>
        <v>54671218.6066875</v>
      </c>
      <c r="I12" s="8" t="n">
        <f aca="false">E12/100*$F$3</f>
        <v>57306896.6223765</v>
      </c>
      <c r="J12" s="9" t="n">
        <f aca="false">I12-H12</f>
        <v>2635678.01568902</v>
      </c>
      <c r="K12" s="11" t="n">
        <f aca="false">J12/H12</f>
        <v>0.0482096079593628</v>
      </c>
    </row>
    <row r="13" customFormat="false" ht="15" hidden="false" customHeight="false" outlineLevel="0" collapsed="false">
      <c r="A13" s="6" t="s">
        <v>21</v>
      </c>
      <c r="B13" s="18" t="n">
        <v>8053623880</v>
      </c>
      <c r="C13" s="7" t="n">
        <f aca="false">Población!E13</f>
        <v>5860728</v>
      </c>
      <c r="D13" s="8" t="n">
        <f aca="false">B13*C13</f>
        <v>47200098974984600</v>
      </c>
      <c r="E13" s="21" t="n">
        <f aca="false">D13/D$39*100</f>
        <v>1.29156110791136</v>
      </c>
      <c r="F13" s="21" t="n">
        <f aca="false">B13*Población!B13/SUMPRODUCT($B$7:$B$38,Población!$B$7:$B$38)*100</f>
        <v>1.31385110981783</v>
      </c>
      <c r="G13" s="21" t="n">
        <f aca="false">E13-F13</f>
        <v>-0.0222900019064682</v>
      </c>
      <c r="H13" s="8" t="n">
        <f aca="false">F13/100*$F$3</f>
        <v>1154510448.73175</v>
      </c>
      <c r="I13" s="8" t="n">
        <f aca="false">E13/100*$F$3</f>
        <v>1134923723.94157</v>
      </c>
      <c r="J13" s="9" t="n">
        <f aca="false">I13-H13</f>
        <v>-19586724.7901752</v>
      </c>
      <c r="K13" s="11" t="n">
        <f aca="false">J13/H13</f>
        <v>-0.0169653941302061</v>
      </c>
    </row>
    <row r="14" customFormat="false" ht="15" hidden="false" customHeight="false" outlineLevel="0" collapsed="false">
      <c r="A14" s="6" t="s">
        <v>22</v>
      </c>
      <c r="B14" s="18" t="n">
        <v>29378013855</v>
      </c>
      <c r="C14" s="7" t="n">
        <f aca="false">Población!E14</f>
        <v>3903944</v>
      </c>
      <c r="D14" s="8" t="n">
        <f aca="false">B14*C14</f>
        <v>1.14690120921144E+017</v>
      </c>
      <c r="E14" s="21" t="n">
        <f aca="false">D14/D$39*100</f>
        <v>3.13832603872096</v>
      </c>
      <c r="F14" s="21" t="n">
        <f aca="false">B14*Población!B14/SUMPRODUCT($B$7:$B$38,Población!$B$7:$B$38)*100</f>
        <v>3.18917595988741</v>
      </c>
      <c r="G14" s="21" t="n">
        <f aca="false">E14-F14</f>
        <v>-0.0508499211664528</v>
      </c>
      <c r="H14" s="8" t="n">
        <f aca="false">F14/100*$F$3</f>
        <v>2802400470.66264</v>
      </c>
      <c r="I14" s="8" t="n">
        <f aca="false">E14/100*$F$3</f>
        <v>2757717504.02726</v>
      </c>
      <c r="J14" s="9" t="n">
        <f aca="false">I14-H14</f>
        <v>-44682966.6353865</v>
      </c>
      <c r="K14" s="11" t="n">
        <f aca="false">J14/H14</f>
        <v>-0.0159445329470777</v>
      </c>
    </row>
    <row r="15" customFormat="false" ht="15" hidden="false" customHeight="false" outlineLevel="0" collapsed="false">
      <c r="A15" s="6" t="s">
        <v>23</v>
      </c>
      <c r="B15" s="18" t="n">
        <v>103599810122</v>
      </c>
      <c r="C15" s="7" t="n">
        <f aca="false">Población!E15</f>
        <v>9216407</v>
      </c>
      <c r="D15" s="8" t="n">
        <f aca="false">B15*C15</f>
        <v>9.54818015207072E+017</v>
      </c>
      <c r="E15" s="21" t="n">
        <f aca="false">D15/D$39*100</f>
        <v>26.1271870261999</v>
      </c>
      <c r="F15" s="21" t="n">
        <f aca="false">B15*Población!B15/SUMPRODUCT($B$7:$B$38,Población!$B$7:$B$38)*100</f>
        <v>26.4497138349198</v>
      </c>
      <c r="G15" s="21" t="n">
        <f aca="false">E15-F15</f>
        <v>-0.322526808719925</v>
      </c>
      <c r="H15" s="8" t="n">
        <f aca="false">F15/100*$F$3</f>
        <v>23241956992.0778</v>
      </c>
      <c r="I15" s="8" t="n">
        <f aca="false">E15/100*$F$3</f>
        <v>22958545448.8057</v>
      </c>
      <c r="J15" s="9" t="n">
        <f aca="false">I15-H15</f>
        <v>-283411543.272121</v>
      </c>
      <c r="K15" s="11" t="n">
        <f aca="false">J15/H15</f>
        <v>-0.0121939621249934</v>
      </c>
    </row>
    <row r="16" customFormat="false" ht="15" hidden="false" customHeight="false" outlineLevel="0" collapsed="false">
      <c r="A16" s="6" t="s">
        <v>24</v>
      </c>
      <c r="B16" s="18" t="n">
        <v>5695831479</v>
      </c>
      <c r="C16" s="7" t="n">
        <f aca="false">Población!E16</f>
        <v>1943290</v>
      </c>
      <c r="D16" s="8" t="n">
        <f aca="false">B16*C16</f>
        <v>11068652354825900</v>
      </c>
      <c r="E16" s="21" t="n">
        <f aca="false">D16/D$39*100</f>
        <v>0.302877350025499</v>
      </c>
      <c r="F16" s="21" t="n">
        <f aca="false">B16*Población!B16/SUMPRODUCT($B$7:$B$38,Población!$B$7:$B$38)*100</f>
        <v>0.302410017113281</v>
      </c>
      <c r="G16" s="21" t="n">
        <f aca="false">E16-F16</f>
        <v>0.000467332912217899</v>
      </c>
      <c r="H16" s="8" t="n">
        <f aca="false">F16/100*$F$3</f>
        <v>265734467.132154</v>
      </c>
      <c r="I16" s="8" t="n">
        <f aca="false">E16/100*$F$3</f>
        <v>266145123.047547</v>
      </c>
      <c r="J16" s="9" t="n">
        <f aca="false">I16-H16</f>
        <v>410655.915392637</v>
      </c>
      <c r="K16" s="11" t="n">
        <f aca="false">J16/H16</f>
        <v>0.0015453618788127</v>
      </c>
    </row>
    <row r="17" customFormat="false" ht="15" hidden="false" customHeight="false" outlineLevel="0" collapsed="false">
      <c r="A17" s="6" t="s">
        <v>25</v>
      </c>
      <c r="B17" s="18" t="n">
        <v>22628728014</v>
      </c>
      <c r="C17" s="7" t="n">
        <f aca="false">Población!E17</f>
        <v>6446935</v>
      </c>
      <c r="D17" s="8" t="n">
        <f aca="false">B17*C17</f>
        <v>1.45885938638937E+017</v>
      </c>
      <c r="E17" s="21" t="n">
        <f aca="false">D17/D$39*100</f>
        <v>3.99195358969595</v>
      </c>
      <c r="F17" s="21" t="n">
        <f aca="false">B17*Población!B17/SUMPRODUCT($B$7:$B$38,Población!$B$7:$B$38)*100</f>
        <v>3.92060089849537</v>
      </c>
      <c r="G17" s="21" t="n">
        <f aca="false">E17-F17</f>
        <v>0.0713526912005817</v>
      </c>
      <c r="H17" s="8" t="n">
        <f aca="false">F17/100*$F$3</f>
        <v>3445119975.00812</v>
      </c>
      <c r="I17" s="8" t="n">
        <f aca="false">E17/100*$F$3</f>
        <v>3507819185.6878</v>
      </c>
      <c r="J17" s="9" t="n">
        <f aca="false">I17-H17</f>
        <v>62699210.6796818</v>
      </c>
      <c r="K17" s="11" t="n">
        <f aca="false">J17/H17</f>
        <v>0.0181994273449168</v>
      </c>
    </row>
    <row r="18" customFormat="false" ht="15" hidden="false" customHeight="false" outlineLevel="0" collapsed="false">
      <c r="A18" s="6" t="s">
        <v>26</v>
      </c>
      <c r="B18" s="18" t="n">
        <v>5343602918</v>
      </c>
      <c r="C18" s="7" t="n">
        <f aca="false">Población!E18</f>
        <v>3418902</v>
      </c>
      <c r="D18" s="8" t="n">
        <f aca="false">B18*C18</f>
        <v>18269254703556000</v>
      </c>
      <c r="E18" s="21" t="n">
        <f aca="false">D18/D$39*100</f>
        <v>0.499911215401161</v>
      </c>
      <c r="F18" s="21" t="n">
        <f aca="false">B18*Población!B18/SUMPRODUCT($B$7:$B$38,Población!$B$7:$B$38)*100</f>
        <v>0.526181120142806</v>
      </c>
      <c r="G18" s="21" t="n">
        <f aca="false">E18-F18</f>
        <v>-0.0262699047416456</v>
      </c>
      <c r="H18" s="8" t="n">
        <f aca="false">F18/100*$F$3</f>
        <v>462367156.058098</v>
      </c>
      <c r="I18" s="8" t="n">
        <f aca="false">E18/100*$F$3</f>
        <v>439283201.35061</v>
      </c>
      <c r="J18" s="9" t="n">
        <f aca="false">I18-H18</f>
        <v>-23083954.7074879</v>
      </c>
      <c r="K18" s="11" t="n">
        <f aca="false">J18/H18</f>
        <v>-0.0499255935570548</v>
      </c>
    </row>
    <row r="19" customFormat="false" ht="15" hidden="false" customHeight="false" outlineLevel="0" collapsed="false">
      <c r="A19" s="6" t="s">
        <v>27</v>
      </c>
      <c r="B19" s="18" t="n">
        <v>6359045350</v>
      </c>
      <c r="C19" s="7" t="n">
        <f aca="false">Población!E19</f>
        <v>3245595</v>
      </c>
      <c r="D19" s="8" t="n">
        <f aca="false">B19*C19</f>
        <v>20638885792733300</v>
      </c>
      <c r="E19" s="21" t="n">
        <f aca="false">D19/D$39*100</f>
        <v>0.564752675934982</v>
      </c>
      <c r="F19" s="21" t="n">
        <f aca="false">B19*Población!B19/SUMPRODUCT($B$7:$B$38,Población!$B$7:$B$38)*100</f>
        <v>0.56402758676839</v>
      </c>
      <c r="G19" s="21" t="n">
        <f aca="false">E19-F19</f>
        <v>0.000725089166592308</v>
      </c>
      <c r="H19" s="8" t="n">
        <f aca="false">F19/100*$F$3</f>
        <v>495623695.433303</v>
      </c>
      <c r="I19" s="8" t="n">
        <f aca="false">E19/100*$F$3</f>
        <v>496260847.552624</v>
      </c>
      <c r="J19" s="9" t="n">
        <f aca="false">I19-H19</f>
        <v>637152.119321287</v>
      </c>
      <c r="K19" s="11" t="n">
        <f aca="false">J19/H19</f>
        <v>0.00128555620966478</v>
      </c>
    </row>
    <row r="20" customFormat="false" ht="15" hidden="false" customHeight="false" outlineLevel="0" collapsed="false">
      <c r="A20" s="6" t="s">
        <v>28</v>
      </c>
      <c r="B20" s="18" t="n">
        <v>37400090365</v>
      </c>
      <c r="C20" s="7" t="n">
        <f aca="false">Población!E20</f>
        <v>8679851</v>
      </c>
      <c r="D20" s="8" t="n">
        <f aca="false">B20*C20</f>
        <v>3.24627211754736E+017</v>
      </c>
      <c r="E20" s="21" t="n">
        <f aca="false">D20/D$39*100</f>
        <v>8.88294495938095</v>
      </c>
      <c r="F20" s="21" t="n">
        <f aca="false">B20*Población!B20/SUMPRODUCT($B$7:$B$38,Población!$B$7:$B$38)*100</f>
        <v>8.92426125603974</v>
      </c>
      <c r="G20" s="21" t="n">
        <f aca="false">E20-F20</f>
        <v>-0.0413162966587848</v>
      </c>
      <c r="H20" s="8" t="n">
        <f aca="false">F20/100*$F$3</f>
        <v>7841948597.00531</v>
      </c>
      <c r="I20" s="8" t="n">
        <f aca="false">E20/100*$F$3</f>
        <v>7805643040.12826</v>
      </c>
      <c r="J20" s="9" t="n">
        <f aca="false">I20-H20</f>
        <v>-36305556.8770514</v>
      </c>
      <c r="K20" s="11" t="n">
        <f aca="false">J20/H20</f>
        <v>-0.00462966014479051</v>
      </c>
    </row>
    <row r="21" customFormat="false" ht="15" hidden="false" customHeight="false" outlineLevel="0" collapsed="false">
      <c r="A21" s="6" t="s">
        <v>29</v>
      </c>
      <c r="B21" s="18" t="n">
        <v>53147294196</v>
      </c>
      <c r="C21" s="7" t="n">
        <f aca="false">Población!E21</f>
        <v>17612480</v>
      </c>
      <c r="D21" s="8" t="n">
        <f aca="false">B21*C21</f>
        <v>9.36055656081166E+017</v>
      </c>
      <c r="E21" s="21" t="n">
        <f aca="false">D21/D$39*100</f>
        <v>25.6137827354053</v>
      </c>
      <c r="F21" s="21" t="n">
        <f aca="false">B21*Población!B21/SUMPRODUCT($B$7:$B$38,Población!$B$7:$B$38)*100</f>
        <v>25.8126541881461</v>
      </c>
      <c r="G21" s="21" t="n">
        <f aca="false">E21-F21</f>
        <v>-0.198871452740764</v>
      </c>
      <c r="H21" s="8" t="n">
        <f aca="false">F21/100*$F$3</f>
        <v>22682158386.9165</v>
      </c>
      <c r="I21" s="8" t="n">
        <f aca="false">E21/100*$F$3</f>
        <v>22507405579.3663</v>
      </c>
      <c r="J21" s="9" t="n">
        <f aca="false">I21-H21</f>
        <v>-174752807.550243</v>
      </c>
      <c r="K21" s="11" t="n">
        <f aca="false">J21/H21</f>
        <v>-0.00770441703868201</v>
      </c>
    </row>
    <row r="22" customFormat="false" ht="15" hidden="false" customHeight="false" outlineLevel="0" collapsed="false">
      <c r="A22" s="6" t="s">
        <v>30</v>
      </c>
      <c r="B22" s="18" t="n">
        <v>9995352838</v>
      </c>
      <c r="C22" s="7" t="n">
        <f aca="false">Población!E22</f>
        <v>4889574</v>
      </c>
      <c r="D22" s="8" t="n">
        <f aca="false">B22*C22</f>
        <v>48873017357511000</v>
      </c>
      <c r="E22" s="21" t="n">
        <f aca="false">D22/D$39*100</f>
        <v>1.33733805258951</v>
      </c>
      <c r="F22" s="21" t="n">
        <f aca="false">B22*Población!B22/SUMPRODUCT($B$7:$B$38,Población!$B$7:$B$38)*100</f>
        <v>1.351094220659</v>
      </c>
      <c r="G22" s="21" t="n">
        <f aca="false">E22-F22</f>
        <v>-0.0137561680694904</v>
      </c>
      <c r="H22" s="8" t="n">
        <f aca="false">F22/100*$F$3</f>
        <v>1187236805.84185</v>
      </c>
      <c r="I22" s="8" t="n">
        <f aca="false">E22/100*$F$3</f>
        <v>1175148952.31564</v>
      </c>
      <c r="J22" s="9" t="n">
        <f aca="false">I22-H22</f>
        <v>-12087853.5262177</v>
      </c>
      <c r="K22" s="11" t="n">
        <f aca="false">J22/H22</f>
        <v>-0.010181501674088</v>
      </c>
    </row>
    <row r="23" customFormat="false" ht="15" hidden="false" customHeight="false" outlineLevel="0" collapsed="false">
      <c r="A23" s="6" t="s">
        <v>31</v>
      </c>
      <c r="B23" s="18" t="n">
        <v>5098806088</v>
      </c>
      <c r="C23" s="7" t="n">
        <f aca="false">Población!E23</f>
        <v>1997217</v>
      </c>
      <c r="D23" s="8" t="n">
        <f aca="false">B23*C23</f>
        <v>10183422198657100</v>
      </c>
      <c r="E23" s="21" t="n">
        <f aca="false">D23/D$39*100</f>
        <v>0.278654332148696</v>
      </c>
      <c r="F23" s="21" t="n">
        <f aca="false">B23*Población!B23/SUMPRODUCT($B$7:$B$38,Población!$B$7:$B$38)*100</f>
        <v>0.276237867191655</v>
      </c>
      <c r="G23" s="21" t="n">
        <f aca="false">E23-F23</f>
        <v>0.00241646495704095</v>
      </c>
      <c r="H23" s="8" t="n">
        <f aca="false">F23/100*$F$3</f>
        <v>242736411.778317</v>
      </c>
      <c r="I23" s="8" t="n">
        <f aca="false">E23/100*$F$3</f>
        <v>244859813.753663</v>
      </c>
      <c r="J23" s="9" t="n">
        <f aca="false">I23-H23</f>
        <v>2123401.97534615</v>
      </c>
      <c r="K23" s="11" t="n">
        <f aca="false">J23/H23</f>
        <v>0.00874776865897393</v>
      </c>
    </row>
    <row r="24" customFormat="false" ht="15" hidden="false" customHeight="false" outlineLevel="0" collapsed="false">
      <c r="A24" s="6" t="s">
        <v>32</v>
      </c>
      <c r="B24" s="18" t="n">
        <v>4160780168</v>
      </c>
      <c r="C24" s="7" t="n">
        <f aca="false">Población!E24</f>
        <v>1299075</v>
      </c>
      <c r="D24" s="8" t="n">
        <f aca="false">B24*C24</f>
        <v>5405165496744600</v>
      </c>
      <c r="E24" s="21" t="n">
        <f aca="false">D24/D$39*100</f>
        <v>0.147904383444611</v>
      </c>
      <c r="F24" s="21" t="n">
        <f aca="false">B24*Población!B24/SUMPRODUCT($B$7:$B$38,Población!$B$7:$B$38)*100</f>
        <v>0.141464028707846</v>
      </c>
      <c r="G24" s="21" t="n">
        <f aca="false">E24-F24</f>
        <v>0.00644035473676508</v>
      </c>
      <c r="H24" s="8" t="n">
        <f aca="false">F24/100*$F$3</f>
        <v>124307616.017116</v>
      </c>
      <c r="I24" s="8" t="n">
        <f aca="false">E24/100*$F$3</f>
        <v>129966900.224871</v>
      </c>
      <c r="J24" s="9" t="n">
        <f aca="false">I24-H24</f>
        <v>5659284.20775566</v>
      </c>
      <c r="K24" s="11" t="n">
        <f aca="false">J24/H24</f>
        <v>0.0455264479287934</v>
      </c>
    </row>
    <row r="25" customFormat="false" ht="15" hidden="false" customHeight="false" outlineLevel="0" collapsed="false">
      <c r="A25" s="6" t="s">
        <v>33</v>
      </c>
      <c r="B25" s="18" t="n">
        <v>44971267966</v>
      </c>
      <c r="C25" s="7" t="n">
        <f aca="false">Población!E25</f>
        <v>6291899</v>
      </c>
      <c r="D25" s="8" t="n">
        <f aca="false">B25*C25</f>
        <v>2.82954675944007E+017</v>
      </c>
      <c r="E25" s="21" t="n">
        <f aca="false">D25/D$39*100</f>
        <v>7.74263746659995</v>
      </c>
      <c r="F25" s="21" t="n">
        <f aca="false">B25*Población!B25/SUMPRODUCT($B$7:$B$38,Población!$B$7:$B$38)*100</f>
        <v>7.55403594232776</v>
      </c>
      <c r="G25" s="21" t="n">
        <f aca="false">E25-F25</f>
        <v>0.188601524272193</v>
      </c>
      <c r="H25" s="8" t="n">
        <f aca="false">F25/100*$F$3</f>
        <v>6637900870.45845</v>
      </c>
      <c r="I25" s="8" t="n">
        <f aca="false">E25/100*$F$3</f>
        <v>6803629261.43966</v>
      </c>
      <c r="J25" s="9" t="n">
        <f aca="false">I25-H25</f>
        <v>165728390.981206</v>
      </c>
      <c r="K25" s="11" t="n">
        <f aca="false">J25/H25</f>
        <v>0.0249669879402341</v>
      </c>
    </row>
    <row r="26" customFormat="false" ht="15" hidden="false" customHeight="false" outlineLevel="0" collapsed="false">
      <c r="A26" s="6" t="s">
        <v>34</v>
      </c>
      <c r="B26" s="18" t="n">
        <v>5676564891</v>
      </c>
      <c r="C26" s="7" t="n">
        <f aca="false">Población!E26</f>
        <v>4169180</v>
      </c>
      <c r="D26" s="8" t="n">
        <f aca="false">B26*C26</f>
        <v>23666620812259400</v>
      </c>
      <c r="E26" s="21" t="n">
        <f aca="false">D26/D$39*100</f>
        <v>0.64760218009288</v>
      </c>
      <c r="F26" s="21" t="n">
        <f aca="false">B26*Población!B26/SUMPRODUCT($B$7:$B$38,Población!$B$7:$B$38)*100</f>
        <v>0.655968793197041</v>
      </c>
      <c r="G26" s="21" t="n">
        <f aca="false">E26-F26</f>
        <v>-0.00836661310416131</v>
      </c>
      <c r="H26" s="8" t="n">
        <f aca="false">F26/100*$F$3</f>
        <v>576414496.383038</v>
      </c>
      <c r="I26" s="8" t="n">
        <f aca="false">E26/100*$F$3</f>
        <v>569062565.728895</v>
      </c>
      <c r="J26" s="9" t="n">
        <f aca="false">I26-H26</f>
        <v>-7351930.65414357</v>
      </c>
      <c r="K26" s="11" t="n">
        <f aca="false">J26/H26</f>
        <v>-0.0127545901435103</v>
      </c>
    </row>
    <row r="27" customFormat="false" ht="15" hidden="false" customHeight="false" outlineLevel="0" collapsed="false">
      <c r="A27" s="6" t="s">
        <v>35</v>
      </c>
      <c r="B27" s="18" t="n">
        <v>12070661710</v>
      </c>
      <c r="C27" s="7" t="n">
        <f aca="false">Población!E27</f>
        <v>6851933</v>
      </c>
      <c r="D27" s="8" t="n">
        <f aca="false">B27*C27</f>
        <v>82707365302585400</v>
      </c>
      <c r="E27" s="21" t="n">
        <f aca="false">D27/D$39*100</f>
        <v>2.26316509249802</v>
      </c>
      <c r="F27" s="21" t="n">
        <f aca="false">B27*Población!B27/SUMPRODUCT($B$7:$B$38,Población!$B$7:$B$38)*100</f>
        <v>2.18486180314126</v>
      </c>
      <c r="G27" s="21" t="n">
        <f aca="false">E27-F27</f>
        <v>0.078303289356763</v>
      </c>
      <c r="H27" s="8" t="n">
        <f aca="false">F27/100*$F$3</f>
        <v>1919887087.59489</v>
      </c>
      <c r="I27" s="8" t="n">
        <f aca="false">E27/100*$F$3</f>
        <v>1988693944.82317</v>
      </c>
      <c r="J27" s="9" t="n">
        <f aca="false">I27-H27</f>
        <v>68806857.2282767</v>
      </c>
      <c r="K27" s="11" t="n">
        <f aca="false">J27/H27</f>
        <v>0.0358390124465462</v>
      </c>
    </row>
    <row r="28" customFormat="false" ht="15" hidden="false" customHeight="false" outlineLevel="0" collapsed="false">
      <c r="A28" s="6" t="s">
        <v>36</v>
      </c>
      <c r="B28" s="18" t="n">
        <v>16610144570</v>
      </c>
      <c r="C28" s="7" t="n">
        <f aca="false">Población!E28</f>
        <v>2606836</v>
      </c>
      <c r="D28" s="8" t="n">
        <f aca="false">B28*C28</f>
        <v>43299922830280500</v>
      </c>
      <c r="E28" s="21" t="n">
        <f aca="false">D28/D$39*100</f>
        <v>1.18483853885121</v>
      </c>
      <c r="F28" s="21" t="n">
        <f aca="false">B28*Población!B28/SUMPRODUCT($B$7:$B$38,Población!$B$7:$B$38)*100</f>
        <v>1.14679048977026</v>
      </c>
      <c r="G28" s="21" t="n">
        <f aca="false">E28-F28</f>
        <v>0.0380480490809521</v>
      </c>
      <c r="H28" s="8" t="n">
        <f aca="false">F28/100*$F$3</f>
        <v>1007710533.60037</v>
      </c>
      <c r="I28" s="8" t="n">
        <f aca="false">E28/100*$F$3</f>
        <v>1041144208.00196</v>
      </c>
      <c r="J28" s="9" t="n">
        <f aca="false">I28-H28</f>
        <v>33433674.4015905</v>
      </c>
      <c r="K28" s="11" t="n">
        <f aca="false">J28/H28</f>
        <v>0.0331778554324899</v>
      </c>
    </row>
    <row r="29" customFormat="false" ht="15" hidden="false" customHeight="false" outlineLevel="0" collapsed="false">
      <c r="A29" s="6" t="s">
        <v>37</v>
      </c>
      <c r="B29" s="18" t="n">
        <v>19369943128</v>
      </c>
      <c r="C29" s="7" t="n">
        <f aca="false">Población!E29</f>
        <v>2100792</v>
      </c>
      <c r="D29" s="8" t="n">
        <f aca="false">B29*C29</f>
        <v>40692221563757400</v>
      </c>
      <c r="E29" s="21" t="n">
        <f aca="false">D29/D$39*100</f>
        <v>1.11348263896894</v>
      </c>
      <c r="F29" s="21" t="n">
        <f aca="false">B29*Población!B29/SUMPRODUCT($B$7:$B$38,Población!$B$7:$B$38)*100</f>
        <v>1.00757953657282</v>
      </c>
      <c r="G29" s="21" t="n">
        <f aca="false">E29-F29</f>
        <v>0.105903102396123</v>
      </c>
      <c r="H29" s="8" t="n">
        <f aca="false">F29/100*$F$3</f>
        <v>885382745.585913</v>
      </c>
      <c r="I29" s="8" t="n">
        <f aca="false">E29/100*$F$3</f>
        <v>978442177.781685</v>
      </c>
      <c r="J29" s="9" t="n">
        <f aca="false">I29-H29</f>
        <v>93059432.1957719</v>
      </c>
      <c r="K29" s="11" t="n">
        <f aca="false">J29/H29</f>
        <v>0.105106444257832</v>
      </c>
    </row>
    <row r="30" customFormat="false" ht="15" hidden="false" customHeight="false" outlineLevel="0" collapsed="false">
      <c r="A30" s="6" t="s">
        <v>38</v>
      </c>
      <c r="B30" s="18" t="n">
        <v>8859478216</v>
      </c>
      <c r="C30" s="7" t="n">
        <f aca="false">Población!E30</f>
        <v>2889524</v>
      </c>
      <c r="D30" s="8" t="n">
        <f aca="false">B30*C30</f>
        <v>25599674932609200</v>
      </c>
      <c r="E30" s="21" t="n">
        <f aca="false">D30/D$39*100</f>
        <v>0.700497355644414</v>
      </c>
      <c r="F30" s="21" t="n">
        <f aca="false">B30*Población!B30/SUMPRODUCT($B$7:$B$38,Población!$B$7:$B$38)*100</f>
        <v>0.69797323586855</v>
      </c>
      <c r="G30" s="21" t="n">
        <f aca="false">E30-F30</f>
        <v>0.00252411977586409</v>
      </c>
      <c r="H30" s="8" t="n">
        <f aca="false">F30/100*$F$3</f>
        <v>613324742.601223</v>
      </c>
      <c r="I30" s="8" t="n">
        <f aca="false">E30/100*$F$3</f>
        <v>615542743.281292</v>
      </c>
      <c r="J30" s="9" t="n">
        <f aca="false">I30-H30</f>
        <v>2218000.68006909</v>
      </c>
      <c r="K30" s="11" t="n">
        <f aca="false">J30/H30</f>
        <v>0.00361635610959072</v>
      </c>
    </row>
    <row r="31" customFormat="false" ht="15" hidden="false" customHeight="false" outlineLevel="0" collapsed="false">
      <c r="A31" s="6" t="s">
        <v>39</v>
      </c>
      <c r="B31" s="18" t="n">
        <v>13161541989</v>
      </c>
      <c r="C31" s="7" t="n">
        <f aca="false">Población!E31</f>
        <v>3102935</v>
      </c>
      <c r="D31" s="8" t="n">
        <f aca="false">B31*C31</f>
        <v>40839409291637700</v>
      </c>
      <c r="E31" s="21" t="n">
        <f aca="false">D31/D$39*100</f>
        <v>1.11751021410163</v>
      </c>
      <c r="F31" s="21" t="n">
        <f aca="false">B31*Población!B31/SUMPRODUCT($B$7:$B$38,Población!$B$7:$B$38)*100</f>
        <v>1.13002208658039</v>
      </c>
      <c r="G31" s="21" t="n">
        <f aca="false">E31-F31</f>
        <v>-0.0125118724787627</v>
      </c>
      <c r="H31" s="8" t="n">
        <f aca="false">F31/100*$F$3</f>
        <v>992975761.489142</v>
      </c>
      <c r="I31" s="8" t="n">
        <f aca="false">E31/100*$F$3</f>
        <v>981981298.416432</v>
      </c>
      <c r="J31" s="9" t="n">
        <f aca="false">I31-H31</f>
        <v>-10994463.0727097</v>
      </c>
      <c r="K31" s="11" t="n">
        <f aca="false">J31/H31</f>
        <v>-0.011072237106998</v>
      </c>
    </row>
    <row r="32" customFormat="false" ht="15" hidden="false" customHeight="false" outlineLevel="0" collapsed="false">
      <c r="A32" s="6" t="s">
        <v>40</v>
      </c>
      <c r="B32" s="18" t="n">
        <v>16407372864</v>
      </c>
      <c r="C32" s="7" t="n">
        <f aca="false">Población!E32</f>
        <v>3049889</v>
      </c>
      <c r="D32" s="8" t="n">
        <f aca="false">B32*C32</f>
        <v>50040666016812100</v>
      </c>
      <c r="E32" s="21" t="n">
        <f aca="false">D32/D$39*100</f>
        <v>1.36928903635455</v>
      </c>
      <c r="F32" s="21" t="n">
        <f aca="false">B32*Población!B32/SUMPRODUCT($B$7:$B$38,Población!$B$7:$B$38)*100</f>
        <v>1.36281981254886</v>
      </c>
      <c r="G32" s="21" t="n">
        <f aca="false">E32-F32</f>
        <v>0.00646922380568782</v>
      </c>
      <c r="H32" s="8" t="n">
        <f aca="false">F32/100*$F$3</f>
        <v>1197540346.51952</v>
      </c>
      <c r="I32" s="8" t="n">
        <f aca="false">E32/100*$F$3</f>
        <v>1203224998.62587</v>
      </c>
      <c r="J32" s="9" t="n">
        <f aca="false">I32-H32</f>
        <v>5684652.10634589</v>
      </c>
      <c r="K32" s="11" t="n">
        <f aca="false">J32/H32</f>
        <v>0.00474693994475217</v>
      </c>
    </row>
    <row r="33" customFormat="false" ht="15" hidden="false" customHeight="false" outlineLevel="0" collapsed="false">
      <c r="A33" s="6" t="s">
        <v>41</v>
      </c>
      <c r="B33" s="18" t="n">
        <v>4819016505</v>
      </c>
      <c r="C33" s="7" t="n">
        <f aca="false">Población!E33</f>
        <v>2527009</v>
      </c>
      <c r="D33" s="8" t="n">
        <f aca="false">B33*C33</f>
        <v>12177698079283500</v>
      </c>
      <c r="E33" s="21" t="n">
        <f aca="false">D33/D$39*100</f>
        <v>0.333224750893536</v>
      </c>
      <c r="F33" s="21" t="n">
        <f aca="false">B33*Población!B33/SUMPRODUCT($B$7:$B$38,Población!$B$7:$B$38)*100</f>
        <v>0.336054670611962</v>
      </c>
      <c r="G33" s="21" t="n">
        <f aca="false">E33-F33</f>
        <v>-0.00282991971842639</v>
      </c>
      <c r="H33" s="8" t="n">
        <f aca="false">F33/100*$F$3</f>
        <v>295298779.037764</v>
      </c>
      <c r="I33" s="8" t="n">
        <f aca="false">E33/100*$F$3</f>
        <v>292812065.087012</v>
      </c>
      <c r="J33" s="9" t="n">
        <f aca="false">I33-H33</f>
        <v>-2486713.95075226</v>
      </c>
      <c r="K33" s="11" t="n">
        <f aca="false">J33/H33</f>
        <v>-0.0084210099305363</v>
      </c>
    </row>
    <row r="34" customFormat="false" ht="15" hidden="false" customHeight="false" outlineLevel="0" collapsed="false">
      <c r="A34" s="6" t="s">
        <v>42</v>
      </c>
      <c r="B34" s="18" t="n">
        <v>15297439759</v>
      </c>
      <c r="C34" s="7" t="n">
        <f aca="false">Población!E34</f>
        <v>3620715</v>
      </c>
      <c r="D34" s="8" t="n">
        <f aca="false">B34*C34</f>
        <v>55387669597007700</v>
      </c>
      <c r="E34" s="21" t="n">
        <f aca="false">D34/D$39*100</f>
        <v>1.51560190471746</v>
      </c>
      <c r="F34" s="21" t="n">
        <f aca="false">B34*Población!B34/SUMPRODUCT($B$7:$B$38,Población!$B$7:$B$38)*100</f>
        <v>1.49102587495904</v>
      </c>
      <c r="G34" s="21" t="n">
        <f aca="false">E34-F34</f>
        <v>0.0245760297584259</v>
      </c>
      <c r="H34" s="8" t="n">
        <f aca="false">F34/100*$F$3</f>
        <v>1310197890.08534</v>
      </c>
      <c r="I34" s="8" t="n">
        <f aca="false">E34/100*$F$3</f>
        <v>1331793398.84005</v>
      </c>
      <c r="J34" s="9" t="n">
        <f aca="false">I34-H34</f>
        <v>21595508.7547014</v>
      </c>
      <c r="K34" s="11" t="n">
        <f aca="false">J34/H34</f>
        <v>0.0164826313018216</v>
      </c>
    </row>
    <row r="35" customFormat="false" ht="15" hidden="false" customHeight="false" outlineLevel="0" collapsed="false">
      <c r="A35" s="6" t="s">
        <v>43</v>
      </c>
      <c r="B35" s="18" t="n">
        <v>2196216088</v>
      </c>
      <c r="C35" s="7" t="n">
        <f aca="false">Población!E35</f>
        <v>1419482</v>
      </c>
      <c r="D35" s="8" t="n">
        <f aca="false">B35*C35</f>
        <v>3117489205026416</v>
      </c>
      <c r="E35" s="21" t="n">
        <f aca="false">D35/D$39*100</f>
        <v>0.0853054950939736</v>
      </c>
      <c r="F35" s="21" t="n">
        <f aca="false">B35*Población!B35/SUMPRODUCT($B$7:$B$38,Población!$B$7:$B$38)*100</f>
        <v>0.0885482007238103</v>
      </c>
      <c r="G35" s="21" t="n">
        <f aca="false">E35-F35</f>
        <v>-0.0032427056298367</v>
      </c>
      <c r="H35" s="8" t="n">
        <f aca="false">F35/100*$F$3</f>
        <v>77809290.7089067</v>
      </c>
      <c r="I35" s="8" t="n">
        <f aca="false">E35/100*$F$3</f>
        <v>74959852.5162284</v>
      </c>
      <c r="J35" s="9" t="n">
        <f aca="false">I35-H35</f>
        <v>-2849438.19267833</v>
      </c>
      <c r="K35" s="11" t="n">
        <f aca="false">J35/H35</f>
        <v>-0.036620796394847</v>
      </c>
    </row>
    <row r="36" customFormat="false" ht="15" hidden="false" customHeight="false" outlineLevel="0" collapsed="false">
      <c r="A36" s="6" t="s">
        <v>44</v>
      </c>
      <c r="B36" s="18" t="n">
        <v>15085123820</v>
      </c>
      <c r="C36" s="7" t="n">
        <f aca="false">Población!E36</f>
        <v>7917876</v>
      </c>
      <c r="D36" s="8" t="n">
        <f aca="false">B36*C36</f>
        <v>1.19442139851406E+017</v>
      </c>
      <c r="E36" s="21" t="n">
        <f aca="false">D36/D$39*100</f>
        <v>3.26835802949365</v>
      </c>
      <c r="F36" s="21" t="n">
        <f aca="false">B36*Población!B36/SUMPRODUCT($B$7:$B$38,Población!$B$7:$B$38)*100</f>
        <v>3.34159912921471</v>
      </c>
      <c r="G36" s="21" t="n">
        <f aca="false">E36-F36</f>
        <v>-0.0732410997210664</v>
      </c>
      <c r="H36" s="8" t="n">
        <f aca="false">F36/100*$F$3</f>
        <v>2936338129.42946</v>
      </c>
      <c r="I36" s="8" t="n">
        <f aca="false">E36/100*$F$3</f>
        <v>2871979531.81309</v>
      </c>
      <c r="J36" s="9" t="n">
        <f aca="false">I36-H36</f>
        <v>-64358597.6163611</v>
      </c>
      <c r="K36" s="11" t="n">
        <f aca="false">J36/H36</f>
        <v>-0.0219179790540221</v>
      </c>
    </row>
    <row r="37" customFormat="false" ht="15" hidden="false" customHeight="false" outlineLevel="0" collapsed="false">
      <c r="A37" s="6" t="s">
        <v>45</v>
      </c>
      <c r="B37" s="18" t="n">
        <v>8921829182</v>
      </c>
      <c r="C37" s="7" t="n">
        <f aca="false">Población!E37</f>
        <v>2506448</v>
      </c>
      <c r="D37" s="8" t="n">
        <f aca="false">B37*C37</f>
        <v>22362100909565500</v>
      </c>
      <c r="E37" s="21" t="n">
        <f aca="false">D37/D$39*100</f>
        <v>0.611905916580623</v>
      </c>
      <c r="F37" s="21" t="n">
        <f aca="false">B37*Población!B37/SUMPRODUCT($B$7:$B$38,Población!$B$7:$B$38)*100</f>
        <v>0.585107431172401</v>
      </c>
      <c r="G37" s="21" t="n">
        <f aca="false">E37-F37</f>
        <v>0.0267984854082215</v>
      </c>
      <c r="H37" s="8" t="n">
        <f aca="false">F37/100*$F$3</f>
        <v>514147027.674081</v>
      </c>
      <c r="I37" s="8" t="n">
        <f aca="false">E37/100*$F$3</f>
        <v>537695458.072916</v>
      </c>
      <c r="J37" s="9" t="n">
        <f aca="false">I37-H37</f>
        <v>23548430.3988348</v>
      </c>
      <c r="K37" s="11" t="n">
        <f aca="false">J37/H37</f>
        <v>0.0458009657380772</v>
      </c>
    </row>
    <row r="38" customFormat="false" ht="15" hidden="false" customHeight="false" outlineLevel="0" collapsed="false">
      <c r="A38" s="6" t="s">
        <v>46</v>
      </c>
      <c r="B38" s="18" t="n">
        <v>5425831297</v>
      </c>
      <c r="C38" s="7" t="n">
        <f aca="false">Población!E38</f>
        <v>1686419</v>
      </c>
      <c r="D38" s="8" t="n">
        <f aca="false">B38*C38</f>
        <v>9150224990055440</v>
      </c>
      <c r="E38" s="21" t="n">
        <f aca="false">D38/D$39*100</f>
        <v>0.250382414072005</v>
      </c>
      <c r="F38" s="21" t="n">
        <f aca="false">B38*Población!B38/SUMPRODUCT($B$7:$B$38,Población!$B$7:$B$38)*100</f>
        <v>0.251198532511047</v>
      </c>
      <c r="G38" s="21" t="n">
        <f aca="false">E38-F38</f>
        <v>-0.000816118439041835</v>
      </c>
      <c r="H38" s="8" t="n">
        <f aca="false">F38/100*$F$3</f>
        <v>220733786.593442</v>
      </c>
      <c r="I38" s="8" t="n">
        <f aca="false">E38/100*$F$3</f>
        <v>220016645.010019</v>
      </c>
      <c r="J38" s="9" t="n">
        <f aca="false">I38-H38</f>
        <v>-717141.583422691</v>
      </c>
      <c r="K38" s="11" t="n">
        <f aca="false">J38/H38</f>
        <v>-0.00324889811609836</v>
      </c>
    </row>
    <row r="39" customFormat="false" ht="15" hidden="false" customHeight="false" outlineLevel="0" collapsed="false">
      <c r="A39" s="13" t="s">
        <v>47</v>
      </c>
      <c r="B39" s="22"/>
      <c r="C39" s="14" t="n">
        <f aca="false">SUM(C7:C38)</f>
        <v>130911314</v>
      </c>
      <c r="D39" s="14" t="n">
        <f aca="false">SUM(D7:D38)</f>
        <v>3.65449986732056E+018</v>
      </c>
      <c r="E39" s="23" t="n">
        <f aca="false">SUM(E7:E38)</f>
        <v>100</v>
      </c>
      <c r="F39" s="23" t="n">
        <f aca="false">SUM(F7:F38)</f>
        <v>100</v>
      </c>
      <c r="G39" s="23" t="n">
        <f aca="false">SUM(G7:G38)</f>
        <v>1.66533453693773E-016</v>
      </c>
      <c r="H39" s="14" t="n">
        <f aca="false">SUM(H7:H38)</f>
        <v>87872243673.9294</v>
      </c>
      <c r="I39" s="14" t="n">
        <f aca="false">SUM(I7:I38)</f>
        <v>87872243673.9294</v>
      </c>
      <c r="J39" s="14" t="n">
        <f aca="false">SUM(J7:J38)</f>
        <v>3.30060720443726E-006</v>
      </c>
      <c r="K39" s="15" t="n">
        <f aca="false">J39/H39</f>
        <v>3.75614308505076E-017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1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6" customFormat="false" ht="61.5" hidden="false" customHeight="true" outlineLevel="0" collapsed="false">
      <c r="A6" s="5" t="s">
        <v>4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101</v>
      </c>
      <c r="G6" s="16" t="s">
        <v>102</v>
      </c>
      <c r="H6" s="16" t="s">
        <v>103</v>
      </c>
      <c r="I6" s="16" t="s">
        <v>104</v>
      </c>
      <c r="J6" s="16" t="s">
        <v>105</v>
      </c>
      <c r="K6" s="17" t="s">
        <v>76</v>
      </c>
      <c r="L6" s="17" t="s">
        <v>58</v>
      </c>
    </row>
    <row r="7" customFormat="false" ht="15" hidden="false" customHeight="false" outlineLevel="0" collapsed="false">
      <c r="A7" s="6" t="s">
        <v>15</v>
      </c>
      <c r="B7" s="18" t="n">
        <v>3041387268</v>
      </c>
      <c r="C7" s="7" t="n">
        <f aca="false">'Cuadro 3'!J7</f>
        <v>5888939197.01872</v>
      </c>
      <c r="D7" s="7" t="n">
        <f aca="false">'Cuadro 4'!K7</f>
        <v>3078110074.11257</v>
      </c>
      <c r="E7" s="7" t="n">
        <f aca="false">'Cuadro 5'!H7</f>
        <v>216409078.387068</v>
      </c>
      <c r="F7" s="9" t="n">
        <f aca="false">SUM(B7:E7)</f>
        <v>12224845617.5184</v>
      </c>
      <c r="G7" s="7" t="n">
        <f aca="false">'Cuadro 3'!K7</f>
        <v>6021949036.82618</v>
      </c>
      <c r="H7" s="7" t="n">
        <f aca="false">'Cuadro 4'!L7</f>
        <v>3147378070.83362</v>
      </c>
      <c r="I7" s="7" t="n">
        <f aca="false">'Cuadro 5'!I7</f>
        <v>222027971.753092</v>
      </c>
      <c r="J7" s="9" t="n">
        <f aca="false">B7+SUM(G7:I7)</f>
        <v>12432742347.4129</v>
      </c>
      <c r="K7" s="9" t="n">
        <f aca="false">J7-F7</f>
        <v>207896729.894533</v>
      </c>
      <c r="L7" s="11" t="n">
        <f aca="false">K7/F7</f>
        <v>0.01700608223605</v>
      </c>
    </row>
    <row r="8" customFormat="false" ht="15" hidden="false" customHeight="false" outlineLevel="0" collapsed="false">
      <c r="A8" s="6" t="s">
        <v>16</v>
      </c>
      <c r="B8" s="18" t="n">
        <v>7626756012</v>
      </c>
      <c r="C8" s="7" t="n">
        <f aca="false">'Cuadro 3'!J8</f>
        <v>14926568790.5447</v>
      </c>
      <c r="D8" s="7" t="n">
        <f aca="false">'Cuadro 4'!K8</f>
        <v>7916667903.28583</v>
      </c>
      <c r="E8" s="7" t="n">
        <f aca="false">'Cuadro 5'!H8</f>
        <v>2905258524.62768</v>
      </c>
      <c r="F8" s="9" t="n">
        <f aca="false">SUM(B8:E8)</f>
        <v>33375251230.4582</v>
      </c>
      <c r="G8" s="7" t="n">
        <f aca="false">'Cuadro 3'!K8</f>
        <v>15823742463.1719</v>
      </c>
      <c r="H8" s="7" t="n">
        <f aca="false">'Cuadro 4'!L8</f>
        <v>8391824815.00094</v>
      </c>
      <c r="I8" s="7" t="n">
        <f aca="false">'Cuadro 5'!I8</f>
        <v>3090055031.75211</v>
      </c>
      <c r="J8" s="9" t="n">
        <f aca="false">B8+SUM(G8:I8)</f>
        <v>34932378321.9249</v>
      </c>
      <c r="K8" s="9" t="n">
        <f aca="false">J8-F8</f>
        <v>1557127091.46676</v>
      </c>
      <c r="L8" s="11" t="n">
        <f aca="false">K8/F8</f>
        <v>0.0466551421804948</v>
      </c>
    </row>
    <row r="9" customFormat="false" ht="15" hidden="false" customHeight="false" outlineLevel="0" collapsed="false">
      <c r="A9" s="6" t="s">
        <v>17</v>
      </c>
      <c r="B9" s="18" t="n">
        <v>1922951364</v>
      </c>
      <c r="C9" s="7" t="n">
        <f aca="false">'Cuadro 3'!J9</f>
        <v>3609169578.21351</v>
      </c>
      <c r="D9" s="7" t="n">
        <f aca="false">'Cuadro 4'!K9</f>
        <v>1742186138.54789</v>
      </c>
      <c r="E9" s="7" t="n">
        <f aca="false">'Cuadro 5'!H9</f>
        <v>131935026.239392</v>
      </c>
      <c r="F9" s="9" t="n">
        <f aca="false">SUM(B9:E9)</f>
        <v>7406242107.00079</v>
      </c>
      <c r="G9" s="7" t="n">
        <f aca="false">'Cuadro 3'!K9</f>
        <v>3934054392.19287</v>
      </c>
      <c r="H9" s="7" t="n">
        <f aca="false">'Cuadro 4'!L9</f>
        <v>1898857564.11083</v>
      </c>
      <c r="I9" s="7" t="n">
        <f aca="false">'Cuadro 5'!I9</f>
        <v>144286397.595024</v>
      </c>
      <c r="J9" s="9" t="n">
        <f aca="false">B9+SUM(G9:I9)</f>
        <v>7900149717.89873</v>
      </c>
      <c r="K9" s="9" t="n">
        <f aca="false">J9-F9</f>
        <v>493907610.897932</v>
      </c>
      <c r="L9" s="11" t="n">
        <f aca="false">K9/F9</f>
        <v>0.0666880185338612</v>
      </c>
    </row>
    <row r="10" customFormat="false" ht="15" hidden="false" customHeight="false" outlineLevel="0" collapsed="false">
      <c r="A10" s="6" t="s">
        <v>18</v>
      </c>
      <c r="B10" s="18" t="n">
        <v>2717270016</v>
      </c>
      <c r="C10" s="7" t="n">
        <f aca="false">'Cuadro 3'!J10</f>
        <v>3071752914.07635</v>
      </c>
      <c r="D10" s="7" t="n">
        <f aca="false">'Cuadro 4'!K10</f>
        <v>1736498384.73182</v>
      </c>
      <c r="E10" s="7" t="n">
        <f aca="false">'Cuadro 5'!H10</f>
        <v>73614291.8917965</v>
      </c>
      <c r="F10" s="9" t="n">
        <f aca="false">SUM(B10:E10)</f>
        <v>7599135606.69996</v>
      </c>
      <c r="G10" s="7" t="n">
        <f aca="false">'Cuadro 3'!K10</f>
        <v>3209940711.13154</v>
      </c>
      <c r="H10" s="7" t="n">
        <f aca="false">'Cuadro 4'!L10</f>
        <v>1814470360.61706</v>
      </c>
      <c r="I10" s="7" t="n">
        <f aca="false">'Cuadro 5'!I10</f>
        <v>77180054.5892548</v>
      </c>
      <c r="J10" s="9" t="n">
        <f aca="false">B10+SUM(G10:I10)</f>
        <v>7818861142.33785</v>
      </c>
      <c r="K10" s="9" t="n">
        <f aca="false">J10-F10</f>
        <v>219725535.637894</v>
      </c>
      <c r="L10" s="11" t="n">
        <f aca="false">K10/F10</f>
        <v>0.0289145433125535</v>
      </c>
    </row>
    <row r="11" customFormat="false" ht="15" hidden="false" customHeight="false" outlineLevel="0" collapsed="false">
      <c r="A11" s="6" t="s">
        <v>19</v>
      </c>
      <c r="B11" s="18" t="n">
        <v>6458269884</v>
      </c>
      <c r="C11" s="7" t="n">
        <f aca="false">'Cuadro 3'!J11</f>
        <v>13804012402.0582</v>
      </c>
      <c r="D11" s="7" t="n">
        <f aca="false">'Cuadro 4'!K11</f>
        <v>7256812546.33821</v>
      </c>
      <c r="E11" s="7" t="n">
        <f aca="false">'Cuadro 5'!H11</f>
        <v>1358593023.7523</v>
      </c>
      <c r="F11" s="9" t="n">
        <f aca="false">SUM(B11:E11)</f>
        <v>28877687856.1487</v>
      </c>
      <c r="G11" s="7" t="n">
        <f aca="false">'Cuadro 3'!K11</f>
        <v>13638020456.1834</v>
      </c>
      <c r="H11" s="7" t="n">
        <f aca="false">'Cuadro 4'!L11</f>
        <v>7168968370.55994</v>
      </c>
      <c r="I11" s="7" t="n">
        <f aca="false">'Cuadro 5'!I11</f>
        <v>1346689851.97752</v>
      </c>
      <c r="J11" s="9" t="n">
        <f aca="false">B11+SUM(G11:I11)</f>
        <v>28611948562.7209</v>
      </c>
      <c r="K11" s="9" t="n">
        <f aca="false">J11-F11</f>
        <v>-265739293.427834</v>
      </c>
      <c r="L11" s="11" t="n">
        <f aca="false">K11/F11</f>
        <v>-0.00920223581443179</v>
      </c>
    </row>
    <row r="12" customFormat="false" ht="15" hidden="false" customHeight="false" outlineLevel="0" collapsed="false">
      <c r="A12" s="6" t="s">
        <v>20</v>
      </c>
      <c r="B12" s="18" t="n">
        <v>1970839320</v>
      </c>
      <c r="C12" s="7" t="n">
        <f aca="false">'Cuadro 3'!J12</f>
        <v>2920030010.6757</v>
      </c>
      <c r="D12" s="7" t="n">
        <f aca="false">'Cuadro 4'!K12</f>
        <v>1445309580.49875</v>
      </c>
      <c r="E12" s="7" t="n">
        <f aca="false">'Cuadro 5'!H12</f>
        <v>54671218.6066875</v>
      </c>
      <c r="F12" s="9" t="n">
        <f aca="false">SUM(B12:E12)</f>
        <v>6390850129.78114</v>
      </c>
      <c r="G12" s="7" t="n">
        <f aca="false">'Cuadro 3'!K12</f>
        <v>3050726260.96812</v>
      </c>
      <c r="H12" s="7" t="n">
        <f aca="false">'Cuadro 4'!L12</f>
        <v>1509877001.04104</v>
      </c>
      <c r="I12" s="7" t="n">
        <f aca="false">'Cuadro 5'!I12</f>
        <v>57306896.6223765</v>
      </c>
      <c r="J12" s="9" t="n">
        <f aca="false">B12+SUM(G12:I12)</f>
        <v>6588749478.63154</v>
      </c>
      <c r="K12" s="9" t="n">
        <f aca="false">J12-F12</f>
        <v>197899348.850402</v>
      </c>
      <c r="L12" s="11" t="n">
        <f aca="false">K12/F12</f>
        <v>0.0309660443965347</v>
      </c>
    </row>
    <row r="13" customFormat="false" ht="15" hidden="false" customHeight="false" outlineLevel="0" collapsed="false">
      <c r="A13" s="6" t="s">
        <v>21</v>
      </c>
      <c r="B13" s="18" t="n">
        <v>12052438704</v>
      </c>
      <c r="C13" s="7" t="n">
        <f aca="false">'Cuadro 3'!J13</f>
        <v>24196996877.2824</v>
      </c>
      <c r="D13" s="7" t="n">
        <f aca="false">'Cuadro 4'!K13</f>
        <v>13288030660.1584</v>
      </c>
      <c r="E13" s="7" t="n">
        <f aca="false">'Cuadro 5'!H13</f>
        <v>1154510448.73175</v>
      </c>
      <c r="F13" s="9" t="n">
        <f aca="false">SUM(B13:E13)</f>
        <v>50691976690.1725</v>
      </c>
      <c r="G13" s="7" t="n">
        <f aca="false">'Cuadro 3'!K13</f>
        <v>23708171734.6989</v>
      </c>
      <c r="H13" s="7" t="n">
        <f aca="false">'Cuadro 4'!L13</f>
        <v>13018530962.6723</v>
      </c>
      <c r="I13" s="7" t="n">
        <f aca="false">'Cuadro 5'!I13</f>
        <v>1134923723.94157</v>
      </c>
      <c r="J13" s="9" t="n">
        <f aca="false">B13+SUM(G13:I13)</f>
        <v>49914065125.3128</v>
      </c>
      <c r="K13" s="9" t="n">
        <f aca="false">J13-F13</f>
        <v>-777911564.859749</v>
      </c>
      <c r="L13" s="11" t="n">
        <f aca="false">K13/F13</f>
        <v>-0.0153458518616134</v>
      </c>
    </row>
    <row r="14" customFormat="false" ht="15" hidden="false" customHeight="false" outlineLevel="0" collapsed="false">
      <c r="A14" s="6" t="s">
        <v>22</v>
      </c>
      <c r="B14" s="18" t="n">
        <v>7559991564</v>
      </c>
      <c r="C14" s="7" t="n">
        <f aca="false">'Cuadro 3'!J14</f>
        <v>15765967635.7894</v>
      </c>
      <c r="D14" s="7" t="n">
        <f aca="false">'Cuadro 4'!K14</f>
        <v>7788002844.82866</v>
      </c>
      <c r="E14" s="7" t="n">
        <f aca="false">'Cuadro 5'!H14</f>
        <v>2802400470.66264</v>
      </c>
      <c r="F14" s="9" t="n">
        <f aca="false">SUM(B14:E14)</f>
        <v>33916362515.2807</v>
      </c>
      <c r="G14" s="7" t="n">
        <f aca="false">'Cuadro 3'!K14</f>
        <v>15463507118.4494</v>
      </c>
      <c r="H14" s="7" t="n">
        <f aca="false">'Cuadro 4'!L14</f>
        <v>7637974993.23257</v>
      </c>
      <c r="I14" s="7" t="n">
        <f aca="false">'Cuadro 5'!I14</f>
        <v>2757717504.02726</v>
      </c>
      <c r="J14" s="9" t="n">
        <f aca="false">B14+SUM(G14:I14)</f>
        <v>33419191179.7092</v>
      </c>
      <c r="K14" s="9" t="n">
        <f aca="false">J14-F14</f>
        <v>-497171335.571445</v>
      </c>
      <c r="L14" s="11" t="n">
        <f aca="false">K14/F14</f>
        <v>-0.014658745770495</v>
      </c>
    </row>
    <row r="15" customFormat="false" ht="15" hidden="false" customHeight="false" outlineLevel="0" collapsed="false">
      <c r="A15" s="6" t="s">
        <v>23</v>
      </c>
      <c r="B15" s="18" t="n">
        <v>32936564964</v>
      </c>
      <c r="C15" s="7" t="n">
        <f aca="false">'Cuadro 3'!J15</f>
        <v>37996871562.5433</v>
      </c>
      <c r="D15" s="7" t="n">
        <f aca="false">'Cuadro 4'!K15</f>
        <v>19288719092.2709</v>
      </c>
      <c r="E15" s="7" t="n">
        <f aca="false">'Cuadro 5'!H15</f>
        <v>23241956992.0778</v>
      </c>
      <c r="F15" s="9" t="n">
        <f aca="false">SUM(B15:E15)</f>
        <v>113464112610.892</v>
      </c>
      <c r="G15" s="7" t="n">
        <f aca="false">'Cuadro 3'!K15</f>
        <v>37409965414.5205</v>
      </c>
      <c r="H15" s="7" t="n">
        <f aca="false">'Cuadro 4'!L15</f>
        <v>18989241465.9091</v>
      </c>
      <c r="I15" s="7" t="n">
        <f aca="false">'Cuadro 5'!I15</f>
        <v>22958545448.8057</v>
      </c>
      <c r="J15" s="9" t="n">
        <f aca="false">B15+SUM(G15:I15)</f>
        <v>112294317293.235</v>
      </c>
      <c r="K15" s="9" t="n">
        <f aca="false">J15-F15</f>
        <v>-1169795317.65663</v>
      </c>
      <c r="L15" s="11" t="n">
        <f aca="false">K15/F15</f>
        <v>-0.01030982652346</v>
      </c>
    </row>
    <row r="16" customFormat="false" ht="15" hidden="false" customHeight="false" outlineLevel="0" collapsed="false">
      <c r="A16" s="6" t="s">
        <v>24</v>
      </c>
      <c r="B16" s="18" t="n">
        <v>3462230928</v>
      </c>
      <c r="C16" s="7" t="n">
        <f aca="false">'Cuadro 3'!J16</f>
        <v>8160374437.35417</v>
      </c>
      <c r="D16" s="7" t="n">
        <f aca="false">'Cuadro 4'!K16</f>
        <v>4112601835.92816</v>
      </c>
      <c r="E16" s="7" t="n">
        <f aca="false">'Cuadro 5'!H16</f>
        <v>265734467.132154</v>
      </c>
      <c r="F16" s="9" t="n">
        <f aca="false">SUM(B16:E16)</f>
        <v>16000941668.4145</v>
      </c>
      <c r="G16" s="7" t="n">
        <f aca="false">'Cuadro 3'!K16</f>
        <v>8146076800.33342</v>
      </c>
      <c r="H16" s="7" t="n">
        <f aca="false">'Cuadro 4'!L16</f>
        <v>4105063139.59231</v>
      </c>
      <c r="I16" s="7" t="n">
        <f aca="false">'Cuadro 5'!I16</f>
        <v>266145123.047547</v>
      </c>
      <c r="J16" s="9" t="n">
        <f aca="false">B16+SUM(G16:I16)</f>
        <v>15979515990.9733</v>
      </c>
      <c r="K16" s="9" t="n">
        <f aca="false">J16-F16</f>
        <v>-21425677.4411964</v>
      </c>
      <c r="L16" s="11" t="n">
        <f aca="false">K16/F16</f>
        <v>-0.00133902603266721</v>
      </c>
    </row>
    <row r="17" customFormat="false" ht="15" hidden="false" customHeight="false" outlineLevel="0" collapsed="false">
      <c r="A17" s="6" t="s">
        <v>25</v>
      </c>
      <c r="B17" s="18" t="n">
        <v>10263898068</v>
      </c>
      <c r="C17" s="7" t="n">
        <f aca="false">'Cuadro 3'!J17</f>
        <v>26027464599.7402</v>
      </c>
      <c r="D17" s="7" t="n">
        <f aca="false">'Cuadro 4'!K17</f>
        <v>12506596324.5207</v>
      </c>
      <c r="E17" s="7" t="n">
        <f aca="false">'Cuadro 5'!H17</f>
        <v>3445119975.00812</v>
      </c>
      <c r="F17" s="9" t="n">
        <f aca="false">SUM(B17:E17)</f>
        <v>52243078967.2689</v>
      </c>
      <c r="G17" s="7" t="n">
        <f aca="false">'Cuadro 3'!K17</f>
        <v>26413898358.4431</v>
      </c>
      <c r="H17" s="7" t="n">
        <f aca="false">'Cuadro 4'!L17</f>
        <v>12691253910.0265</v>
      </c>
      <c r="I17" s="7" t="n">
        <f aca="false">'Cuadro 5'!I17</f>
        <v>3507819185.6878</v>
      </c>
      <c r="J17" s="9" t="n">
        <f aca="false">B17+SUM(G17:I17)</f>
        <v>52876869522.1574</v>
      </c>
      <c r="K17" s="9" t="n">
        <f aca="false">J17-F17</f>
        <v>633790554.888435</v>
      </c>
      <c r="L17" s="11" t="n">
        <f aca="false">K17/F17</f>
        <v>0.0121315697201827</v>
      </c>
    </row>
    <row r="18" customFormat="false" ht="15" hidden="false" customHeight="false" outlineLevel="0" collapsed="false">
      <c r="A18" s="6" t="s">
        <v>26</v>
      </c>
      <c r="B18" s="18" t="n">
        <v>5919287988</v>
      </c>
      <c r="C18" s="7" t="n">
        <f aca="false">'Cuadro 3'!J18</f>
        <v>14589695706.8391</v>
      </c>
      <c r="D18" s="7" t="n">
        <f aca="false">'Cuadro 4'!K18</f>
        <v>7345193621.1049</v>
      </c>
      <c r="E18" s="7" t="n">
        <f aca="false">'Cuadro 5'!H18</f>
        <v>462367156.058098</v>
      </c>
      <c r="F18" s="9" t="n">
        <f aca="false">SUM(B18:E18)</f>
        <v>28316544472.0021</v>
      </c>
      <c r="G18" s="7" t="n">
        <f aca="false">'Cuadro 3'!K18</f>
        <v>13815660180.0445</v>
      </c>
      <c r="H18" s="7" t="n">
        <f aca="false">'Cuadro 4'!L18</f>
        <v>6954940510.88892</v>
      </c>
      <c r="I18" s="7" t="n">
        <f aca="false">'Cuadro 5'!I18</f>
        <v>439283201.35061</v>
      </c>
      <c r="J18" s="9" t="n">
        <f aca="false">B18+SUM(G18:I18)</f>
        <v>27129171880.2841</v>
      </c>
      <c r="K18" s="9" t="n">
        <f aca="false">J18-F18</f>
        <v>-1187372591.71806</v>
      </c>
      <c r="L18" s="11" t="n">
        <f aca="false">K18/F18</f>
        <v>-0.041932114735683</v>
      </c>
    </row>
    <row r="19" customFormat="false" ht="15" hidden="false" customHeight="false" outlineLevel="0" collapsed="false">
      <c r="A19" s="6" t="s">
        <v>27</v>
      </c>
      <c r="B19" s="18" t="n">
        <v>4744571184</v>
      </c>
      <c r="C19" s="7" t="n">
        <f aca="false">'Cuadro 3'!J19</f>
        <v>13349728033.6583</v>
      </c>
      <c r="D19" s="7" t="n">
        <f aca="false">'Cuadro 4'!K19</f>
        <v>6573843268.73395</v>
      </c>
      <c r="E19" s="7" t="n">
        <f aca="false">'Cuadro 5'!H19</f>
        <v>495623695.433303</v>
      </c>
      <c r="F19" s="9" t="n">
        <f aca="false">SUM(B19:E19)</f>
        <v>25163766181.8255</v>
      </c>
      <c r="G19" s="7" t="n">
        <f aca="false">'Cuadro 3'!K19</f>
        <v>13322881312.7543</v>
      </c>
      <c r="H19" s="7" t="n">
        <f aca="false">'Cuadro 4'!L19</f>
        <v>6560090778.45477</v>
      </c>
      <c r="I19" s="7" t="n">
        <f aca="false">'Cuadro 5'!I19</f>
        <v>496260847.552624</v>
      </c>
      <c r="J19" s="9" t="n">
        <f aca="false">B19+SUM(G19:I19)</f>
        <v>25123804122.7617</v>
      </c>
      <c r="K19" s="9" t="n">
        <f aca="false">J19-F19</f>
        <v>-39962059.0638123</v>
      </c>
      <c r="L19" s="11" t="n">
        <f aca="false">K19/F19</f>
        <v>-0.00158807941446677</v>
      </c>
    </row>
    <row r="20" customFormat="false" ht="15" hidden="false" customHeight="false" outlineLevel="0" collapsed="false">
      <c r="A20" s="6" t="s">
        <v>28</v>
      </c>
      <c r="B20" s="18" t="n">
        <v>17193551844</v>
      </c>
      <c r="C20" s="7" t="n">
        <f aca="false">'Cuadro 3'!J20</f>
        <v>35226231467.3023</v>
      </c>
      <c r="D20" s="7" t="n">
        <f aca="false">'Cuadro 4'!K20</f>
        <v>17877138205.6804</v>
      </c>
      <c r="E20" s="7" t="n">
        <f aca="false">'Cuadro 5'!H20</f>
        <v>7841948597.00531</v>
      </c>
      <c r="F20" s="9" t="n">
        <f aca="false">SUM(B20:E20)</f>
        <v>78138870113.988</v>
      </c>
      <c r="G20" s="7" t="n">
        <f aca="false">'Cuadro 3'!K20</f>
        <v>34947705663.3885</v>
      </c>
      <c r="H20" s="7" t="n">
        <f aca="false">'Cuadro 4'!L20</f>
        <v>17734348773.1418</v>
      </c>
      <c r="I20" s="7" t="n">
        <f aca="false">'Cuadro 5'!I20</f>
        <v>7805643040.12826</v>
      </c>
      <c r="J20" s="9" t="n">
        <f aca="false">B20+SUM(G20:I20)</f>
        <v>77681249320.6586</v>
      </c>
      <c r="K20" s="9" t="n">
        <f aca="false">J20-F20</f>
        <v>-457620793.329392</v>
      </c>
      <c r="L20" s="11" t="n">
        <f aca="false">K20/F20</f>
        <v>-0.00585650640535012</v>
      </c>
    </row>
    <row r="21" customFormat="false" ht="15" hidden="false" customHeight="false" outlineLevel="0" collapsed="false">
      <c r="A21" s="6" t="s">
        <v>29</v>
      </c>
      <c r="B21" s="18" t="n">
        <v>33604420680</v>
      </c>
      <c r="C21" s="7" t="n">
        <f aca="false">'Cuadro 3'!J21</f>
        <v>71930615715.4629</v>
      </c>
      <c r="D21" s="7" t="n">
        <f aca="false">'Cuadro 4'!K21</f>
        <v>35585983482.2285</v>
      </c>
      <c r="E21" s="7" t="n">
        <f aca="false">'Cuadro 5'!H21</f>
        <v>22682158386.9165</v>
      </c>
      <c r="F21" s="9" t="n">
        <f aca="false">SUM(B21:E21)</f>
        <v>163803178264.608</v>
      </c>
      <c r="G21" s="7" t="n">
        <f aca="false">'Cuadro 3'!K21</f>
        <v>71141435700.4646</v>
      </c>
      <c r="H21" s="7" t="n">
        <f aca="false">'Cuadro 4'!L21</f>
        <v>35192699661.2269</v>
      </c>
      <c r="I21" s="7" t="n">
        <f aca="false">'Cuadro 5'!I21</f>
        <v>22507405579.3663</v>
      </c>
      <c r="J21" s="9" t="n">
        <f aca="false">B21+SUM(G21:I21)</f>
        <v>162445961621.058</v>
      </c>
      <c r="K21" s="9" t="n">
        <f aca="false">J21-F21</f>
        <v>-1357216643.55023</v>
      </c>
      <c r="L21" s="11" t="n">
        <f aca="false">K21/F21</f>
        <v>-0.00828565512543219</v>
      </c>
    </row>
    <row r="22" customFormat="false" ht="15" hidden="false" customHeight="false" outlineLevel="0" collapsed="false">
      <c r="A22" s="6" t="s">
        <v>30</v>
      </c>
      <c r="B22" s="18" t="n">
        <v>7551448920</v>
      </c>
      <c r="C22" s="7" t="n">
        <f aca="false">'Cuadro 3'!J22</f>
        <v>19775719271.8761</v>
      </c>
      <c r="D22" s="7" t="n">
        <f aca="false">'Cuadro 4'!K22</f>
        <v>9342261607.54549</v>
      </c>
      <c r="E22" s="7" t="n">
        <f aca="false">'Cuadro 5'!H22</f>
        <v>1187236805.84185</v>
      </c>
      <c r="F22" s="9" t="n">
        <f aca="false">SUM(B22:E22)</f>
        <v>37856666605.2634</v>
      </c>
      <c r="G22" s="7" t="n">
        <f aca="false">'Cuadro 3'!K22</f>
        <v>19509926968.9807</v>
      </c>
      <c r="H22" s="7" t="n">
        <f aca="false">'Cuadro 4'!L22</f>
        <v>9215950694.5128</v>
      </c>
      <c r="I22" s="7" t="n">
        <f aca="false">'Cuadro 5'!I22</f>
        <v>1175148952.31564</v>
      </c>
      <c r="J22" s="9" t="n">
        <f aca="false">B22+SUM(G22:I22)</f>
        <v>37452475535.8091</v>
      </c>
      <c r="K22" s="9" t="n">
        <f aca="false">J22-F22</f>
        <v>-404191069.454338</v>
      </c>
      <c r="L22" s="11" t="n">
        <f aca="false">K22/F22</f>
        <v>-0.0106768795485586</v>
      </c>
    </row>
    <row r="23" customFormat="false" ht="15" hidden="false" customHeight="false" outlineLevel="0" collapsed="false">
      <c r="A23" s="6" t="s">
        <v>31</v>
      </c>
      <c r="B23" s="18" t="n">
        <v>3883371876</v>
      </c>
      <c r="C23" s="7" t="n">
        <f aca="false">'Cuadro 3'!J23</f>
        <v>7840307615.04461</v>
      </c>
      <c r="D23" s="7" t="n">
        <f aca="false">'Cuadro 4'!K23</f>
        <v>3940662963.34867</v>
      </c>
      <c r="E23" s="7" t="n">
        <f aca="false">'Cuadro 5'!H23</f>
        <v>242736411.778317</v>
      </c>
      <c r="F23" s="9" t="n">
        <f aca="false">SUM(B23:E23)</f>
        <v>15907078866.1716</v>
      </c>
      <c r="G23" s="7" t="n">
        <f aca="false">'Cuadro 3'!K23</f>
        <v>7882853929.47425</v>
      </c>
      <c r="H23" s="7" t="n">
        <f aca="false">'Cuadro 4'!L23</f>
        <v>3961725961.40012</v>
      </c>
      <c r="I23" s="7" t="n">
        <f aca="false">'Cuadro 5'!I23</f>
        <v>244859813.753663</v>
      </c>
      <c r="J23" s="9" t="n">
        <f aca="false">B23+SUM(G23:I23)</f>
        <v>15972811580.628</v>
      </c>
      <c r="K23" s="9" t="n">
        <f aca="false">J23-F23</f>
        <v>65732714.4564495</v>
      </c>
      <c r="L23" s="11" t="n">
        <f aca="false">K23/F23</f>
        <v>0.00413229323934757</v>
      </c>
    </row>
    <row r="24" customFormat="false" ht="15" hidden="false" customHeight="false" outlineLevel="0" collapsed="false">
      <c r="A24" s="6" t="s">
        <v>32</v>
      </c>
      <c r="B24" s="18" t="n">
        <v>2606292744</v>
      </c>
      <c r="C24" s="7" t="n">
        <f aca="false">'Cuadro 3'!J24</f>
        <v>4878203587.29847</v>
      </c>
      <c r="D24" s="7" t="n">
        <f aca="false">'Cuadro 4'!K24</f>
        <v>2533020935.07704</v>
      </c>
      <c r="E24" s="7" t="n">
        <f aca="false">'Cuadro 5'!H24</f>
        <v>124307616.017116</v>
      </c>
      <c r="F24" s="9" t="n">
        <f aca="false">SUM(B24:E24)</f>
        <v>10141824882.3926</v>
      </c>
      <c r="G24" s="7" t="n">
        <f aca="false">'Cuadro 3'!K24</f>
        <v>5083498900.75347</v>
      </c>
      <c r="H24" s="7" t="n">
        <f aca="false">'Cuadro 4'!L24</f>
        <v>2639406942.62539</v>
      </c>
      <c r="I24" s="7" t="n">
        <f aca="false">'Cuadro 5'!I24</f>
        <v>129966900.224871</v>
      </c>
      <c r="J24" s="9" t="n">
        <f aca="false">B24+SUM(G24:I24)</f>
        <v>10459165487.6037</v>
      </c>
      <c r="K24" s="9" t="n">
        <f aca="false">J24-F24</f>
        <v>317340605.211113</v>
      </c>
      <c r="L24" s="11" t="n">
        <f aca="false">K24/F24</f>
        <v>0.0312902864022088</v>
      </c>
    </row>
    <row r="25" customFormat="false" ht="15" hidden="false" customHeight="false" outlineLevel="0" collapsed="false">
      <c r="A25" s="6" t="s">
        <v>33</v>
      </c>
      <c r="B25" s="18" t="n">
        <v>12741974412</v>
      </c>
      <c r="C25" s="7" t="n">
        <f aca="false">'Cuadro 3'!J25</f>
        <v>25284564083.343</v>
      </c>
      <c r="D25" s="7" t="n">
        <f aca="false">'Cuadro 4'!K25</f>
        <v>12221234212.9126</v>
      </c>
      <c r="E25" s="7" t="n">
        <f aca="false">'Cuadro 5'!H25</f>
        <v>6637900870.45845</v>
      </c>
      <c r="F25" s="9" t="n">
        <f aca="false">SUM(B25:E25)</f>
        <v>56885673578.7141</v>
      </c>
      <c r="G25" s="7" t="n">
        <f aca="false">'Cuadro 3'!K25</f>
        <v>25830519332.9699</v>
      </c>
      <c r="H25" s="7" t="n">
        <f aca="false">'Cuadro 4'!L25</f>
        <v>12484107430.421</v>
      </c>
      <c r="I25" s="7" t="n">
        <f aca="false">'Cuadro 5'!I25</f>
        <v>6803629261.43966</v>
      </c>
      <c r="J25" s="9" t="n">
        <f aca="false">B25+SUM(G25:I25)</f>
        <v>57860230436.8305</v>
      </c>
      <c r="K25" s="9" t="n">
        <f aca="false">J25-F25</f>
        <v>974556858.116417</v>
      </c>
      <c r="L25" s="11" t="n">
        <f aca="false">K25/F25</f>
        <v>0.017131850548766</v>
      </c>
    </row>
    <row r="26" customFormat="false" ht="15" hidden="false" customHeight="false" outlineLevel="0" collapsed="false">
      <c r="A26" s="6" t="s">
        <v>34</v>
      </c>
      <c r="B26" s="18" t="n">
        <v>6461415216</v>
      </c>
      <c r="C26" s="7" t="n">
        <f aca="false">'Cuadro 3'!J26</f>
        <v>17719174609.1182</v>
      </c>
      <c r="D26" s="7" t="n">
        <f aca="false">'Cuadro 4'!K26</f>
        <v>8743002474.47962</v>
      </c>
      <c r="E26" s="7" t="n">
        <f aca="false">'Cuadro 5'!H26</f>
        <v>576414496.383038</v>
      </c>
      <c r="F26" s="9" t="n">
        <f aca="false">SUM(B26:E26)</f>
        <v>33500006795.9808</v>
      </c>
      <c r="G26" s="7" t="n">
        <f aca="false">'Cuadro 3'!K26</f>
        <v>17435580061.0581</v>
      </c>
      <c r="H26" s="7" t="n">
        <f aca="false">'Cuadro 4'!L26</f>
        <v>8602373138.63006</v>
      </c>
      <c r="I26" s="7" t="n">
        <f aca="false">'Cuadro 5'!I26</f>
        <v>569062565.728895</v>
      </c>
      <c r="J26" s="9" t="n">
        <f aca="false">B26+SUM(G26:I26)</f>
        <v>33068430981.4171</v>
      </c>
      <c r="K26" s="9" t="n">
        <f aca="false">J26-F26</f>
        <v>-431575814.563759</v>
      </c>
      <c r="L26" s="11" t="n">
        <f aca="false">K26/F26</f>
        <v>-0.0128828575227494</v>
      </c>
    </row>
    <row r="27" customFormat="false" ht="15" hidden="false" customHeight="false" outlineLevel="0" collapsed="false">
      <c r="A27" s="6" t="s">
        <v>35</v>
      </c>
      <c r="B27" s="18" t="n">
        <v>10668881784</v>
      </c>
      <c r="C27" s="7" t="n">
        <f aca="false">'Cuadro 3'!J27</f>
        <v>27327260601.3546</v>
      </c>
      <c r="D27" s="7" t="n">
        <f aca="false">'Cuadro 4'!K27</f>
        <v>13075496376.0832</v>
      </c>
      <c r="E27" s="7" t="n">
        <f aca="false">'Cuadro 5'!H27</f>
        <v>1919887087.59489</v>
      </c>
      <c r="F27" s="9" t="n">
        <f aca="false">SUM(B27:E27)</f>
        <v>52991525849.0327</v>
      </c>
      <c r="G27" s="7" t="n">
        <f aca="false">'Cuadro 3'!K27</f>
        <v>28213447117.7417</v>
      </c>
      <c r="H27" s="7" t="n">
        <f aca="false">'Cuadro 4'!L27</f>
        <v>13498421975.7659</v>
      </c>
      <c r="I27" s="7" t="n">
        <f aca="false">'Cuadro 5'!I27</f>
        <v>1988693944.82317</v>
      </c>
      <c r="J27" s="9" t="n">
        <f aca="false">B27+SUM(G27:I27)</f>
        <v>54369444822.3307</v>
      </c>
      <c r="K27" s="9" t="n">
        <f aca="false">J27-F27</f>
        <v>1377918973.29802</v>
      </c>
      <c r="L27" s="11" t="n">
        <f aca="false">K27/F27</f>
        <v>0.0260026287452746</v>
      </c>
    </row>
    <row r="28" customFormat="false" ht="15" hidden="false" customHeight="false" outlineLevel="0" collapsed="false">
      <c r="A28" s="6" t="s">
        <v>36</v>
      </c>
      <c r="B28" s="18" t="n">
        <v>4516966092</v>
      </c>
      <c r="C28" s="7" t="n">
        <f aca="false">'Cuadro 3'!J28</f>
        <v>10040093269.2224</v>
      </c>
      <c r="D28" s="7" t="n">
        <f aca="false">'Cuadro 4'!K28</f>
        <v>4946720179.4241</v>
      </c>
      <c r="E28" s="7" t="n">
        <f aca="false">'Cuadro 5'!H28</f>
        <v>1007710533.60037</v>
      </c>
      <c r="F28" s="9" t="n">
        <f aca="false">SUM(B28:E28)</f>
        <v>20511490074.2469</v>
      </c>
      <c r="G28" s="7" t="n">
        <f aca="false">'Cuadro 3'!K28</f>
        <v>10339049768.6514</v>
      </c>
      <c r="H28" s="7" t="n">
        <f aca="false">'Cuadro 4'!L28</f>
        <v>5093601746.21447</v>
      </c>
      <c r="I28" s="7" t="n">
        <f aca="false">'Cuadro 5'!I28</f>
        <v>1041144208.00196</v>
      </c>
      <c r="J28" s="9" t="n">
        <f aca="false">B28+SUM(G28:I28)</f>
        <v>20990761814.8678</v>
      </c>
      <c r="K28" s="9" t="n">
        <f aca="false">J28-F28</f>
        <v>479271740.620903</v>
      </c>
      <c r="L28" s="11" t="n">
        <f aca="false">K28/F28</f>
        <v>0.0233660128487033</v>
      </c>
    </row>
    <row r="29" customFormat="false" ht="15" hidden="false" customHeight="false" outlineLevel="0" collapsed="false">
      <c r="A29" s="6" t="s">
        <v>37</v>
      </c>
      <c r="B29" s="18" t="n">
        <v>3188229312</v>
      </c>
      <c r="C29" s="7" t="n">
        <f aca="false">'Cuadro 3'!J29</f>
        <v>7399260073.29433</v>
      </c>
      <c r="D29" s="7" t="n">
        <f aca="false">'Cuadro 4'!K29</f>
        <v>4028862050.5338</v>
      </c>
      <c r="E29" s="7" t="n">
        <f aca="false">'Cuadro 5'!H29</f>
        <v>885382745.585913</v>
      </c>
      <c r="F29" s="9" t="n">
        <f aca="false">SUM(B29:E29)</f>
        <v>15501734181.414</v>
      </c>
      <c r="G29" s="7" t="n">
        <f aca="false">'Cuadro 3'!K29</f>
        <v>8150048501.69945</v>
      </c>
      <c r="H29" s="7" t="n">
        <f aca="false">'Cuadro 4'!L29</f>
        <v>4437302749.68456</v>
      </c>
      <c r="I29" s="7" t="n">
        <f aca="false">'Cuadro 5'!I29</f>
        <v>978442177.781685</v>
      </c>
      <c r="J29" s="9" t="n">
        <f aca="false">B29+SUM(G29:I29)</f>
        <v>16754022741.1657</v>
      </c>
      <c r="K29" s="9" t="n">
        <f aca="false">J29-F29</f>
        <v>1252288559.75165</v>
      </c>
      <c r="L29" s="11" t="n">
        <f aca="false">K29/F29</f>
        <v>0.0807837720023024</v>
      </c>
    </row>
    <row r="30" customFormat="false" ht="15" hidden="false" customHeight="false" outlineLevel="0" collapsed="false">
      <c r="A30" s="6" t="s">
        <v>38</v>
      </c>
      <c r="B30" s="18" t="n">
        <v>4974553704</v>
      </c>
      <c r="C30" s="7" t="n">
        <f aca="false">'Cuadro 3'!J30</f>
        <v>11456467047.764</v>
      </c>
      <c r="D30" s="7" t="n">
        <f aca="false">'Cuadro 4'!K30</f>
        <v>6020696868.73049</v>
      </c>
      <c r="E30" s="7" t="n">
        <f aca="false">'Cuadro 5'!H30</f>
        <v>613324742.601223</v>
      </c>
      <c r="F30" s="9" t="n">
        <f aca="false">SUM(B30:E30)</f>
        <v>23065042363.0957</v>
      </c>
      <c r="G30" s="7" t="n">
        <f aca="false">'Cuadro 3'!K30</f>
        <v>11460042551.3335</v>
      </c>
      <c r="H30" s="7" t="n">
        <f aca="false">'Cuadro 4'!L30</f>
        <v>6022087264.68609</v>
      </c>
      <c r="I30" s="7" t="n">
        <f aca="false">'Cuadro 5'!I30</f>
        <v>615542743.281292</v>
      </c>
      <c r="J30" s="9" t="n">
        <f aca="false">B30+SUM(G30:I30)</f>
        <v>23072226263.3009</v>
      </c>
      <c r="K30" s="9" t="n">
        <f aca="false">J30-F30</f>
        <v>7183900.20520783</v>
      </c>
      <c r="L30" s="11" t="n">
        <f aca="false">K30/F30</f>
        <v>0.00031146269285428</v>
      </c>
    </row>
    <row r="31" customFormat="false" ht="15" hidden="false" customHeight="false" outlineLevel="0" collapsed="false">
      <c r="A31" s="6" t="s">
        <v>39</v>
      </c>
      <c r="B31" s="18" t="n">
        <v>6396671364</v>
      </c>
      <c r="C31" s="7" t="n">
        <f aca="false">'Cuadro 3'!J31</f>
        <v>12320229617.2109</v>
      </c>
      <c r="D31" s="7" t="n">
        <f aca="false">'Cuadro 4'!K31</f>
        <v>5959167728.9319</v>
      </c>
      <c r="E31" s="7" t="n">
        <f aca="false">'Cuadro 5'!H31</f>
        <v>992975761.489142</v>
      </c>
      <c r="F31" s="9" t="n">
        <f aca="false">SUM(B31:E31)</f>
        <v>25669044471.632</v>
      </c>
      <c r="G31" s="7" t="n">
        <f aca="false">'Cuadro 3'!K31</f>
        <v>12143703662.4724</v>
      </c>
      <c r="H31" s="7" t="n">
        <f aca="false">'Cuadro 4'!L31</f>
        <v>5873307389.01111</v>
      </c>
      <c r="I31" s="7" t="n">
        <f aca="false">'Cuadro 5'!I31</f>
        <v>981981298.416432</v>
      </c>
      <c r="J31" s="9" t="n">
        <f aca="false">B31+SUM(G31:I31)</f>
        <v>25395663713.9</v>
      </c>
      <c r="K31" s="9" t="n">
        <f aca="false">J31-F31</f>
        <v>-273380757.731998</v>
      </c>
      <c r="L31" s="11" t="n">
        <f aca="false">K31/F31</f>
        <v>-0.0106502116989249</v>
      </c>
    </row>
    <row r="32" customFormat="false" ht="15" hidden="false" customHeight="false" outlineLevel="0" collapsed="false">
      <c r="A32" s="6" t="s">
        <v>40</v>
      </c>
      <c r="B32" s="18" t="n">
        <v>6624932388</v>
      </c>
      <c r="C32" s="7" t="n">
        <f aca="false">'Cuadro 3'!J32</f>
        <v>12016027422.5685</v>
      </c>
      <c r="D32" s="7" t="n">
        <f aca="false">'Cuadro 4'!K32</f>
        <v>6234891559.31042</v>
      </c>
      <c r="E32" s="7" t="n">
        <f aca="false">'Cuadro 5'!H32</f>
        <v>1197540346.51952</v>
      </c>
      <c r="F32" s="9" t="n">
        <f aca="false">SUM(B32:E32)</f>
        <v>26073391716.3984</v>
      </c>
      <c r="G32" s="7" t="n">
        <f aca="false">'Cuadro 3'!K32</f>
        <v>12033317961.3185</v>
      </c>
      <c r="H32" s="7" t="n">
        <f aca="false">'Cuadro 4'!L32</f>
        <v>6243356710.08788</v>
      </c>
      <c r="I32" s="7" t="n">
        <f aca="false">'Cuadro 5'!I32</f>
        <v>1203224998.62587</v>
      </c>
      <c r="J32" s="9" t="n">
        <f aca="false">B32+SUM(G32:I32)</f>
        <v>26104832058.0322</v>
      </c>
      <c r="K32" s="9" t="n">
        <f aca="false">J32-F32</f>
        <v>31440341.6338234</v>
      </c>
      <c r="L32" s="11" t="n">
        <f aca="false">K32/F32</f>
        <v>0.00120584011377582</v>
      </c>
    </row>
    <row r="33" customFormat="false" ht="15" hidden="false" customHeight="false" outlineLevel="0" collapsed="false">
      <c r="A33" s="6" t="s">
        <v>41</v>
      </c>
      <c r="B33" s="18" t="n">
        <v>11033941776</v>
      </c>
      <c r="C33" s="7" t="n">
        <f aca="false">'Cuadro 3'!J33</f>
        <v>8958501768.23974</v>
      </c>
      <c r="D33" s="7" t="n">
        <f aca="false">'Cuadro 4'!K33</f>
        <v>5134999231.68615</v>
      </c>
      <c r="E33" s="7" t="n">
        <f aca="false">'Cuadro 5'!H33</f>
        <v>295298779.037764</v>
      </c>
      <c r="F33" s="9" t="n">
        <f aca="false">SUM(B33:E33)</f>
        <v>25422741554.9637</v>
      </c>
      <c r="G33" s="7" t="n">
        <f aca="false">'Cuadro 3'!K33</f>
        <v>8853815941.84041</v>
      </c>
      <c r="H33" s="7" t="n">
        <f aca="false">'Cuadro 4'!L33</f>
        <v>5074581727.86023</v>
      </c>
      <c r="I33" s="7" t="n">
        <f aca="false">'Cuadro 5'!I33</f>
        <v>292812065.087012</v>
      </c>
      <c r="J33" s="9" t="n">
        <f aca="false">B33+SUM(G33:I33)</f>
        <v>25255151510.7877</v>
      </c>
      <c r="K33" s="9" t="n">
        <f aca="false">J33-F33</f>
        <v>-167590044.175999</v>
      </c>
      <c r="L33" s="11" t="n">
        <f aca="false">K33/F33</f>
        <v>-0.00659213105768593</v>
      </c>
    </row>
    <row r="34" customFormat="false" ht="15" hidden="false" customHeight="false" outlineLevel="0" collapsed="false">
      <c r="A34" s="6" t="s">
        <v>42</v>
      </c>
      <c r="B34" s="18" t="n">
        <v>7484910060</v>
      </c>
      <c r="C34" s="7" t="n">
        <f aca="false">'Cuadro 3'!J34</f>
        <v>14525153998.465</v>
      </c>
      <c r="D34" s="7" t="n">
        <f aca="false">'Cuadro 4'!K34</f>
        <v>7103092529.59036</v>
      </c>
      <c r="E34" s="7" t="n">
        <f aca="false">'Cuadro 5'!H34</f>
        <v>1310197890.08534</v>
      </c>
      <c r="F34" s="9" t="n">
        <f aca="false">SUM(B34:E34)</f>
        <v>30423354478.1407</v>
      </c>
      <c r="G34" s="7" t="n">
        <f aca="false">'Cuadro 3'!K34</f>
        <v>14715956561.2274</v>
      </c>
      <c r="H34" s="7" t="n">
        <f aca="false">'Cuadro 4'!L34</f>
        <v>7195814953.07508</v>
      </c>
      <c r="I34" s="7" t="n">
        <f aca="false">'Cuadro 5'!I34</f>
        <v>1331793398.84005</v>
      </c>
      <c r="J34" s="9" t="n">
        <f aca="false">B34+SUM(G34:I34)</f>
        <v>30728474973.1426</v>
      </c>
      <c r="K34" s="9" t="n">
        <f aca="false">J34-F34</f>
        <v>305120495.001892</v>
      </c>
      <c r="L34" s="11" t="n">
        <f aca="false">K34/F34</f>
        <v>0.0100291535971526</v>
      </c>
    </row>
    <row r="35" customFormat="false" ht="15" hidden="false" customHeight="false" outlineLevel="0" collapsed="false">
      <c r="A35" s="6" t="s">
        <v>43</v>
      </c>
      <c r="B35" s="18" t="n">
        <v>2748439692</v>
      </c>
      <c r="C35" s="7" t="n">
        <f aca="false">'Cuadro 3'!J35</f>
        <v>5919549026.08835</v>
      </c>
      <c r="D35" s="7" t="n">
        <f aca="false">'Cuadro 4'!K35</f>
        <v>2954070447.3925</v>
      </c>
      <c r="E35" s="7" t="n">
        <f aca="false">'Cuadro 5'!H35</f>
        <v>77809290.7089067</v>
      </c>
      <c r="F35" s="9" t="n">
        <f aca="false">SUM(B35:E35)</f>
        <v>11699868456.1898</v>
      </c>
      <c r="G35" s="7" t="n">
        <f aca="false">'Cuadro 3'!K35</f>
        <v>5683994881.72222</v>
      </c>
      <c r="H35" s="7" t="n">
        <f aca="false">'Cuadro 4'!L35</f>
        <v>2836290218.14812</v>
      </c>
      <c r="I35" s="7" t="n">
        <f aca="false">'Cuadro 5'!I35</f>
        <v>74959852.5162284</v>
      </c>
      <c r="J35" s="9" t="n">
        <f aca="false">B35+SUM(G35:I35)</f>
        <v>11343684644.3866</v>
      </c>
      <c r="K35" s="9" t="n">
        <f aca="false">J35-F35</f>
        <v>-356183811.803183</v>
      </c>
      <c r="L35" s="11" t="n">
        <f aca="false">K35/F35</f>
        <v>-0.0304434031149081</v>
      </c>
    </row>
    <row r="36" customFormat="false" ht="15" hidden="false" customHeight="false" outlineLevel="0" collapsed="false">
      <c r="A36" s="6" t="s">
        <v>44</v>
      </c>
      <c r="B36" s="18" t="n">
        <v>16062813336</v>
      </c>
      <c r="C36" s="7" t="n">
        <f aca="false">'Cuadro 3'!J36</f>
        <v>33051650900.8379</v>
      </c>
      <c r="D36" s="7" t="n">
        <f aca="false">'Cuadro 4'!K36</f>
        <v>15653297534.981</v>
      </c>
      <c r="E36" s="7" t="n">
        <f aca="false">'Cuadro 5'!H36</f>
        <v>2936338129.42946</v>
      </c>
      <c r="F36" s="9" t="n">
        <f aca="false">SUM(B36:E36)</f>
        <v>67704099901.2483</v>
      </c>
      <c r="G36" s="7" t="n">
        <f aca="false">'Cuadro 3'!K36</f>
        <v>32220792806.1242</v>
      </c>
      <c r="H36" s="7" t="n">
        <f aca="false">'Cuadro 4'!L36</f>
        <v>15258564164.913</v>
      </c>
      <c r="I36" s="7" t="n">
        <f aca="false">'Cuadro 5'!I36</f>
        <v>2871979531.81309</v>
      </c>
      <c r="J36" s="9" t="n">
        <f aca="false">B36+SUM(G36:I36)</f>
        <v>66414149838.8503</v>
      </c>
      <c r="K36" s="9" t="n">
        <f aca="false">J36-F36</f>
        <v>-1289950062.39803</v>
      </c>
      <c r="L36" s="11" t="n">
        <f aca="false">K36/F36</f>
        <v>-0.0190527614173961</v>
      </c>
    </row>
    <row r="37" customFormat="false" ht="15" hidden="false" customHeight="false" outlineLevel="0" collapsed="false">
      <c r="A37" s="6" t="s">
        <v>45</v>
      </c>
      <c r="B37" s="18" t="n">
        <v>4202227920</v>
      </c>
      <c r="C37" s="7" t="n">
        <f aca="false">'Cuadro 3'!J37</f>
        <v>9920442421.6656</v>
      </c>
      <c r="D37" s="7" t="n">
        <f aca="false">'Cuadro 4'!K37</f>
        <v>4804395866.42441</v>
      </c>
      <c r="E37" s="7" t="n">
        <f aca="false">'Cuadro 5'!H37</f>
        <v>514147027.674081</v>
      </c>
      <c r="F37" s="9" t="n">
        <f aca="false">SUM(B37:E37)</f>
        <v>19441213235.7641</v>
      </c>
      <c r="G37" s="7" t="n">
        <f aca="false">'Cuadro 3'!K37</f>
        <v>10340650713.252</v>
      </c>
      <c r="H37" s="7" t="n">
        <f aca="false">'Cuadro 4'!L37</f>
        <v>5007493282.72131</v>
      </c>
      <c r="I37" s="7" t="n">
        <f aca="false">'Cuadro 5'!I37</f>
        <v>537695458.072916</v>
      </c>
      <c r="J37" s="9" t="n">
        <f aca="false">B37+SUM(G37:I37)</f>
        <v>20088067374.0462</v>
      </c>
      <c r="K37" s="9" t="n">
        <f aca="false">J37-F37</f>
        <v>646854138.282101</v>
      </c>
      <c r="L37" s="11" t="n">
        <f aca="false">K37/F37</f>
        <v>0.0332723133293012</v>
      </c>
    </row>
    <row r="38" customFormat="false" ht="15" hidden="false" customHeight="false" outlineLevel="0" collapsed="false">
      <c r="A38" s="6" t="s">
        <v>46</v>
      </c>
      <c r="B38" s="18" t="n">
        <v>3206553636</v>
      </c>
      <c r="C38" s="7" t="n">
        <f aca="false">'Cuadro 3'!J38</f>
        <v>7336437801.62558</v>
      </c>
      <c r="D38" s="7" t="n">
        <f aca="false">'Cuadro 4'!K38</f>
        <v>3379164492.36683</v>
      </c>
      <c r="E38" s="7" t="n">
        <f aca="false">'Cuadro 5'!H38</f>
        <v>220733786.593442</v>
      </c>
      <c r="F38" s="9" t="n">
        <f aca="false">SUM(B38:E38)</f>
        <v>14142889716.5858</v>
      </c>
      <c r="G38" s="7" t="n">
        <f aca="false">'Cuadro 3'!K38</f>
        <v>7288526779.38554</v>
      </c>
      <c r="H38" s="7" t="n">
        <f aca="false">'Cuadro 4'!L38</f>
        <v>3356824294.72255</v>
      </c>
      <c r="I38" s="7" t="n">
        <f aca="false">'Cuadro 5'!I38</f>
        <v>220016645.010019</v>
      </c>
      <c r="J38" s="9" t="n">
        <f aca="false">B38+SUM(G38:I38)</f>
        <v>14071921355.1181</v>
      </c>
      <c r="K38" s="9" t="n">
        <f aca="false">J38-F38</f>
        <v>-70968361.4677334</v>
      </c>
      <c r="L38" s="11" t="n">
        <f aca="false">K38/F38</f>
        <v>-0.00501795339494915</v>
      </c>
    </row>
    <row r="39" customFormat="false" ht="15" hidden="false" customHeight="false" outlineLevel="0" collapsed="false">
      <c r="A39" s="13" t="s">
        <v>47</v>
      </c>
      <c r="B39" s="14" t="n">
        <f aca="false">SUM(B7:B38)</f>
        <v>265828054020</v>
      </c>
      <c r="C39" s="14" t="n">
        <f aca="false">SUM(C7:C38)</f>
        <v>527233462043.576</v>
      </c>
      <c r="D39" s="14" t="n">
        <f aca="false">SUM(D7:D38)</f>
        <v>263616731021.788</v>
      </c>
      <c r="E39" s="14" t="n">
        <f aca="false">SUM(E7:E38)</f>
        <v>87872243673.9294</v>
      </c>
      <c r="F39" s="14" t="n">
        <f aca="false">SUM(F7:F38)</f>
        <v>1144550490759.29</v>
      </c>
      <c r="G39" s="14" t="n">
        <f aca="false">SUM(G7:G38)</f>
        <v>527233462043.576</v>
      </c>
      <c r="H39" s="14" t="n">
        <f aca="false">SUM(H7:H38)</f>
        <v>263616731021.788</v>
      </c>
      <c r="I39" s="14" t="n">
        <f aca="false">SUM(I7:I38)</f>
        <v>87872243673.9294</v>
      </c>
      <c r="J39" s="14" t="n">
        <f aca="false">SUM(J7:J38)</f>
        <v>1144550490759.29</v>
      </c>
      <c r="K39" s="14" t="n">
        <f aca="false">SUM(K7:K38)</f>
        <v>0.000132560729980469</v>
      </c>
      <c r="L39" s="15" t="n">
        <f aca="false">K39/F39</f>
        <v>1.15819032057317E-016</v>
      </c>
    </row>
    <row r="42" customFormat="false" ht="15" hidden="false" customHeight="false" outlineLevel="0" collapsed="false">
      <c r="A42" s="3" t="s">
        <v>106</v>
      </c>
    </row>
    <row r="43" customFormat="false" ht="15" hidden="false" customHeight="false" outlineLevel="0" collapsed="false">
      <c r="A43" s="6" t="s">
        <v>107</v>
      </c>
      <c r="F43" s="18" t="n">
        <v>7782943337</v>
      </c>
    </row>
    <row r="44" customFormat="false" ht="15" hidden="false" customHeight="false" outlineLevel="0" collapsed="false">
      <c r="A44" s="6" t="s">
        <v>108</v>
      </c>
      <c r="F44" s="8" t="n">
        <f aca="false">F43/0.00136</f>
        <v>5722752453676.47</v>
      </c>
    </row>
    <row r="45" customFormat="false" ht="15" hidden="false" customHeight="false" outlineLevel="0" collapsed="false">
      <c r="A45" s="6" t="s">
        <v>109</v>
      </c>
      <c r="F45" s="8" t="n">
        <f aca="false">0.2*F44</f>
        <v>1144550490735.29</v>
      </c>
    </row>
    <row r="46" customFormat="false" ht="15" hidden="false" customHeight="false" outlineLevel="0" collapsed="false">
      <c r="A46" s="6" t="s">
        <v>110</v>
      </c>
      <c r="F46" s="18" t="n">
        <v>265828053996</v>
      </c>
    </row>
    <row r="47" customFormat="false" ht="15" hidden="false" customHeight="false" outlineLevel="0" collapsed="false">
      <c r="A47" s="6" t="s">
        <v>111</v>
      </c>
      <c r="F47" s="9" t="n">
        <f aca="false">F45-F46</f>
        <v>878722436739.294</v>
      </c>
    </row>
    <row r="48" customFormat="false" ht="15" hidden="false" customHeight="false" outlineLevel="0" collapsed="false">
      <c r="A48" s="6" t="s">
        <v>112</v>
      </c>
      <c r="F48" s="8" t="n">
        <f aca="false">0.6*F47</f>
        <v>527233462043.576</v>
      </c>
    </row>
    <row r="49" customFormat="false" ht="15" hidden="false" customHeight="false" outlineLevel="0" collapsed="false">
      <c r="A49" s="6" t="s">
        <v>113</v>
      </c>
      <c r="F49" s="8" t="n">
        <f aca="false">0.3*F47</f>
        <v>263616731021.788</v>
      </c>
    </row>
    <row r="50" customFormat="false" ht="15" hidden="false" customHeight="false" outlineLevel="0" collapsed="false">
      <c r="A50" s="6" t="s">
        <v>114</v>
      </c>
      <c r="F50" s="8" t="n">
        <f aca="false">0.1*F47</f>
        <v>87872243673.9294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6" customFormat="false" ht="61.5" hidden="false" customHeight="true" outlineLevel="0" collapsed="false">
      <c r="A6" s="5" t="s">
        <v>4</v>
      </c>
      <c r="B6" s="5" t="s">
        <v>117</v>
      </c>
      <c r="C6" s="5" t="s">
        <v>118</v>
      </c>
      <c r="D6" s="5" t="s">
        <v>119</v>
      </c>
      <c r="E6" s="5" t="s">
        <v>120</v>
      </c>
      <c r="F6" s="5" t="s">
        <v>121</v>
      </c>
      <c r="G6" s="5" t="s">
        <v>122</v>
      </c>
      <c r="H6" s="5" t="s">
        <v>123</v>
      </c>
      <c r="I6" s="5" t="s">
        <v>124</v>
      </c>
      <c r="J6" s="5" t="s">
        <v>125</v>
      </c>
    </row>
    <row r="7" customFormat="false" ht="15" hidden="false" customHeight="false" outlineLevel="0" collapsed="false">
      <c r="A7" s="6" t="s">
        <v>15</v>
      </c>
      <c r="B7" s="21" t="n">
        <f aca="false">'Cuadro 3'!D7*Población!H7/SUMPRODUCT('Cuadro 3'!$D$7:$D$38,Población!$H$7:$H$38)*100</f>
        <v>1.13431958128225</v>
      </c>
      <c r="C7" s="26" t="n">
        <v>1.13432</v>
      </c>
      <c r="D7" s="27" t="n">
        <f aca="false">B7-C7</f>
        <v>-4.18717749584019E-007</v>
      </c>
      <c r="E7" s="21" t="n">
        <f aca="false">'Cuadro 4'!E7*Población!H7/SUMPRODUCT('Cuadro 4'!$E$7:$E$38,Población!$H$7:$H$38)*100</f>
        <v>1.18567708016953</v>
      </c>
      <c r="F7" s="26" t="n">
        <v>1.185677</v>
      </c>
      <c r="G7" s="27" t="n">
        <f aca="false">E7-F7</f>
        <v>8.01695341223763E-008</v>
      </c>
      <c r="H7" s="21" t="n">
        <f aca="false">'Cuadro 5'!B7*Población!H7/SUMPRODUCT('Cuadro 5'!$B$7:$B$38,Población!$H$7:$H$38)*100</f>
        <v>0.250282468933877</v>
      </c>
      <c r="I7" s="26" t="n">
        <v>0.250282</v>
      </c>
      <c r="J7" s="27" t="n">
        <f aca="false">H7-I7</f>
        <v>4.68933876618394E-007</v>
      </c>
    </row>
    <row r="8" customFormat="false" ht="15" hidden="false" customHeight="false" outlineLevel="0" collapsed="false">
      <c r="A8" s="6" t="s">
        <v>16</v>
      </c>
      <c r="B8" s="21" t="n">
        <f aca="false">'Cuadro 3'!D8*Población!H8/SUMPRODUCT('Cuadro 3'!$D$7:$D$38,Población!$H$7:$H$38)*100</f>
        <v>2.86176752142737</v>
      </c>
      <c r="C8" s="26" t="n">
        <v>2.861768</v>
      </c>
      <c r="D8" s="27" t="n">
        <f aca="false">B8-C8</f>
        <v>-4.78572628193064E-007</v>
      </c>
      <c r="E8" s="21" t="n">
        <f aca="false">'Cuadro 4'!E8*Población!H8/SUMPRODUCT('Cuadro 4'!$E$7:$E$38,Población!$H$7:$H$38)*100</f>
        <v>3.03529362943921</v>
      </c>
      <c r="F8" s="26" t="n">
        <v>3.035293</v>
      </c>
      <c r="G8" s="27" t="n">
        <f aca="false">E8-F8</f>
        <v>6.2943920875469E-007</v>
      </c>
      <c r="H8" s="21" t="n">
        <f aca="false">'Cuadro 5'!B8*Población!H8/SUMPRODUCT('Cuadro 5'!$B$7:$B$38,Población!$H$7:$H$38)*100</f>
        <v>3.34438097264523</v>
      </c>
      <c r="I8" s="26" t="n">
        <v>3.344381</v>
      </c>
      <c r="J8" s="27" t="n">
        <f aca="false">H8-I8</f>
        <v>-2.73547713369737E-008</v>
      </c>
    </row>
    <row r="9" customFormat="false" ht="15" hidden="false" customHeight="false" outlineLevel="0" collapsed="false">
      <c r="A9" s="6" t="s">
        <v>17</v>
      </c>
      <c r="B9" s="21" t="n">
        <f aca="false">'Cuadro 3'!D9*Población!H9/SUMPRODUCT('Cuadro 3'!$D$7:$D$38,Población!$H$7:$H$38)*100</f>
        <v>0.719296226198521</v>
      </c>
      <c r="C9" s="26" t="n">
        <v>0.719296</v>
      </c>
      <c r="D9" s="27" t="n">
        <f aca="false">B9-C9</f>
        <v>2.26198520802967E-007</v>
      </c>
      <c r="E9" s="21" t="n">
        <f aca="false">'Cuadro 4'!E9*Población!H9/SUMPRODUCT('Cuadro 4'!$E$7:$E$38,Población!$H$7:$H$38)*100</f>
        <v>0.694350843392309</v>
      </c>
      <c r="F9" s="26" t="n">
        <v>0.694351</v>
      </c>
      <c r="G9" s="27" t="n">
        <f aca="false">E9-F9</f>
        <v>-1.56607691481625E-007</v>
      </c>
      <c r="H9" s="21" t="n">
        <f aca="false">'Cuadro 5'!B9*Población!H9/SUMPRODUCT('Cuadro 5'!$B$7:$B$38,Población!$H$7:$H$38)*100</f>
        <v>0.157876393736964</v>
      </c>
      <c r="I9" s="26" t="n">
        <v>0.157876</v>
      </c>
      <c r="J9" s="27" t="n">
        <f aca="false">H9-I9</f>
        <v>3.93736963866242E-007</v>
      </c>
    </row>
    <row r="10" customFormat="false" ht="15" hidden="false" customHeight="false" outlineLevel="0" collapsed="false">
      <c r="A10" s="6" t="s">
        <v>18</v>
      </c>
      <c r="B10" s="21" t="n">
        <f aca="false">'Cuadro 3'!D10*Población!H10/SUMPRODUCT('Cuadro 3'!$D$7:$D$38,Población!$H$7:$H$38)*100</f>
        <v>0.586816451365976</v>
      </c>
      <c r="C10" s="26" t="n">
        <v>0.586816</v>
      </c>
      <c r="D10" s="27" t="n">
        <f aca="false">B10-C10</f>
        <v>4.51365976372742E-007</v>
      </c>
      <c r="E10" s="21" t="n">
        <f aca="false">'Cuadro 4'!E10*Población!H10/SUMPRODUCT('Cuadro 4'!$E$7:$E$38,Población!$H$7:$H$38)*100</f>
        <v>0.663398224855383</v>
      </c>
      <c r="F10" s="26" t="n">
        <v>0.663398</v>
      </c>
      <c r="G10" s="27" t="n">
        <f aca="false">E10-F10</f>
        <v>2.24855382535694E-007</v>
      </c>
      <c r="H10" s="21" t="n">
        <f aca="false">'Cuadro 5'!B10*Población!H10/SUMPRODUCT('Cuadro 5'!$B$7:$B$38,Población!$H$7:$H$38)*100</f>
        <v>0.0844373775840169</v>
      </c>
      <c r="I10" s="26" t="n">
        <v>0.084437</v>
      </c>
      <c r="J10" s="27" t="n">
        <f aca="false">H10-I10</f>
        <v>3.77584016914012E-007</v>
      </c>
    </row>
    <row r="11" customFormat="false" ht="15" hidden="false" customHeight="false" outlineLevel="0" collapsed="false">
      <c r="A11" s="6" t="s">
        <v>19</v>
      </c>
      <c r="B11" s="21" t="n">
        <f aca="false">'Cuadro 3'!D11*Población!H11/SUMPRODUCT('Cuadro 3'!$D$7:$D$38,Población!$H$7:$H$38)*100</f>
        <v>2.71473674679489</v>
      </c>
      <c r="C11" s="26" t="n">
        <v>2.714737</v>
      </c>
      <c r="D11" s="27" t="n">
        <f aca="false">B11-C11</f>
        <v>-2.53205113320831E-007</v>
      </c>
      <c r="E11" s="21" t="n">
        <f aca="false">'Cuadro 4'!E11*Población!H11/SUMPRODUCT('Cuadro 4'!$E$7:$E$38,Población!$H$7:$H$38)*100</f>
        <v>2.85398841041138</v>
      </c>
      <c r="F11" s="26" t="n">
        <v>2.853989</v>
      </c>
      <c r="G11" s="27" t="n">
        <f aca="false">E11-F11</f>
        <v>-5.89588617483372E-007</v>
      </c>
      <c r="H11" s="21" t="n">
        <f aca="false">'Cuadro 5'!B11*Población!H11/SUMPRODUCT('Cuadro 5'!$B$7:$B$38,Población!$H$7:$H$38)*100</f>
        <v>1.60423636600224</v>
      </c>
      <c r="I11" s="26" t="n">
        <v>1.604236</v>
      </c>
      <c r="J11" s="27" t="n">
        <f aca="false">H11-I11</f>
        <v>3.66002236074081E-007</v>
      </c>
    </row>
    <row r="12" customFormat="false" ht="15" hidden="false" customHeight="false" outlineLevel="0" collapsed="false">
      <c r="A12" s="6" t="s">
        <v>20</v>
      </c>
      <c r="B12" s="21" t="n">
        <f aca="false">'Cuadro 3'!D12*Población!H12/SUMPRODUCT('Cuadro 3'!$D$7:$D$38,Población!$H$7:$H$38)*100</f>
        <v>0.577674603928911</v>
      </c>
      <c r="C12" s="26" t="n">
        <v>0.577675</v>
      </c>
      <c r="D12" s="27" t="n">
        <f aca="false">B12-C12</f>
        <v>-3.96071089037164E-007</v>
      </c>
      <c r="E12" s="21" t="n">
        <f aca="false">'Cuadro 4'!E12*Población!H12/SUMPRODUCT('Cuadro 4'!$E$7:$E$38,Población!$H$7:$H$38)*100</f>
        <v>0.571795537171604</v>
      </c>
      <c r="F12" s="26" t="n">
        <v>0.571796</v>
      </c>
      <c r="G12" s="27" t="n">
        <f aca="false">E12-F12</f>
        <v>-4.62828396385895E-007</v>
      </c>
      <c r="H12" s="21" t="n">
        <f aca="false">'Cuadro 5'!B12*Población!H12/SUMPRODUCT('Cuadro 5'!$B$7:$B$38,Población!$H$7:$H$38)*100</f>
        <v>0.0649398544105132</v>
      </c>
      <c r="I12" s="26" t="n">
        <v>0.06494</v>
      </c>
      <c r="J12" s="27" t="n">
        <f aca="false">H12-I12</f>
        <v>-1.45589486771902E-007</v>
      </c>
    </row>
    <row r="13" customFormat="false" ht="15" hidden="false" customHeight="false" outlineLevel="0" collapsed="false">
      <c r="A13" s="6" t="s">
        <v>21</v>
      </c>
      <c r="B13" s="21" t="n">
        <f aca="false">'Cuadro 3'!D13*Población!H13/SUMPRODUCT('Cuadro 3'!$D$7:$D$38,Población!$H$7:$H$38)*100</f>
        <v>4.51192122352852</v>
      </c>
      <c r="C13" s="26" t="n">
        <v>4.511921</v>
      </c>
      <c r="D13" s="27" t="n">
        <f aca="false">B13-C13</f>
        <v>2.2352852102614E-007</v>
      </c>
      <c r="E13" s="21" t="n">
        <f aca="false">'Cuadro 4'!E13*Población!H13/SUMPRODUCT('Cuadro 4'!$E$7:$E$38,Población!$H$7:$H$38)*100</f>
        <v>4.95501052252525</v>
      </c>
      <c r="F13" s="26" t="n">
        <v>4.955011</v>
      </c>
      <c r="G13" s="27" t="n">
        <f aca="false">E13-F13</f>
        <v>-4.7747475218074E-007</v>
      </c>
      <c r="H13" s="21" t="n">
        <f aca="false">'Cuadro 5'!B13*Población!H13/SUMPRODUCT('Cuadro 5'!$B$7:$B$38,Población!$H$7:$H$38)*100</f>
        <v>1.29257128540843</v>
      </c>
      <c r="I13" s="26" t="n">
        <v>1.292571</v>
      </c>
      <c r="J13" s="27" t="n">
        <f aca="false">H13-I13</f>
        <v>2.85408426670131E-007</v>
      </c>
    </row>
    <row r="14" customFormat="false" ht="15" hidden="false" customHeight="false" outlineLevel="0" collapsed="false">
      <c r="A14" s="6" t="s">
        <v>22</v>
      </c>
      <c r="B14" s="21" t="n">
        <f aca="false">'Cuadro 3'!D14*Población!H14/SUMPRODUCT('Cuadro 3'!$D$7:$D$38,Población!$H$7:$H$38)*100</f>
        <v>3.01121563020589</v>
      </c>
      <c r="C14" s="26" t="n">
        <v>3.011216</v>
      </c>
      <c r="D14" s="27" t="n">
        <f aca="false">B14-C14</f>
        <v>-3.69794109111865E-007</v>
      </c>
      <c r="E14" s="21" t="n">
        <f aca="false">'Cuadro 4'!E14*Población!H14/SUMPRODUCT('Cuadro 4'!$E$7:$E$38,Población!$H$7:$H$38)*100</f>
        <v>2.97461830677779</v>
      </c>
      <c r="F14" s="26" t="n">
        <v>2.974618</v>
      </c>
      <c r="G14" s="27" t="n">
        <f aca="false">E14-F14</f>
        <v>3.06777785397117E-007</v>
      </c>
      <c r="H14" s="21" t="n">
        <f aca="false">'Cuadro 5'!B14*Población!H14/SUMPRODUCT('Cuadro 5'!$B$7:$B$38,Población!$H$7:$H$38)*100</f>
        <v>3.21371987458018</v>
      </c>
      <c r="I14" s="26" t="n">
        <v>3.21372</v>
      </c>
      <c r="J14" s="27" t="n">
        <f aca="false">H14-I14</f>
        <v>-1.25419822083472E-007</v>
      </c>
    </row>
    <row r="15" customFormat="false" ht="15" hidden="false" customHeight="false" outlineLevel="0" collapsed="false">
      <c r="A15" s="6" t="s">
        <v>23</v>
      </c>
      <c r="B15" s="21" t="n">
        <f aca="false">'Cuadro 3'!D15*Población!H15/SUMPRODUCT('Cuadro 3'!$D$7:$D$38,Población!$H$7:$H$38)*100</f>
        <v>7.17475107833766</v>
      </c>
      <c r="C15" s="26" t="n">
        <v>7.174751</v>
      </c>
      <c r="D15" s="27" t="n">
        <f aca="false">B15-C15</f>
        <v>7.83376572499606E-008</v>
      </c>
      <c r="E15" s="21" t="n">
        <f aca="false">'Cuadro 4'!E15*Población!H15/SUMPRODUCT('Cuadro 4'!$E$7:$E$38,Población!$H$7:$H$38)*100</f>
        <v>7.28360365741874</v>
      </c>
      <c r="F15" s="26" t="n">
        <v>7.283604</v>
      </c>
      <c r="G15" s="27" t="n">
        <f aca="false">E15-F15</f>
        <v>-3.42581260248664E-007</v>
      </c>
      <c r="H15" s="21" t="n">
        <f aca="false">'Cuadro 5'!B15*Población!H15/SUMPRODUCT('Cuadro 5'!$B$7:$B$38,Población!$H$7:$H$38)*100</f>
        <v>26.3504651874828</v>
      </c>
      <c r="I15" s="26" t="n">
        <v>26.350465</v>
      </c>
      <c r="J15" s="27" t="n">
        <f aca="false">H15-I15</f>
        <v>1.87482818603257E-007</v>
      </c>
    </row>
    <row r="16" customFormat="false" ht="15" hidden="false" customHeight="false" outlineLevel="0" collapsed="false">
      <c r="A16" s="6" t="s">
        <v>24</v>
      </c>
      <c r="B16" s="21" t="n">
        <f aca="false">'Cuadro 3'!D16*Población!H16/SUMPRODUCT('Cuadro 3'!$D$7:$D$38,Población!$H$7:$H$38)*100</f>
        <v>1.56193756751025</v>
      </c>
      <c r="C16" s="26" t="n">
        <v>1.561938</v>
      </c>
      <c r="D16" s="27" t="n">
        <f aca="false">B16-C16</f>
        <v>-4.3248974535004E-007</v>
      </c>
      <c r="E16" s="21" t="n">
        <f aca="false">'Cuadro 4'!E16*Población!H16/SUMPRODUCT('Cuadro 4'!$E$7:$E$38,Población!$H$7:$H$38)*100</f>
        <v>1.57417919593629</v>
      </c>
      <c r="F16" s="26" t="n">
        <v>1.574179</v>
      </c>
      <c r="G16" s="27" t="n">
        <f aca="false">E16-F16</f>
        <v>1.95936286528919E-007</v>
      </c>
      <c r="H16" s="21" t="n">
        <f aca="false">'Cuadro 5'!B16*Población!H16/SUMPRODUCT('Cuadro 5'!$B$7:$B$38,Población!$H$7:$H$38)*100</f>
        <v>0.305392289752034</v>
      </c>
      <c r="I16" s="26" t="n">
        <v>0.305392</v>
      </c>
      <c r="J16" s="27" t="n">
        <f aca="false">H16-I16</f>
        <v>2.89752033699742E-007</v>
      </c>
    </row>
    <row r="17" customFormat="false" ht="15" hidden="false" customHeight="false" outlineLevel="0" collapsed="false">
      <c r="A17" s="6" t="s">
        <v>25</v>
      </c>
      <c r="B17" s="21" t="n">
        <f aca="false">'Cuadro 3'!D17*Población!H17/SUMPRODUCT('Cuadro 3'!$D$7:$D$38,Población!$H$7:$H$38)*100</f>
        <v>4.96604139495094</v>
      </c>
      <c r="C17" s="26" t="n">
        <v>4.966041</v>
      </c>
      <c r="D17" s="27" t="n">
        <f aca="false">B17-C17</f>
        <v>3.94950935955762E-007</v>
      </c>
      <c r="E17" s="21" t="n">
        <f aca="false">'Cuadro 4'!E17*Población!H17/SUMPRODUCT('Cuadro 4'!$E$7:$E$38,Población!$H$7:$H$38)*100</f>
        <v>4.77201195296622</v>
      </c>
      <c r="F17" s="26" t="n">
        <v>4.772012</v>
      </c>
      <c r="G17" s="27" t="n">
        <f aca="false">E17-F17</f>
        <v>-4.70337839786339E-008</v>
      </c>
      <c r="H17" s="21" t="n">
        <f aca="false">'Cuadro 5'!B17*Población!H17/SUMPRODUCT('Cuadro 5'!$B$7:$B$38,Población!$H$7:$H$38)*100</f>
        <v>3.94674818168259</v>
      </c>
      <c r="I17" s="26" t="n">
        <v>3.946748</v>
      </c>
      <c r="J17" s="27" t="n">
        <f aca="false">H17-I17</f>
        <v>1.81682592526045E-007</v>
      </c>
    </row>
    <row r="18" customFormat="false" ht="15" hidden="false" customHeight="false" outlineLevel="0" collapsed="false">
      <c r="A18" s="6" t="s">
        <v>26</v>
      </c>
      <c r="B18" s="21" t="n">
        <f aca="false">'Cuadro 3'!D18*Población!H18/SUMPRODUCT('Cuadro 3'!$D$7:$D$38,Población!$H$7:$H$38)*100</f>
        <v>2.73090832660808</v>
      </c>
      <c r="C18" s="26" t="n">
        <v>2.730908</v>
      </c>
      <c r="D18" s="27" t="n">
        <f aca="false">B18-C18</f>
        <v>3.26608076584023E-007</v>
      </c>
      <c r="E18" s="21" t="n">
        <f aca="false">'Cuadro 4'!E18*Población!H18/SUMPRODUCT('Cuadro 4'!$E$7:$E$38,Población!$H$7:$H$38)*100</f>
        <v>2.7494641135955</v>
      </c>
      <c r="F18" s="26" t="n">
        <v>2.749464</v>
      </c>
      <c r="G18" s="27" t="n">
        <f aca="false">E18-F18</f>
        <v>1.13595494788399E-007</v>
      </c>
      <c r="H18" s="21" t="n">
        <f aca="false">'Cuadro 5'!B18*Población!H18/SUMPRODUCT('Cuadro 5'!$B$7:$B$38,Población!$H$7:$H$38)*100</f>
        <v>0.519642256888151</v>
      </c>
      <c r="I18" s="26" t="n">
        <v>0.519642</v>
      </c>
      <c r="J18" s="27" t="n">
        <f aca="false">H18-I18</f>
        <v>2.56888150862444E-007</v>
      </c>
    </row>
    <row r="19" customFormat="false" ht="15" hidden="false" customHeight="false" outlineLevel="0" collapsed="false">
      <c r="A19" s="6" t="s">
        <v>27</v>
      </c>
      <c r="B19" s="21" t="n">
        <f aca="false">'Cuadro 3'!D19*Población!H19/SUMPRODUCT('Cuadro 3'!$D$7:$D$38,Población!$H$7:$H$38)*100</f>
        <v>2.49916116608214</v>
      </c>
      <c r="C19" s="26" t="n">
        <v>2.499161</v>
      </c>
      <c r="D19" s="27" t="n">
        <f aca="false">B19-C19</f>
        <v>1.66082140040658E-007</v>
      </c>
      <c r="E19" s="21" t="n">
        <f aca="false">'Cuadro 4'!E19*Población!H19/SUMPRODUCT('Cuadro 4'!$E$7:$E$38,Población!$H$7:$H$38)*100</f>
        <v>2.46107648497832</v>
      </c>
      <c r="F19" s="26" t="n">
        <v>2.461076</v>
      </c>
      <c r="G19" s="27" t="n">
        <f aca="false">E19-F19</f>
        <v>4.84978321946272E-007</v>
      </c>
      <c r="H19" s="21" t="n">
        <f aca="false">'Cuadro 5'!B19*Población!H19/SUMPRODUCT('Cuadro 5'!$B$7:$B$38,Población!$H$7:$H$38)*100</f>
        <v>0.557096593968869</v>
      </c>
      <c r="I19" s="26" t="n">
        <v>0.557097</v>
      </c>
      <c r="J19" s="27" t="n">
        <f aca="false">H19-I19</f>
        <v>-4.0603113093951E-007</v>
      </c>
    </row>
    <row r="20" customFormat="false" ht="15" hidden="false" customHeight="false" outlineLevel="0" collapsed="false">
      <c r="A20" s="6" t="s">
        <v>28</v>
      </c>
      <c r="B20" s="21" t="n">
        <f aca="false">'Cuadro 3'!D20*Población!H20/SUMPRODUCT('Cuadro 3'!$D$7:$D$38,Población!$H$7:$H$38)*100</f>
        <v>6.67052881507698</v>
      </c>
      <c r="C20" s="26" t="n">
        <v>6.670529</v>
      </c>
      <c r="D20" s="27" t="n">
        <f aca="false">B20-C20</f>
        <v>-1.84923019119765E-007</v>
      </c>
      <c r="E20" s="21" t="n">
        <f aca="false">'Cuadro 4'!E20*Población!H20/SUMPRODUCT('Cuadro 4'!$E$7:$E$38,Población!$H$7:$H$38)*100</f>
        <v>6.76980247519934</v>
      </c>
      <c r="F20" s="26" t="n">
        <v>6.769803</v>
      </c>
      <c r="G20" s="27" t="n">
        <f aca="false">E20-F20</f>
        <v>-5.2480065981797E-007</v>
      </c>
      <c r="H20" s="21" t="n">
        <f aca="false">'Cuadro 5'!B20*Población!H20/SUMPRODUCT('Cuadro 5'!$B$7:$B$38,Población!$H$7:$H$38)*100</f>
        <v>8.9160945924862</v>
      </c>
      <c r="I20" s="26" t="n">
        <v>8.916095</v>
      </c>
      <c r="J20" s="27" t="n">
        <f aca="false">H20-I20</f>
        <v>-4.07513800482207E-007</v>
      </c>
    </row>
    <row r="21" customFormat="false" ht="15" hidden="false" customHeight="false" outlineLevel="0" collapsed="false">
      <c r="A21" s="6" t="s">
        <v>29</v>
      </c>
      <c r="B21" s="21" t="n">
        <f aca="false">'Cuadro 3'!D21*Población!H21/SUMPRODUCT('Cuadro 3'!$D$7:$D$38,Población!$H$7:$H$38)*100</f>
        <v>13.5765746988835</v>
      </c>
      <c r="C21" s="26" t="n">
        <v>13.576575</v>
      </c>
      <c r="D21" s="27" t="n">
        <f aca="false">B21-C21</f>
        <v>-3.01116472201102E-007</v>
      </c>
      <c r="E21" s="21" t="n">
        <f aca="false">'Cuadro 4'!E21*Población!H21/SUMPRODUCT('Cuadro 4'!$E$7:$E$38,Población!$H$7:$H$38)*100</f>
        <v>13.4319580906323</v>
      </c>
      <c r="F21" s="26" t="n">
        <v>13.431958</v>
      </c>
      <c r="G21" s="27" t="n">
        <f aca="false">E21-F21</f>
        <v>9.06322767946222E-008</v>
      </c>
      <c r="H21" s="21" t="n">
        <f aca="false">'Cuadro 5'!B21*Población!H21/SUMPRODUCT('Cuadro 5'!$B$7:$B$38,Población!$H$7:$H$38)*100</f>
        <v>25.7049882936973</v>
      </c>
      <c r="I21" s="26" t="n">
        <v>25.704988</v>
      </c>
      <c r="J21" s="27" t="n">
        <f aca="false">H21-I21</f>
        <v>2.93697272724103E-007</v>
      </c>
    </row>
    <row r="22" customFormat="false" ht="15" hidden="false" customHeight="false" outlineLevel="0" collapsed="false">
      <c r="A22" s="6" t="s">
        <v>30</v>
      </c>
      <c r="B22" s="21" t="n">
        <f aca="false">'Cuadro 3'!D22*Población!H22/SUMPRODUCT('Cuadro 3'!$D$7:$D$38,Población!$H$7:$H$38)*100</f>
        <v>3.73617187544523</v>
      </c>
      <c r="C22" s="26" t="n">
        <v>3.736172</v>
      </c>
      <c r="D22" s="27" t="n">
        <f aca="false">B22-C22</f>
        <v>-1.24554774494356E-007</v>
      </c>
      <c r="E22" s="21" t="n">
        <f aca="false">'Cuadro 4'!E22*Población!H22/SUMPRODUCT('Cuadro 4'!$E$7:$E$38,Población!$H$7:$H$38)*100</f>
        <v>3.52964073258125</v>
      </c>
      <c r="F22" s="26" t="n">
        <v>3.52964</v>
      </c>
      <c r="G22" s="27" t="n">
        <f aca="false">E22-F22</f>
        <v>7.32581251661202E-007</v>
      </c>
      <c r="H22" s="21" t="n">
        <f aca="false">'Cuadro 5'!B22*Población!H22/SUMPRODUCT('Cuadro 5'!$B$7:$B$38,Población!$H$7:$H$38)*100</f>
        <v>1.34675472020994</v>
      </c>
      <c r="I22" s="26" t="n">
        <v>1.346755</v>
      </c>
      <c r="J22" s="27" t="n">
        <f aca="false">H22-I22</f>
        <v>-2.79790062895913E-007</v>
      </c>
    </row>
    <row r="23" customFormat="false" ht="15" hidden="false" customHeight="false" outlineLevel="0" collapsed="false">
      <c r="A23" s="6" t="s">
        <v>31</v>
      </c>
      <c r="B23" s="21" t="n">
        <f aca="false">'Cuadro 3'!D23*Población!H23/SUMPRODUCT('Cuadro 3'!$D$7:$D$38,Población!$H$7:$H$38)*100</f>
        <v>1.4858776120188</v>
      </c>
      <c r="C23" s="26" t="n">
        <v>1.485878</v>
      </c>
      <c r="D23" s="27" t="n">
        <f aca="false">B23-C23</f>
        <v>-3.8798119761374E-007</v>
      </c>
      <c r="E23" s="21" t="n">
        <f aca="false">'Cuadro 4'!E23*Población!H23/SUMPRODUCT('Cuadro 4'!$E$7:$E$38,Población!$H$7:$H$38)*100</f>
        <v>1.49349285182207</v>
      </c>
      <c r="F23" s="26" t="n">
        <v>1.493493</v>
      </c>
      <c r="G23" s="27" t="n">
        <f aca="false">E23-F23</f>
        <v>-1.48177931924565E-007</v>
      </c>
      <c r="H23" s="21" t="n">
        <f aca="false">'Cuadro 5'!B23*Población!H23/SUMPRODUCT('Cuadro 5'!$B$7:$B$38,Población!$H$7:$H$38)*100</f>
        <v>0.276211311725617</v>
      </c>
      <c r="I23" s="26" t="n">
        <v>0.276211</v>
      </c>
      <c r="J23" s="27" t="n">
        <f aca="false">H23-I23</f>
        <v>3.11725617430092E-007</v>
      </c>
    </row>
    <row r="24" customFormat="false" ht="15" hidden="false" customHeight="false" outlineLevel="0" collapsed="false">
      <c r="A24" s="6" t="s">
        <v>32</v>
      </c>
      <c r="B24" s="21" t="n">
        <f aca="false">'Cuadro 3'!D24*Población!H24/SUMPRODUCT('Cuadro 3'!$D$7:$D$38,Población!$H$7:$H$38)*100</f>
        <v>0.947760912108575</v>
      </c>
      <c r="C24" s="26" t="n">
        <v>0.947761</v>
      </c>
      <c r="D24" s="27" t="n">
        <f aca="false">B24-C24</f>
        <v>-8.7891425137876E-008</v>
      </c>
      <c r="E24" s="21" t="n">
        <f aca="false">'Cuadro 4'!E24*Población!H24/SUMPRODUCT('Cuadro 4'!$E$7:$E$38,Población!$H$7:$H$38)*100</f>
        <v>0.984150621243284</v>
      </c>
      <c r="F24" s="26" t="n">
        <v>0.984151</v>
      </c>
      <c r="G24" s="27" t="n">
        <f aca="false">E24-F24</f>
        <v>-3.78756716101769E-007</v>
      </c>
      <c r="H24" s="21" t="n">
        <f aca="false">'Cuadro 5'!B24*Población!H24/SUMPRODUCT('Cuadro 5'!$B$7:$B$38,Población!$H$7:$H$38)*100</f>
        <v>0.145008415078321</v>
      </c>
      <c r="I24" s="26" t="n">
        <v>0.145008</v>
      </c>
      <c r="J24" s="27" t="n">
        <f aca="false">H24-I24</f>
        <v>4.15078321269746E-007</v>
      </c>
    </row>
    <row r="25" customFormat="false" ht="15" hidden="false" customHeight="false" outlineLevel="0" collapsed="false">
      <c r="A25" s="6" t="s">
        <v>33</v>
      </c>
      <c r="B25" s="21" t="n">
        <f aca="false">'Cuadro 3'!D25*Población!H25/SUMPRODUCT('Cuadro 3'!$D$7:$D$38,Población!$H$7:$H$38)*100</f>
        <v>4.84559286313776</v>
      </c>
      <c r="C25" s="26" t="n">
        <v>4.845593</v>
      </c>
      <c r="D25" s="27" t="n">
        <f aca="false">B25-C25</f>
        <v>-1.36862237098967E-007</v>
      </c>
      <c r="E25" s="21" t="n">
        <f aca="false">'Cuadro 4'!E25*Población!H25/SUMPRODUCT('Cuadro 4'!$E$7:$E$38,Población!$H$7:$H$38)*100</f>
        <v>4.68371474558176</v>
      </c>
      <c r="F25" s="26" t="n">
        <v>4.683715</v>
      </c>
      <c r="G25" s="27" t="n">
        <f aca="false">E25-F25</f>
        <v>-2.54418240253074E-007</v>
      </c>
      <c r="H25" s="21" t="n">
        <f aca="false">'Cuadro 5'!B25*Población!H25/SUMPRODUCT('Cuadro 5'!$B$7:$B$38,Población!$H$7:$H$38)*100</f>
        <v>7.63798513543313</v>
      </c>
      <c r="I25" s="26" t="n">
        <v>7.637985</v>
      </c>
      <c r="J25" s="27" t="n">
        <f aca="false">H25-I25</f>
        <v>1.35433133152674E-007</v>
      </c>
    </row>
    <row r="26" customFormat="false" ht="15" hidden="false" customHeight="false" outlineLevel="0" collapsed="false">
      <c r="A26" s="6" t="s">
        <v>34</v>
      </c>
      <c r="B26" s="21" t="n">
        <f aca="false">'Cuadro 3'!D26*Población!H26/SUMPRODUCT('Cuadro 3'!$D$7:$D$38,Población!$H$7:$H$38)*100</f>
        <v>3.30844762757302</v>
      </c>
      <c r="C26" s="26" t="n">
        <v>3.308448</v>
      </c>
      <c r="D26" s="27" t="n">
        <f aca="false">B26-C26</f>
        <v>-3.724269768135E-007</v>
      </c>
      <c r="E26" s="21" t="n">
        <f aca="false">'Cuadro 4'!E26*Población!H26/SUMPRODUCT('Cuadro 4'!$E$7:$E$38,Población!$H$7:$H$38)*100</f>
        <v>3.26456482802425</v>
      </c>
      <c r="F26" s="26" t="n">
        <v>3.264565</v>
      </c>
      <c r="G26" s="27" t="n">
        <f aca="false">E26-F26</f>
        <v>-1.71975751861453E-007</v>
      </c>
      <c r="H26" s="21" t="n">
        <f aca="false">'Cuadro 5'!B26*Población!H26/SUMPRODUCT('Cuadro 5'!$B$7:$B$38,Población!$H$7:$H$38)*100</f>
        <v>0.646207905693079</v>
      </c>
      <c r="I26" s="26" t="n">
        <v>0.646208</v>
      </c>
      <c r="J26" s="27" t="n">
        <f aca="false">H26-I26</f>
        <v>-9.4306921050169E-008</v>
      </c>
    </row>
    <row r="27" customFormat="false" ht="15" hidden="false" customHeight="false" outlineLevel="0" collapsed="false">
      <c r="A27" s="6" t="s">
        <v>35</v>
      </c>
      <c r="B27" s="21" t="n">
        <f aca="false">'Cuadro 3'!D27*Población!H27/SUMPRODUCT('Cuadro 3'!$D$7:$D$38,Población!$H$7:$H$38)*100</f>
        <v>5.17517503866885</v>
      </c>
      <c r="C27" s="26" t="n">
        <v>5.175175</v>
      </c>
      <c r="D27" s="27" t="n">
        <f aca="false">B27-C27</f>
        <v>3.86688485676245E-008</v>
      </c>
      <c r="E27" s="21" t="n">
        <f aca="false">'Cuadro 4'!E27*Población!H27/SUMPRODUCT('Cuadro 4'!$E$7:$E$38,Población!$H$7:$H$38)*100</f>
        <v>4.9518906896844</v>
      </c>
      <c r="F27" s="26" t="n">
        <v>4.951891</v>
      </c>
      <c r="G27" s="27" t="n">
        <f aca="false">E27-F27</f>
        <v>-3.1031559810657E-007</v>
      </c>
      <c r="H27" s="21" t="n">
        <f aca="false">'Cuadro 5'!B27*Población!H27/SUMPRODUCT('Cuadro 5'!$B$7:$B$38,Población!$H$7:$H$38)*100</f>
        <v>2.18303766457798</v>
      </c>
      <c r="I27" s="26" t="n">
        <v>2.183038</v>
      </c>
      <c r="J27" s="27" t="n">
        <f aca="false">H27-I27</f>
        <v>-3.35422015496079E-007</v>
      </c>
    </row>
    <row r="28" customFormat="false" ht="15" hidden="false" customHeight="false" outlineLevel="0" collapsed="false">
      <c r="A28" s="6" t="s">
        <v>36</v>
      </c>
      <c r="B28" s="21" t="n">
        <f aca="false">'Cuadro 3'!D28*Población!H28/SUMPRODUCT('Cuadro 3'!$D$7:$D$38,Población!$H$7:$H$38)*100</f>
        <v>1.90357501933862</v>
      </c>
      <c r="C28" s="26" t="n">
        <v>1.903575</v>
      </c>
      <c r="D28" s="27" t="n">
        <f aca="false">B28-C28</f>
        <v>1.93386200386669E-008</v>
      </c>
      <c r="E28" s="21" t="n">
        <f aca="false">'Cuadro 4'!E28*Población!H28/SUMPRODUCT('Cuadro 4'!$E$7:$E$38,Población!$H$7:$H$38)*100</f>
        <v>1.87557101950349</v>
      </c>
      <c r="F28" s="26" t="n">
        <v>1.875571</v>
      </c>
      <c r="G28" s="27" t="n">
        <f aca="false">E28-F28</f>
        <v>1.95034932648497E-008</v>
      </c>
      <c r="H28" s="21" t="n">
        <f aca="false">'Cuadro 5'!B28*Población!H28/SUMPRODUCT('Cuadro 5'!$B$7:$B$38,Población!$H$7:$H$38)*100</f>
        <v>1.14716171329041</v>
      </c>
      <c r="I28" s="26" t="n">
        <v>1.147162</v>
      </c>
      <c r="J28" s="27" t="n">
        <f aca="false">H28-I28</f>
        <v>-2.86709590291423E-007</v>
      </c>
    </row>
    <row r="29" customFormat="false" ht="15" hidden="false" customHeight="false" outlineLevel="0" collapsed="false">
      <c r="A29" s="6" t="s">
        <v>37</v>
      </c>
      <c r="B29" s="21" t="n">
        <f aca="false">'Cuadro 3'!D29*Población!H29/SUMPRODUCT('Cuadro 3'!$D$7:$D$38,Población!$H$7:$H$38)*100</f>
        <v>1.45085695344455</v>
      </c>
      <c r="C29" s="26" t="n">
        <v>1.450857</v>
      </c>
      <c r="D29" s="27" t="n">
        <f aca="false">B29-C29</f>
        <v>-4.65554514939015E-008</v>
      </c>
      <c r="E29" s="21" t="n">
        <f aca="false">'Cuadro 4'!E29*Población!H29/SUMPRODUCT('Cuadro 4'!$E$7:$E$38,Población!$H$7:$H$38)*100</f>
        <v>1.5798018568295</v>
      </c>
      <c r="F29" s="26" t="n">
        <v>1.579802</v>
      </c>
      <c r="G29" s="27" t="n">
        <f aca="false">E29-F29</f>
        <v>-1.43170500122025E-007</v>
      </c>
      <c r="H29" s="21" t="n">
        <f aca="false">'Cuadro 5'!B29*Población!H29/SUMPRODUCT('Cuadro 5'!$B$7:$B$38,Población!$H$7:$H$38)*100</f>
        <v>1.04237491939133</v>
      </c>
      <c r="I29" s="26" t="n">
        <v>1.042375</v>
      </c>
      <c r="J29" s="27" t="n">
        <f aca="false">H29-I29</f>
        <v>-8.0608665298243E-008</v>
      </c>
    </row>
    <row r="30" customFormat="false" ht="15" hidden="false" customHeight="false" outlineLevel="0" collapsed="false">
      <c r="A30" s="6" t="s">
        <v>38</v>
      </c>
      <c r="B30" s="21" t="n">
        <f aca="false">'Cuadro 3'!D30*Población!H30/SUMPRODUCT('Cuadro 3'!$D$7:$D$38,Población!$H$7:$H$38)*100</f>
        <v>2.21589878386585</v>
      </c>
      <c r="C30" s="26" t="n">
        <v>2.215899</v>
      </c>
      <c r="D30" s="27" t="n">
        <f aca="false">B30-C30</f>
        <v>-2.16134149688685E-007</v>
      </c>
      <c r="E30" s="21" t="n">
        <f aca="false">'Cuadro 4'!E30*Población!H30/SUMPRODUCT('Cuadro 4'!$E$7:$E$38,Población!$H$7:$H$38)*100</f>
        <v>2.32878765520844</v>
      </c>
      <c r="F30" s="26" t="n">
        <v>2.328787</v>
      </c>
      <c r="G30" s="27" t="n">
        <f aca="false">E30-F30</f>
        <v>6.55208440836219E-007</v>
      </c>
      <c r="H30" s="21" t="n">
        <f aca="false">'Cuadro 5'!B30*Población!H30/SUMPRODUCT('Cuadro 5'!$B$7:$B$38,Población!$H$7:$H$38)*100</f>
        <v>0.712272685419009</v>
      </c>
      <c r="I30" s="26" t="n">
        <v>0.712273</v>
      </c>
      <c r="J30" s="27" t="n">
        <f aca="false">H30-I30</f>
        <v>-3.14580991145341E-007</v>
      </c>
    </row>
    <row r="31" customFormat="false" ht="15" hidden="false" customHeight="false" outlineLevel="0" collapsed="false">
      <c r="A31" s="6" t="s">
        <v>39</v>
      </c>
      <c r="B31" s="21" t="n">
        <f aca="false">'Cuadro 3'!D31*Población!H31/SUMPRODUCT('Cuadro 3'!$D$7:$D$38,Población!$H$7:$H$38)*100</f>
        <v>2.28628625818821</v>
      </c>
      <c r="C31" s="26" t="n">
        <v>2.286286</v>
      </c>
      <c r="D31" s="27" t="n">
        <f aca="false">B31-C31</f>
        <v>2.58188205481957E-007</v>
      </c>
      <c r="E31" s="21" t="n">
        <f aca="false">'Cuadro 4'!E31*Población!H31/SUMPRODUCT('Cuadro 4'!$E$7:$E$38,Población!$H$7:$H$38)*100</f>
        <v>2.21147142947042</v>
      </c>
      <c r="F31" s="26" t="n">
        <v>2.211471</v>
      </c>
      <c r="G31" s="27" t="n">
        <f aca="false">E31-F31</f>
        <v>4.2947041611896E-007</v>
      </c>
      <c r="H31" s="21" t="n">
        <f aca="false">'Cuadro 5'!B31*Población!H31/SUMPRODUCT('Cuadro 5'!$B$7:$B$38,Población!$H$7:$H$38)*100</f>
        <v>1.10638695752197</v>
      </c>
      <c r="I31" s="26" t="n">
        <v>1.106387</v>
      </c>
      <c r="J31" s="27" t="n">
        <f aca="false">H31-I31</f>
        <v>-4.24780295382732E-008</v>
      </c>
    </row>
    <row r="32" customFormat="false" ht="15" hidden="false" customHeight="false" outlineLevel="0" collapsed="false">
      <c r="A32" s="6" t="s">
        <v>40</v>
      </c>
      <c r="B32" s="21" t="n">
        <f aca="false">'Cuadro 3'!D32*Población!H32/SUMPRODUCT('Cuadro 3'!$D$7:$D$38,Población!$H$7:$H$38)*100</f>
        <v>2.26750315568656</v>
      </c>
      <c r="C32" s="26" t="n">
        <v>2.267503</v>
      </c>
      <c r="D32" s="27" t="n">
        <f aca="false">B32-C32</f>
        <v>1.55686558755974E-007</v>
      </c>
      <c r="E32" s="21" t="n">
        <f aca="false">'Cuadro 4'!E32*Población!H32/SUMPRODUCT('Cuadro 4'!$E$7:$E$38,Población!$H$7:$H$38)*100</f>
        <v>2.3528801906381</v>
      </c>
      <c r="F32" s="26" t="n">
        <v>2.35288</v>
      </c>
      <c r="G32" s="27" t="n">
        <f aca="false">E32-F32</f>
        <v>1.90638099528684E-007</v>
      </c>
      <c r="H32" s="21" t="n">
        <f aca="false">'Cuadro 5'!B32*Población!H32/SUMPRODUCT('Cuadro 5'!$B$7:$B$38,Población!$H$7:$H$38)*100</f>
        <v>1.35685593800565</v>
      </c>
      <c r="I32" s="26" t="n">
        <v>1.356856</v>
      </c>
      <c r="J32" s="27" t="n">
        <f aca="false">H32-I32</f>
        <v>-6.19943498758602E-008</v>
      </c>
    </row>
    <row r="33" customFormat="false" ht="15" hidden="false" customHeight="false" outlineLevel="0" collapsed="false">
      <c r="A33" s="6" t="s">
        <v>41</v>
      </c>
      <c r="B33" s="21" t="n">
        <f aca="false">'Cuadro 3'!D33*Población!H33/SUMPRODUCT('Cuadro 3'!$D$7:$D$38,Población!$H$7:$H$38)*100</f>
        <v>1.71058293857227</v>
      </c>
      <c r="C33" s="26" t="n">
        <v>1.710583</v>
      </c>
      <c r="D33" s="27" t="n">
        <f aca="false">B33-C33</f>
        <v>-6.14277269050945E-008</v>
      </c>
      <c r="E33" s="21" t="n">
        <f aca="false">'Cuadro 4'!E33*Población!H33/SUMPRODUCT('Cuadro 4'!$E$7:$E$38,Población!$H$7:$H$38)*100</f>
        <v>1.96079890107625</v>
      </c>
      <c r="F33" s="26" t="n">
        <v>1.960799</v>
      </c>
      <c r="G33" s="27" t="n">
        <f aca="false">E33-F33</f>
        <v>-9.89237505244489E-008</v>
      </c>
      <c r="H33" s="21" t="n">
        <f aca="false">'Cuadro 5'!B33*Población!H33/SUMPRODUCT('Cuadro 5'!$B$7:$B$38,Población!$H$7:$H$38)*100</f>
        <v>0.338553259657876</v>
      </c>
      <c r="I33" s="26" t="n">
        <v>0.338553</v>
      </c>
      <c r="J33" s="27" t="n">
        <f aca="false">H33-I33</f>
        <v>2.59657875700814E-007</v>
      </c>
    </row>
    <row r="34" customFormat="false" ht="15" hidden="false" customHeight="false" outlineLevel="0" collapsed="false">
      <c r="A34" s="6" t="s">
        <v>42</v>
      </c>
      <c r="B34" s="21" t="n">
        <f aca="false">'Cuadro 3'!D34*Población!H34/SUMPRODUCT('Cuadro 3'!$D$7:$D$38,Población!$H$7:$H$38)*100</f>
        <v>2.77205301084527</v>
      </c>
      <c r="C34" s="26" t="n">
        <v>2.772053</v>
      </c>
      <c r="D34" s="27" t="n">
        <f aca="false">B34-C34</f>
        <v>1.08452677949344E-008</v>
      </c>
      <c r="E34" s="21" t="n">
        <f aca="false">'Cuadro 4'!E34*Población!H34/SUMPRODUCT('Cuadro 4'!$E$7:$E$38,Población!$H$7:$H$38)*100</f>
        <v>2.71089175893186</v>
      </c>
      <c r="F34" s="26" t="n">
        <v>2.710891</v>
      </c>
      <c r="G34" s="27" t="n">
        <f aca="false">E34-F34</f>
        <v>7.58931860467271E-007</v>
      </c>
      <c r="H34" s="21" t="n">
        <f aca="false">'Cuadro 5'!B34*Población!H34/SUMPRODUCT('Cuadro 5'!$B$7:$B$38,Población!$H$7:$H$38)*100</f>
        <v>1.50132348186034</v>
      </c>
      <c r="I34" s="26" t="n">
        <v>1.501323</v>
      </c>
      <c r="J34" s="27" t="n">
        <f aca="false">H34-I34</f>
        <v>4.81860344736518E-007</v>
      </c>
    </row>
    <row r="35" customFormat="false" ht="15" hidden="false" customHeight="false" outlineLevel="0" collapsed="false">
      <c r="A35" s="6" t="s">
        <v>43</v>
      </c>
      <c r="B35" s="21" t="n">
        <f aca="false">'Cuadro 3'!D35*Población!H35/SUMPRODUCT('Cuadro 3'!$D$7:$D$38,Población!$H$7:$H$38)*100</f>
        <v>1.0811729494542</v>
      </c>
      <c r="C35" s="26" t="n">
        <v>1.081173</v>
      </c>
      <c r="D35" s="27" t="n">
        <f aca="false">B35-C35</f>
        <v>-5.05458019883776E-008</v>
      </c>
      <c r="E35" s="21" t="n">
        <f aca="false">'Cuadro 4'!E35*Población!H35/SUMPRODUCT('Cuadro 4'!$E$7:$E$38,Población!$H$7:$H$38)*100</f>
        <v>1.07897483835362</v>
      </c>
      <c r="F35" s="26" t="n">
        <v>1.078975</v>
      </c>
      <c r="G35" s="27" t="n">
        <f aca="false">E35-F35</f>
        <v>-1.61646381391378E-007</v>
      </c>
      <c r="H35" s="21" t="n">
        <f aca="false">'Cuadro 5'!B35*Población!H35/SUMPRODUCT('Cuadro 5'!$B$7:$B$38,Población!$H$7:$H$38)*100</f>
        <v>0.0853285964223872</v>
      </c>
      <c r="I35" s="26" t="n">
        <v>0.085329</v>
      </c>
      <c r="J35" s="27" t="n">
        <f aca="false">H35-I35</f>
        <v>-4.03577612759221E-007</v>
      </c>
    </row>
    <row r="36" customFormat="false" ht="15" hidden="false" customHeight="false" outlineLevel="0" collapsed="false">
      <c r="A36" s="6" t="s">
        <v>44</v>
      </c>
      <c r="B36" s="21" t="n">
        <f aca="false">'Cuadro 3'!D36*Población!H36/SUMPRODUCT('Cuadro 3'!$D$7:$D$38,Población!$H$7:$H$38)*100</f>
        <v>6.21432012894367</v>
      </c>
      <c r="C36" s="26" t="n">
        <v>6.21432</v>
      </c>
      <c r="D36" s="27" t="n">
        <f aca="false">B36-C36</f>
        <v>1.28943669963633E-007</v>
      </c>
      <c r="E36" s="21" t="n">
        <f aca="false">'Cuadro 4'!E36*Población!H36/SUMPRODUCT('Cuadro 4'!$E$7:$E$38,Población!$H$7:$H$38)*100</f>
        <v>5.88559297914074</v>
      </c>
      <c r="F36" s="26" t="n">
        <v>5.885593</v>
      </c>
      <c r="G36" s="27" t="n">
        <f aca="false">E36-F36</f>
        <v>-2.08592654260542E-008</v>
      </c>
      <c r="H36" s="21" t="n">
        <f aca="false">'Cuadro 5'!B36*Población!H36/SUMPRODUCT('Cuadro 5'!$B$7:$B$38,Población!$H$7:$H$38)*100</f>
        <v>3.31484423541123</v>
      </c>
      <c r="I36" s="26" t="n">
        <v>3.314844</v>
      </c>
      <c r="J36" s="27" t="n">
        <f aca="false">H36-I36</f>
        <v>2.35411225624205E-007</v>
      </c>
    </row>
    <row r="37" customFormat="false" ht="15" hidden="false" customHeight="false" outlineLevel="0" collapsed="false">
      <c r="A37" s="6" t="s">
        <v>45</v>
      </c>
      <c r="B37" s="21" t="n">
        <f aca="false">'Cuadro 3'!D37*Población!H37/SUMPRODUCT('Cuadro 3'!$D$7:$D$38,Población!$H$7:$H$38)*100</f>
        <v>1.91893935173127</v>
      </c>
      <c r="C37" s="26" t="n">
        <v>1.918939</v>
      </c>
      <c r="D37" s="27" t="n">
        <f aca="false">B37-C37</f>
        <v>3.51731265002542E-007</v>
      </c>
      <c r="E37" s="21" t="n">
        <f aca="false">'Cuadro 4'!E37*Población!H37/SUMPRODUCT('Cuadro 4'!$E$7:$E$38,Población!$H$7:$H$38)*100</f>
        <v>1.85845869200718</v>
      </c>
      <c r="F37" s="26" t="n">
        <v>1.858459</v>
      </c>
      <c r="G37" s="27" t="n">
        <f aca="false">E37-F37</f>
        <v>-3.07992819470471E-007</v>
      </c>
      <c r="H37" s="21" t="n">
        <f aca="false">'Cuadro 5'!B37*Población!H37/SUMPRODUCT('Cuadro 5'!$B$7:$B$38,Población!$H$7:$H$38)*100</f>
        <v>0.597137208714607</v>
      </c>
      <c r="I37" s="26" t="n">
        <v>0.597137</v>
      </c>
      <c r="J37" s="27" t="n">
        <f aca="false">H37-I37</f>
        <v>2.08714607374816E-007</v>
      </c>
    </row>
    <row r="38" customFormat="false" ht="15" hidden="false" customHeight="false" outlineLevel="0" collapsed="false">
      <c r="A38" s="6" t="s">
        <v>46</v>
      </c>
      <c r="B38" s="21" t="n">
        <f aca="false">'Cuadro 3'!D38*Población!H38/SUMPRODUCT('Cuadro 3'!$D$7:$D$38,Población!$H$7:$H$38)*100</f>
        <v>1.38213448879539</v>
      </c>
      <c r="C38" s="26" t="n">
        <v>1.382134</v>
      </c>
      <c r="D38" s="27" t="n">
        <f aca="false">B38-C38</f>
        <v>4.8879539438218E-007</v>
      </c>
      <c r="E38" s="21" t="n">
        <f aca="false">'Cuadro 4'!E38*Población!H38/SUMPRODUCT('Cuadro 4'!$E$7:$E$38,Población!$H$7:$H$38)*100</f>
        <v>1.27308768443427</v>
      </c>
      <c r="F38" s="26" t="n">
        <v>1.273088</v>
      </c>
      <c r="G38" s="27" t="n">
        <f aca="false">E38-F38</f>
        <v>-3.15565733544076E-007</v>
      </c>
      <c r="H38" s="21" t="n">
        <f aca="false">'Cuadro 5'!B38*Población!H38/SUMPRODUCT('Cuadro 5'!$B$7:$B$38,Población!$H$7:$H$38)*100</f>
        <v>0.249683862327732</v>
      </c>
      <c r="I38" s="26" t="n">
        <v>0.249684</v>
      </c>
      <c r="J38" s="27" t="n">
        <f aca="false">H38-I38</f>
        <v>-1.37672267530586E-007</v>
      </c>
    </row>
    <row r="39" customFormat="false" ht="15" hidden="false" customHeight="false" outlineLevel="0" collapsed="false">
      <c r="A39" s="13" t="s">
        <v>47</v>
      </c>
      <c r="B39" s="23" t="n">
        <f aca="false">SUM(B7:B38)</f>
        <v>100</v>
      </c>
      <c r="C39" s="23" t="n">
        <f aca="false">SUM(C7:C38)</f>
        <v>100.000001</v>
      </c>
      <c r="D39" s="22"/>
      <c r="E39" s="23" t="n">
        <f aca="false">SUM(E7:E38)</f>
        <v>100</v>
      </c>
      <c r="F39" s="23" t="n">
        <f aca="false">SUM(F7:F38)</f>
        <v>100</v>
      </c>
      <c r="G39" s="22"/>
      <c r="H39" s="23" t="n">
        <f aca="false">SUM(H7:H38)</f>
        <v>100</v>
      </c>
      <c r="I39" s="23" t="n">
        <f aca="false">SUM(I7:I38)</f>
        <v>99.999998</v>
      </c>
      <c r="J39" s="22"/>
    </row>
    <row r="40" customFormat="false" ht="15" hidden="false" customHeight="false" outlineLevel="0" collapsed="false">
      <c r="A40" s="3" t="s">
        <v>126</v>
      </c>
      <c r="D40" s="28" t="n">
        <f aca="false">MAX(MAX(D7:D38),-MIN(D7:D38))</f>
        <v>4.8879539438218E-007</v>
      </c>
      <c r="G40" s="28" t="n">
        <f aca="false">MAX(MAX(G7:G38),-MIN(G7:G38))</f>
        <v>7.58931860467271E-007</v>
      </c>
      <c r="J40" s="28" t="n">
        <f aca="false">MAX(MAX(J7:J38),-MIN(J7:J38))</f>
        <v>4.81860344736518E-007</v>
      </c>
    </row>
    <row r="42" customFormat="false" ht="15" hidden="false" customHeight="false" outlineLevel="0" collapsed="false">
      <c r="A42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2026-10-02T19:45:49Z</dcterms:created>
  <dc:creator>openpyxl</dc:creator>
  <dc:description/>
  <dc:language>en-US</dc:language>
  <cp:lastModifiedBy/>
  <dcterms:modified xsi:type="dcterms:W3CDTF">2026-10-02T13:45:51Z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