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duardomontoya/Downloads/"/>
    </mc:Choice>
  </mc:AlternateContent>
  <xr:revisionPtr revIDLastSave="0" documentId="13_ncr:1_{FE0403C8-AF2D-B643-AF53-4FE2FF7BB937}" xr6:coauthVersionLast="47" xr6:coauthVersionMax="47" xr10:uidLastSave="{00000000-0000-0000-0000-000000000000}"/>
  <bookViews>
    <workbookView xWindow="5020" yWindow="1660" windowWidth="22580" windowHeight="14000" tabRatio="500" xr2:uid="{00000000-000D-0000-FFFF-FFFF00000000}"/>
  </bookViews>
  <sheets>
    <sheet name="Resumen" sheetId="1" r:id="rId1"/>
    <sheet name="Población 2025" sheetId="2" r:id="rId2"/>
    <sheet name="Cuadro 3" sheetId="3" r:id="rId3"/>
    <sheet name="Cuadro 4" sheetId="4" r:id="rId4"/>
    <sheet name="Cuadro 5" sheetId="5" r:id="rId5"/>
    <sheet name="Cuadro 8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9" i="6" l="1"/>
  <c r="H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H39" i="5"/>
  <c r="F39" i="5"/>
  <c r="C22" i="5"/>
  <c r="D22" i="5" s="1"/>
  <c r="K39" i="4"/>
  <c r="I39" i="4"/>
  <c r="F36" i="4"/>
  <c r="G36" i="4" s="1"/>
  <c r="F32" i="4"/>
  <c r="G32" i="4" s="1"/>
  <c r="F24" i="4"/>
  <c r="G24" i="4" s="1"/>
  <c r="F16" i="4"/>
  <c r="G16" i="4" s="1"/>
  <c r="F8" i="4"/>
  <c r="G8" i="4" s="1"/>
  <c r="J39" i="3"/>
  <c r="H39" i="3"/>
  <c r="E38" i="3"/>
  <c r="D38" i="3"/>
  <c r="D37" i="3"/>
  <c r="E36" i="3"/>
  <c r="D36" i="3"/>
  <c r="E35" i="3"/>
  <c r="D35" i="3"/>
  <c r="E34" i="3"/>
  <c r="D34" i="3"/>
  <c r="D33" i="3"/>
  <c r="E32" i="3"/>
  <c r="D32" i="3"/>
  <c r="E31" i="3"/>
  <c r="D31" i="3"/>
  <c r="E30" i="3"/>
  <c r="D30" i="3"/>
  <c r="D29" i="3"/>
  <c r="E28" i="3"/>
  <c r="D28" i="3"/>
  <c r="E27" i="3"/>
  <c r="D27" i="3"/>
  <c r="E26" i="3"/>
  <c r="D26" i="3"/>
  <c r="D25" i="3"/>
  <c r="E24" i="3"/>
  <c r="D24" i="3"/>
  <c r="E23" i="3"/>
  <c r="D23" i="3"/>
  <c r="E22" i="3"/>
  <c r="D22" i="3"/>
  <c r="D21" i="3"/>
  <c r="E20" i="3"/>
  <c r="D20" i="3"/>
  <c r="E19" i="3"/>
  <c r="D19" i="3"/>
  <c r="E18" i="3"/>
  <c r="D18" i="3"/>
  <c r="D17" i="3"/>
  <c r="E16" i="3"/>
  <c r="D16" i="3"/>
  <c r="E15" i="3"/>
  <c r="D15" i="3"/>
  <c r="E14" i="3"/>
  <c r="D14" i="3"/>
  <c r="D13" i="3"/>
  <c r="E12" i="3"/>
  <c r="D12" i="3"/>
  <c r="E11" i="3"/>
  <c r="D11" i="3"/>
  <c r="E10" i="3"/>
  <c r="D10" i="3"/>
  <c r="D9" i="3"/>
  <c r="D8" i="3"/>
  <c r="D7" i="3"/>
  <c r="D39" i="2"/>
  <c r="C39" i="2"/>
  <c r="B39" i="2"/>
  <c r="G38" i="2"/>
  <c r="F38" i="2"/>
  <c r="E38" i="2"/>
  <c r="E37" i="2"/>
  <c r="E37" i="3" s="1"/>
  <c r="F36" i="2"/>
  <c r="E36" i="2"/>
  <c r="G35" i="2"/>
  <c r="E35" i="2"/>
  <c r="G34" i="2"/>
  <c r="F34" i="2"/>
  <c r="E34" i="2"/>
  <c r="E33" i="2"/>
  <c r="E33" i="3" s="1"/>
  <c r="F32" i="2"/>
  <c r="E32" i="2"/>
  <c r="E32" i="6" s="1"/>
  <c r="G31" i="2"/>
  <c r="E31" i="2"/>
  <c r="F31" i="4" s="1"/>
  <c r="G31" i="4" s="1"/>
  <c r="G30" i="2"/>
  <c r="F30" i="2"/>
  <c r="E30" i="2"/>
  <c r="E29" i="2"/>
  <c r="E29" i="3" s="1"/>
  <c r="F28" i="2"/>
  <c r="E28" i="2"/>
  <c r="G27" i="2"/>
  <c r="E27" i="2"/>
  <c r="G26" i="2"/>
  <c r="F26" i="2"/>
  <c r="E26" i="2"/>
  <c r="E25" i="2"/>
  <c r="E25" i="3" s="1"/>
  <c r="F24" i="2"/>
  <c r="E24" i="2"/>
  <c r="E24" i="6" s="1"/>
  <c r="G23" i="2"/>
  <c r="E23" i="2"/>
  <c r="F23" i="4" s="1"/>
  <c r="G23" i="4" s="1"/>
  <c r="G22" i="2"/>
  <c r="F22" i="2"/>
  <c r="E22" i="2"/>
  <c r="E21" i="2"/>
  <c r="E20" i="2"/>
  <c r="G19" i="2"/>
  <c r="E19" i="2"/>
  <c r="G18" i="2"/>
  <c r="F18" i="2"/>
  <c r="E18" i="2"/>
  <c r="E17" i="2"/>
  <c r="E17" i="3" s="1"/>
  <c r="E16" i="2"/>
  <c r="G15" i="2"/>
  <c r="E15" i="2"/>
  <c r="F15" i="4" s="1"/>
  <c r="G15" i="4" s="1"/>
  <c r="G14" i="2"/>
  <c r="F14" i="2"/>
  <c r="E14" i="2"/>
  <c r="E13" i="2"/>
  <c r="E13" i="3" s="1"/>
  <c r="E12" i="2"/>
  <c r="E12" i="6" s="1"/>
  <c r="G11" i="2"/>
  <c r="E11" i="2"/>
  <c r="G10" i="2"/>
  <c r="F10" i="2"/>
  <c r="E10" i="2"/>
  <c r="E9" i="2"/>
  <c r="E9" i="3" s="1"/>
  <c r="E8" i="2"/>
  <c r="G7" i="2"/>
  <c r="E7" i="2"/>
  <c r="F7" i="4" s="1"/>
  <c r="B39" i="1"/>
  <c r="G7" i="4" l="1"/>
  <c r="E21" i="6"/>
  <c r="C21" i="5"/>
  <c r="D21" i="5" s="1"/>
  <c r="F21" i="4"/>
  <c r="G21" i="4" s="1"/>
  <c r="F12" i="6"/>
  <c r="E9" i="6"/>
  <c r="F9" i="4"/>
  <c r="G9" i="4" s="1"/>
  <c r="E13" i="6"/>
  <c r="F13" i="4"/>
  <c r="G13" i="4" s="1"/>
  <c r="C13" i="5"/>
  <c r="D13" i="5" s="1"/>
  <c r="E17" i="6"/>
  <c r="F17" i="4"/>
  <c r="G17" i="4" s="1"/>
  <c r="C17" i="5"/>
  <c r="D17" i="5" s="1"/>
  <c r="E25" i="6"/>
  <c r="C25" i="5"/>
  <c r="D25" i="5" s="1"/>
  <c r="F25" i="4"/>
  <c r="G25" i="4" s="1"/>
  <c r="E29" i="6"/>
  <c r="F29" i="6" s="1"/>
  <c r="C29" i="5"/>
  <c r="D29" i="5" s="1"/>
  <c r="F29" i="4"/>
  <c r="G29" i="4" s="1"/>
  <c r="E33" i="6"/>
  <c r="C33" i="5"/>
  <c r="D33" i="5" s="1"/>
  <c r="F33" i="4"/>
  <c r="G33" i="4" s="1"/>
  <c r="E37" i="6"/>
  <c r="C37" i="5"/>
  <c r="D37" i="5" s="1"/>
  <c r="F37" i="4"/>
  <c r="G37" i="4" s="1"/>
  <c r="E21" i="3"/>
  <c r="E8" i="6"/>
  <c r="C8" i="5"/>
  <c r="D8" i="5" s="1"/>
  <c r="F9" i="2"/>
  <c r="F13" i="2"/>
  <c r="E16" i="6"/>
  <c r="C16" i="5"/>
  <c r="D16" i="5" s="1"/>
  <c r="F17" i="2"/>
  <c r="E20" i="6"/>
  <c r="F20" i="6" s="1"/>
  <c r="C20" i="5"/>
  <c r="D20" i="5" s="1"/>
  <c r="F21" i="2"/>
  <c r="F25" i="2"/>
  <c r="E28" i="6"/>
  <c r="C28" i="5"/>
  <c r="D28" i="5" s="1"/>
  <c r="F29" i="2"/>
  <c r="F33" i="2"/>
  <c r="E36" i="6"/>
  <c r="C36" i="5"/>
  <c r="D36" i="5" s="1"/>
  <c r="F37" i="2"/>
  <c r="E39" i="2"/>
  <c r="G39" i="2" s="1"/>
  <c r="E7" i="3"/>
  <c r="C32" i="5"/>
  <c r="D32" i="5" s="1"/>
  <c r="E7" i="6"/>
  <c r="C7" i="5"/>
  <c r="F8" i="2"/>
  <c r="G9" i="2"/>
  <c r="E11" i="6"/>
  <c r="C11" i="5"/>
  <c r="D11" i="5" s="1"/>
  <c r="F12" i="2"/>
  <c r="G13" i="2"/>
  <c r="E15" i="6"/>
  <c r="C15" i="5"/>
  <c r="D15" i="5" s="1"/>
  <c r="F16" i="2"/>
  <c r="G17" i="2"/>
  <c r="E19" i="6"/>
  <c r="C19" i="5"/>
  <c r="D19" i="5" s="1"/>
  <c r="F20" i="2"/>
  <c r="G21" i="2"/>
  <c r="E23" i="6"/>
  <c r="C23" i="5"/>
  <c r="D23" i="5" s="1"/>
  <c r="G25" i="2"/>
  <c r="E27" i="6"/>
  <c r="C27" i="5"/>
  <c r="D27" i="5" s="1"/>
  <c r="G29" i="2"/>
  <c r="E31" i="6"/>
  <c r="C31" i="5"/>
  <c r="D31" i="5" s="1"/>
  <c r="G33" i="2"/>
  <c r="E35" i="6"/>
  <c r="C35" i="5"/>
  <c r="D35" i="5" s="1"/>
  <c r="F35" i="4"/>
  <c r="G35" i="4" s="1"/>
  <c r="G37" i="2"/>
  <c r="F7" i="3"/>
  <c r="F12" i="4"/>
  <c r="G12" i="4" s="1"/>
  <c r="F20" i="4"/>
  <c r="G20" i="4" s="1"/>
  <c r="F28" i="4"/>
  <c r="G28" i="4" s="1"/>
  <c r="C24" i="5"/>
  <c r="D24" i="5" s="1"/>
  <c r="F16" i="6"/>
  <c r="F24" i="6"/>
  <c r="F7" i="2"/>
  <c r="G8" i="2"/>
  <c r="E10" i="6"/>
  <c r="F10" i="4"/>
  <c r="G10" i="4" s="1"/>
  <c r="C10" i="5"/>
  <c r="D10" i="5" s="1"/>
  <c r="F11" i="2"/>
  <c r="G12" i="2"/>
  <c r="E14" i="6"/>
  <c r="C14" i="5"/>
  <c r="D14" i="5" s="1"/>
  <c r="F14" i="4"/>
  <c r="G14" i="4" s="1"/>
  <c r="F15" i="2"/>
  <c r="G16" i="2"/>
  <c r="E18" i="6"/>
  <c r="C18" i="5"/>
  <c r="D18" i="5" s="1"/>
  <c r="F18" i="4"/>
  <c r="G18" i="4" s="1"/>
  <c r="F19" i="2"/>
  <c r="G20" i="2"/>
  <c r="E22" i="6"/>
  <c r="F22" i="4"/>
  <c r="G22" i="4" s="1"/>
  <c r="F23" i="2"/>
  <c r="G24" i="2"/>
  <c r="E26" i="6"/>
  <c r="C26" i="5"/>
  <c r="D26" i="5" s="1"/>
  <c r="F26" i="4"/>
  <c r="G26" i="4" s="1"/>
  <c r="F27" i="2"/>
  <c r="G28" i="2"/>
  <c r="E30" i="6"/>
  <c r="F30" i="4"/>
  <c r="G30" i="4" s="1"/>
  <c r="C30" i="5"/>
  <c r="D30" i="5" s="1"/>
  <c r="F31" i="2"/>
  <c r="G32" i="2"/>
  <c r="E34" i="6"/>
  <c r="C34" i="5"/>
  <c r="D34" i="5" s="1"/>
  <c r="F34" i="4"/>
  <c r="G34" i="4" s="1"/>
  <c r="F35" i="2"/>
  <c r="G36" i="2"/>
  <c r="E38" i="6"/>
  <c r="F38" i="4"/>
  <c r="G38" i="4" s="1"/>
  <c r="C38" i="5"/>
  <c r="D38" i="5" s="1"/>
  <c r="E8" i="3"/>
  <c r="F8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11" i="4"/>
  <c r="G11" i="4" s="1"/>
  <c r="F19" i="4"/>
  <c r="G19" i="4" s="1"/>
  <c r="F27" i="4"/>
  <c r="G27" i="4" s="1"/>
  <c r="C9" i="5"/>
  <c r="D9" i="5" s="1"/>
  <c r="C12" i="5"/>
  <c r="D12" i="5" s="1"/>
  <c r="F11" i="6"/>
  <c r="F15" i="6"/>
  <c r="F19" i="6"/>
  <c r="F23" i="6"/>
  <c r="F7" i="6"/>
  <c r="F8" i="6"/>
  <c r="F9" i="6"/>
  <c r="F10" i="6"/>
  <c r="F14" i="6"/>
  <c r="F18" i="6"/>
  <c r="F22" i="6"/>
  <c r="F13" i="6"/>
  <c r="F17" i="6"/>
  <c r="F21" i="6"/>
  <c r="F35" i="6"/>
  <c r="F36" i="6"/>
  <c r="F26" i="6"/>
  <c r="F28" i="6"/>
  <c r="F30" i="6"/>
  <c r="F37" i="6"/>
  <c r="F38" i="6"/>
  <c r="F31" i="6"/>
  <c r="F32" i="6"/>
  <c r="F25" i="6"/>
  <c r="F27" i="6"/>
  <c r="F33" i="6"/>
  <c r="F34" i="6"/>
  <c r="G8" i="6" l="1"/>
  <c r="H22" i="4"/>
  <c r="F39" i="3"/>
  <c r="G35" i="3" s="1"/>
  <c r="C39" i="5"/>
  <c r="D7" i="5"/>
  <c r="H37" i="4"/>
  <c r="H13" i="4"/>
  <c r="H21" i="4"/>
  <c r="H27" i="4"/>
  <c r="G25" i="6"/>
  <c r="F39" i="6"/>
  <c r="G20" i="6" s="1"/>
  <c r="G7" i="6"/>
  <c r="H19" i="4"/>
  <c r="G37" i="3"/>
  <c r="G29" i="3"/>
  <c r="G21" i="3"/>
  <c r="G13" i="3"/>
  <c r="H38" i="4"/>
  <c r="H34" i="4"/>
  <c r="G16" i="6"/>
  <c r="H20" i="4"/>
  <c r="E39" i="6"/>
  <c r="H17" i="4"/>
  <c r="F39" i="4"/>
  <c r="G27" i="6"/>
  <c r="G31" i="6"/>
  <c r="G32" i="6"/>
  <c r="G21" i="6"/>
  <c r="F39" i="2"/>
  <c r="H29" i="4"/>
  <c r="G12" i="6"/>
  <c r="G39" i="4"/>
  <c r="G33" i="6"/>
  <c r="G13" i="6"/>
  <c r="G23" i="6"/>
  <c r="G15" i="6"/>
  <c r="H11" i="4"/>
  <c r="G36" i="6"/>
  <c r="G9" i="6"/>
  <c r="G34" i="3"/>
  <c r="G26" i="3"/>
  <c r="G18" i="3"/>
  <c r="G10" i="3"/>
  <c r="H30" i="4"/>
  <c r="H26" i="4"/>
  <c r="H10" i="4"/>
  <c r="E39" i="3"/>
  <c r="K20" i="6" l="1"/>
  <c r="L20" i="6" s="1"/>
  <c r="I20" i="6"/>
  <c r="K35" i="3"/>
  <c r="L35" i="3" s="1"/>
  <c r="I35" i="3"/>
  <c r="K18" i="3"/>
  <c r="L18" i="3" s="1"/>
  <c r="I18" i="3"/>
  <c r="K31" i="6"/>
  <c r="L31" i="6" s="1"/>
  <c r="I31" i="6"/>
  <c r="L10" i="4"/>
  <c r="M10" i="4" s="1"/>
  <c r="N10" i="4" s="1"/>
  <c r="J10" i="4"/>
  <c r="K26" i="3"/>
  <c r="L26" i="3" s="1"/>
  <c r="I26" i="3"/>
  <c r="K15" i="6"/>
  <c r="L15" i="6" s="1"/>
  <c r="I15" i="6"/>
  <c r="L34" i="4"/>
  <c r="M34" i="4" s="1"/>
  <c r="N34" i="4" s="1"/>
  <c r="J34" i="4"/>
  <c r="L21" i="4"/>
  <c r="M21" i="4" s="1"/>
  <c r="N21" i="4" s="1"/>
  <c r="J21" i="4"/>
  <c r="G12" i="3"/>
  <c r="G36" i="3"/>
  <c r="K33" i="6"/>
  <c r="L33" i="6" s="1"/>
  <c r="I33" i="6"/>
  <c r="K27" i="6"/>
  <c r="L27" i="6" s="1"/>
  <c r="I27" i="6"/>
  <c r="G23" i="3"/>
  <c r="L27" i="4"/>
  <c r="M27" i="4" s="1"/>
  <c r="N27" i="4" s="1"/>
  <c r="J27" i="4"/>
  <c r="I32" i="6"/>
  <c r="K32" i="6"/>
  <c r="L32" i="6" s="1"/>
  <c r="J20" i="4"/>
  <c r="L20" i="4"/>
  <c r="M20" i="4" s="1"/>
  <c r="N20" i="4" s="1"/>
  <c r="K13" i="3"/>
  <c r="L13" i="3" s="1"/>
  <c r="I13" i="3"/>
  <c r="K21" i="3"/>
  <c r="L21" i="3" s="1"/>
  <c r="I21" i="3"/>
  <c r="K29" i="3"/>
  <c r="L29" i="3" s="1"/>
  <c r="I29" i="3"/>
  <c r="K8" i="6"/>
  <c r="L8" i="6" s="1"/>
  <c r="I8" i="6"/>
  <c r="L26" i="4"/>
  <c r="M26" i="4" s="1"/>
  <c r="N26" i="4" s="1"/>
  <c r="J26" i="4"/>
  <c r="G28" i="3"/>
  <c r="I36" i="6"/>
  <c r="K36" i="6"/>
  <c r="L36" i="6" s="1"/>
  <c r="K23" i="6"/>
  <c r="L23" i="6" s="1"/>
  <c r="I23" i="6"/>
  <c r="K12" i="6"/>
  <c r="L12" i="6" s="1"/>
  <c r="I12" i="6"/>
  <c r="K21" i="6"/>
  <c r="L21" i="6" s="1"/>
  <c r="I21" i="6"/>
  <c r="L17" i="4"/>
  <c r="M17" i="4" s="1"/>
  <c r="N17" i="4" s="1"/>
  <c r="J17" i="4"/>
  <c r="K16" i="6"/>
  <c r="L16" i="6" s="1"/>
  <c r="I16" i="6"/>
  <c r="L38" i="4"/>
  <c r="M38" i="4" s="1"/>
  <c r="N38" i="4" s="1"/>
  <c r="J38" i="4"/>
  <c r="G15" i="3"/>
  <c r="G31" i="3"/>
  <c r="L19" i="4"/>
  <c r="M19" i="4" s="1"/>
  <c r="N19" i="4" s="1"/>
  <c r="J19" i="4"/>
  <c r="L13" i="4"/>
  <c r="M13" i="4" s="1"/>
  <c r="N13" i="4" s="1"/>
  <c r="J13" i="4"/>
  <c r="G7" i="3"/>
  <c r="G14" i="6"/>
  <c r="G30" i="3"/>
  <c r="L11" i="4"/>
  <c r="M11" i="4" s="1"/>
  <c r="N11" i="4" s="1"/>
  <c r="J11" i="4"/>
  <c r="H8" i="4"/>
  <c r="H24" i="4"/>
  <c r="H32" i="4"/>
  <c r="H23" i="4"/>
  <c r="H16" i="4"/>
  <c r="H36" i="4"/>
  <c r="H31" i="4"/>
  <c r="H15" i="4"/>
  <c r="H9" i="4"/>
  <c r="H35" i="4"/>
  <c r="G26" i="6"/>
  <c r="G30" i="6"/>
  <c r="G34" i="6"/>
  <c r="H25" i="4"/>
  <c r="H14" i="4"/>
  <c r="G9" i="3"/>
  <c r="G17" i="3"/>
  <c r="G25" i="3"/>
  <c r="G33" i="3"/>
  <c r="G35" i="6"/>
  <c r="G19" i="6"/>
  <c r="D39" i="5"/>
  <c r="H28" i="4"/>
  <c r="G17" i="6"/>
  <c r="K10" i="3"/>
  <c r="L10" i="3" s="1"/>
  <c r="I10" i="3"/>
  <c r="K34" i="3"/>
  <c r="L34" i="3" s="1"/>
  <c r="I34" i="3"/>
  <c r="K9" i="6"/>
  <c r="L9" i="6" s="1"/>
  <c r="I9" i="6"/>
  <c r="K13" i="6"/>
  <c r="L13" i="6" s="1"/>
  <c r="I13" i="6"/>
  <c r="L29" i="4"/>
  <c r="M29" i="4" s="1"/>
  <c r="N29" i="4" s="1"/>
  <c r="J29" i="4"/>
  <c r="K37" i="3"/>
  <c r="L37" i="3" s="1"/>
  <c r="I37" i="3"/>
  <c r="K7" i="6"/>
  <c r="I7" i="6"/>
  <c r="K25" i="6"/>
  <c r="L25" i="6" s="1"/>
  <c r="I25" i="6"/>
  <c r="L22" i="4"/>
  <c r="M22" i="4" s="1"/>
  <c r="N22" i="4" s="1"/>
  <c r="J22" i="4"/>
  <c r="G20" i="3"/>
  <c r="L37" i="4"/>
  <c r="M37" i="4" s="1"/>
  <c r="N37" i="4" s="1"/>
  <c r="J37" i="4"/>
  <c r="L30" i="4"/>
  <c r="M30" i="4" s="1"/>
  <c r="N30" i="4" s="1"/>
  <c r="J30" i="4"/>
  <c r="G14" i="3"/>
  <c r="G22" i="3"/>
  <c r="G38" i="3"/>
  <c r="G10" i="6"/>
  <c r="H33" i="4"/>
  <c r="G24" i="6"/>
  <c r="G8" i="3"/>
  <c r="G16" i="3"/>
  <c r="G24" i="3"/>
  <c r="G32" i="3"/>
  <c r="G18" i="6"/>
  <c r="H7" i="4"/>
  <c r="H12" i="4"/>
  <c r="G37" i="6"/>
  <c r="G38" i="6"/>
  <c r="G11" i="3"/>
  <c r="G19" i="3"/>
  <c r="G27" i="3"/>
  <c r="G28" i="6"/>
  <c r="G22" i="6"/>
  <c r="G29" i="6"/>
  <c r="H18" i="4"/>
  <c r="G11" i="6"/>
  <c r="H39" i="4" l="1"/>
  <c r="L7" i="4"/>
  <c r="J7" i="4"/>
  <c r="K16" i="3"/>
  <c r="L16" i="3" s="1"/>
  <c r="I16" i="3"/>
  <c r="M25" i="6"/>
  <c r="D25" i="1"/>
  <c r="K17" i="6"/>
  <c r="L17" i="6" s="1"/>
  <c r="I17" i="6"/>
  <c r="K19" i="6"/>
  <c r="L19" i="6" s="1"/>
  <c r="I19" i="6"/>
  <c r="K17" i="3"/>
  <c r="L17" i="3" s="1"/>
  <c r="I17" i="3"/>
  <c r="I34" i="6"/>
  <c r="K34" i="6"/>
  <c r="L34" i="6" s="1"/>
  <c r="L9" i="4"/>
  <c r="M9" i="4" s="1"/>
  <c r="N9" i="4" s="1"/>
  <c r="J9" i="4"/>
  <c r="J16" i="4"/>
  <c r="L16" i="4"/>
  <c r="M16" i="4" s="1"/>
  <c r="N16" i="4" s="1"/>
  <c r="J8" i="4"/>
  <c r="L8" i="4"/>
  <c r="M8" i="4" s="1"/>
  <c r="N8" i="4" s="1"/>
  <c r="K14" i="6"/>
  <c r="L14" i="6" s="1"/>
  <c r="I14" i="6"/>
  <c r="M36" i="6"/>
  <c r="D36" i="1"/>
  <c r="M29" i="3"/>
  <c r="M13" i="3"/>
  <c r="K36" i="3"/>
  <c r="L36" i="3" s="1"/>
  <c r="I36" i="3"/>
  <c r="K22" i="6"/>
  <c r="L22" i="6" s="1"/>
  <c r="I22" i="6"/>
  <c r="K11" i="3"/>
  <c r="L11" i="3" s="1"/>
  <c r="I11" i="3"/>
  <c r="K10" i="6"/>
  <c r="L10" i="6" s="1"/>
  <c r="I10" i="6"/>
  <c r="K20" i="3"/>
  <c r="L20" i="3" s="1"/>
  <c r="I20" i="3"/>
  <c r="K11" i="6"/>
  <c r="L11" i="6" s="1"/>
  <c r="I11" i="6"/>
  <c r="K28" i="6"/>
  <c r="L28" i="6" s="1"/>
  <c r="I28" i="6"/>
  <c r="I38" i="6"/>
  <c r="K38" i="6"/>
  <c r="L38" i="6" s="1"/>
  <c r="K18" i="6"/>
  <c r="L18" i="6" s="1"/>
  <c r="I18" i="6"/>
  <c r="K8" i="3"/>
  <c r="L8" i="3" s="1"/>
  <c r="I8" i="3"/>
  <c r="K38" i="3"/>
  <c r="L38" i="3" s="1"/>
  <c r="I38" i="3"/>
  <c r="M37" i="3"/>
  <c r="M13" i="6"/>
  <c r="D13" i="1"/>
  <c r="M34" i="3"/>
  <c r="J28" i="4"/>
  <c r="L28" i="4"/>
  <c r="M28" i="4" s="1"/>
  <c r="N28" i="4" s="1"/>
  <c r="K35" i="6"/>
  <c r="L35" i="6" s="1"/>
  <c r="I35" i="6"/>
  <c r="K9" i="3"/>
  <c r="L9" i="3" s="1"/>
  <c r="I9" i="3"/>
  <c r="K30" i="6"/>
  <c r="L30" i="6" s="1"/>
  <c r="I30" i="6"/>
  <c r="L15" i="4"/>
  <c r="M15" i="4" s="1"/>
  <c r="N15" i="4" s="1"/>
  <c r="J15" i="4"/>
  <c r="L23" i="4"/>
  <c r="M23" i="4" s="1"/>
  <c r="N23" i="4" s="1"/>
  <c r="J23" i="4"/>
  <c r="G39" i="3"/>
  <c r="I7" i="3"/>
  <c r="K7" i="3"/>
  <c r="M12" i="6"/>
  <c r="D12" i="1"/>
  <c r="M27" i="6"/>
  <c r="D27" i="1"/>
  <c r="K12" i="3"/>
  <c r="L12" i="3" s="1"/>
  <c r="I12" i="3"/>
  <c r="M26" i="3"/>
  <c r="M31" i="6"/>
  <c r="D31" i="1"/>
  <c r="M35" i="3"/>
  <c r="L7" i="6"/>
  <c r="E22" i="5"/>
  <c r="E23" i="5"/>
  <c r="E18" i="5"/>
  <c r="E27" i="5"/>
  <c r="E37" i="5"/>
  <c r="E30" i="5"/>
  <c r="E36" i="5"/>
  <c r="E25" i="5"/>
  <c r="E12" i="5"/>
  <c r="E9" i="5"/>
  <c r="E28" i="5"/>
  <c r="E29" i="5"/>
  <c r="E26" i="5"/>
  <c r="E15" i="5"/>
  <c r="E13" i="5"/>
  <c r="E11" i="5"/>
  <c r="E8" i="5"/>
  <c r="E34" i="5"/>
  <c r="E32" i="5"/>
  <c r="E38" i="5"/>
  <c r="E19" i="5"/>
  <c r="E17" i="5"/>
  <c r="E14" i="5"/>
  <c r="E24" i="5"/>
  <c r="E16" i="5"/>
  <c r="E31" i="5"/>
  <c r="E33" i="5"/>
  <c r="E10" i="5"/>
  <c r="E20" i="5"/>
  <c r="E35" i="5"/>
  <c r="E21" i="5"/>
  <c r="K26" i="6"/>
  <c r="L26" i="6" s="1"/>
  <c r="I26" i="6"/>
  <c r="L31" i="4"/>
  <c r="M31" i="4" s="1"/>
  <c r="N31" i="4" s="1"/>
  <c r="J31" i="4"/>
  <c r="J32" i="4"/>
  <c r="L32" i="4"/>
  <c r="M32" i="4" s="1"/>
  <c r="N32" i="4" s="1"/>
  <c r="K28" i="3"/>
  <c r="L28" i="3" s="1"/>
  <c r="I28" i="3"/>
  <c r="M8" i="6"/>
  <c r="D8" i="1"/>
  <c r="M21" i="3"/>
  <c r="L18" i="4"/>
  <c r="M18" i="4" s="1"/>
  <c r="N18" i="4" s="1"/>
  <c r="J18" i="4"/>
  <c r="K27" i="3"/>
  <c r="L27" i="3" s="1"/>
  <c r="I27" i="3"/>
  <c r="I37" i="6"/>
  <c r="K37" i="6"/>
  <c r="L37" i="6" s="1"/>
  <c r="K32" i="3"/>
  <c r="L32" i="3" s="1"/>
  <c r="I32" i="3"/>
  <c r="K24" i="6"/>
  <c r="L24" i="6" s="1"/>
  <c r="I24" i="6"/>
  <c r="I39" i="6" s="1"/>
  <c r="K22" i="3"/>
  <c r="L22" i="3" s="1"/>
  <c r="I22" i="3"/>
  <c r="K33" i="3"/>
  <c r="L33" i="3" s="1"/>
  <c r="I33" i="3"/>
  <c r="L14" i="4"/>
  <c r="M14" i="4" s="1"/>
  <c r="N14" i="4" s="1"/>
  <c r="J14" i="4"/>
  <c r="K31" i="3"/>
  <c r="L31" i="3" s="1"/>
  <c r="I31" i="3"/>
  <c r="K29" i="6"/>
  <c r="L29" i="6" s="1"/>
  <c r="I29" i="6"/>
  <c r="K19" i="3"/>
  <c r="L19" i="3" s="1"/>
  <c r="I19" i="3"/>
  <c r="J12" i="4"/>
  <c r="L12" i="4"/>
  <c r="M12" i="4" s="1"/>
  <c r="N12" i="4" s="1"/>
  <c r="K24" i="3"/>
  <c r="L24" i="3" s="1"/>
  <c r="I24" i="3"/>
  <c r="L33" i="4"/>
  <c r="M33" i="4" s="1"/>
  <c r="N33" i="4" s="1"/>
  <c r="J33" i="4"/>
  <c r="K14" i="3"/>
  <c r="L14" i="3" s="1"/>
  <c r="I14" i="3"/>
  <c r="G39" i="6"/>
  <c r="M9" i="6"/>
  <c r="D9" i="1"/>
  <c r="M10" i="3"/>
  <c r="E7" i="5"/>
  <c r="K25" i="3"/>
  <c r="L25" i="3" s="1"/>
  <c r="I25" i="3"/>
  <c r="L25" i="4"/>
  <c r="M25" i="4" s="1"/>
  <c r="N25" i="4" s="1"/>
  <c r="J25" i="4"/>
  <c r="L35" i="4"/>
  <c r="M35" i="4" s="1"/>
  <c r="N35" i="4" s="1"/>
  <c r="J35" i="4"/>
  <c r="J36" i="4"/>
  <c r="L36" i="4"/>
  <c r="M36" i="4" s="1"/>
  <c r="N36" i="4" s="1"/>
  <c r="J24" i="4"/>
  <c r="L24" i="4"/>
  <c r="M24" i="4" s="1"/>
  <c r="N24" i="4" s="1"/>
  <c r="K30" i="3"/>
  <c r="L30" i="3" s="1"/>
  <c r="I30" i="3"/>
  <c r="K15" i="3"/>
  <c r="L15" i="3" s="1"/>
  <c r="I15" i="3"/>
  <c r="M16" i="6"/>
  <c r="D16" i="1"/>
  <c r="M21" i="6"/>
  <c r="D21" i="1"/>
  <c r="M23" i="6"/>
  <c r="D23" i="1"/>
  <c r="M32" i="6"/>
  <c r="D32" i="1"/>
  <c r="K23" i="3"/>
  <c r="L23" i="3" s="1"/>
  <c r="I23" i="3"/>
  <c r="M33" i="6"/>
  <c r="D33" i="1"/>
  <c r="M15" i="6"/>
  <c r="D15" i="1"/>
  <c r="M18" i="3"/>
  <c r="M20" i="6"/>
  <c r="D20" i="1"/>
  <c r="M37" i="6" l="1"/>
  <c r="D37" i="1"/>
  <c r="I20" i="5"/>
  <c r="J20" i="5" s="1"/>
  <c r="K20" i="5" s="1"/>
  <c r="G20" i="5"/>
  <c r="G16" i="5"/>
  <c r="I16" i="5"/>
  <c r="J16" i="5" s="1"/>
  <c r="K16" i="5" s="1"/>
  <c r="I19" i="5"/>
  <c r="J19" i="5" s="1"/>
  <c r="K19" i="5" s="1"/>
  <c r="G19" i="5"/>
  <c r="I8" i="5"/>
  <c r="J8" i="5" s="1"/>
  <c r="K8" i="5" s="1"/>
  <c r="G8" i="5"/>
  <c r="G26" i="5"/>
  <c r="I26" i="5"/>
  <c r="J26" i="5" s="1"/>
  <c r="I12" i="5"/>
  <c r="J12" i="5" s="1"/>
  <c r="K12" i="5" s="1"/>
  <c r="G12" i="5"/>
  <c r="I37" i="5"/>
  <c r="J37" i="5" s="1"/>
  <c r="G37" i="5"/>
  <c r="G22" i="5"/>
  <c r="I22" i="5"/>
  <c r="J22" i="5" s="1"/>
  <c r="K22" i="5" s="1"/>
  <c r="I39" i="3"/>
  <c r="M8" i="3"/>
  <c r="C8" i="1"/>
  <c r="F8" i="1" s="1"/>
  <c r="M11" i="6"/>
  <c r="D11" i="1"/>
  <c r="M10" i="6"/>
  <c r="D10" i="1"/>
  <c r="M22" i="6"/>
  <c r="D22" i="1"/>
  <c r="M17" i="3"/>
  <c r="M17" i="6"/>
  <c r="D17" i="1"/>
  <c r="M16" i="3"/>
  <c r="C16" i="1"/>
  <c r="F16" i="1" s="1"/>
  <c r="M15" i="3"/>
  <c r="M25" i="3"/>
  <c r="M14" i="3"/>
  <c r="M24" i="3"/>
  <c r="M19" i="3"/>
  <c r="C19" i="1"/>
  <c r="F19" i="1" s="1"/>
  <c r="M31" i="3"/>
  <c r="M33" i="3"/>
  <c r="C33" i="1"/>
  <c r="F33" i="1" s="1"/>
  <c r="M24" i="6"/>
  <c r="D24" i="1"/>
  <c r="M26" i="6"/>
  <c r="D26" i="1"/>
  <c r="G10" i="5"/>
  <c r="I10" i="5"/>
  <c r="J10" i="5" s="1"/>
  <c r="G24" i="5"/>
  <c r="I24" i="5"/>
  <c r="J24" i="5" s="1"/>
  <c r="K24" i="5" s="1"/>
  <c r="G38" i="5"/>
  <c r="I38" i="5"/>
  <c r="J38" i="5" s="1"/>
  <c r="K38" i="5" s="1"/>
  <c r="I11" i="5"/>
  <c r="J11" i="5" s="1"/>
  <c r="K11" i="5" s="1"/>
  <c r="G11" i="5"/>
  <c r="I29" i="5"/>
  <c r="J29" i="5" s="1"/>
  <c r="G29" i="5"/>
  <c r="I25" i="5"/>
  <c r="J25" i="5" s="1"/>
  <c r="K25" i="5" s="1"/>
  <c r="G25" i="5"/>
  <c r="I27" i="5"/>
  <c r="J27" i="5" s="1"/>
  <c r="K27" i="5" s="1"/>
  <c r="G27" i="5"/>
  <c r="L39" i="6"/>
  <c r="M39" i="6" s="1"/>
  <c r="M7" i="6"/>
  <c r="D7" i="1"/>
  <c r="M9" i="3"/>
  <c r="M34" i="6"/>
  <c r="D34" i="1"/>
  <c r="J39" i="4"/>
  <c r="G14" i="5"/>
  <c r="I14" i="5"/>
  <c r="J14" i="5" s="1"/>
  <c r="K14" i="5" s="1"/>
  <c r="G36" i="5"/>
  <c r="I36" i="5"/>
  <c r="J36" i="5" s="1"/>
  <c r="K36" i="5" s="1"/>
  <c r="K39" i="6"/>
  <c r="M38" i="3"/>
  <c r="C38" i="1"/>
  <c r="M18" i="6"/>
  <c r="D18" i="1"/>
  <c r="M28" i="6"/>
  <c r="D28" i="1"/>
  <c r="M20" i="3"/>
  <c r="M11" i="3"/>
  <c r="C11" i="1"/>
  <c r="F11" i="1" s="1"/>
  <c r="M36" i="3"/>
  <c r="C36" i="1"/>
  <c r="F36" i="1" s="1"/>
  <c r="M14" i="6"/>
  <c r="D14" i="1"/>
  <c r="M19" i="6"/>
  <c r="D19" i="1"/>
  <c r="L39" i="4"/>
  <c r="M7" i="4"/>
  <c r="E39" i="5"/>
  <c r="I7" i="5"/>
  <c r="G7" i="5"/>
  <c r="I21" i="5"/>
  <c r="J21" i="5" s="1"/>
  <c r="G21" i="5"/>
  <c r="I33" i="5"/>
  <c r="J33" i="5" s="1"/>
  <c r="K33" i="5" s="1"/>
  <c r="G33" i="5"/>
  <c r="G32" i="5"/>
  <c r="I32" i="5"/>
  <c r="J32" i="5" s="1"/>
  <c r="K32" i="5" s="1"/>
  <c r="G13" i="5"/>
  <c r="I13" i="5"/>
  <c r="J13" i="5" s="1"/>
  <c r="G28" i="5"/>
  <c r="I28" i="5"/>
  <c r="J28" i="5" s="1"/>
  <c r="K28" i="5" s="1"/>
  <c r="G18" i="5"/>
  <c r="I18" i="5"/>
  <c r="J18" i="5" s="1"/>
  <c r="M12" i="3"/>
  <c r="C12" i="1"/>
  <c r="F12" i="1" s="1"/>
  <c r="M23" i="3"/>
  <c r="C23" i="1"/>
  <c r="F23" i="1" s="1"/>
  <c r="M30" i="3"/>
  <c r="M29" i="6"/>
  <c r="D29" i="1"/>
  <c r="M22" i="3"/>
  <c r="C22" i="1"/>
  <c r="M32" i="3"/>
  <c r="C32" i="1"/>
  <c r="F32" i="1" s="1"/>
  <c r="M27" i="3"/>
  <c r="M28" i="3"/>
  <c r="C28" i="1"/>
  <c r="I35" i="5"/>
  <c r="J35" i="5" s="1"/>
  <c r="K35" i="5" s="1"/>
  <c r="G35" i="5"/>
  <c r="I31" i="5"/>
  <c r="J31" i="5" s="1"/>
  <c r="K31" i="5" s="1"/>
  <c r="G31" i="5"/>
  <c r="I17" i="5"/>
  <c r="J17" i="5" s="1"/>
  <c r="K17" i="5" s="1"/>
  <c r="G17" i="5"/>
  <c r="G34" i="5"/>
  <c r="I34" i="5"/>
  <c r="J34" i="5" s="1"/>
  <c r="I15" i="5"/>
  <c r="J15" i="5" s="1"/>
  <c r="K15" i="5" s="1"/>
  <c r="G15" i="5"/>
  <c r="I9" i="5"/>
  <c r="J9" i="5" s="1"/>
  <c r="K9" i="5" s="1"/>
  <c r="G9" i="5"/>
  <c r="G30" i="5"/>
  <c r="I30" i="5"/>
  <c r="J30" i="5" s="1"/>
  <c r="K30" i="5" s="1"/>
  <c r="I23" i="5"/>
  <c r="J23" i="5" s="1"/>
  <c r="K23" i="5" s="1"/>
  <c r="G23" i="5"/>
  <c r="K39" i="3"/>
  <c r="L7" i="3"/>
  <c r="M30" i="6"/>
  <c r="D30" i="1"/>
  <c r="M35" i="6"/>
  <c r="D35" i="1"/>
  <c r="M38" i="6"/>
  <c r="D38" i="1"/>
  <c r="C35" i="1" l="1"/>
  <c r="F35" i="1" s="1"/>
  <c r="K21" i="5"/>
  <c r="C21" i="1"/>
  <c r="F21" i="1" s="1"/>
  <c r="K34" i="5"/>
  <c r="C34" i="1"/>
  <c r="F34" i="1" s="1"/>
  <c r="F28" i="1"/>
  <c r="E23" i="1"/>
  <c r="G23" i="1"/>
  <c r="K13" i="5"/>
  <c r="C13" i="1"/>
  <c r="F13" i="1" s="1"/>
  <c r="G39" i="5"/>
  <c r="G19" i="1"/>
  <c r="E19" i="1"/>
  <c r="C15" i="1"/>
  <c r="F15" i="1" s="1"/>
  <c r="K37" i="5"/>
  <c r="C37" i="1"/>
  <c r="F37" i="1" s="1"/>
  <c r="L39" i="3"/>
  <c r="M39" i="3" s="1"/>
  <c r="M7" i="3"/>
  <c r="I39" i="5"/>
  <c r="J7" i="5"/>
  <c r="C7" i="1" s="1"/>
  <c r="E36" i="1"/>
  <c r="G36" i="1"/>
  <c r="C20" i="1"/>
  <c r="F20" i="1" s="1"/>
  <c r="C9" i="1"/>
  <c r="F9" i="1" s="1"/>
  <c r="N7" i="4"/>
  <c r="M39" i="4"/>
  <c r="N39" i="4" s="1"/>
  <c r="G11" i="1"/>
  <c r="E11" i="1"/>
  <c r="F38" i="1"/>
  <c r="D39" i="1"/>
  <c r="K29" i="5"/>
  <c r="C29" i="1"/>
  <c r="F29" i="1" s="1"/>
  <c r="K26" i="5"/>
  <c r="C26" i="1"/>
  <c r="F26" i="1" s="1"/>
  <c r="E32" i="1"/>
  <c r="G32" i="1"/>
  <c r="K18" i="5"/>
  <c r="C18" i="1"/>
  <c r="F18" i="1" s="1"/>
  <c r="E33" i="1"/>
  <c r="G33" i="1"/>
  <c r="C14" i="1"/>
  <c r="F14" i="1" s="1"/>
  <c r="C27" i="1"/>
  <c r="F27" i="1" s="1"/>
  <c r="F22" i="1"/>
  <c r="C30" i="1"/>
  <c r="F30" i="1" s="1"/>
  <c r="E12" i="1"/>
  <c r="G12" i="1"/>
  <c r="K10" i="5"/>
  <c r="C10" i="1"/>
  <c r="F10" i="1" s="1"/>
  <c r="C31" i="1"/>
  <c r="F31" i="1" s="1"/>
  <c r="C24" i="1"/>
  <c r="F24" i="1" s="1"/>
  <c r="C25" i="1"/>
  <c r="F25" i="1" s="1"/>
  <c r="E16" i="1"/>
  <c r="G16" i="1"/>
  <c r="C17" i="1"/>
  <c r="F17" i="1" s="1"/>
  <c r="E8" i="1"/>
  <c r="G8" i="1"/>
  <c r="F7" i="1" l="1"/>
  <c r="C39" i="1"/>
  <c r="G22" i="1"/>
  <c r="E22" i="1"/>
  <c r="E20" i="1"/>
  <c r="G20" i="1"/>
  <c r="E37" i="1"/>
  <c r="G37" i="1"/>
  <c r="G10" i="1"/>
  <c r="E10" i="1"/>
  <c r="E9" i="1"/>
  <c r="G9" i="1"/>
  <c r="G17" i="1"/>
  <c r="E17" i="1"/>
  <c r="G27" i="1"/>
  <c r="E27" i="1"/>
  <c r="G18" i="1"/>
  <c r="E18" i="1"/>
  <c r="G26" i="1"/>
  <c r="E26" i="1"/>
  <c r="E21" i="1"/>
  <c r="G21" i="1"/>
  <c r="G30" i="1"/>
  <c r="E30" i="1"/>
  <c r="G25" i="1"/>
  <c r="E25" i="1"/>
  <c r="E24" i="1"/>
  <c r="G24" i="1"/>
  <c r="E31" i="1"/>
  <c r="G31" i="1"/>
  <c r="G14" i="1"/>
  <c r="E14" i="1"/>
  <c r="G38" i="1"/>
  <c r="E38" i="1"/>
  <c r="E15" i="1"/>
  <c r="G15" i="1"/>
  <c r="G13" i="1"/>
  <c r="E13" i="1"/>
  <c r="E28" i="1"/>
  <c r="G28" i="1"/>
  <c r="G29" i="1"/>
  <c r="E29" i="1"/>
  <c r="K7" i="5"/>
  <c r="J39" i="5"/>
  <c r="K39" i="5" s="1"/>
  <c r="G34" i="1"/>
  <c r="E34" i="1"/>
  <c r="E35" i="1"/>
  <c r="G35" i="1"/>
  <c r="E7" i="1" l="1"/>
  <c r="E39" i="1" s="1"/>
  <c r="F39" i="1"/>
  <c r="G39" i="1" s="1"/>
  <c r="G7" i="1"/>
</calcChain>
</file>

<file path=xl/sharedStrings.xml><?xml version="1.0" encoding="utf-8"?>
<sst xmlns="http://schemas.openxmlformats.org/spreadsheetml/2006/main" count="284" uniqueCount="90">
  <si>
    <t>Participaciones federales de enero 2026 con Población 2025 de la Encuesta Intercensal 2025</t>
  </si>
  <si>
    <t>Entidad</t>
  </si>
  <si>
    <t>Participaciones oficiales enero 2026
(DOF Cuadro 22)</t>
  </si>
  <si>
    <t>Cambio FGP
(Cuadros 3, 4 y 5)</t>
  </si>
  <si>
    <t>Cambio FFM
(Cuadro 8)</t>
  </si>
  <si>
    <t>Participaciones con EIC 2025</t>
  </si>
  <si>
    <t>Cambio total
(pesos)</t>
  </si>
  <si>
    <t>Cambio total
(%)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</si>
  <si>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</si>
  <si>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</si>
  <si>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</si>
  <si>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</si>
  <si>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</si>
  <si>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</si>
  <si>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</si>
  <si>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</si>
  <si>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</si>
  <si>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</si>
  <si>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</si>
  <si>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</si>
  <si>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</si>
  <si>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</si>
  <si>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</si>
  <si>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</si>
  <si>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</si>
  <si>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</si>
  <si>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</si>
  <si>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</si>
  <si>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</si>
  <si>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</si>
  <si>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</si>
  <si>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</si>
  <si>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</si>
  <si>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</si>
  <si>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</si>
  <si>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</si>
  <si>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</si>
  <si>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</si>
  <si>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</si>
  <si>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</si>
  <si>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Totales</t>
  </si>
  <si>
    <t>Notas:</t>
  </si>
  <si>
    <t>Población 2025 por entidad federativa (personas)</t>
  </si>
  <si>
    <t>Población 2025
ENOE 3T-2025
(DOF)</t>
  </si>
  <si>
    <t>EIC 2025: personas en viviendas particulares</t>
  </si>
  <si>
    <t>EIC 2025: personas en viviendas colectivas</t>
  </si>
  <si>
    <t>Población 2025
EIC 2025
(total)</t>
  </si>
  <si>
    <t>Cambio
(personas)</t>
  </si>
  <si>
    <t>Cambio (%)</t>
  </si>
  <si>
    <t>Fuentes: ENOE 3T-2025 según DOF (Acuerdo 23/2026), Cuadros 3, 4, 5 y 8. EIC 2025: INEGI, presentaciones de resultados por entidad (22-sep-2026).</t>
  </si>
  <si>
    <t>La suma de las 32 entidades coincide con el total nacional del INEGI: 130,911,314 personas (130,393,389 en viviendas particulares + 517,925 en colectivas).</t>
  </si>
  <si>
    <t>Azul = dato capturado; negro = fórmula; verde = vínculo a otra hoja.</t>
  </si>
  <si>
    <t>Cuadro 3. Coeficientes de la primera parte del crecimiento del FGP (recalculado con EIC 2025)</t>
  </si>
  <si>
    <t>PIB 2023
(1)</t>
  </si>
  <si>
    <t>PIB 2024
(2)</t>
  </si>
  <si>
    <t>Variación
2024/2023
(3=2/1)</t>
  </si>
  <si>
    <t>Población 2025
EIC
(4)</t>
  </si>
  <si>
    <t>Resultado variación PIB por población
(5=3*4)</t>
  </si>
  <si>
    <t>Coeficientes de participación
(6=(5/Σ5)100)</t>
  </si>
  <si>
    <t>Coeficiente DOF
(publicado)</t>
  </si>
  <si>
    <t>Cambio en coeficiente
(puntos porcentuales)</t>
  </si>
  <si>
    <t>Monto DOF enero 2026
(DOF Cuadro 7)</t>
  </si>
  <si>
    <t>Monto con EIC 2025
(pesos)</t>
  </si>
  <si>
    <t>Cambio
(pesos)</t>
  </si>
  <si>
    <t>Monto con EIC = coeficiente recalculado × monto a distribuir. El cambio total suma ~0 (el fondo no cambia, solo se redistribuye); la diferencia de unos pesos es redondeo del DOF.</t>
  </si>
  <si>
    <t>Cuadro 4. Coeficientes de la segunda parte del crecimiento del FGP (recalculado con EIC 2025)</t>
  </si>
  <si>
    <t>Crecimiento IE
2022/2021
(1)</t>
  </si>
  <si>
    <t>Crecimiento IE
2023/2022
(2)</t>
  </si>
  <si>
    <t>Crecimiento IE
2024/2023
(3)</t>
  </si>
  <si>
    <t>Media móvil IE
(4=((1+2+3)/3))</t>
  </si>
  <si>
    <t>Población 2025
EIC
(5)</t>
  </si>
  <si>
    <t>Resultado media móvil por población
(6=4*5)</t>
  </si>
  <si>
    <t>Coeficientes de participación
(7=(6/Σ6)100)</t>
  </si>
  <si>
    <t>Columna (4): el DOF publica los crecimientos redondeados a 3 decimales. Para no perder precisión, la media móvil es la implícita en el DOF: Resultado (6) / Población (5) del Cuadro 4 original (p. ej., México: 20,115,642 / 17,788,768).</t>
  </si>
  <si>
    <t>Cuadro 5. Coeficientes de la tercera parte del crecimiento del FGP (recalculado con EIC 2025)</t>
  </si>
  <si>
    <t>Impuestos y derechos locales de 2024
(1)</t>
  </si>
  <si>
    <t>Población 2025
EIC
(2)</t>
  </si>
  <si>
    <t>Resultado IE 2024 por población
(3=2*1)</t>
  </si>
  <si>
    <t>Coeficientes de participación
(4=(3/Σ3)100)</t>
  </si>
  <si>
    <t>Cuadro 8. Coeficientes del 70% del crecimiento del Fondo de Fomento Municipal (recalculado con EIC 2025)</t>
  </si>
  <si>
    <t>Recaudación agua y predial 2023
(1)</t>
  </si>
  <si>
    <t>Recaudación agua y predial 2024
(2)</t>
  </si>
  <si>
    <t>Resultado variación por población
(5=3*4)</t>
  </si>
  <si>
    <t>Monto DOF enero 2026
(DOF Cuadro 10)</t>
  </si>
  <si>
    <t>Cambio consolidado por entidad al sustituir la población ENOE 3T-2025 por la EIC 2025 en los Cuadros 3, 4, 5 y 8 del DOF. Ceteris Paribus</t>
  </si>
  <si>
    <t>Sustituyendo con la población de la Encuesta Intercensal 2025 (INEGI) en vez de ENOE 3T-2025 que usó la SHCP en el DOF del 26-feb-2026.</t>
  </si>
  <si>
    <t>Primera parte del FGP a distribuir en enero 2026 (Cuadro 2,</t>
  </si>
  <si>
    <t>Segunda parte del FGP a distribuir en enero 2026 (Cuadro 2)</t>
  </si>
  <si>
    <t>Tercera parte del FGP a distribuir en enero 2026 (Cuadro 2)</t>
  </si>
  <si>
    <t>70% del crecimiento del FFM a distribuir en enero 2026 (Cuadro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</si>
</sst>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0%;\-0.00%;\-"/>
    <numFmt numFmtId="166" formatCode="0.000000"/>
    <numFmt numFmtId="167" formatCode="0.000000;\-0.000000;\-"/>
    <numFmt numFmtId="168" formatCode="0.000"/>
    <numFmt numFmtId="169" formatCode="0.000000000"/>
  </numFmts>
  <fonts count="10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sz val="10"/>
      <color rgb="FF008000"/>
      <name val="Arial"/>
      <family val="2"/>
    </font>
    <font>
      <sz val="9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E699"/>
        <bgColor rgb="FFFFF2CC"/>
      </patternFill>
    </fill>
    <fill>
      <patternFill patternType="solid">
        <fgColor rgb="FF5B7DB1"/>
        <bgColor rgb="FF80808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2" borderId="0" xfId="0" applyNumberFormat="1" applyFont="1" applyFill="1"/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0" fontId="7" fillId="5" borderId="0" xfId="0" applyFont="1" applyFill="1" applyAlignment="1">
      <alignment horizontal="center" vertical="center" wrapText="1"/>
    </xf>
    <xf numFmtId="165" fontId="5" fillId="0" borderId="0" xfId="0" applyNumberFormat="1" applyFont="1"/>
    <xf numFmtId="164" fontId="6" fillId="2" borderId="0" xfId="0" applyNumberFormat="1" applyFont="1" applyFill="1"/>
    <xf numFmtId="0" fontId="4" fillId="6" borderId="0" xfId="0" applyFont="1" applyFill="1" applyAlignment="1">
      <alignment horizontal="center" vertical="center" wrapText="1"/>
    </xf>
    <xf numFmtId="166" fontId="5" fillId="0" borderId="0" xfId="0" applyNumberFormat="1" applyFont="1"/>
    <xf numFmtId="164" fontId="8" fillId="0" borderId="0" xfId="0" applyNumberFormat="1" applyFont="1"/>
    <xf numFmtId="167" fontId="5" fillId="0" borderId="0" xfId="0" applyNumberFormat="1" applyFont="1"/>
    <xf numFmtId="167" fontId="6" fillId="0" borderId="0" xfId="0" applyNumberFormat="1" applyFont="1"/>
    <xf numFmtId="0" fontId="0" fillId="4" borderId="1" xfId="0" applyFill="1" applyBorder="1"/>
    <xf numFmtId="167" fontId="3" fillId="4" borderId="1" xfId="0" applyNumberFormat="1" applyFont="1" applyFill="1" applyBorder="1"/>
    <xf numFmtId="168" fontId="6" fillId="0" borderId="0" xfId="0" applyNumberFormat="1" applyFont="1"/>
    <xf numFmtId="169" fontId="6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DB1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showGridLines="0" tabSelected="1" zoomScale="132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7" sqref="G7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8" customWidth="1"/>
    <col min="4" max="4" width="16" customWidth="1"/>
    <col min="5" max="5" width="22" customWidth="1"/>
    <col min="6" max="6" width="17" customWidth="1"/>
    <col min="7" max="7" width="12" customWidth="1"/>
  </cols>
  <sheetData>
    <row r="1" spans="1:7" ht="17" x14ac:dyDescent="0.2">
      <c r="A1" s="1" t="s">
        <v>0</v>
      </c>
    </row>
    <row r="2" spans="1:7" x14ac:dyDescent="0.2">
      <c r="A2" s="26" t="s">
        <v>84</v>
      </c>
    </row>
    <row r="5" spans="1:7" x14ac:dyDescent="0.2">
      <c r="E5" s="3"/>
      <c r="F5" s="4"/>
    </row>
    <row r="6" spans="1:7" ht="61.5" customHeight="1" x14ac:dyDescent="0.2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7" x14ac:dyDescent="0.2">
      <c r="A7" s="6" t="s">
        <v>8</v>
      </c>
      <c r="B7" s="7">
        <v>922474497</v>
      </c>
      <c r="C7" s="8">
        <f>'Cuadro 3'!L7+'Cuadro 4'!M7+'Cuadro 5'!J7</f>
        <v>13155331.497950621</v>
      </c>
      <c r="D7" s="8">
        <f>'Cuadro 8'!L7</f>
        <v>384902.93815474957</v>
      </c>
      <c r="E7" s="8">
        <f t="shared" ref="E7:E38" si="0">B7+F7</f>
        <v>936014731.43610537</v>
      </c>
      <c r="F7" s="9">
        <f t="shared" ref="F7:F38" si="1">C7+D7</f>
        <v>13540234.436105371</v>
      </c>
      <c r="G7" s="10">
        <f t="shared" ref="G7:G39" si="2">F7/B7</f>
        <v>1.4678166692022241E-2</v>
      </c>
    </row>
    <row r="8" spans="1:7" x14ac:dyDescent="0.2">
      <c r="A8" s="6" t="s">
        <v>9</v>
      </c>
      <c r="B8" s="7">
        <v>2464282080</v>
      </c>
      <c r="C8" s="8">
        <f>'Cuadro 3'!L8+'Cuadro 4'!M8+'Cuadro 5'!J8</f>
        <v>100920798.05309466</v>
      </c>
      <c r="D8" s="8">
        <f>'Cuadro 8'!L8</f>
        <v>2737801.555214256</v>
      </c>
      <c r="E8" s="8">
        <f t="shared" si="0"/>
        <v>2567940679.6083088</v>
      </c>
      <c r="F8" s="9">
        <f t="shared" si="1"/>
        <v>103658599.60830891</v>
      </c>
      <c r="G8" s="10">
        <f t="shared" si="2"/>
        <v>4.2064421297219719E-2</v>
      </c>
    </row>
    <row r="9" spans="1:7" x14ac:dyDescent="0.2">
      <c r="A9" s="6" t="s">
        <v>10</v>
      </c>
      <c r="B9" s="7">
        <v>559828570</v>
      </c>
      <c r="C9" s="8">
        <f>'Cuadro 3'!L9+'Cuadro 4'!M9+'Cuadro 5'!J9</f>
        <v>32151505.880323626</v>
      </c>
      <c r="D9" s="8">
        <f>'Cuadro 8'!L9</f>
        <v>880517.31791288964</v>
      </c>
      <c r="E9" s="8">
        <f t="shared" si="0"/>
        <v>592860593.19823647</v>
      </c>
      <c r="F9" s="9">
        <f t="shared" si="1"/>
        <v>33032023.198236518</v>
      </c>
      <c r="G9" s="10">
        <f t="shared" si="2"/>
        <v>5.9003818254999951E-2</v>
      </c>
    </row>
    <row r="10" spans="1:7" x14ac:dyDescent="0.2">
      <c r="A10" s="6" t="s">
        <v>11</v>
      </c>
      <c r="B10" s="7">
        <v>657841824</v>
      </c>
      <c r="C10" s="8">
        <f>'Cuadro 3'!L10+'Cuadro 4'!M10+'Cuadro 5'!J10</f>
        <v>14499951.609110057</v>
      </c>
      <c r="D10" s="8">
        <f>'Cuadro 8'!L10</f>
        <v>446605.56146113761</v>
      </c>
      <c r="E10" s="8">
        <f t="shared" si="0"/>
        <v>672788381.17057121</v>
      </c>
      <c r="F10" s="9">
        <f t="shared" si="1"/>
        <v>14946557.170571195</v>
      </c>
      <c r="G10" s="10">
        <f t="shared" si="2"/>
        <v>2.27205942603175E-2</v>
      </c>
    </row>
    <row r="11" spans="1:7" x14ac:dyDescent="0.2">
      <c r="A11" s="6" t="s">
        <v>12</v>
      </c>
      <c r="B11" s="7">
        <v>2079291153</v>
      </c>
      <c r="C11" s="8">
        <f>'Cuadro 3'!L11+'Cuadro 4'!M11+'Cuadro 5'!J11</f>
        <v>-17107716.972523615</v>
      </c>
      <c r="D11" s="8">
        <f>'Cuadro 8'!L11</f>
        <v>-507089.74355603755</v>
      </c>
      <c r="E11" s="8">
        <f t="shared" si="0"/>
        <v>2061676346.2839203</v>
      </c>
      <c r="F11" s="9">
        <f t="shared" si="1"/>
        <v>-17614806.716079652</v>
      </c>
      <c r="G11" s="10">
        <f t="shared" si="2"/>
        <v>-8.4715441080317304E-3</v>
      </c>
    </row>
    <row r="12" spans="1:7" x14ac:dyDescent="0.2">
      <c r="A12" s="6" t="s">
        <v>13</v>
      </c>
      <c r="B12" s="7">
        <v>488188668</v>
      </c>
      <c r="C12" s="8">
        <f>'Cuadro 3'!L12+'Cuadro 4'!M12+'Cuadro 5'!J12</f>
        <v>12611504.944204781</v>
      </c>
      <c r="D12" s="8">
        <f>'Cuadro 8'!L12</f>
        <v>373793.62037589215</v>
      </c>
      <c r="E12" s="8">
        <f t="shared" si="0"/>
        <v>501173966.56458068</v>
      </c>
      <c r="F12" s="9">
        <f t="shared" si="1"/>
        <v>12985298.564580673</v>
      </c>
      <c r="G12" s="10">
        <f t="shared" si="2"/>
        <v>2.659893482939402E-2</v>
      </c>
    </row>
    <row r="13" spans="1:7" x14ac:dyDescent="0.2">
      <c r="A13" s="6" t="s">
        <v>14</v>
      </c>
      <c r="B13" s="7">
        <v>3618001745</v>
      </c>
      <c r="C13" s="8">
        <f>'Cuadro 3'!L13+'Cuadro 4'!M13+'Cuadro 5'!J13</f>
        <v>-48123257.088785313</v>
      </c>
      <c r="D13" s="8">
        <f>'Cuadro 8'!L13</f>
        <v>-1384057.8318732977</v>
      </c>
      <c r="E13" s="8">
        <f t="shared" si="0"/>
        <v>3568494430.0793414</v>
      </c>
      <c r="F13" s="9">
        <f t="shared" si="1"/>
        <v>-49507314.920658611</v>
      </c>
      <c r="G13" s="10">
        <f t="shared" si="2"/>
        <v>-1.3683607253389705E-2</v>
      </c>
    </row>
    <row r="14" spans="1:7" x14ac:dyDescent="0.2">
      <c r="A14" s="6" t="s">
        <v>15</v>
      </c>
      <c r="B14" s="7">
        <v>2565404732</v>
      </c>
      <c r="C14" s="8">
        <f>'Cuadro 3'!L14+'Cuadro 4'!M14+'Cuadro 5'!J14</f>
        <v>-33218769.627318799</v>
      </c>
      <c r="D14" s="8">
        <f>'Cuadro 8'!L14</f>
        <v>-903073.85876438022</v>
      </c>
      <c r="E14" s="8">
        <f t="shared" si="0"/>
        <v>2531282888.513917</v>
      </c>
      <c r="F14" s="9">
        <f t="shared" si="1"/>
        <v>-34121843.48608318</v>
      </c>
      <c r="G14" s="10">
        <f t="shared" si="2"/>
        <v>-1.3300764226579427E-2</v>
      </c>
    </row>
    <row r="15" spans="1:7" x14ac:dyDescent="0.2">
      <c r="A15" s="6" t="s">
        <v>16</v>
      </c>
      <c r="B15" s="7">
        <v>8315457478</v>
      </c>
      <c r="C15" s="8">
        <f>'Cuadro 3'!L15+'Cuadro 4'!M15+'Cuadro 5'!J15</f>
        <v>-73770191.762080193</v>
      </c>
      <c r="D15" s="8">
        <f>'Cuadro 8'!L15</f>
        <v>-1699001.5703475624</v>
      </c>
      <c r="E15" s="8">
        <f t="shared" si="0"/>
        <v>8239988284.667572</v>
      </c>
      <c r="F15" s="9">
        <f t="shared" si="1"/>
        <v>-75469193.332427755</v>
      </c>
      <c r="G15" s="10">
        <f t="shared" si="2"/>
        <v>-9.0757716616427578E-3</v>
      </c>
    </row>
    <row r="16" spans="1:7" x14ac:dyDescent="0.2">
      <c r="A16" s="6" t="s">
        <v>17</v>
      </c>
      <c r="B16" s="7">
        <v>1197421030</v>
      </c>
      <c r="C16" s="8">
        <f>'Cuadro 3'!L16+'Cuadro 4'!M16+'Cuadro 5'!J16</f>
        <v>-1472423.8365636356</v>
      </c>
      <c r="D16" s="8">
        <f>'Cuadro 8'!L16</f>
        <v>-48164.925910573453</v>
      </c>
      <c r="E16" s="8">
        <f t="shared" si="0"/>
        <v>1195900441.2375257</v>
      </c>
      <c r="F16" s="9">
        <f t="shared" si="1"/>
        <v>-1520588.7624742091</v>
      </c>
      <c r="G16" s="10">
        <f t="shared" si="2"/>
        <v>-1.2698864679821175E-3</v>
      </c>
    </row>
    <row r="17" spans="1:7" x14ac:dyDescent="0.2">
      <c r="A17" s="6" t="s">
        <v>18</v>
      </c>
      <c r="B17" s="7">
        <v>3830822897</v>
      </c>
      <c r="C17" s="8">
        <f>'Cuadro 3'!L17+'Cuadro 4'!M17+'Cuadro 5'!J17</f>
        <v>40749432.465396464</v>
      </c>
      <c r="D17" s="8">
        <f>'Cuadro 8'!L17</f>
        <v>1019938.5155527145</v>
      </c>
      <c r="E17" s="8">
        <f t="shared" si="0"/>
        <v>3872592267.9809494</v>
      </c>
      <c r="F17" s="9">
        <f t="shared" si="1"/>
        <v>41769370.980949178</v>
      </c>
      <c r="G17" s="10">
        <f t="shared" si="2"/>
        <v>1.0903498309373601E-2</v>
      </c>
    </row>
    <row r="18" spans="1:7" x14ac:dyDescent="0.2">
      <c r="A18" s="6" t="s">
        <v>19</v>
      </c>
      <c r="B18" s="7">
        <v>2065019405</v>
      </c>
      <c r="C18" s="8">
        <f>'Cuadro 3'!L18+'Cuadro 4'!M18+'Cuadro 5'!J18</f>
        <v>-75230841.322752625</v>
      </c>
      <c r="D18" s="8">
        <f>'Cuadro 8'!L18</f>
        <v>-2032244.9652522877</v>
      </c>
      <c r="E18" s="8">
        <f t="shared" si="0"/>
        <v>1987756318.7119951</v>
      </c>
      <c r="F18" s="9">
        <f t="shared" si="1"/>
        <v>-77263086.288004905</v>
      </c>
      <c r="G18" s="10">
        <f t="shared" si="2"/>
        <v>-3.7415186559956279E-2</v>
      </c>
    </row>
    <row r="19" spans="1:7" x14ac:dyDescent="0.2">
      <c r="A19" s="6" t="s">
        <v>20</v>
      </c>
      <c r="B19" s="7">
        <v>1902524115</v>
      </c>
      <c r="C19" s="8">
        <f>'Cuadro 3'!L19+'Cuadro 4'!M19+'Cuadro 5'!J19</f>
        <v>-2716677.8482999876</v>
      </c>
      <c r="D19" s="8">
        <f>'Cuadro 8'!L19</f>
        <v>-90247.709669090807</v>
      </c>
      <c r="E19" s="8">
        <f t="shared" si="0"/>
        <v>1899717189.4420309</v>
      </c>
      <c r="F19" s="9">
        <f t="shared" si="1"/>
        <v>-2806925.5579690784</v>
      </c>
      <c r="G19" s="10">
        <f t="shared" si="2"/>
        <v>-1.4753692401786342E-3</v>
      </c>
    </row>
    <row r="20" spans="1:7" x14ac:dyDescent="0.2">
      <c r="A20" s="6" t="s">
        <v>21</v>
      </c>
      <c r="B20" s="7">
        <v>5706391769</v>
      </c>
      <c r="C20" s="8">
        <f>'Cuadro 3'!L20+'Cuadro 4'!M20+'Cuadro 5'!J20</f>
        <v>-29904744.08428961</v>
      </c>
      <c r="D20" s="8">
        <f>'Cuadro 8'!L20</f>
        <v>-838986.48851148784</v>
      </c>
      <c r="E20" s="8">
        <f t="shared" si="0"/>
        <v>5675648038.4271994</v>
      </c>
      <c r="F20" s="9">
        <f t="shared" si="1"/>
        <v>-30743730.572801098</v>
      </c>
      <c r="G20" s="10">
        <f t="shared" si="2"/>
        <v>-5.3875954924470061E-3</v>
      </c>
    </row>
    <row r="21" spans="1:7" x14ac:dyDescent="0.2">
      <c r="A21" s="6" t="s">
        <v>22</v>
      </c>
      <c r="B21" s="7">
        <v>11937283249</v>
      </c>
      <c r="C21" s="8">
        <f>'Cuadro 3'!L21+'Cuadro 4'!M21+'Cuadro 5'!J21</f>
        <v>-89681061.5129807</v>
      </c>
      <c r="D21" s="8">
        <f>'Cuadro 8'!L21</f>
        <v>-2311729.121622473</v>
      </c>
      <c r="E21" s="8">
        <f t="shared" si="0"/>
        <v>11845290458.365396</v>
      </c>
      <c r="F21" s="9">
        <f t="shared" si="1"/>
        <v>-91992790.634603173</v>
      </c>
      <c r="G21" s="10">
        <f t="shared" si="2"/>
        <v>-7.7063422820522849E-3</v>
      </c>
    </row>
    <row r="22" spans="1:7" x14ac:dyDescent="0.2">
      <c r="A22" s="6" t="s">
        <v>23</v>
      </c>
      <c r="B22" s="7">
        <v>2827063156</v>
      </c>
      <c r="C22" s="8">
        <f>'Cuadro 3'!L22+'Cuadro 4'!M22+'Cuadro 5'!J22</f>
        <v>-26973286.379891858</v>
      </c>
      <c r="D22" s="8">
        <f>'Cuadro 8'!L22</f>
        <v>-789406.01305158436</v>
      </c>
      <c r="E22" s="8">
        <f t="shared" si="0"/>
        <v>2799300463.6070566</v>
      </c>
      <c r="F22" s="9">
        <f t="shared" si="1"/>
        <v>-27762692.392943442</v>
      </c>
      <c r="G22" s="10">
        <f t="shared" si="2"/>
        <v>-9.8203297418458669E-3</v>
      </c>
    </row>
    <row r="23" spans="1:7" x14ac:dyDescent="0.2">
      <c r="A23" s="6" t="s">
        <v>24</v>
      </c>
      <c r="B23" s="7">
        <v>1175670067</v>
      </c>
      <c r="C23" s="8">
        <f>'Cuadro 3'!L23+'Cuadro 4'!M23+'Cuadro 5'!J23</f>
        <v>4135996.0514392927</v>
      </c>
      <c r="D23" s="8">
        <f>'Cuadro 8'!L23</f>
        <v>114303.90166912228</v>
      </c>
      <c r="E23" s="8">
        <f t="shared" si="0"/>
        <v>1179920366.9531083</v>
      </c>
      <c r="F23" s="9">
        <f t="shared" si="1"/>
        <v>4250299.953108415</v>
      </c>
      <c r="G23" s="10">
        <f t="shared" si="2"/>
        <v>3.6152149080005583E-3</v>
      </c>
    </row>
    <row r="24" spans="1:7" x14ac:dyDescent="0.2">
      <c r="A24" s="6" t="s">
        <v>25</v>
      </c>
      <c r="B24" s="7">
        <v>783591734</v>
      </c>
      <c r="C24" s="8">
        <f>'Cuadro 3'!L24+'Cuadro 4'!M24+'Cuadro 5'!J24</f>
        <v>20896050.718849413</v>
      </c>
      <c r="D24" s="8">
        <f>'Cuadro 8'!L24</f>
        <v>631240.44789793156</v>
      </c>
      <c r="E24" s="8">
        <f t="shared" si="0"/>
        <v>805119025.16674733</v>
      </c>
      <c r="F24" s="9">
        <f t="shared" si="1"/>
        <v>21527291.166747347</v>
      </c>
      <c r="G24" s="10">
        <f t="shared" si="2"/>
        <v>2.7472585828409654E-2</v>
      </c>
    </row>
    <row r="25" spans="1:7" x14ac:dyDescent="0.2">
      <c r="A25" s="6" t="s">
        <v>26</v>
      </c>
      <c r="B25" s="7">
        <v>4205217229</v>
      </c>
      <c r="C25" s="8">
        <f>'Cuadro 3'!L25+'Cuadro 4'!M25+'Cuadro 5'!J25</f>
        <v>63055581.955791116</v>
      </c>
      <c r="D25" s="8">
        <f>'Cuadro 8'!L25</f>
        <v>1607613.6987307221</v>
      </c>
      <c r="E25" s="8">
        <f t="shared" si="0"/>
        <v>4269880424.6545219</v>
      </c>
      <c r="F25" s="9">
        <f t="shared" si="1"/>
        <v>64663195.654521838</v>
      </c>
      <c r="G25" s="10">
        <f t="shared" si="2"/>
        <v>1.5376897823159241E-2</v>
      </c>
    </row>
    <row r="26" spans="1:7" x14ac:dyDescent="0.2">
      <c r="A26" s="6" t="s">
        <v>27</v>
      </c>
      <c r="B26" s="7">
        <v>2480588216</v>
      </c>
      <c r="C26" s="8">
        <f>'Cuadro 3'!L26+'Cuadro 4'!M26+'Cuadro 5'!J26</f>
        <v>-27851381.374235779</v>
      </c>
      <c r="D26" s="8">
        <f>'Cuadro 8'!L26</f>
        <v>-744170.02581020445</v>
      </c>
      <c r="E26" s="8">
        <f t="shared" si="0"/>
        <v>2451992664.5999541</v>
      </c>
      <c r="F26" s="9">
        <f t="shared" si="1"/>
        <v>-28595551.400045983</v>
      </c>
      <c r="G26" s="10">
        <f t="shared" si="2"/>
        <v>-1.1527730082567635E-2</v>
      </c>
    </row>
    <row r="27" spans="1:7" x14ac:dyDescent="0.2">
      <c r="A27" s="6" t="s">
        <v>28</v>
      </c>
      <c r="B27" s="7">
        <v>3870428730</v>
      </c>
      <c r="C27" s="8">
        <f>'Cuadro 3'!L27+'Cuadro 4'!M27+'Cuadro 5'!J27</f>
        <v>88546061.99320057</v>
      </c>
      <c r="D27" s="8">
        <f>'Cuadro 8'!L27</f>
        <v>2433921.6352369636</v>
      </c>
      <c r="E27" s="8">
        <f t="shared" si="0"/>
        <v>3961408713.6284375</v>
      </c>
      <c r="F27" s="9">
        <f t="shared" si="1"/>
        <v>90979983.628437534</v>
      </c>
      <c r="G27" s="10">
        <f t="shared" si="2"/>
        <v>2.35064355850928E-2</v>
      </c>
    </row>
    <row r="28" spans="1:7" x14ac:dyDescent="0.2">
      <c r="A28" s="6" t="s">
        <v>29</v>
      </c>
      <c r="B28" s="7">
        <v>1558244132</v>
      </c>
      <c r="C28" s="8">
        <f>'Cuadro 3'!L28+'Cuadro 4'!M28+'Cuadro 5'!J28</f>
        <v>31335134.019192114</v>
      </c>
      <c r="D28" s="8">
        <f>'Cuadro 8'!L28</f>
        <v>845825.39595715329</v>
      </c>
      <c r="E28" s="8">
        <f t="shared" si="0"/>
        <v>1590425091.4151492</v>
      </c>
      <c r="F28" s="9">
        <f t="shared" si="1"/>
        <v>32180959.415149268</v>
      </c>
      <c r="G28" s="10">
        <f t="shared" si="2"/>
        <v>2.0652065202289668E-2</v>
      </c>
    </row>
    <row r="29" spans="1:7" x14ac:dyDescent="0.2">
      <c r="A29" s="6" t="s">
        <v>30</v>
      </c>
      <c r="B29" s="7">
        <v>1158535224</v>
      </c>
      <c r="C29" s="8">
        <f>'Cuadro 3'!L29+'Cuadro 4'!M29+'Cuadro 5'!J29</f>
        <v>81287528.113176554</v>
      </c>
      <c r="D29" s="8">
        <f>'Cuadro 8'!L29</f>
        <v>2158401.2006479651</v>
      </c>
      <c r="E29" s="8">
        <f t="shared" si="0"/>
        <v>1241981153.3138244</v>
      </c>
      <c r="F29" s="9">
        <f t="shared" si="1"/>
        <v>83445929.31382452</v>
      </c>
      <c r="G29" s="10">
        <f t="shared" si="2"/>
        <v>7.2027097308026714E-2</v>
      </c>
    </row>
    <row r="30" spans="1:7" x14ac:dyDescent="0.2">
      <c r="A30" s="6" t="s">
        <v>31</v>
      </c>
      <c r="B30" s="7">
        <v>1683537646</v>
      </c>
      <c r="C30" s="8">
        <f>'Cuadro 3'!L30+'Cuadro 4'!M30+'Cuadro 5'!J30</f>
        <v>297931.06274171174</v>
      </c>
      <c r="D30" s="8">
        <f>'Cuadro 8'!L30</f>
        <v>1827.5615348368883</v>
      </c>
      <c r="E30" s="8">
        <f t="shared" si="0"/>
        <v>1683837404.6242766</v>
      </c>
      <c r="F30" s="9">
        <f t="shared" si="1"/>
        <v>299758.62427654862</v>
      </c>
      <c r="G30" s="10">
        <f t="shared" si="2"/>
        <v>1.7805281930508647E-4</v>
      </c>
    </row>
    <row r="31" spans="1:7" x14ac:dyDescent="0.2">
      <c r="A31" s="6" t="s">
        <v>32</v>
      </c>
      <c r="B31" s="7">
        <v>1910956658</v>
      </c>
      <c r="C31" s="8">
        <f>'Cuadro 3'!L31+'Cuadro 4'!M31+'Cuadro 5'!J31</f>
        <v>-17830929.822718665</v>
      </c>
      <c r="D31" s="8">
        <f>'Cuadro 8'!L31</f>
        <v>-495843.60124212131</v>
      </c>
      <c r="E31" s="8">
        <f t="shared" si="0"/>
        <v>1892629884.5760393</v>
      </c>
      <c r="F31" s="9">
        <f t="shared" si="1"/>
        <v>-18326773.423960786</v>
      </c>
      <c r="G31" s="10">
        <f t="shared" si="2"/>
        <v>-9.5903658239645893E-3</v>
      </c>
    </row>
    <row r="32" spans="1:7" x14ac:dyDescent="0.2">
      <c r="A32" s="6" t="s">
        <v>33</v>
      </c>
      <c r="B32" s="7">
        <v>1937819480</v>
      </c>
      <c r="C32" s="8">
        <f>'Cuadro 3'!L32+'Cuadro 4'!M32+'Cuadro 5'!J32</f>
        <v>1814730.6323815882</v>
      </c>
      <c r="D32" s="8">
        <f>'Cuadro 8'!L32</f>
        <v>44153.235597811639</v>
      </c>
      <c r="E32" s="8">
        <f t="shared" si="0"/>
        <v>1939678363.8679793</v>
      </c>
      <c r="F32" s="9">
        <f t="shared" si="1"/>
        <v>1858883.8679793999</v>
      </c>
      <c r="G32" s="10">
        <f t="shared" si="2"/>
        <v>9.5926575574490551E-4</v>
      </c>
    </row>
    <row r="33" spans="1:7" x14ac:dyDescent="0.2">
      <c r="A33" s="6" t="s">
        <v>34</v>
      </c>
      <c r="B33" s="7">
        <v>2075549082</v>
      </c>
      <c r="C33" s="8">
        <f>'Cuadro 3'!L33+'Cuadro 4'!M33+'Cuadro 5'!J33</f>
        <v>-10893458.272085775</v>
      </c>
      <c r="D33" s="8">
        <f>'Cuadro 8'!L33</f>
        <v>-321920.97269950062</v>
      </c>
      <c r="E33" s="8">
        <f t="shared" si="0"/>
        <v>2064333702.7552147</v>
      </c>
      <c r="F33" s="9">
        <f t="shared" si="1"/>
        <v>-11215379.244785275</v>
      </c>
      <c r="G33" s="10">
        <f t="shared" si="2"/>
        <v>-5.4035721641321685E-3</v>
      </c>
    </row>
    <row r="34" spans="1:7" x14ac:dyDescent="0.2">
      <c r="A34" s="6" t="s">
        <v>35</v>
      </c>
      <c r="B34" s="7">
        <v>2250308423</v>
      </c>
      <c r="C34" s="8">
        <f>'Cuadro 3'!L34+'Cuadro 4'!M34+'Cuadro 5'!J34</f>
        <v>19353005.489508301</v>
      </c>
      <c r="D34" s="8">
        <f>'Cuadro 8'!L34</f>
        <v>548883.530203484</v>
      </c>
      <c r="E34" s="8">
        <f t="shared" si="0"/>
        <v>2270210312.019712</v>
      </c>
      <c r="F34" s="9">
        <f t="shared" si="1"/>
        <v>19901889.019711785</v>
      </c>
      <c r="G34" s="10">
        <f t="shared" si="2"/>
        <v>8.8440716909282905E-3</v>
      </c>
    </row>
    <row r="35" spans="1:7" x14ac:dyDescent="0.2">
      <c r="A35" s="6" t="s">
        <v>36</v>
      </c>
      <c r="B35" s="7">
        <v>908857157</v>
      </c>
      <c r="C35" s="8">
        <f>'Cuadro 3'!L35+'Cuadro 4'!M35+'Cuadro 5'!J35</f>
        <v>-23014669.487393618</v>
      </c>
      <c r="D35" s="8">
        <f>'Cuadro 8'!L35</f>
        <v>-656979.60386788845</v>
      </c>
      <c r="E35" s="8">
        <f t="shared" si="0"/>
        <v>885185507.90873849</v>
      </c>
      <c r="F35" s="9">
        <f t="shared" si="1"/>
        <v>-23671649.091261506</v>
      </c>
      <c r="G35" s="10">
        <f t="shared" si="2"/>
        <v>-2.6045511012311371E-2</v>
      </c>
    </row>
    <row r="36" spans="1:7" x14ac:dyDescent="0.2">
      <c r="A36" s="6" t="s">
        <v>37</v>
      </c>
      <c r="B36" s="7">
        <v>5063841571</v>
      </c>
      <c r="C36" s="8">
        <f>'Cuadro 3'!L36+'Cuadro 4'!M36+'Cuadro 5'!J36</f>
        <v>-84368501.334991246</v>
      </c>
      <c r="D36" s="8">
        <f>'Cuadro 8'!L36</f>
        <v>-2405642.3094634861</v>
      </c>
      <c r="E36" s="8">
        <f t="shared" si="0"/>
        <v>4977067427.355545</v>
      </c>
      <c r="F36" s="9">
        <f t="shared" si="1"/>
        <v>-86774143.644454733</v>
      </c>
      <c r="G36" s="10">
        <f t="shared" si="2"/>
        <v>-1.71360305072338E-2</v>
      </c>
    </row>
    <row r="37" spans="1:7" x14ac:dyDescent="0.2">
      <c r="A37" s="6" t="s">
        <v>38</v>
      </c>
      <c r="B37" s="7">
        <v>1455418180</v>
      </c>
      <c r="C37" s="8">
        <f>'Cuadro 3'!L37+'Cuadro 4'!M37+'Cuadro 5'!J37</f>
        <v>41910390.632171787</v>
      </c>
      <c r="D37" s="8">
        <f>'Cuadro 8'!L37</f>
        <v>1132141.9699613564</v>
      </c>
      <c r="E37" s="8">
        <f t="shared" si="0"/>
        <v>1498460712.602133</v>
      </c>
      <c r="F37" s="9">
        <f t="shared" si="1"/>
        <v>43042532.60213314</v>
      </c>
      <c r="G37" s="10">
        <f t="shared" si="2"/>
        <v>2.9573996802852318E-2</v>
      </c>
    </row>
    <row r="38" spans="1:7" x14ac:dyDescent="0.2">
      <c r="A38" s="6" t="s">
        <v>39</v>
      </c>
      <c r="B38" s="7">
        <v>1103590037</v>
      </c>
      <c r="C38" s="8">
        <f>'Cuadro 3'!L38+'Cuadro 4'!M38+'Cuadro 5'!J38</f>
        <v>-4563021.391634509</v>
      </c>
      <c r="D38" s="8">
        <f>'Cuadro 8'!L38</f>
        <v>-133313.34446734563</v>
      </c>
      <c r="E38" s="8">
        <f t="shared" si="0"/>
        <v>1098893702.2638981</v>
      </c>
      <c r="F38" s="9">
        <f t="shared" si="1"/>
        <v>-4696334.7361018546</v>
      </c>
      <c r="G38" s="10">
        <f t="shared" si="2"/>
        <v>-4.2555066452650975E-3</v>
      </c>
    </row>
    <row r="39" spans="1:7" x14ac:dyDescent="0.2">
      <c r="A39" s="11" t="s">
        <v>40</v>
      </c>
      <c r="B39" s="12">
        <f>SUM(B7:B38)</f>
        <v>84759449934</v>
      </c>
      <c r="C39" s="12">
        <f>SUM(C7:C38)</f>
        <v>2.9999867007136345</v>
      </c>
      <c r="D39" s="12">
        <f>SUM(D7:D38)</f>
        <v>-3.3527612686157227E-7</v>
      </c>
      <c r="E39" s="12">
        <f>SUM(E7:E38)</f>
        <v>84759449936.999985</v>
      </c>
      <c r="F39" s="12">
        <f>SUM(F7:F38)</f>
        <v>2.9999864213168621</v>
      </c>
      <c r="G39" s="13">
        <f t="shared" si="2"/>
        <v>3.5394123294250661E-11</v>
      </c>
    </row>
    <row r="41" spans="1:7" x14ac:dyDescent="0.2">
      <c r="A41" s="3" t="s">
        <v>41</v>
      </c>
    </row>
    <row r="42" spans="1:7" x14ac:dyDescent="0.2">
      <c r="A42" s="2"/>
    </row>
    <row r="43" spans="1:7" x14ac:dyDescent="0.2">
      <c r="A43" s="2"/>
    </row>
    <row r="44" spans="1:7" x14ac:dyDescent="0.2">
      <c r="A44" s="2"/>
    </row>
    <row r="45" spans="1:7" x14ac:dyDescent="0.2">
      <c r="A4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" sqref="A3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4" width="18" customWidth="1"/>
    <col min="5" max="5" width="16" customWidth="1"/>
    <col min="6" max="6" width="14" customWidth="1"/>
    <col min="7" max="7" width="11" customWidth="1"/>
  </cols>
  <sheetData>
    <row r="1" spans="1:7" ht="17" x14ac:dyDescent="0.2">
      <c r="A1" s="1" t="s">
        <v>42</v>
      </c>
    </row>
    <row r="2" spans="1:7" x14ac:dyDescent="0.2">
      <c r="A2" s="26" t="s">
        <v>85</v>
      </c>
    </row>
    <row r="6" spans="1:7" ht="61.5" customHeight="1" x14ac:dyDescent="0.2">
      <c r="A6" s="5" t="s">
        <v>1</v>
      </c>
      <c r="B6" s="5" t="s">
        <v>43</v>
      </c>
      <c r="C6" s="5" t="s">
        <v>44</v>
      </c>
      <c r="D6" s="5" t="s">
        <v>45</v>
      </c>
      <c r="E6" s="14" t="s">
        <v>46</v>
      </c>
      <c r="F6" s="5" t="s">
        <v>47</v>
      </c>
      <c r="G6" s="5" t="s">
        <v>48</v>
      </c>
    </row>
    <row r="7" spans="1:7" x14ac:dyDescent="0.2">
      <c r="A7" s="6" t="s">
        <v>8</v>
      </c>
      <c r="B7" s="7">
        <v>1503564</v>
      </c>
      <c r="C7" s="7">
        <v>1534416</v>
      </c>
      <c r="D7" s="7">
        <v>4758</v>
      </c>
      <c r="E7" s="8">
        <f t="shared" ref="E7:E38" si="0">C7+D7</f>
        <v>1539174</v>
      </c>
      <c r="F7" s="8">
        <f t="shared" ref="F7:F38" si="1">E7-B7</f>
        <v>35610</v>
      </c>
      <c r="G7" s="15">
        <f t="shared" ref="G7:G39" si="2">E7/B7-1</f>
        <v>2.3683727463546633E-2</v>
      </c>
    </row>
    <row r="8" spans="1:7" x14ac:dyDescent="0.2">
      <c r="A8" s="6" t="s">
        <v>9</v>
      </c>
      <c r="B8" s="7">
        <v>3778283</v>
      </c>
      <c r="C8" s="7">
        <v>3978593</v>
      </c>
      <c r="D8" s="7">
        <v>31085</v>
      </c>
      <c r="E8" s="8">
        <f t="shared" si="0"/>
        <v>4009678</v>
      </c>
      <c r="F8" s="8">
        <f t="shared" si="1"/>
        <v>231395</v>
      </c>
      <c r="G8" s="15">
        <f t="shared" si="2"/>
        <v>6.1243427239304093E-2</v>
      </c>
    </row>
    <row r="9" spans="1:7" x14ac:dyDescent="0.2">
      <c r="A9" s="6" t="s">
        <v>10</v>
      </c>
      <c r="B9" s="7">
        <v>881164</v>
      </c>
      <c r="C9" s="7">
        <v>955465</v>
      </c>
      <c r="D9" s="7">
        <v>6049</v>
      </c>
      <c r="E9" s="8">
        <f t="shared" si="0"/>
        <v>961514</v>
      </c>
      <c r="F9" s="8">
        <f t="shared" si="1"/>
        <v>80350</v>
      </c>
      <c r="G9" s="15">
        <f t="shared" si="2"/>
        <v>9.1186203703283342E-2</v>
      </c>
    </row>
    <row r="10" spans="1:7" x14ac:dyDescent="0.2">
      <c r="A10" s="6" t="s">
        <v>11</v>
      </c>
      <c r="B10" s="7">
        <v>925978</v>
      </c>
      <c r="C10" s="7">
        <v>967098</v>
      </c>
      <c r="D10" s="7">
        <v>1575</v>
      </c>
      <c r="E10" s="8">
        <f t="shared" si="0"/>
        <v>968673</v>
      </c>
      <c r="F10" s="8">
        <f t="shared" si="1"/>
        <v>42695</v>
      </c>
      <c r="G10" s="15">
        <f t="shared" si="2"/>
        <v>4.6108006885692721E-2</v>
      </c>
    </row>
    <row r="11" spans="1:7" x14ac:dyDescent="0.2">
      <c r="A11" s="6" t="s">
        <v>12</v>
      </c>
      <c r="B11" s="7">
        <v>3452989</v>
      </c>
      <c r="C11" s="7">
        <v>3404559</v>
      </c>
      <c r="D11" s="7">
        <v>10569</v>
      </c>
      <c r="E11" s="8">
        <f t="shared" si="0"/>
        <v>3415128</v>
      </c>
      <c r="F11" s="8">
        <f t="shared" si="1"/>
        <v>-37861</v>
      </c>
      <c r="G11" s="15">
        <f t="shared" si="2"/>
        <v>-1.0964703333836257E-2</v>
      </c>
    </row>
    <row r="12" spans="1:7" x14ac:dyDescent="0.2">
      <c r="A12" s="6" t="s">
        <v>13</v>
      </c>
      <c r="B12" s="7">
        <v>728776</v>
      </c>
      <c r="C12" s="7">
        <v>758987</v>
      </c>
      <c r="D12" s="7">
        <v>3225</v>
      </c>
      <c r="E12" s="8">
        <f t="shared" si="0"/>
        <v>762212</v>
      </c>
      <c r="F12" s="8">
        <f t="shared" si="1"/>
        <v>33436</v>
      </c>
      <c r="G12" s="15">
        <f t="shared" si="2"/>
        <v>4.5879666728871449E-2</v>
      </c>
    </row>
    <row r="13" spans="1:7" x14ac:dyDescent="0.2">
      <c r="A13" s="6" t="s">
        <v>14</v>
      </c>
      <c r="B13" s="7">
        <v>5975155</v>
      </c>
      <c r="C13" s="7">
        <v>5840294</v>
      </c>
      <c r="D13" s="7">
        <v>20434</v>
      </c>
      <c r="E13" s="8">
        <f t="shared" si="0"/>
        <v>5860728</v>
      </c>
      <c r="F13" s="8">
        <f t="shared" si="1"/>
        <v>-114427</v>
      </c>
      <c r="G13" s="15">
        <f t="shared" si="2"/>
        <v>-1.9150465552776441E-2</v>
      </c>
    </row>
    <row r="14" spans="1:7" x14ac:dyDescent="0.2">
      <c r="A14" s="6" t="s">
        <v>15</v>
      </c>
      <c r="B14" s="7">
        <v>3976037</v>
      </c>
      <c r="C14" s="7">
        <v>3886377</v>
      </c>
      <c r="D14" s="7">
        <v>17567</v>
      </c>
      <c r="E14" s="8">
        <f t="shared" si="0"/>
        <v>3903944</v>
      </c>
      <c r="F14" s="8">
        <f t="shared" si="1"/>
        <v>-72093</v>
      </c>
      <c r="G14" s="15">
        <f t="shared" si="2"/>
        <v>-1.8131873521297748E-2</v>
      </c>
    </row>
    <row r="15" spans="1:7" x14ac:dyDescent="0.2">
      <c r="A15" s="6" t="s">
        <v>16</v>
      </c>
      <c r="B15" s="7">
        <v>9350964</v>
      </c>
      <c r="C15" s="7">
        <v>9165819</v>
      </c>
      <c r="D15" s="7">
        <v>50588</v>
      </c>
      <c r="E15" s="8">
        <f t="shared" si="0"/>
        <v>9216407</v>
      </c>
      <c r="F15" s="8">
        <f t="shared" si="1"/>
        <v>-134557</v>
      </c>
      <c r="G15" s="15">
        <f t="shared" si="2"/>
        <v>-1.4389639399745358E-2</v>
      </c>
    </row>
    <row r="16" spans="1:7" x14ac:dyDescent="0.2">
      <c r="A16" s="6" t="s">
        <v>17</v>
      </c>
      <c r="B16" s="7">
        <v>1944614</v>
      </c>
      <c r="C16" s="7">
        <v>1931226</v>
      </c>
      <c r="D16" s="7">
        <v>12064</v>
      </c>
      <c r="E16" s="8">
        <f t="shared" si="0"/>
        <v>1943290</v>
      </c>
      <c r="F16" s="8">
        <f t="shared" si="1"/>
        <v>-1324</v>
      </c>
      <c r="G16" s="15">
        <f t="shared" si="2"/>
        <v>-6.8085491516567398E-4</v>
      </c>
    </row>
    <row r="17" spans="1:7" x14ac:dyDescent="0.2">
      <c r="A17" s="6" t="s">
        <v>18</v>
      </c>
      <c r="B17" s="7">
        <v>6345807</v>
      </c>
      <c r="C17" s="7">
        <v>6423384</v>
      </c>
      <c r="D17" s="7">
        <v>23551</v>
      </c>
      <c r="E17" s="8">
        <f t="shared" si="0"/>
        <v>6446935</v>
      </c>
      <c r="F17" s="8">
        <f t="shared" si="1"/>
        <v>101128</v>
      </c>
      <c r="G17" s="15">
        <f t="shared" si="2"/>
        <v>1.5936192197462118E-2</v>
      </c>
    </row>
    <row r="18" spans="1:7" x14ac:dyDescent="0.2">
      <c r="A18" s="6" t="s">
        <v>19</v>
      </c>
      <c r="B18" s="7">
        <v>3606579</v>
      </c>
      <c r="C18" s="7">
        <v>3404404</v>
      </c>
      <c r="D18" s="7">
        <v>14498</v>
      </c>
      <c r="E18" s="8">
        <f t="shared" si="0"/>
        <v>3418902</v>
      </c>
      <c r="F18" s="8">
        <f t="shared" si="1"/>
        <v>-187677</v>
      </c>
      <c r="G18" s="15">
        <f t="shared" si="2"/>
        <v>-5.2037401648487358E-2</v>
      </c>
    </row>
    <row r="19" spans="1:7" x14ac:dyDescent="0.2">
      <c r="A19" s="6" t="s">
        <v>20</v>
      </c>
      <c r="B19" s="7">
        <v>3248649</v>
      </c>
      <c r="C19" s="7">
        <v>3237527</v>
      </c>
      <c r="D19" s="7">
        <v>8068</v>
      </c>
      <c r="E19" s="8">
        <f t="shared" si="0"/>
        <v>3245595</v>
      </c>
      <c r="F19" s="8">
        <f t="shared" si="1"/>
        <v>-3054</v>
      </c>
      <c r="G19" s="15">
        <f t="shared" si="2"/>
        <v>-9.4008309300264159E-4</v>
      </c>
    </row>
    <row r="20" spans="1:7" x14ac:dyDescent="0.2">
      <c r="A20" s="6" t="s">
        <v>21</v>
      </c>
      <c r="B20" s="7">
        <v>8739649</v>
      </c>
      <c r="C20" s="7">
        <v>8633761</v>
      </c>
      <c r="D20" s="7">
        <v>46090</v>
      </c>
      <c r="E20" s="8">
        <f t="shared" si="0"/>
        <v>8679851</v>
      </c>
      <c r="F20" s="8">
        <f t="shared" si="1"/>
        <v>-59798</v>
      </c>
      <c r="G20" s="15">
        <f t="shared" si="2"/>
        <v>-6.8421512122511796E-3</v>
      </c>
    </row>
    <row r="21" spans="1:7" x14ac:dyDescent="0.2">
      <c r="A21" s="6" t="s">
        <v>22</v>
      </c>
      <c r="B21" s="7">
        <v>17788768</v>
      </c>
      <c r="C21" s="7">
        <v>17561797</v>
      </c>
      <c r="D21" s="7">
        <v>50683</v>
      </c>
      <c r="E21" s="8">
        <f t="shared" si="0"/>
        <v>17612480</v>
      </c>
      <c r="F21" s="8">
        <f t="shared" si="1"/>
        <v>-176288</v>
      </c>
      <c r="G21" s="15">
        <f t="shared" si="2"/>
        <v>-9.9100735925050643E-3</v>
      </c>
    </row>
    <row r="22" spans="1:7" x14ac:dyDescent="0.2">
      <c r="A22" s="6" t="s">
        <v>23</v>
      </c>
      <c r="B22" s="7">
        <v>4950874</v>
      </c>
      <c r="C22" s="7">
        <v>4868274</v>
      </c>
      <c r="D22" s="7">
        <v>21300</v>
      </c>
      <c r="E22" s="8">
        <f t="shared" si="0"/>
        <v>4889574</v>
      </c>
      <c r="F22" s="8">
        <f t="shared" si="1"/>
        <v>-61300</v>
      </c>
      <c r="G22" s="15">
        <f t="shared" si="2"/>
        <v>-1.2381652209286664E-2</v>
      </c>
    </row>
    <row r="23" spans="1:7" x14ac:dyDescent="0.2">
      <c r="A23" s="6" t="s">
        <v>24</v>
      </c>
      <c r="B23" s="7">
        <v>1984308</v>
      </c>
      <c r="C23" s="7">
        <v>1987247</v>
      </c>
      <c r="D23" s="7">
        <v>9970</v>
      </c>
      <c r="E23" s="8">
        <f t="shared" si="0"/>
        <v>1997217</v>
      </c>
      <c r="F23" s="8">
        <f t="shared" si="1"/>
        <v>12909</v>
      </c>
      <c r="G23" s="15">
        <f t="shared" si="2"/>
        <v>6.5055424863478262E-3</v>
      </c>
    </row>
    <row r="24" spans="1:7" x14ac:dyDescent="0.2">
      <c r="A24" s="6" t="s">
        <v>25</v>
      </c>
      <c r="B24" s="7">
        <v>1245276</v>
      </c>
      <c r="C24" s="7">
        <v>1289318</v>
      </c>
      <c r="D24" s="7">
        <v>9757</v>
      </c>
      <c r="E24" s="8">
        <f t="shared" si="0"/>
        <v>1299075</v>
      </c>
      <c r="F24" s="8">
        <f t="shared" si="1"/>
        <v>53799</v>
      </c>
      <c r="G24" s="15">
        <f t="shared" si="2"/>
        <v>4.3202470777562674E-2</v>
      </c>
    </row>
    <row r="25" spans="1:7" x14ac:dyDescent="0.2">
      <c r="A25" s="6" t="s">
        <v>26</v>
      </c>
      <c r="B25" s="7">
        <v>6152311</v>
      </c>
      <c r="C25" s="7">
        <v>6274840</v>
      </c>
      <c r="D25" s="7">
        <v>17059</v>
      </c>
      <c r="E25" s="8">
        <f t="shared" si="0"/>
        <v>6291899</v>
      </c>
      <c r="F25" s="8">
        <f t="shared" si="1"/>
        <v>139588</v>
      </c>
      <c r="G25" s="15">
        <f t="shared" si="2"/>
        <v>2.268870998231387E-2</v>
      </c>
    </row>
    <row r="26" spans="1:7" x14ac:dyDescent="0.2">
      <c r="A26" s="6" t="s">
        <v>27</v>
      </c>
      <c r="B26" s="7">
        <v>4232451</v>
      </c>
      <c r="C26" s="7">
        <v>4150277</v>
      </c>
      <c r="D26" s="7">
        <v>18903</v>
      </c>
      <c r="E26" s="8">
        <f t="shared" si="0"/>
        <v>4169180</v>
      </c>
      <c r="F26" s="8">
        <f t="shared" si="1"/>
        <v>-63271</v>
      </c>
      <c r="G26" s="15">
        <f t="shared" si="2"/>
        <v>-1.4949021264510809E-2</v>
      </c>
    </row>
    <row r="27" spans="1:7" x14ac:dyDescent="0.2">
      <c r="A27" s="6" t="s">
        <v>28</v>
      </c>
      <c r="B27" s="7">
        <v>6629599</v>
      </c>
      <c r="C27" s="7">
        <v>6835339</v>
      </c>
      <c r="D27" s="7">
        <v>16594</v>
      </c>
      <c r="E27" s="8">
        <f t="shared" si="0"/>
        <v>6851933</v>
      </c>
      <c r="F27" s="8">
        <f t="shared" si="1"/>
        <v>222334</v>
      </c>
      <c r="G27" s="15">
        <f t="shared" si="2"/>
        <v>3.3536568350514218E-2</v>
      </c>
    </row>
    <row r="28" spans="1:7" x14ac:dyDescent="0.2">
      <c r="A28" s="6" t="s">
        <v>29</v>
      </c>
      <c r="B28" s="7">
        <v>2528745</v>
      </c>
      <c r="C28" s="7">
        <v>2599947</v>
      </c>
      <c r="D28" s="7">
        <v>6889</v>
      </c>
      <c r="E28" s="8">
        <f t="shared" si="0"/>
        <v>2606836</v>
      </c>
      <c r="F28" s="8">
        <f t="shared" si="1"/>
        <v>78091</v>
      </c>
      <c r="G28" s="15">
        <f t="shared" si="2"/>
        <v>3.0881326507813167E-2</v>
      </c>
    </row>
    <row r="29" spans="1:7" x14ac:dyDescent="0.2">
      <c r="A29" s="6" t="s">
        <v>30</v>
      </c>
      <c r="B29" s="7">
        <v>1905221</v>
      </c>
      <c r="C29" s="7">
        <v>2095074</v>
      </c>
      <c r="D29" s="7">
        <v>5718</v>
      </c>
      <c r="E29" s="8">
        <f t="shared" si="0"/>
        <v>2100792</v>
      </c>
      <c r="F29" s="8">
        <f t="shared" si="1"/>
        <v>195571</v>
      </c>
      <c r="G29" s="15">
        <f t="shared" si="2"/>
        <v>0.10265003377560933</v>
      </c>
    </row>
    <row r="30" spans="1:7" x14ac:dyDescent="0.2">
      <c r="A30" s="6" t="s">
        <v>31</v>
      </c>
      <c r="B30" s="7">
        <v>2885526</v>
      </c>
      <c r="C30" s="7">
        <v>2882533</v>
      </c>
      <c r="D30" s="7">
        <v>6991</v>
      </c>
      <c r="E30" s="8">
        <f t="shared" si="0"/>
        <v>2889524</v>
      </c>
      <c r="F30" s="8">
        <f t="shared" si="1"/>
        <v>3998</v>
      </c>
      <c r="G30" s="15">
        <f t="shared" si="2"/>
        <v>1.3855359473455842E-3</v>
      </c>
    </row>
    <row r="31" spans="1:7" x14ac:dyDescent="0.2">
      <c r="A31" s="6" t="s">
        <v>32</v>
      </c>
      <c r="B31" s="7">
        <v>3144666</v>
      </c>
      <c r="C31" s="7">
        <v>3061863</v>
      </c>
      <c r="D31" s="7">
        <v>41072</v>
      </c>
      <c r="E31" s="8">
        <f t="shared" si="0"/>
        <v>3102935</v>
      </c>
      <c r="F31" s="8">
        <f t="shared" si="1"/>
        <v>-41731</v>
      </c>
      <c r="G31" s="15">
        <f t="shared" si="2"/>
        <v>-1.3270407731695522E-2</v>
      </c>
    </row>
    <row r="32" spans="1:7" x14ac:dyDescent="0.2">
      <c r="A32" s="6" t="s">
        <v>33</v>
      </c>
      <c r="B32" s="7">
        <v>3042242</v>
      </c>
      <c r="C32" s="7">
        <v>3028969</v>
      </c>
      <c r="D32" s="7">
        <v>20920</v>
      </c>
      <c r="E32" s="8">
        <f t="shared" si="0"/>
        <v>3049889</v>
      </c>
      <c r="F32" s="8">
        <f t="shared" si="1"/>
        <v>7647</v>
      </c>
      <c r="G32" s="15">
        <f t="shared" si="2"/>
        <v>2.5136067413440433E-3</v>
      </c>
    </row>
    <row r="33" spans="1:7" x14ac:dyDescent="0.2">
      <c r="A33" s="6" t="s">
        <v>34</v>
      </c>
      <c r="B33" s="7">
        <v>2554147</v>
      </c>
      <c r="C33" s="7">
        <v>2521237</v>
      </c>
      <c r="D33" s="7">
        <v>5772</v>
      </c>
      <c r="E33" s="8">
        <f t="shared" si="0"/>
        <v>2527009</v>
      </c>
      <c r="F33" s="8">
        <f t="shared" si="1"/>
        <v>-27138</v>
      </c>
      <c r="G33" s="15">
        <f t="shared" si="2"/>
        <v>-1.062507365472698E-2</v>
      </c>
    </row>
    <row r="34" spans="1:7" x14ac:dyDescent="0.2">
      <c r="A34" s="6" t="s">
        <v>35</v>
      </c>
      <c r="B34" s="7">
        <v>3569939</v>
      </c>
      <c r="C34" s="7">
        <v>3611225</v>
      </c>
      <c r="D34" s="7">
        <v>9490</v>
      </c>
      <c r="E34" s="8">
        <f t="shared" si="0"/>
        <v>3620715</v>
      </c>
      <c r="F34" s="8">
        <f t="shared" si="1"/>
        <v>50776</v>
      </c>
      <c r="G34" s="15">
        <f t="shared" si="2"/>
        <v>1.4223212217351566E-2</v>
      </c>
    </row>
    <row r="35" spans="1:7" x14ac:dyDescent="0.2">
      <c r="A35" s="6" t="s">
        <v>36</v>
      </c>
      <c r="B35" s="7">
        <v>1476723</v>
      </c>
      <c r="C35" s="7">
        <v>1417240</v>
      </c>
      <c r="D35" s="7">
        <v>2242</v>
      </c>
      <c r="E35" s="8">
        <f t="shared" si="0"/>
        <v>1419482</v>
      </c>
      <c r="F35" s="8">
        <f t="shared" si="1"/>
        <v>-57241</v>
      </c>
      <c r="G35" s="15">
        <f t="shared" si="2"/>
        <v>-3.8762178147154214E-2</v>
      </c>
    </row>
    <row r="36" spans="1:7" x14ac:dyDescent="0.2">
      <c r="A36" s="6" t="s">
        <v>37</v>
      </c>
      <c r="B36" s="7">
        <v>8113343</v>
      </c>
      <c r="C36" s="7">
        <v>7902505</v>
      </c>
      <c r="D36" s="7">
        <v>15371</v>
      </c>
      <c r="E36" s="8">
        <f t="shared" si="0"/>
        <v>7917876</v>
      </c>
      <c r="F36" s="8">
        <f t="shared" si="1"/>
        <v>-195467</v>
      </c>
      <c r="G36" s="15">
        <f t="shared" si="2"/>
        <v>-2.4092041961001787E-2</v>
      </c>
    </row>
    <row r="37" spans="1:7" x14ac:dyDescent="0.2">
      <c r="A37" s="6" t="s">
        <v>38</v>
      </c>
      <c r="B37" s="7">
        <v>2402017</v>
      </c>
      <c r="C37" s="7">
        <v>2502326</v>
      </c>
      <c r="D37" s="7">
        <v>4122</v>
      </c>
      <c r="E37" s="8">
        <f t="shared" si="0"/>
        <v>2506448</v>
      </c>
      <c r="F37" s="8">
        <f t="shared" si="1"/>
        <v>104431</v>
      </c>
      <c r="G37" s="15">
        <f t="shared" si="2"/>
        <v>4.3476378393658255E-2</v>
      </c>
    </row>
    <row r="38" spans="1:7" x14ac:dyDescent="0.2">
      <c r="A38" s="6" t="s">
        <v>39</v>
      </c>
      <c r="B38" s="7">
        <v>1695685</v>
      </c>
      <c r="C38" s="7">
        <v>1681468</v>
      </c>
      <c r="D38" s="7">
        <v>4951</v>
      </c>
      <c r="E38" s="8">
        <f t="shared" si="0"/>
        <v>1686419</v>
      </c>
      <c r="F38" s="8">
        <f t="shared" si="1"/>
        <v>-9266</v>
      </c>
      <c r="G38" s="15">
        <f t="shared" si="2"/>
        <v>-5.4644583162556382E-3</v>
      </c>
    </row>
    <row r="39" spans="1:7" x14ac:dyDescent="0.2">
      <c r="A39" s="11" t="s">
        <v>40</v>
      </c>
      <c r="B39" s="12">
        <f>SUM(B7:B38)</f>
        <v>130760049</v>
      </c>
      <c r="C39" s="12">
        <f>SUM(C7:C38)</f>
        <v>130393389</v>
      </c>
      <c r="D39" s="12">
        <f>SUM(D7:D38)</f>
        <v>517925</v>
      </c>
      <c r="E39" s="12">
        <f>SUM(E7:E38)</f>
        <v>130911314</v>
      </c>
      <c r="F39" s="12">
        <f>SUM(F7:F38)</f>
        <v>151265</v>
      </c>
      <c r="G39" s="13">
        <f t="shared" si="2"/>
        <v>1.1568135769053356E-3</v>
      </c>
    </row>
    <row r="41" spans="1:7" x14ac:dyDescent="0.2">
      <c r="A41" s="2" t="s">
        <v>49</v>
      </c>
    </row>
    <row r="42" spans="1:7" x14ac:dyDescent="0.2">
      <c r="A42" s="2" t="s">
        <v>50</v>
      </c>
    </row>
    <row r="43" spans="1:7" x14ac:dyDescent="0.2">
      <c r="A43" s="2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showGridLines="0" zoomScaleNormal="10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G3" sqref="G3"/>
    </sheetView>
  </sheetViews>
  <sheetFormatPr baseColWidth="10" defaultColWidth="8.6640625" defaultRowHeight="15" x14ac:dyDescent="0.2"/>
  <cols>
    <col min="1" max="1" width="22" customWidth="1"/>
    <col min="2" max="7" width="16" customWidth="1"/>
    <col min="8" max="8" width="14" customWidth="1"/>
    <col min="9" max="9" width="15" customWidth="1"/>
    <col min="10" max="11" width="17" customWidth="1"/>
    <col min="12" max="12" width="15" customWidth="1"/>
    <col min="13" max="13" width="10" customWidth="1"/>
  </cols>
  <sheetData>
    <row r="1" spans="1:13" ht="17" x14ac:dyDescent="0.2">
      <c r="A1" s="1" t="s">
        <v>52</v>
      </c>
    </row>
    <row r="2" spans="1:13" x14ac:dyDescent="0.2">
      <c r="A2" s="26"/>
    </row>
    <row r="3" spans="1:13" x14ac:dyDescent="0.2">
      <c r="A3" s="3" t="s">
        <v>86</v>
      </c>
      <c r="F3" s="16">
        <v>33903111794</v>
      </c>
    </row>
    <row r="4" spans="1:13" x14ac:dyDescent="0.2">
      <c r="A4" s="2"/>
    </row>
    <row r="6" spans="1:13" ht="61.5" customHeight="1" x14ac:dyDescent="0.2">
      <c r="A6" s="5" t="s">
        <v>1</v>
      </c>
      <c r="B6" s="5" t="s">
        <v>53</v>
      </c>
      <c r="C6" s="5" t="s">
        <v>54</v>
      </c>
      <c r="D6" s="5" t="s">
        <v>55</v>
      </c>
      <c r="E6" s="14" t="s">
        <v>56</v>
      </c>
      <c r="F6" s="14" t="s">
        <v>57</v>
      </c>
      <c r="G6" s="14" t="s">
        <v>58</v>
      </c>
      <c r="H6" s="17" t="s">
        <v>59</v>
      </c>
      <c r="I6" s="17" t="s">
        <v>60</v>
      </c>
      <c r="J6" s="17" t="s">
        <v>61</v>
      </c>
      <c r="K6" s="17" t="s">
        <v>62</v>
      </c>
      <c r="L6" s="17" t="s">
        <v>63</v>
      </c>
      <c r="M6" s="17" t="s">
        <v>48</v>
      </c>
    </row>
    <row r="7" spans="1:13" x14ac:dyDescent="0.2">
      <c r="A7" s="6" t="s">
        <v>8</v>
      </c>
      <c r="B7" s="7">
        <v>424041038</v>
      </c>
      <c r="C7" s="7">
        <v>435173210</v>
      </c>
      <c r="D7" s="18">
        <f t="shared" ref="D7:D38" si="0">C7/B7</f>
        <v>1.0262525817135653</v>
      </c>
      <c r="E7" s="19">
        <f>'Población 2025'!E7</f>
        <v>1539174</v>
      </c>
      <c r="F7" s="8">
        <f t="shared" ref="F7:F38" si="1">D7*E7</f>
        <v>1579581.291206395</v>
      </c>
      <c r="G7" s="20">
        <f t="shared" ref="G7:G38" si="2">F7/F$39*100</f>
        <v>1.143023757190085</v>
      </c>
      <c r="H7" s="21">
        <v>1.1177649999999999</v>
      </c>
      <c r="I7" s="20">
        <f t="shared" ref="I7:I38" si="3">G7-H7</f>
        <v>2.5258757190085079E-2</v>
      </c>
      <c r="J7" s="7">
        <v>378957209</v>
      </c>
      <c r="K7" s="8">
        <f t="shared" ref="K7:K38" si="4">G7/100*$F$3</f>
        <v>387520622.23213357</v>
      </c>
      <c r="L7" s="9">
        <f t="shared" ref="L7:L38" si="5">K7-J7</f>
        <v>8563413.2321335673</v>
      </c>
      <c r="M7" s="15">
        <f t="shared" ref="M7:M39" si="6">L7/J7</f>
        <v>2.2597309217921666E-2</v>
      </c>
    </row>
    <row r="8" spans="1:13" x14ac:dyDescent="0.2">
      <c r="A8" s="6" t="s">
        <v>9</v>
      </c>
      <c r="B8" s="7">
        <v>1248958117</v>
      </c>
      <c r="C8" s="7">
        <v>1292417521</v>
      </c>
      <c r="D8" s="18">
        <f t="shared" si="0"/>
        <v>1.0347965263273917</v>
      </c>
      <c r="E8" s="19">
        <f>'Población 2025'!E8</f>
        <v>4009678</v>
      </c>
      <c r="F8" s="8">
        <f t="shared" si="1"/>
        <v>4149200.8660913636</v>
      </c>
      <c r="G8" s="20">
        <f t="shared" si="2"/>
        <v>3.0024634944073996</v>
      </c>
      <c r="H8" s="21">
        <v>2.8321999999999998</v>
      </c>
      <c r="I8" s="20">
        <f t="shared" si="3"/>
        <v>0.17026349440739974</v>
      </c>
      <c r="J8" s="7">
        <v>960203839</v>
      </c>
      <c r="K8" s="8">
        <f t="shared" si="4"/>
        <v>1017928555.0829796</v>
      </c>
      <c r="L8" s="9">
        <f t="shared" si="5"/>
        <v>57724716.08297956</v>
      </c>
      <c r="M8" s="15">
        <f t="shared" si="6"/>
        <v>6.0117147774681579E-2</v>
      </c>
    </row>
    <row r="9" spans="1:13" x14ac:dyDescent="0.2">
      <c r="A9" s="6" t="s">
        <v>10</v>
      </c>
      <c r="B9" s="7">
        <v>235075861</v>
      </c>
      <c r="C9" s="7">
        <v>251902223</v>
      </c>
      <c r="D9" s="18">
        <f t="shared" si="0"/>
        <v>1.0715784339932717</v>
      </c>
      <c r="E9" s="19">
        <f>'Población 2025'!E9</f>
        <v>961514</v>
      </c>
      <c r="F9" s="8">
        <f t="shared" si="1"/>
        <v>1030337.6663826066</v>
      </c>
      <c r="G9" s="20">
        <f t="shared" si="2"/>
        <v>0.74557760158304376</v>
      </c>
      <c r="H9" s="21">
        <v>0.68399799999999999</v>
      </c>
      <c r="I9" s="20">
        <f t="shared" si="3"/>
        <v>6.1579601583043764E-2</v>
      </c>
      <c r="J9" s="7">
        <v>231896771</v>
      </c>
      <c r="K9" s="8">
        <f t="shared" si="4"/>
        <v>252774007.77572325</v>
      </c>
      <c r="L9" s="9">
        <f t="shared" si="5"/>
        <v>20877236.775723249</v>
      </c>
      <c r="M9" s="15">
        <f t="shared" si="6"/>
        <v>9.0028147807729705E-2</v>
      </c>
    </row>
    <row r="10" spans="1:13" x14ac:dyDescent="0.2">
      <c r="A10" s="6" t="s">
        <v>11</v>
      </c>
      <c r="B10" s="7">
        <v>600899202</v>
      </c>
      <c r="C10" s="7">
        <v>520398428</v>
      </c>
      <c r="D10" s="18">
        <f t="shared" si="0"/>
        <v>0.8660328159330789</v>
      </c>
      <c r="E10" s="19">
        <f>'Población 2025'!E10</f>
        <v>968673</v>
      </c>
      <c r="F10" s="8">
        <f t="shared" si="1"/>
        <v>838902.60590834334</v>
      </c>
      <c r="G10" s="20">
        <f t="shared" si="2"/>
        <v>0.60705049740717376</v>
      </c>
      <c r="H10" s="21">
        <v>0.58091099999999996</v>
      </c>
      <c r="I10" s="20">
        <f t="shared" si="3"/>
        <v>2.6139497407173806E-2</v>
      </c>
      <c r="J10" s="7">
        <v>196946836</v>
      </c>
      <c r="K10" s="8">
        <f t="shared" si="4"/>
        <v>205809008.78198719</v>
      </c>
      <c r="L10" s="9">
        <f t="shared" si="5"/>
        <v>8862172.7819871902</v>
      </c>
      <c r="M10" s="15">
        <f t="shared" si="6"/>
        <v>4.4997792104602231E-2</v>
      </c>
    </row>
    <row r="11" spans="1:13" x14ac:dyDescent="0.2">
      <c r="A11" s="6" t="s">
        <v>12</v>
      </c>
      <c r="B11" s="7">
        <v>1180088820</v>
      </c>
      <c r="C11" s="7">
        <v>1236355664</v>
      </c>
      <c r="D11" s="18">
        <f t="shared" si="0"/>
        <v>1.0476801771581905</v>
      </c>
      <c r="E11" s="19">
        <f>'Población 2025'!E11</f>
        <v>3415128</v>
      </c>
      <c r="F11" s="8">
        <f t="shared" si="1"/>
        <v>3577961.9080578969</v>
      </c>
      <c r="G11" s="20">
        <f t="shared" si="2"/>
        <v>2.5891009763149726</v>
      </c>
      <c r="H11" s="21">
        <v>2.6205859999999999</v>
      </c>
      <c r="I11" s="20">
        <f t="shared" si="3"/>
        <v>-3.1485023685027258E-2</v>
      </c>
      <c r="J11" s="7">
        <v>888460069</v>
      </c>
      <c r="K11" s="8">
        <f t="shared" si="4"/>
        <v>877785798.4596107</v>
      </c>
      <c r="L11" s="9">
        <f t="shared" si="5"/>
        <v>-10674270.540389299</v>
      </c>
      <c r="M11" s="15">
        <f t="shared" si="6"/>
        <v>-1.2014350349367585E-2</v>
      </c>
    </row>
    <row r="12" spans="1:13" x14ac:dyDescent="0.2">
      <c r="A12" s="6" t="s">
        <v>13</v>
      </c>
      <c r="B12" s="7">
        <v>204172711</v>
      </c>
      <c r="C12" s="7">
        <v>214421765</v>
      </c>
      <c r="D12" s="18">
        <f t="shared" si="0"/>
        <v>1.0501979620577209</v>
      </c>
      <c r="E12" s="19">
        <f>'Población 2025'!E12</f>
        <v>762212</v>
      </c>
      <c r="F12" s="8">
        <f t="shared" si="1"/>
        <v>800473.48905593948</v>
      </c>
      <c r="G12" s="20">
        <f t="shared" si="2"/>
        <v>0.57924224608470853</v>
      </c>
      <c r="H12" s="21">
        <v>0.55442100000000005</v>
      </c>
      <c r="I12" s="20">
        <f t="shared" si="3"/>
        <v>2.4821246084708481E-2</v>
      </c>
      <c r="J12" s="7">
        <v>187965968</v>
      </c>
      <c r="K12" s="8">
        <f t="shared" si="4"/>
        <v>196381146.24817532</v>
      </c>
      <c r="L12" s="9">
        <f t="shared" si="5"/>
        <v>8415178.248175323</v>
      </c>
      <c r="M12" s="15">
        <f t="shared" si="6"/>
        <v>4.4769690693026533E-2</v>
      </c>
    </row>
    <row r="13" spans="1:13" x14ac:dyDescent="0.2">
      <c r="A13" s="6" t="s">
        <v>14</v>
      </c>
      <c r="B13" s="7">
        <v>499823695</v>
      </c>
      <c r="C13" s="7">
        <v>532775844</v>
      </c>
      <c r="D13" s="18">
        <f t="shared" si="0"/>
        <v>1.0659275447115408</v>
      </c>
      <c r="E13" s="19">
        <f>'Población 2025'!E13</f>
        <v>5860728</v>
      </c>
      <c r="F13" s="8">
        <f t="shared" si="1"/>
        <v>6247111.4072621791</v>
      </c>
      <c r="G13" s="20">
        <f t="shared" si="2"/>
        <v>4.5205630074665359</v>
      </c>
      <c r="H13" s="21">
        <v>4.613721</v>
      </c>
      <c r="I13" s="20">
        <f t="shared" si="3"/>
        <v>-9.3157992533464018E-2</v>
      </c>
      <c r="J13" s="7">
        <v>1564194853</v>
      </c>
      <c r="K13" s="8">
        <f t="shared" si="4"/>
        <v>1532611530.1395884</v>
      </c>
      <c r="L13" s="9">
        <f t="shared" si="5"/>
        <v>-31583322.860411644</v>
      </c>
      <c r="M13" s="15">
        <f t="shared" si="6"/>
        <v>-2.0191424872570939E-2</v>
      </c>
    </row>
    <row r="14" spans="1:13" x14ac:dyDescent="0.2">
      <c r="A14" s="6" t="s">
        <v>15</v>
      </c>
      <c r="B14" s="7">
        <v>1235956187</v>
      </c>
      <c r="C14" s="7">
        <v>1282412409</v>
      </c>
      <c r="D14" s="18">
        <f t="shared" si="0"/>
        <v>1.0375872725009467</v>
      </c>
      <c r="E14" s="19">
        <f>'Población 2025'!E14</f>
        <v>3903944</v>
      </c>
      <c r="F14" s="8">
        <f t="shared" si="1"/>
        <v>4050682.6069564358</v>
      </c>
      <c r="G14" s="20">
        <f t="shared" si="2"/>
        <v>2.9311732662088703</v>
      </c>
      <c r="H14" s="21">
        <v>2.9884740000000001</v>
      </c>
      <c r="I14" s="20">
        <f t="shared" si="3"/>
        <v>-5.7300733791129765E-2</v>
      </c>
      <c r="J14" s="7">
        <v>1013185684</v>
      </c>
      <c r="K14" s="8">
        <f t="shared" si="4"/>
        <v>993758949.31863451</v>
      </c>
      <c r="L14" s="9">
        <f t="shared" si="5"/>
        <v>-19426734.68136549</v>
      </c>
      <c r="M14" s="15">
        <f t="shared" si="6"/>
        <v>-1.9173913516691073E-2</v>
      </c>
    </row>
    <row r="15" spans="1:13" x14ac:dyDescent="0.2">
      <c r="A15" s="6" t="s">
        <v>16</v>
      </c>
      <c r="B15" s="7">
        <v>4714038082</v>
      </c>
      <c r="C15" s="7">
        <v>5019086938</v>
      </c>
      <c r="D15" s="18">
        <f t="shared" si="0"/>
        <v>1.064710732220173</v>
      </c>
      <c r="E15" s="19">
        <f>'Población 2025'!E15</f>
        <v>9216407</v>
      </c>
      <c r="F15" s="8">
        <f t="shared" si="1"/>
        <v>9812807.4454091284</v>
      </c>
      <c r="G15" s="20">
        <f t="shared" si="2"/>
        <v>7.1007880995273291</v>
      </c>
      <c r="H15" s="21">
        <v>7.2121120000000003</v>
      </c>
      <c r="I15" s="20">
        <f t="shared" si="3"/>
        <v>-0.11132390047267116</v>
      </c>
      <c r="J15" s="7">
        <v>2445130306</v>
      </c>
      <c r="K15" s="8">
        <f t="shared" si="4"/>
        <v>2407388127.6377983</v>
      </c>
      <c r="L15" s="9">
        <f t="shared" si="5"/>
        <v>-37742178.362201691</v>
      </c>
      <c r="M15" s="15">
        <f t="shared" si="6"/>
        <v>-1.5435651126480984E-2</v>
      </c>
    </row>
    <row r="16" spans="1:13" x14ac:dyDescent="0.2">
      <c r="A16" s="6" t="s">
        <v>17</v>
      </c>
      <c r="B16" s="7">
        <v>412374115</v>
      </c>
      <c r="C16" s="7">
        <v>451314096</v>
      </c>
      <c r="D16" s="18">
        <f t="shared" si="0"/>
        <v>1.0944287713112157</v>
      </c>
      <c r="E16" s="19">
        <f>'Población 2025'!E16</f>
        <v>1943290</v>
      </c>
      <c r="F16" s="8">
        <f t="shared" si="1"/>
        <v>2126792.4870013725</v>
      </c>
      <c r="G16" s="20">
        <f t="shared" si="2"/>
        <v>1.5389991973121642</v>
      </c>
      <c r="H16" s="21">
        <v>1.5416840000000001</v>
      </c>
      <c r="I16" s="20">
        <f t="shared" si="3"/>
        <v>-2.6848026878358855E-3</v>
      </c>
      <c r="J16" s="7">
        <v>522678819</v>
      </c>
      <c r="K16" s="8">
        <f t="shared" si="4"/>
        <v>521768618.37350565</v>
      </c>
      <c r="L16" s="9">
        <f t="shared" si="5"/>
        <v>-910200.62649434805</v>
      </c>
      <c r="M16" s="15">
        <f t="shared" si="6"/>
        <v>-1.7414147912780604E-3</v>
      </c>
    </row>
    <row r="17" spans="1:13" x14ac:dyDescent="0.2">
      <c r="A17" s="6" t="s">
        <v>18</v>
      </c>
      <c r="B17" s="7">
        <v>1413043069</v>
      </c>
      <c r="C17" s="7">
        <v>1521161531</v>
      </c>
      <c r="D17" s="18">
        <f t="shared" si="0"/>
        <v>1.076514626037913</v>
      </c>
      <c r="E17" s="19">
        <f>'Población 2025'!E17</f>
        <v>6446935</v>
      </c>
      <c r="F17" s="8">
        <f t="shared" si="1"/>
        <v>6940219.820615733</v>
      </c>
      <c r="G17" s="20">
        <f t="shared" si="2"/>
        <v>5.0221132519407341</v>
      </c>
      <c r="H17" s="21">
        <v>4.9485869999999998</v>
      </c>
      <c r="I17" s="20">
        <f t="shared" si="3"/>
        <v>7.3526251940734255E-2</v>
      </c>
      <c r="J17" s="7">
        <v>1677725038</v>
      </c>
      <c r="K17" s="8">
        <f t="shared" si="4"/>
        <v>1702652670.2267559</v>
      </c>
      <c r="L17" s="9">
        <f t="shared" si="5"/>
        <v>24927632.226755857</v>
      </c>
      <c r="M17" s="15">
        <f t="shared" si="6"/>
        <v>1.4857996192553609E-2</v>
      </c>
    </row>
    <row r="18" spans="1:13" x14ac:dyDescent="0.2">
      <c r="A18" s="6" t="s">
        <v>19</v>
      </c>
      <c r="B18" s="7">
        <v>406787621</v>
      </c>
      <c r="C18" s="7">
        <v>430966290</v>
      </c>
      <c r="D18" s="18">
        <f t="shared" si="0"/>
        <v>1.0594380648569441</v>
      </c>
      <c r="E18" s="19">
        <f>'Población 2025'!E18</f>
        <v>3418902</v>
      </c>
      <c r="F18" s="8">
        <f t="shared" si="1"/>
        <v>3622114.918815536</v>
      </c>
      <c r="G18" s="20">
        <f t="shared" si="2"/>
        <v>2.6210511776299721</v>
      </c>
      <c r="H18" s="21">
        <v>2.767868</v>
      </c>
      <c r="I18" s="20">
        <f t="shared" si="3"/>
        <v>-0.14681682237002791</v>
      </c>
      <c r="J18" s="7">
        <v>938393550</v>
      </c>
      <c r="K18" s="8">
        <f t="shared" si="4"/>
        <v>888617910.92984295</v>
      </c>
      <c r="L18" s="9">
        <f t="shared" si="5"/>
        <v>-49775639.070157051</v>
      </c>
      <c r="M18" s="15">
        <f t="shared" si="6"/>
        <v>-5.3043458227261954E-2</v>
      </c>
    </row>
    <row r="19" spans="1:13" x14ac:dyDescent="0.2">
      <c r="A19" s="6" t="s">
        <v>20</v>
      </c>
      <c r="B19" s="7">
        <v>544779418</v>
      </c>
      <c r="C19" s="7">
        <v>585823220</v>
      </c>
      <c r="D19" s="18">
        <f t="shared" si="0"/>
        <v>1.0753402214618908</v>
      </c>
      <c r="E19" s="19">
        <f>'Población 2025'!E19</f>
        <v>3245595</v>
      </c>
      <c r="F19" s="8">
        <f t="shared" si="1"/>
        <v>3490118.8460756056</v>
      </c>
      <c r="G19" s="20">
        <f t="shared" si="2"/>
        <v>2.5255355825558485</v>
      </c>
      <c r="H19" s="21">
        <v>2.5305979999999999</v>
      </c>
      <c r="I19" s="20">
        <f t="shared" si="3"/>
        <v>-5.0624174441513681E-3</v>
      </c>
      <c r="J19" s="7">
        <v>857951371</v>
      </c>
      <c r="K19" s="8">
        <f t="shared" si="4"/>
        <v>856235151.95115852</v>
      </c>
      <c r="L19" s="9">
        <f t="shared" si="5"/>
        <v>-1716219.0488414764</v>
      </c>
      <c r="M19" s="15">
        <f t="shared" si="6"/>
        <v>-2.0003686768879543E-3</v>
      </c>
    </row>
    <row r="20" spans="1:13" x14ac:dyDescent="0.2">
      <c r="A20" s="6" t="s">
        <v>21</v>
      </c>
      <c r="B20" s="7">
        <v>2396338446</v>
      </c>
      <c r="C20" s="7">
        <v>2528861330</v>
      </c>
      <c r="D20" s="18">
        <f t="shared" si="0"/>
        <v>1.0553022400576217</v>
      </c>
      <c r="E20" s="19">
        <f>'Población 2025'!E20</f>
        <v>8679851</v>
      </c>
      <c r="F20" s="8">
        <f t="shared" si="1"/>
        <v>9159866.203666389</v>
      </c>
      <c r="G20" s="20">
        <f t="shared" si="2"/>
        <v>6.6283038054197787</v>
      </c>
      <c r="H20" s="21">
        <v>6.6810590000000003</v>
      </c>
      <c r="I20" s="20">
        <f t="shared" si="3"/>
        <v>-5.2755194580221598E-2</v>
      </c>
      <c r="J20" s="7">
        <v>2265086766</v>
      </c>
      <c r="K20" s="8">
        <f t="shared" si="4"/>
        <v>2247201249.1974239</v>
      </c>
      <c r="L20" s="9">
        <f t="shared" si="5"/>
        <v>-17885516.802576065</v>
      </c>
      <c r="M20" s="15">
        <f t="shared" si="6"/>
        <v>-7.8961729285809031E-3</v>
      </c>
    </row>
    <row r="21" spans="1:13" x14ac:dyDescent="0.2">
      <c r="A21" s="6" t="s">
        <v>22</v>
      </c>
      <c r="B21" s="7">
        <v>2883021204</v>
      </c>
      <c r="C21" s="7">
        <v>3052582506</v>
      </c>
      <c r="D21" s="18">
        <f t="shared" si="0"/>
        <v>1.0588137547392107</v>
      </c>
      <c r="E21" s="19">
        <f>'Población 2025'!E21</f>
        <v>17612480</v>
      </c>
      <c r="F21" s="8">
        <f t="shared" si="1"/>
        <v>18648336.079069253</v>
      </c>
      <c r="G21" s="20">
        <f t="shared" si="2"/>
        <v>13.494393285806511</v>
      </c>
      <c r="H21" s="21">
        <v>13.643941999999999</v>
      </c>
      <c r="I21" s="20">
        <f t="shared" si="3"/>
        <v>-0.1495487141934877</v>
      </c>
      <c r="J21" s="7">
        <v>4625721027</v>
      </c>
      <c r="K21" s="8">
        <f t="shared" si="4"/>
        <v>4575019241.6090117</v>
      </c>
      <c r="L21" s="9">
        <f t="shared" si="5"/>
        <v>-50701785.39098835</v>
      </c>
      <c r="M21" s="15">
        <f t="shared" si="6"/>
        <v>-1.0960839422664204E-2</v>
      </c>
    </row>
    <row r="22" spans="1:13" x14ac:dyDescent="0.2">
      <c r="A22" s="6" t="s">
        <v>23</v>
      </c>
      <c r="B22" s="7">
        <v>881074925</v>
      </c>
      <c r="C22" s="7">
        <v>922949796</v>
      </c>
      <c r="D22" s="18">
        <f t="shared" si="0"/>
        <v>1.0475270261493368</v>
      </c>
      <c r="E22" s="19">
        <f>'Población 2025'!E22</f>
        <v>4889574</v>
      </c>
      <c r="F22" s="8">
        <f t="shared" si="1"/>
        <v>5121960.9113571169</v>
      </c>
      <c r="G22" s="20">
        <f t="shared" si="2"/>
        <v>3.7063765174179855</v>
      </c>
      <c r="H22" s="21">
        <v>3.7568299999999999</v>
      </c>
      <c r="I22" s="20">
        <f t="shared" si="3"/>
        <v>-5.0453482582014431E-2</v>
      </c>
      <c r="J22" s="7">
        <v>1273682266</v>
      </c>
      <c r="K22" s="8">
        <f t="shared" si="4"/>
        <v>1256576974.2067835</v>
      </c>
      <c r="L22" s="9">
        <f t="shared" si="5"/>
        <v>-17105291.793216467</v>
      </c>
      <c r="M22" s="15">
        <f t="shared" si="6"/>
        <v>-1.3429795051583506E-2</v>
      </c>
    </row>
    <row r="23" spans="1:13" x14ac:dyDescent="0.2">
      <c r="A23" s="6" t="s">
        <v>24</v>
      </c>
      <c r="B23" s="7">
        <v>341344156</v>
      </c>
      <c r="C23" s="7">
        <v>355087156</v>
      </c>
      <c r="D23" s="18">
        <f t="shared" si="0"/>
        <v>1.0402614187424377</v>
      </c>
      <c r="E23" s="19">
        <f>'Población 2025'!E23</f>
        <v>1997217</v>
      </c>
      <c r="F23" s="8">
        <f t="shared" si="1"/>
        <v>2077627.7899565152</v>
      </c>
      <c r="G23" s="20">
        <f t="shared" si="2"/>
        <v>1.5034224169019548</v>
      </c>
      <c r="H23" s="21">
        <v>1.4952920000000001</v>
      </c>
      <c r="I23" s="20">
        <f t="shared" si="3"/>
        <v>8.1304169019547068E-3</v>
      </c>
      <c r="J23" s="7">
        <v>506950513</v>
      </c>
      <c r="K23" s="8">
        <f t="shared" si="4"/>
        <v>509706982.73832643</v>
      </c>
      <c r="L23" s="9">
        <f t="shared" si="5"/>
        <v>2756469.7383264303</v>
      </c>
      <c r="M23" s="15">
        <f t="shared" si="6"/>
        <v>5.4373546680411989E-3</v>
      </c>
    </row>
    <row r="24" spans="1:13" x14ac:dyDescent="0.2">
      <c r="A24" s="6" t="s">
        <v>25</v>
      </c>
      <c r="B24" s="7">
        <v>218524605</v>
      </c>
      <c r="C24" s="7">
        <v>226764339</v>
      </c>
      <c r="D24" s="18">
        <f t="shared" si="0"/>
        <v>1.0377062070424519</v>
      </c>
      <c r="E24" s="19">
        <f>'Población 2025'!E24</f>
        <v>1299075</v>
      </c>
      <c r="F24" s="8">
        <f t="shared" si="1"/>
        <v>1348058.1909136733</v>
      </c>
      <c r="G24" s="20">
        <f t="shared" si="2"/>
        <v>0.97548796435300389</v>
      </c>
      <c r="H24" s="21">
        <v>0.936083</v>
      </c>
      <c r="I24" s="20">
        <f t="shared" si="3"/>
        <v>3.9404964353003891E-2</v>
      </c>
      <c r="J24" s="7">
        <v>317361342</v>
      </c>
      <c r="K24" s="8">
        <f t="shared" si="4"/>
        <v>330720775.09161377</v>
      </c>
      <c r="L24" s="9">
        <f t="shared" si="5"/>
        <v>13359433.09161377</v>
      </c>
      <c r="M24" s="15">
        <f t="shared" si="6"/>
        <v>4.2095338415898714E-2</v>
      </c>
    </row>
    <row r="25" spans="1:13" x14ac:dyDescent="0.2">
      <c r="A25" s="6" t="s">
        <v>26</v>
      </c>
      <c r="B25" s="7">
        <v>2508047719</v>
      </c>
      <c r="C25" s="7">
        <v>2698173018</v>
      </c>
      <c r="D25" s="18">
        <f t="shared" si="0"/>
        <v>1.0758060931455506</v>
      </c>
      <c r="E25" s="19">
        <f>'Población 2025'!E25</f>
        <v>6291899</v>
      </c>
      <c r="F25" s="8">
        <f t="shared" si="1"/>
        <v>6768863.2816563966</v>
      </c>
      <c r="G25" s="20">
        <f t="shared" si="2"/>
        <v>4.8981154583034092</v>
      </c>
      <c r="H25" s="21">
        <v>4.794537</v>
      </c>
      <c r="I25" s="20">
        <f t="shared" si="3"/>
        <v>0.10357845830340917</v>
      </c>
      <c r="J25" s="7">
        <v>1625497375</v>
      </c>
      <c r="K25" s="8">
        <f t="shared" si="4"/>
        <v>1660613559.6278002</v>
      </c>
      <c r="L25" s="9">
        <f t="shared" si="5"/>
        <v>35116184.627800226</v>
      </c>
      <c r="M25" s="15">
        <f t="shared" si="6"/>
        <v>2.1603347484827666E-2</v>
      </c>
    </row>
    <row r="26" spans="1:13" x14ac:dyDescent="0.2">
      <c r="A26" s="6" t="s">
        <v>27</v>
      </c>
      <c r="B26" s="7">
        <v>575507319</v>
      </c>
      <c r="C26" s="7">
        <v>631307638</v>
      </c>
      <c r="D26" s="18">
        <f t="shared" si="0"/>
        <v>1.0969584871604388</v>
      </c>
      <c r="E26" s="19">
        <f>'Población 2025'!E26</f>
        <v>4169180</v>
      </c>
      <c r="F26" s="8">
        <f t="shared" si="1"/>
        <v>4573417.3854995584</v>
      </c>
      <c r="G26" s="20">
        <f t="shared" si="2"/>
        <v>3.3094369705909039</v>
      </c>
      <c r="H26" s="21">
        <v>3.3632300000000002</v>
      </c>
      <c r="I26" s="20">
        <f t="shared" si="3"/>
        <v>-5.3793029409096249E-2</v>
      </c>
      <c r="J26" s="7">
        <v>1140239609</v>
      </c>
      <c r="K26" s="8">
        <f t="shared" si="4"/>
        <v>1122002115.8914011</v>
      </c>
      <c r="L26" s="9">
        <f t="shared" si="5"/>
        <v>-18237493.108598948</v>
      </c>
      <c r="M26" s="15">
        <f t="shared" si="6"/>
        <v>-1.5994439207907701E-2</v>
      </c>
    </row>
    <row r="27" spans="1:13" x14ac:dyDescent="0.2">
      <c r="A27" s="6" t="s">
        <v>28</v>
      </c>
      <c r="B27" s="7">
        <v>1101798435</v>
      </c>
      <c r="C27" s="7">
        <v>1184829794</v>
      </c>
      <c r="D27" s="18">
        <f t="shared" si="0"/>
        <v>1.0753598447432902</v>
      </c>
      <c r="E27" s="19">
        <f>'Población 2025'!E27</f>
        <v>6851933</v>
      </c>
      <c r="F27" s="8">
        <f t="shared" si="1"/>
        <v>7368293.6070714267</v>
      </c>
      <c r="G27" s="20">
        <f t="shared" si="2"/>
        <v>5.3318779411486412</v>
      </c>
      <c r="H27" s="21">
        <v>5.1643480000000004</v>
      </c>
      <c r="I27" s="20">
        <f t="shared" si="3"/>
        <v>0.16752994114864084</v>
      </c>
      <c r="J27" s="7">
        <v>1750874701</v>
      </c>
      <c r="K27" s="8">
        <f t="shared" si="4"/>
        <v>1807672539.1072493</v>
      </c>
      <c r="L27" s="9">
        <f t="shared" si="5"/>
        <v>56797838.10724926</v>
      </c>
      <c r="M27" s="15">
        <f t="shared" si="6"/>
        <v>3.2439693185817103E-2</v>
      </c>
    </row>
    <row r="28" spans="1:13" x14ac:dyDescent="0.2">
      <c r="A28" s="6" t="s">
        <v>29</v>
      </c>
      <c r="B28" s="7">
        <v>771420538</v>
      </c>
      <c r="C28" s="7">
        <v>800779464</v>
      </c>
      <c r="D28" s="18">
        <f t="shared" si="0"/>
        <v>1.0380582633645152</v>
      </c>
      <c r="E28" s="19">
        <f>'Población 2025'!E28</f>
        <v>2606836</v>
      </c>
      <c r="F28" s="8">
        <f t="shared" si="1"/>
        <v>2706047.6510360995</v>
      </c>
      <c r="G28" s="20">
        <f t="shared" si="2"/>
        <v>1.9581624386424388</v>
      </c>
      <c r="H28" s="21">
        <v>1.901521</v>
      </c>
      <c r="I28" s="20">
        <f t="shared" si="3"/>
        <v>5.6641438642438757E-2</v>
      </c>
      <c r="J28" s="7">
        <v>644674896</v>
      </c>
      <c r="K28" s="8">
        <f t="shared" si="4"/>
        <v>663878000.6810627</v>
      </c>
      <c r="L28" s="9">
        <f t="shared" si="5"/>
        <v>19203104.681062698</v>
      </c>
      <c r="M28" s="15">
        <f t="shared" si="6"/>
        <v>2.9787269211523165E-2</v>
      </c>
    </row>
    <row r="29" spans="1:13" x14ac:dyDescent="0.2">
      <c r="A29" s="6" t="s">
        <v>30</v>
      </c>
      <c r="B29" s="7">
        <v>506151626</v>
      </c>
      <c r="C29" s="7">
        <v>512293497</v>
      </c>
      <c r="D29" s="18">
        <f t="shared" si="0"/>
        <v>1.0121344488183073</v>
      </c>
      <c r="E29" s="19">
        <f>'Población 2025'!E29</f>
        <v>2100792</v>
      </c>
      <c r="F29" s="8">
        <f t="shared" si="1"/>
        <v>2126283.9530019094</v>
      </c>
      <c r="G29" s="20">
        <f t="shared" si="2"/>
        <v>1.5386312096397594</v>
      </c>
      <c r="H29" s="21">
        <v>1.396876</v>
      </c>
      <c r="I29" s="20">
        <f t="shared" si="3"/>
        <v>0.14175520963975941</v>
      </c>
      <c r="J29" s="7">
        <v>473584585</v>
      </c>
      <c r="K29" s="8">
        <f t="shared" si="4"/>
        <v>521643859.10154212</v>
      </c>
      <c r="L29" s="9">
        <f t="shared" si="5"/>
        <v>48059274.101542115</v>
      </c>
      <c r="M29" s="15">
        <f t="shared" si="6"/>
        <v>0.10147981083789312</v>
      </c>
    </row>
    <row r="30" spans="1:13" x14ac:dyDescent="0.2">
      <c r="A30" s="6" t="s">
        <v>31</v>
      </c>
      <c r="B30" s="7">
        <v>749045737</v>
      </c>
      <c r="C30" s="7">
        <v>776825450</v>
      </c>
      <c r="D30" s="18">
        <f t="shared" si="0"/>
        <v>1.0370868047540867</v>
      </c>
      <c r="E30" s="19">
        <f>'Población 2025'!E30</f>
        <v>2889524</v>
      </c>
      <c r="F30" s="8">
        <f t="shared" si="1"/>
        <v>2996687.2124202475</v>
      </c>
      <c r="G30" s="20">
        <f t="shared" si="2"/>
        <v>2.168476352393383</v>
      </c>
      <c r="H30" s="21">
        <v>2.1677770000000001</v>
      </c>
      <c r="I30" s="20">
        <f t="shared" si="3"/>
        <v>6.9935239338292376E-4</v>
      </c>
      <c r="J30" s="7">
        <v>734943735</v>
      </c>
      <c r="K30" s="8">
        <f t="shared" si="4"/>
        <v>735180961.97838199</v>
      </c>
      <c r="L30" s="9">
        <f t="shared" si="5"/>
        <v>237226.97838199139</v>
      </c>
      <c r="M30" s="15">
        <f t="shared" si="6"/>
        <v>3.2278250304697325E-4</v>
      </c>
    </row>
    <row r="31" spans="1:13" x14ac:dyDescent="0.2">
      <c r="A31" s="6" t="s">
        <v>32</v>
      </c>
      <c r="B31" s="7">
        <v>691765006</v>
      </c>
      <c r="C31" s="7">
        <v>708269470</v>
      </c>
      <c r="D31" s="18">
        <f t="shared" si="0"/>
        <v>1.0238584835267022</v>
      </c>
      <c r="E31" s="19">
        <f>'Población 2025'!E31</f>
        <v>3102935</v>
      </c>
      <c r="F31" s="8">
        <f t="shared" si="1"/>
        <v>3176966.3235819275</v>
      </c>
      <c r="G31" s="20">
        <f t="shared" si="2"/>
        <v>2.2989307380777899</v>
      </c>
      <c r="H31" s="21">
        <v>2.3323239999999998</v>
      </c>
      <c r="I31" s="20">
        <f t="shared" si="3"/>
        <v>-3.3393261922209927E-2</v>
      </c>
      <c r="J31" s="7">
        <v>790730426</v>
      </c>
      <c r="K31" s="8">
        <f t="shared" si="4"/>
        <v>779409058.19714248</v>
      </c>
      <c r="L31" s="9">
        <f t="shared" si="5"/>
        <v>-11321367.802857518</v>
      </c>
      <c r="M31" s="15">
        <f t="shared" si="6"/>
        <v>-1.4317607405254338E-2</v>
      </c>
    </row>
    <row r="32" spans="1:13" x14ac:dyDescent="0.2">
      <c r="A32" s="6" t="s">
        <v>33</v>
      </c>
      <c r="B32" s="7">
        <v>1066140938</v>
      </c>
      <c r="C32" s="7">
        <v>1101556783</v>
      </c>
      <c r="D32" s="18">
        <f t="shared" si="0"/>
        <v>1.0332187272223479</v>
      </c>
      <c r="E32" s="19">
        <f>'Población 2025'!E32</f>
        <v>3049889</v>
      </c>
      <c r="F32" s="8">
        <f t="shared" si="1"/>
        <v>3151202.4307494392</v>
      </c>
      <c r="G32" s="20">
        <f t="shared" si="2"/>
        <v>2.2802873534358117</v>
      </c>
      <c r="H32" s="21">
        <v>2.2769870000000001</v>
      </c>
      <c r="I32" s="20">
        <f t="shared" si="3"/>
        <v>3.3003534358115871E-3</v>
      </c>
      <c r="J32" s="7">
        <v>771969281</v>
      </c>
      <c r="K32" s="8">
        <f t="shared" si="4"/>
        <v>773088370.65978718</v>
      </c>
      <c r="L32" s="9">
        <f t="shared" si="5"/>
        <v>1119089.659787178</v>
      </c>
      <c r="M32" s="15">
        <f t="shared" si="6"/>
        <v>1.4496556888086562E-3</v>
      </c>
    </row>
    <row r="33" spans="1:13" x14ac:dyDescent="0.2">
      <c r="A33" s="6" t="s">
        <v>34</v>
      </c>
      <c r="B33" s="7">
        <v>755926952</v>
      </c>
      <c r="C33" s="7">
        <v>696392466</v>
      </c>
      <c r="D33" s="18">
        <f t="shared" si="0"/>
        <v>0.92124307005791217</v>
      </c>
      <c r="E33" s="19">
        <f>'Población 2025'!E33</f>
        <v>2527009</v>
      </c>
      <c r="F33" s="8">
        <f t="shared" si="1"/>
        <v>2327989.5292239748</v>
      </c>
      <c r="G33" s="20">
        <f t="shared" si="2"/>
        <v>1.6845903108668014</v>
      </c>
      <c r="H33" s="21">
        <v>1.7044900000000001</v>
      </c>
      <c r="I33" s="20">
        <f t="shared" si="3"/>
        <v>-1.9899689133198617E-2</v>
      </c>
      <c r="J33" s="7">
        <v>577875277</v>
      </c>
      <c r="K33" s="8">
        <f t="shared" si="4"/>
        <v>571128536.36406386</v>
      </c>
      <c r="L33" s="9">
        <f t="shared" si="5"/>
        <v>-6746740.635936141</v>
      </c>
      <c r="M33" s="15">
        <f t="shared" si="6"/>
        <v>-1.1675080946465445E-2</v>
      </c>
    </row>
    <row r="34" spans="1:13" x14ac:dyDescent="0.2">
      <c r="A34" s="6" t="s">
        <v>35</v>
      </c>
      <c r="B34" s="7">
        <v>944396524</v>
      </c>
      <c r="C34" s="7">
        <v>1003380332</v>
      </c>
      <c r="D34" s="18">
        <f t="shared" si="0"/>
        <v>1.0624566127691508</v>
      </c>
      <c r="E34" s="19">
        <f>'Población 2025'!E34</f>
        <v>3620715</v>
      </c>
      <c r="F34" s="8">
        <f t="shared" si="1"/>
        <v>3846852.5947024561</v>
      </c>
      <c r="G34" s="20">
        <f t="shared" si="2"/>
        <v>2.7836768709732023</v>
      </c>
      <c r="H34" s="21">
        <v>2.7475550000000002</v>
      </c>
      <c r="I34" s="20">
        <f t="shared" si="3"/>
        <v>3.6121870973202075E-2</v>
      </c>
      <c r="J34" s="7">
        <v>931506717</v>
      </c>
      <c r="K34" s="8">
        <f t="shared" si="4"/>
        <v>943753081.54976583</v>
      </c>
      <c r="L34" s="9">
        <f t="shared" si="5"/>
        <v>12246364.549765825</v>
      </c>
      <c r="M34" s="15">
        <f t="shared" si="6"/>
        <v>1.3146834398796745E-2</v>
      </c>
    </row>
    <row r="35" spans="1:13" x14ac:dyDescent="0.2">
      <c r="A35" s="6" t="s">
        <v>36</v>
      </c>
      <c r="B35" s="7">
        <v>190382859</v>
      </c>
      <c r="C35" s="7">
        <v>199483012</v>
      </c>
      <c r="D35" s="18">
        <f t="shared" si="0"/>
        <v>1.0477992244039154</v>
      </c>
      <c r="E35" s="19">
        <f>'Población 2025'!E35</f>
        <v>1419482</v>
      </c>
      <c r="F35" s="8">
        <f t="shared" si="1"/>
        <v>1487332.1386553186</v>
      </c>
      <c r="G35" s="20">
        <f t="shared" si="2"/>
        <v>1.0762700082481731</v>
      </c>
      <c r="H35" s="21">
        <v>1.12086</v>
      </c>
      <c r="I35" s="20">
        <f t="shared" si="3"/>
        <v>-4.4589991751826874E-2</v>
      </c>
      <c r="J35" s="7">
        <v>380006568</v>
      </c>
      <c r="K35" s="8">
        <f t="shared" si="4"/>
        <v>364889024.10167116</v>
      </c>
      <c r="L35" s="9">
        <f t="shared" si="5"/>
        <v>-15117543.898328841</v>
      </c>
      <c r="M35" s="15">
        <f t="shared" si="6"/>
        <v>-3.9782322652720151E-2</v>
      </c>
    </row>
    <row r="36" spans="1:13" x14ac:dyDescent="0.2">
      <c r="A36" s="6" t="s">
        <v>37</v>
      </c>
      <c r="B36" s="7">
        <v>1354310854</v>
      </c>
      <c r="C36" s="7">
        <v>1439874641</v>
      </c>
      <c r="D36" s="18">
        <f t="shared" si="0"/>
        <v>1.0631788387040424</v>
      </c>
      <c r="E36" s="19">
        <f>'Población 2025'!E36</f>
        <v>7917876</v>
      </c>
      <c r="F36" s="8">
        <f t="shared" si="1"/>
        <v>8418118.2106826082</v>
      </c>
      <c r="G36" s="20">
        <f t="shared" si="2"/>
        <v>6.0915567683736533</v>
      </c>
      <c r="H36" s="21">
        <v>6.2485689999999998</v>
      </c>
      <c r="I36" s="20">
        <f t="shared" si="3"/>
        <v>-0.15701223162634648</v>
      </c>
      <c r="J36" s="7">
        <v>2118459434</v>
      </c>
      <c r="K36" s="8">
        <f t="shared" si="4"/>
        <v>2065227301.1766934</v>
      </c>
      <c r="L36" s="9">
        <f t="shared" si="5"/>
        <v>-53232132.823306561</v>
      </c>
      <c r="M36" s="15">
        <f t="shared" si="6"/>
        <v>-2.5127756505016259E-2</v>
      </c>
    </row>
    <row r="37" spans="1:13" x14ac:dyDescent="0.2">
      <c r="A37" s="6" t="s">
        <v>38</v>
      </c>
      <c r="B37" s="7">
        <v>506034200</v>
      </c>
      <c r="C37" s="7">
        <v>546558258</v>
      </c>
      <c r="D37" s="18">
        <f t="shared" si="0"/>
        <v>1.0800816585124089</v>
      </c>
      <c r="E37" s="19">
        <f>'Población 2025'!E37</f>
        <v>2506448</v>
      </c>
      <c r="F37" s="8">
        <f t="shared" si="1"/>
        <v>2707168.5128151104</v>
      </c>
      <c r="G37" s="20">
        <f t="shared" si="2"/>
        <v>1.9589735217117736</v>
      </c>
      <c r="H37" s="21">
        <v>1.879348</v>
      </c>
      <c r="I37" s="20">
        <f t="shared" si="3"/>
        <v>7.9625521711773617E-2</v>
      </c>
      <c r="J37" s="7">
        <v>637157295</v>
      </c>
      <c r="K37" s="8">
        <f t="shared" si="4"/>
        <v>664152983.08080149</v>
      </c>
      <c r="L37" s="9">
        <f t="shared" si="5"/>
        <v>26995688.080801487</v>
      </c>
      <c r="M37" s="15">
        <f t="shared" si="6"/>
        <v>4.2368953934367945E-2</v>
      </c>
    </row>
    <row r="38" spans="1:13" x14ac:dyDescent="0.2">
      <c r="A38" s="6" t="s">
        <v>39</v>
      </c>
      <c r="B38" s="7">
        <v>305155572</v>
      </c>
      <c r="C38" s="7">
        <v>346668814</v>
      </c>
      <c r="D38" s="18">
        <f t="shared" si="0"/>
        <v>1.1360396001551629</v>
      </c>
      <c r="E38" s="19">
        <f>'Población 2025'!E38</f>
        <v>1686419</v>
      </c>
      <c r="F38" s="8">
        <f t="shared" si="1"/>
        <v>1915838.7664540696</v>
      </c>
      <c r="G38" s="20">
        <f t="shared" si="2"/>
        <v>1.3863479120661559</v>
      </c>
      <c r="H38" s="21">
        <v>1.395446</v>
      </c>
      <c r="I38" s="20">
        <f t="shared" si="3"/>
        <v>-9.0980879338440346E-3</v>
      </c>
      <c r="J38" s="7">
        <v>473099665</v>
      </c>
      <c r="K38" s="8">
        <f t="shared" si="4"/>
        <v>470015082.48157364</v>
      </c>
      <c r="L38" s="9">
        <f t="shared" si="5"/>
        <v>-3084582.5184263587</v>
      </c>
      <c r="M38" s="15">
        <f t="shared" si="6"/>
        <v>-6.5199423010083059E-3</v>
      </c>
    </row>
    <row r="39" spans="1:13" x14ac:dyDescent="0.2">
      <c r="A39" s="11" t="s">
        <v>40</v>
      </c>
      <c r="B39" s="22"/>
      <c r="C39" s="22"/>
      <c r="D39" s="22"/>
      <c r="E39" s="12">
        <f t="shared" ref="E39:L39" si="7">SUM(E7:E38)</f>
        <v>130911314</v>
      </c>
      <c r="F39" s="12">
        <f t="shared" si="7"/>
        <v>138193216.13135207</v>
      </c>
      <c r="G39" s="23">
        <f t="shared" si="7"/>
        <v>99.999999999999943</v>
      </c>
      <c r="H39" s="23">
        <f t="shared" si="7"/>
        <v>99.999999000000031</v>
      </c>
      <c r="I39" s="23">
        <f t="shared" si="7"/>
        <v>9.9999996883148867E-7</v>
      </c>
      <c r="J39" s="12">
        <f t="shared" si="7"/>
        <v>33903111791</v>
      </c>
      <c r="K39" s="12">
        <f t="shared" si="7"/>
        <v>33903111793.999989</v>
      </c>
      <c r="L39" s="12">
        <f t="shared" si="7"/>
        <v>2.9999894797801971</v>
      </c>
      <c r="M39" s="13">
        <f t="shared" si="6"/>
        <v>8.8487142368346888E-11</v>
      </c>
    </row>
    <row r="41" spans="1:13" x14ac:dyDescent="0.2">
      <c r="A41" s="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showGridLines="0" zoomScaleNormal="10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A4" sqref="A4"/>
    </sheetView>
  </sheetViews>
  <sheetFormatPr baseColWidth="10" defaultColWidth="8.6640625" defaultRowHeight="15" x14ac:dyDescent="0.2"/>
  <cols>
    <col min="1" max="1" width="22" customWidth="1"/>
    <col min="2" max="8" width="16" customWidth="1"/>
    <col min="9" max="9" width="14" customWidth="1"/>
    <col min="10" max="10" width="15" customWidth="1"/>
    <col min="11" max="12" width="17" customWidth="1"/>
    <col min="13" max="13" width="15" customWidth="1"/>
    <col min="14" max="14" width="10" customWidth="1"/>
  </cols>
  <sheetData>
    <row r="1" spans="1:14" ht="17" x14ac:dyDescent="0.2">
      <c r="A1" s="1" t="s">
        <v>65</v>
      </c>
    </row>
    <row r="2" spans="1:14" x14ac:dyDescent="0.2">
      <c r="A2" s="2"/>
    </row>
    <row r="3" spans="1:14" x14ac:dyDescent="0.2">
      <c r="A3" s="3" t="s">
        <v>87</v>
      </c>
      <c r="F3" s="16">
        <v>16951555897</v>
      </c>
    </row>
    <row r="4" spans="1:14" x14ac:dyDescent="0.2">
      <c r="A4" s="2"/>
    </row>
    <row r="6" spans="1:14" ht="61.5" customHeight="1" x14ac:dyDescent="0.2">
      <c r="A6" s="5" t="s">
        <v>1</v>
      </c>
      <c r="B6" s="5" t="s">
        <v>66</v>
      </c>
      <c r="C6" s="5" t="s">
        <v>67</v>
      </c>
      <c r="D6" s="5" t="s">
        <v>68</v>
      </c>
      <c r="E6" s="5" t="s">
        <v>69</v>
      </c>
      <c r="F6" s="14" t="s">
        <v>70</v>
      </c>
      <c r="G6" s="14" t="s">
        <v>71</v>
      </c>
      <c r="H6" s="14" t="s">
        <v>72</v>
      </c>
      <c r="I6" s="17" t="s">
        <v>59</v>
      </c>
      <c r="J6" s="17" t="s">
        <v>60</v>
      </c>
      <c r="K6" s="17" t="s">
        <v>61</v>
      </c>
      <c r="L6" s="17" t="s">
        <v>62</v>
      </c>
      <c r="M6" s="17" t="s">
        <v>63</v>
      </c>
      <c r="N6" s="17" t="s">
        <v>48</v>
      </c>
    </row>
    <row r="7" spans="1:14" x14ac:dyDescent="0.2">
      <c r="A7" s="6" t="s">
        <v>8</v>
      </c>
      <c r="B7" s="24">
        <v>1.054</v>
      </c>
      <c r="C7" s="24">
        <v>1.169</v>
      </c>
      <c r="D7" s="24">
        <v>1.1200000000000001</v>
      </c>
      <c r="E7" s="25">
        <v>1.11417937646818</v>
      </c>
      <c r="F7" s="19">
        <f>'Población 2025'!E7</f>
        <v>1539174</v>
      </c>
      <c r="G7" s="8">
        <f t="shared" ref="G7:G38" si="0">E7*F7</f>
        <v>1714915.9275960345</v>
      </c>
      <c r="H7" s="20">
        <f t="shared" ref="H7:H38" si="1">G7/G$39*100</f>
        <v>1.1537927980644083</v>
      </c>
      <c r="I7" s="21">
        <v>1.128836</v>
      </c>
      <c r="J7" s="20">
        <f t="shared" ref="J7:J38" si="2">H7-I7</f>
        <v>2.4956798064408314E-2</v>
      </c>
      <c r="K7" s="7">
        <v>191355224</v>
      </c>
      <c r="L7" s="8">
        <f t="shared" ref="L7:L38" si="3">H7/100*$F$3</f>
        <v>195585831.0994485</v>
      </c>
      <c r="M7" s="9">
        <f t="shared" ref="M7:M38" si="4">L7-K7</f>
        <v>4230607.0994485021</v>
      </c>
      <c r="N7" s="15">
        <f t="shared" ref="N7:N39" si="5">M7/K7</f>
        <v>2.2108657453995099E-2</v>
      </c>
    </row>
    <row r="8" spans="1:14" x14ac:dyDescent="0.2">
      <c r="A8" s="6" t="s">
        <v>9</v>
      </c>
      <c r="B8" s="24">
        <v>1.206</v>
      </c>
      <c r="C8" s="24">
        <v>1.286</v>
      </c>
      <c r="D8" s="24">
        <v>1.1100000000000001</v>
      </c>
      <c r="E8" s="25">
        <v>1.2007552107663699</v>
      </c>
      <c r="F8" s="19">
        <f>'Población 2025'!E8</f>
        <v>4009678</v>
      </c>
      <c r="G8" s="8">
        <f t="shared" si="0"/>
        <v>4814641.7519952767</v>
      </c>
      <c r="H8" s="20">
        <f t="shared" si="1"/>
        <v>3.2392835644715721</v>
      </c>
      <c r="I8" s="21">
        <v>3.057051</v>
      </c>
      <c r="J8" s="20">
        <f t="shared" si="2"/>
        <v>0.1822325644715721</v>
      </c>
      <c r="K8" s="7">
        <v>518217748</v>
      </c>
      <c r="L8" s="8">
        <f t="shared" si="3"/>
        <v>549108964.0937326</v>
      </c>
      <c r="M8" s="9">
        <f t="shared" si="4"/>
        <v>30891216.093732595</v>
      </c>
      <c r="N8" s="15">
        <f t="shared" si="5"/>
        <v>5.9610494262216193E-2</v>
      </c>
    </row>
    <row r="9" spans="1:14" x14ac:dyDescent="0.2">
      <c r="A9" s="6" t="s">
        <v>10</v>
      </c>
      <c r="B9" s="24">
        <v>1.2809999999999999</v>
      </c>
      <c r="C9" s="24">
        <v>1.1419999999999999</v>
      </c>
      <c r="D9" s="24">
        <v>1.0569999999999999</v>
      </c>
      <c r="E9" s="25">
        <v>1.16003036892111</v>
      </c>
      <c r="F9" s="19">
        <f>'Población 2025'!E9</f>
        <v>961514</v>
      </c>
      <c r="G9" s="8">
        <f t="shared" si="0"/>
        <v>1115385.4401428122</v>
      </c>
      <c r="H9" s="20">
        <f t="shared" si="1"/>
        <v>0.75042960835210382</v>
      </c>
      <c r="I9" s="21">
        <v>0.68877900000000003</v>
      </c>
      <c r="J9" s="20">
        <f t="shared" si="2"/>
        <v>6.1650608352103786E-2</v>
      </c>
      <c r="K9" s="7">
        <v>116758766</v>
      </c>
      <c r="L9" s="8">
        <f t="shared" si="3"/>
        <v>127209494.52744505</v>
      </c>
      <c r="M9" s="9">
        <f t="shared" si="4"/>
        <v>10450728.527445048</v>
      </c>
      <c r="N9" s="15">
        <f t="shared" si="5"/>
        <v>8.9507014209494543E-2</v>
      </c>
    </row>
    <row r="10" spans="1:14" x14ac:dyDescent="0.2">
      <c r="A10" s="6" t="s">
        <v>11</v>
      </c>
      <c r="B10" s="24">
        <v>1.2170000000000001</v>
      </c>
      <c r="C10" s="24">
        <v>1.2010000000000001</v>
      </c>
      <c r="D10" s="24">
        <v>0.998</v>
      </c>
      <c r="E10" s="25">
        <v>1.1383078215681199</v>
      </c>
      <c r="F10" s="19">
        <f>'Población 2025'!E10</f>
        <v>968673</v>
      </c>
      <c r="G10" s="8">
        <f t="shared" si="0"/>
        <v>1102648.0524418554</v>
      </c>
      <c r="H10" s="20">
        <f t="shared" si="1"/>
        <v>0.74185991350057867</v>
      </c>
      <c r="I10" s="21">
        <v>0.71025499999999997</v>
      </c>
      <c r="J10" s="20">
        <f t="shared" si="2"/>
        <v>3.1604913500578702E-2</v>
      </c>
      <c r="K10" s="7">
        <v>120399209</v>
      </c>
      <c r="L10" s="8">
        <f t="shared" si="3"/>
        <v>125756797.91448644</v>
      </c>
      <c r="M10" s="9">
        <f t="shared" si="4"/>
        <v>5357588.914486438</v>
      </c>
      <c r="N10" s="15">
        <f t="shared" si="5"/>
        <v>4.4498539143113788E-2</v>
      </c>
    </row>
    <row r="11" spans="1:14" x14ac:dyDescent="0.2">
      <c r="A11" s="6" t="s">
        <v>12</v>
      </c>
      <c r="B11" s="24">
        <v>1.2150000000000001</v>
      </c>
      <c r="C11" s="24">
        <v>1.0269999999999999</v>
      </c>
      <c r="D11" s="24">
        <v>1.2290000000000001</v>
      </c>
      <c r="E11" s="25">
        <v>1.15680617575092</v>
      </c>
      <c r="F11" s="19">
        <f>'Población 2025'!E11</f>
        <v>3415128</v>
      </c>
      <c r="G11" s="8">
        <f t="shared" si="0"/>
        <v>3950641.1613798882</v>
      </c>
      <c r="H11" s="20">
        <f t="shared" si="1"/>
        <v>2.657985296181038</v>
      </c>
      <c r="I11" s="21">
        <v>2.6915939999999998</v>
      </c>
      <c r="J11" s="20">
        <f t="shared" si="2"/>
        <v>-3.360870381896186E-2</v>
      </c>
      <c r="K11" s="7">
        <v>456267075</v>
      </c>
      <c r="L11" s="8">
        <f t="shared" si="3"/>
        <v>450569863.21616966</v>
      </c>
      <c r="M11" s="9">
        <f t="shared" si="4"/>
        <v>-5697211.7838303447</v>
      </c>
      <c r="N11" s="15">
        <f t="shared" si="5"/>
        <v>-1.2486572220514365E-2</v>
      </c>
    </row>
    <row r="12" spans="1:14" x14ac:dyDescent="0.2">
      <c r="A12" s="6" t="s">
        <v>13</v>
      </c>
      <c r="B12" s="24">
        <v>1.1060000000000001</v>
      </c>
      <c r="C12" s="24">
        <v>1.089</v>
      </c>
      <c r="D12" s="24">
        <v>1.083</v>
      </c>
      <c r="E12" s="25">
        <v>1.0927212202377701</v>
      </c>
      <c r="F12" s="19">
        <f>'Población 2025'!E12</f>
        <v>762212</v>
      </c>
      <c r="G12" s="8">
        <f t="shared" si="0"/>
        <v>832885.22671987116</v>
      </c>
      <c r="H12" s="20">
        <f t="shared" si="1"/>
        <v>0.56036389932579656</v>
      </c>
      <c r="I12" s="21">
        <v>0.53660799999999997</v>
      </c>
      <c r="J12" s="20">
        <f t="shared" si="2"/>
        <v>2.3755899325796581E-2</v>
      </c>
      <c r="K12" s="7">
        <v>90963406</v>
      </c>
      <c r="L12" s="8">
        <f t="shared" si="3"/>
        <v>94990399.620821208</v>
      </c>
      <c r="M12" s="9">
        <f t="shared" si="4"/>
        <v>4026993.6208212078</v>
      </c>
      <c r="N12" s="15">
        <f t="shared" si="5"/>
        <v>4.4270479722595346E-2</v>
      </c>
    </row>
    <row r="13" spans="1:14" x14ac:dyDescent="0.2">
      <c r="A13" s="6" t="s">
        <v>14</v>
      </c>
      <c r="B13" s="24">
        <v>1.1639999999999999</v>
      </c>
      <c r="C13" s="24">
        <v>1.085</v>
      </c>
      <c r="D13" s="24">
        <v>1.0680000000000001</v>
      </c>
      <c r="E13" s="25">
        <v>1.1057164207455701</v>
      </c>
      <c r="F13" s="19">
        <f>'Población 2025'!E13</f>
        <v>5860728</v>
      </c>
      <c r="G13" s="8">
        <f t="shared" si="0"/>
        <v>6480303.1871233433</v>
      </c>
      <c r="H13" s="20">
        <f t="shared" si="1"/>
        <v>4.359938015770771</v>
      </c>
      <c r="I13" s="21">
        <v>4.4519130000000002</v>
      </c>
      <c r="J13" s="20">
        <f t="shared" si="2"/>
        <v>-9.1974984229229229E-2</v>
      </c>
      <c r="K13" s="7">
        <v>754668598</v>
      </c>
      <c r="L13" s="8">
        <f t="shared" si="3"/>
        <v>739077329.81793487</v>
      </c>
      <c r="M13" s="9">
        <f t="shared" si="4"/>
        <v>-15591268.182065129</v>
      </c>
      <c r="N13" s="15">
        <f t="shared" si="5"/>
        <v>-2.0659754789565433E-2</v>
      </c>
    </row>
    <row r="14" spans="1:14" x14ac:dyDescent="0.2">
      <c r="A14" s="6" t="s">
        <v>15</v>
      </c>
      <c r="B14" s="24">
        <v>1.3520000000000001</v>
      </c>
      <c r="C14" s="24">
        <v>1.0920000000000001</v>
      </c>
      <c r="D14" s="24">
        <v>1.117</v>
      </c>
      <c r="E14" s="25">
        <v>1.1872653599551499</v>
      </c>
      <c r="F14" s="19">
        <f>'Población 2025'!E14</f>
        <v>3903944</v>
      </c>
      <c r="G14" s="8">
        <f t="shared" si="0"/>
        <v>4635017.4784047483</v>
      </c>
      <c r="H14" s="20">
        <f t="shared" si="1"/>
        <v>3.1184326295124314</v>
      </c>
      <c r="I14" s="21">
        <v>3.180914</v>
      </c>
      <c r="J14" s="20">
        <f t="shared" si="2"/>
        <v>-6.2481370487568633E-2</v>
      </c>
      <c r="K14" s="7">
        <v>539214427</v>
      </c>
      <c r="L14" s="8">
        <f t="shared" si="3"/>
        <v>528622850.30208671</v>
      </c>
      <c r="M14" s="9">
        <f t="shared" si="4"/>
        <v>-10591576.697913289</v>
      </c>
      <c r="N14" s="15">
        <f t="shared" si="5"/>
        <v>-1.9642606294570247E-2</v>
      </c>
    </row>
    <row r="15" spans="1:14" x14ac:dyDescent="0.2">
      <c r="A15" s="6" t="s">
        <v>16</v>
      </c>
      <c r="B15" s="24">
        <v>1.1399999999999999</v>
      </c>
      <c r="C15" s="24">
        <v>1.105</v>
      </c>
      <c r="D15" s="24">
        <v>1.08</v>
      </c>
      <c r="E15" s="25">
        <v>1.1082256332074401</v>
      </c>
      <c r="F15" s="19">
        <f>'Población 2025'!E15</f>
        <v>9216407</v>
      </c>
      <c r="G15" s="8">
        <f t="shared" si="0"/>
        <v>10213858.483472483</v>
      </c>
      <c r="H15" s="20">
        <f t="shared" si="1"/>
        <v>6.8718682758981338</v>
      </c>
      <c r="I15" s="21">
        <v>6.9829400000000001</v>
      </c>
      <c r="J15" s="20">
        <f t="shared" si="2"/>
        <v>-0.11107172410186639</v>
      </c>
      <c r="K15" s="7">
        <v>1183717009</v>
      </c>
      <c r="L15" s="8">
        <f t="shared" si="3"/>
        <v>1164888591.9570823</v>
      </c>
      <c r="M15" s="9">
        <f t="shared" si="4"/>
        <v>-18828417.042917728</v>
      </c>
      <c r="N15" s="15">
        <f t="shared" si="5"/>
        <v>-1.5906181038003255E-2</v>
      </c>
    </row>
    <row r="16" spans="1:14" x14ac:dyDescent="0.2">
      <c r="A16" s="6" t="s">
        <v>17</v>
      </c>
      <c r="B16" s="24">
        <v>1.1279999999999999</v>
      </c>
      <c r="C16" s="24">
        <v>1.32</v>
      </c>
      <c r="D16" s="24">
        <v>1.093</v>
      </c>
      <c r="E16" s="25">
        <v>1.1801653181556899</v>
      </c>
      <c r="F16" s="19">
        <f>'Población 2025'!E16</f>
        <v>1943290</v>
      </c>
      <c r="G16" s="8">
        <f t="shared" si="0"/>
        <v>2293403.4611187708</v>
      </c>
      <c r="H16" s="20">
        <f t="shared" si="1"/>
        <v>1.5429983207422533</v>
      </c>
      <c r="I16" s="21">
        <v>1.5464290000000001</v>
      </c>
      <c r="J16" s="20">
        <f t="shared" si="2"/>
        <v>-3.4306792577467604E-3</v>
      </c>
      <c r="K16" s="7">
        <v>262143842</v>
      </c>
      <c r="L16" s="8">
        <f t="shared" si="3"/>
        <v>261562222.83039442</v>
      </c>
      <c r="M16" s="9">
        <f t="shared" si="4"/>
        <v>-581619.16960558295</v>
      </c>
      <c r="N16" s="15">
        <f t="shared" si="5"/>
        <v>-2.2187023931906167E-3</v>
      </c>
    </row>
    <row r="17" spans="1:14" x14ac:dyDescent="0.2">
      <c r="A17" s="6" t="s">
        <v>18</v>
      </c>
      <c r="B17" s="24">
        <v>1.2030000000000001</v>
      </c>
      <c r="C17" s="24">
        <v>1.1140000000000001</v>
      </c>
      <c r="D17" s="24">
        <v>1.0669999999999999</v>
      </c>
      <c r="E17" s="25">
        <v>1.12793613168506</v>
      </c>
      <c r="F17" s="19">
        <f>'Población 2025'!E17</f>
        <v>6446935</v>
      </c>
      <c r="G17" s="8">
        <f t="shared" si="0"/>
        <v>7271730.9251250224</v>
      </c>
      <c r="H17" s="20">
        <f t="shared" si="1"/>
        <v>4.8924093804602258</v>
      </c>
      <c r="I17" s="21">
        <v>4.8230870000000001</v>
      </c>
      <c r="J17" s="20">
        <f t="shared" si="2"/>
        <v>6.9322380460225652E-2</v>
      </c>
      <c r="K17" s="7">
        <v>817588366</v>
      </c>
      <c r="L17" s="8">
        <f t="shared" si="3"/>
        <v>829339510.83878648</v>
      </c>
      <c r="M17" s="9">
        <f t="shared" si="4"/>
        <v>11751144.838786483</v>
      </c>
      <c r="N17" s="15">
        <f t="shared" si="5"/>
        <v>1.4372935486200989E-2</v>
      </c>
    </row>
    <row r="18" spans="1:14" x14ac:dyDescent="0.2">
      <c r="A18" s="6" t="s">
        <v>19</v>
      </c>
      <c r="B18" s="24">
        <v>1.2</v>
      </c>
      <c r="C18" s="24">
        <v>1.0780000000000001</v>
      </c>
      <c r="D18" s="24">
        <v>1.0089999999999999</v>
      </c>
      <c r="E18" s="25">
        <v>1.09570149440786</v>
      </c>
      <c r="F18" s="19">
        <f>'Población 2025'!E18</f>
        <v>3418902</v>
      </c>
      <c r="G18" s="8">
        <f t="shared" si="0"/>
        <v>3746096.0306340214</v>
      </c>
      <c r="H18" s="20">
        <f t="shared" si="1"/>
        <v>2.5203676468630611</v>
      </c>
      <c r="I18" s="21">
        <v>2.6628180000000001</v>
      </c>
      <c r="J18" s="20">
        <f t="shared" si="2"/>
        <v>-0.14245035313693899</v>
      </c>
      <c r="K18" s="7">
        <v>451389089</v>
      </c>
      <c r="L18" s="8">
        <f t="shared" si="3"/>
        <v>427241530.46789539</v>
      </c>
      <c r="M18" s="9">
        <f t="shared" si="4"/>
        <v>-24147558.532104611</v>
      </c>
      <c r="N18" s="15">
        <f t="shared" si="5"/>
        <v>-5.3496105955065765E-2</v>
      </c>
    </row>
    <row r="19" spans="1:14" x14ac:dyDescent="0.2">
      <c r="A19" s="6" t="s">
        <v>20</v>
      </c>
      <c r="B19" s="24">
        <v>1.089</v>
      </c>
      <c r="C19" s="24">
        <v>1.22</v>
      </c>
      <c r="D19" s="24">
        <v>1.0469999999999999</v>
      </c>
      <c r="E19" s="25">
        <v>1.11852342312143</v>
      </c>
      <c r="F19" s="19">
        <f>'Población 2025'!E19</f>
        <v>3245595</v>
      </c>
      <c r="G19" s="8">
        <f t="shared" si="0"/>
        <v>3630274.0294657978</v>
      </c>
      <c r="H19" s="20">
        <f t="shared" si="1"/>
        <v>2.442442782643838</v>
      </c>
      <c r="I19" s="21">
        <v>2.448509</v>
      </c>
      <c r="J19" s="20">
        <f t="shared" si="2"/>
        <v>-6.0662173561620847E-3</v>
      </c>
      <c r="K19" s="7">
        <v>415060320</v>
      </c>
      <c r="L19" s="8">
        <f t="shared" si="3"/>
        <v>414032053.5521124</v>
      </c>
      <c r="M19" s="9">
        <f t="shared" si="4"/>
        <v>-1028266.4478875995</v>
      </c>
      <c r="N19" s="15">
        <f t="shared" si="5"/>
        <v>-2.4773903896368591E-3</v>
      </c>
    </row>
    <row r="20" spans="1:14" x14ac:dyDescent="0.2">
      <c r="A20" s="6" t="s">
        <v>21</v>
      </c>
      <c r="B20" s="24">
        <v>1.171</v>
      </c>
      <c r="C20" s="24">
        <v>1.1499999999999999</v>
      </c>
      <c r="D20" s="24">
        <v>1.0940000000000001</v>
      </c>
      <c r="E20" s="25">
        <v>1.1384477797678201</v>
      </c>
      <c r="F20" s="19">
        <f>'Población 2025'!E20</f>
        <v>8679851</v>
      </c>
      <c r="G20" s="8">
        <f t="shared" si="0"/>
        <v>9881557.0996654928</v>
      </c>
      <c r="H20" s="20">
        <f t="shared" si="1"/>
        <v>6.6482964160456213</v>
      </c>
      <c r="I20" s="21">
        <v>6.7044139999999999</v>
      </c>
      <c r="J20" s="20">
        <f t="shared" si="2"/>
        <v>-5.6117583954378603E-2</v>
      </c>
      <c r="K20" s="7">
        <v>1136502552</v>
      </c>
      <c r="L20" s="8">
        <f t="shared" si="3"/>
        <v>1126989683.164221</v>
      </c>
      <c r="M20" s="9">
        <f t="shared" si="4"/>
        <v>-9512868.8357789516</v>
      </c>
      <c r="N20" s="15">
        <f t="shared" si="5"/>
        <v>-8.3703013416365404E-3</v>
      </c>
    </row>
    <row r="21" spans="1:14" x14ac:dyDescent="0.2">
      <c r="A21" s="6" t="s">
        <v>22</v>
      </c>
      <c r="B21" s="24">
        <v>1.127</v>
      </c>
      <c r="C21" s="24">
        <v>1.111</v>
      </c>
      <c r="D21" s="24">
        <v>1.155</v>
      </c>
      <c r="E21" s="25">
        <v>1.13080579835546</v>
      </c>
      <c r="F21" s="19">
        <f>'Población 2025'!E21</f>
        <v>17612480</v>
      </c>
      <c r="G21" s="8">
        <f t="shared" si="0"/>
        <v>19916294.507419571</v>
      </c>
      <c r="H21" s="20">
        <f t="shared" si="1"/>
        <v>13.399652307738918</v>
      </c>
      <c r="I21" s="21">
        <v>13.55463</v>
      </c>
      <c r="J21" s="20">
        <f t="shared" si="2"/>
        <v>-0.15497769226108105</v>
      </c>
      <c r="K21" s="7">
        <v>2297720615</v>
      </c>
      <c r="L21" s="8">
        <f t="shared" si="3"/>
        <v>2271449550.9500132</v>
      </c>
      <c r="M21" s="9">
        <f t="shared" si="4"/>
        <v>-26271064.049986839</v>
      </c>
      <c r="N21" s="15">
        <f t="shared" si="5"/>
        <v>-1.1433532814426543E-2</v>
      </c>
    </row>
    <row r="22" spans="1:14" x14ac:dyDescent="0.2">
      <c r="A22" s="6" t="s">
        <v>23</v>
      </c>
      <c r="B22" s="24">
        <v>1.4059999999999999</v>
      </c>
      <c r="C22" s="24">
        <v>0.97599999999999998</v>
      </c>
      <c r="D22" s="24">
        <v>1.0640000000000001</v>
      </c>
      <c r="E22" s="25">
        <v>1.1486632461258399</v>
      </c>
      <c r="F22" s="19">
        <f>'Población 2025'!E22</f>
        <v>4889574</v>
      </c>
      <c r="G22" s="8">
        <f t="shared" si="0"/>
        <v>5616473.9430125076</v>
      </c>
      <c r="H22" s="20">
        <f t="shared" si="1"/>
        <v>3.7787550291449201</v>
      </c>
      <c r="I22" s="21">
        <v>3.8320249999999998</v>
      </c>
      <c r="J22" s="20">
        <f t="shared" si="2"/>
        <v>-5.3269970855079674E-2</v>
      </c>
      <c r="K22" s="7">
        <v>649587856</v>
      </c>
      <c r="L22" s="8">
        <f t="shared" si="3"/>
        <v>640557770.97619975</v>
      </c>
      <c r="M22" s="9">
        <f t="shared" si="4"/>
        <v>-9030085.0238002539</v>
      </c>
      <c r="N22" s="15">
        <f t="shared" si="5"/>
        <v>-1.3901252833458534E-2</v>
      </c>
    </row>
    <row r="23" spans="1:14" x14ac:dyDescent="0.2">
      <c r="A23" s="6" t="s">
        <v>24</v>
      </c>
      <c r="B23" s="24">
        <v>1.1299999999999999</v>
      </c>
      <c r="C23" s="24">
        <v>1.091</v>
      </c>
      <c r="D23" s="24">
        <v>1.107</v>
      </c>
      <c r="E23" s="25">
        <v>1.1092839418074201</v>
      </c>
      <c r="F23" s="19">
        <f>'Población 2025'!E23</f>
        <v>1997217</v>
      </c>
      <c r="G23" s="8">
        <f t="shared" si="0"/>
        <v>2215480.7464047903</v>
      </c>
      <c r="H23" s="20">
        <f t="shared" si="1"/>
        <v>1.4905720381497014</v>
      </c>
      <c r="I23" s="21">
        <v>1.48322</v>
      </c>
      <c r="J23" s="20">
        <f t="shared" si="2"/>
        <v>7.3520381497014231E-3</v>
      </c>
      <c r="K23" s="7">
        <v>251428862</v>
      </c>
      <c r="L23" s="8">
        <f t="shared" si="3"/>
        <v>252675152.2319988</v>
      </c>
      <c r="M23" s="9">
        <f t="shared" si="4"/>
        <v>1246290.2319988012</v>
      </c>
      <c r="N23" s="15">
        <f t="shared" si="5"/>
        <v>4.9568304214764386E-3</v>
      </c>
    </row>
    <row r="24" spans="1:14" x14ac:dyDescent="0.2">
      <c r="A24" s="6" t="s">
        <v>25</v>
      </c>
      <c r="B24" s="24">
        <v>1.4239999999999999</v>
      </c>
      <c r="C24" s="24">
        <v>1.143</v>
      </c>
      <c r="D24" s="24">
        <v>1.0760000000000001</v>
      </c>
      <c r="E24" s="25">
        <v>1.21432919288575</v>
      </c>
      <c r="F24" s="19">
        <f>'Población 2025'!E24</f>
        <v>1299075</v>
      </c>
      <c r="G24" s="8">
        <f t="shared" si="0"/>
        <v>1577504.6962480557</v>
      </c>
      <c r="H24" s="20">
        <f t="shared" si="1"/>
        <v>1.0613427329905438</v>
      </c>
      <c r="I24" s="21">
        <v>1.0189569999999999</v>
      </c>
      <c r="J24" s="20">
        <f t="shared" si="2"/>
        <v>4.2385732990543934E-2</v>
      </c>
      <c r="K24" s="7">
        <v>172729015</v>
      </c>
      <c r="L24" s="8">
        <f t="shared" si="3"/>
        <v>179914106.6416395</v>
      </c>
      <c r="M24" s="9">
        <f t="shared" si="4"/>
        <v>7185091.6416395009</v>
      </c>
      <c r="N24" s="15">
        <f t="shared" si="5"/>
        <v>4.1597479390706307E-2</v>
      </c>
    </row>
    <row r="25" spans="1:14" x14ac:dyDescent="0.2">
      <c r="A25" s="6" t="s">
        <v>26</v>
      </c>
      <c r="B25" s="24">
        <v>1.286</v>
      </c>
      <c r="C25" s="24">
        <v>1.1359999999999999</v>
      </c>
      <c r="D25" s="24">
        <v>1.0589999999999999</v>
      </c>
      <c r="E25" s="25">
        <v>1.16035323962004</v>
      </c>
      <c r="F25" s="19">
        <f>'Población 2025'!E25</f>
        <v>6291899</v>
      </c>
      <c r="G25" s="8">
        <f t="shared" si="0"/>
        <v>7300825.3880120898</v>
      </c>
      <c r="H25" s="20">
        <f t="shared" si="1"/>
        <v>4.9119840903351912</v>
      </c>
      <c r="I25" s="21">
        <v>4.8104120000000004</v>
      </c>
      <c r="J25" s="20">
        <f t="shared" si="2"/>
        <v>0.10157209033519088</v>
      </c>
      <c r="K25" s="7">
        <v>815439665</v>
      </c>
      <c r="L25" s="8">
        <f t="shared" si="3"/>
        <v>832657728.72491693</v>
      </c>
      <c r="M25" s="9">
        <f t="shared" si="4"/>
        <v>17218063.724916935</v>
      </c>
      <c r="N25" s="15">
        <f t="shared" si="5"/>
        <v>2.1115067691632263E-2</v>
      </c>
    </row>
    <row r="26" spans="1:14" x14ac:dyDescent="0.2">
      <c r="A26" s="6" t="s">
        <v>27</v>
      </c>
      <c r="B26" s="24">
        <v>1.135</v>
      </c>
      <c r="C26" s="24">
        <v>1.1379999999999999</v>
      </c>
      <c r="D26" s="24">
        <v>1.1659999999999999</v>
      </c>
      <c r="E26" s="25">
        <v>1.1461540842410201</v>
      </c>
      <c r="F26" s="19">
        <f>'Población 2025'!E26</f>
        <v>4169180</v>
      </c>
      <c r="G26" s="8">
        <f t="shared" si="0"/>
        <v>4778522.6849359758</v>
      </c>
      <c r="H26" s="20">
        <f t="shared" si="1"/>
        <v>3.2149827117153409</v>
      </c>
      <c r="I26" s="21">
        <v>3.2688030000000001</v>
      </c>
      <c r="J26" s="20">
        <f t="shared" si="2"/>
        <v>-5.3820288284659235E-2</v>
      </c>
      <c r="K26" s="7">
        <v>554112911</v>
      </c>
      <c r="L26" s="8">
        <f t="shared" si="3"/>
        <v>544989591.45531237</v>
      </c>
      <c r="M26" s="9">
        <f t="shared" si="4"/>
        <v>-9123319.5446876287</v>
      </c>
      <c r="N26" s="15">
        <f t="shared" si="5"/>
        <v>-1.646473013635957E-2</v>
      </c>
    </row>
    <row r="27" spans="1:14" x14ac:dyDescent="0.2">
      <c r="A27" s="6" t="s">
        <v>28</v>
      </c>
      <c r="B27" s="24">
        <v>1.1779999999999999</v>
      </c>
      <c r="C27" s="24">
        <v>1.129</v>
      </c>
      <c r="D27" s="24">
        <v>1.0649999999999999</v>
      </c>
      <c r="E27" s="25">
        <v>1.1236789736453101</v>
      </c>
      <c r="F27" s="19">
        <f>'Población 2025'!E27</f>
        <v>6851933</v>
      </c>
      <c r="G27" s="8">
        <f t="shared" si="0"/>
        <v>7699373.0409264304</v>
      </c>
      <c r="H27" s="20">
        <f t="shared" si="1"/>
        <v>5.1801263381377671</v>
      </c>
      <c r="I27" s="21">
        <v>5.0197640000000003</v>
      </c>
      <c r="J27" s="20">
        <f t="shared" si="2"/>
        <v>0.16036233813776679</v>
      </c>
      <c r="K27" s="7">
        <v>850928089</v>
      </c>
      <c r="L27" s="8">
        <f t="shared" si="3"/>
        <v>878112011.74464285</v>
      </c>
      <c r="M27" s="9">
        <f t="shared" si="4"/>
        <v>27183922.744642854</v>
      </c>
      <c r="N27" s="15">
        <f t="shared" si="5"/>
        <v>3.1946204498418965E-2</v>
      </c>
    </row>
    <row r="28" spans="1:14" x14ac:dyDescent="0.2">
      <c r="A28" s="6" t="s">
        <v>29</v>
      </c>
      <c r="B28" s="24">
        <v>1.359</v>
      </c>
      <c r="C28" s="24">
        <v>1.091</v>
      </c>
      <c r="D28" s="24">
        <v>1.069</v>
      </c>
      <c r="E28" s="25">
        <v>1.1733322260647101</v>
      </c>
      <c r="F28" s="19">
        <f>'Población 2025'!E28</f>
        <v>2606836</v>
      </c>
      <c r="G28" s="8">
        <f t="shared" si="0"/>
        <v>3058684.6868656245</v>
      </c>
      <c r="H28" s="20">
        <f t="shared" si="1"/>
        <v>2.0578783522073389</v>
      </c>
      <c r="I28" s="21">
        <v>1.9993080000000001</v>
      </c>
      <c r="J28" s="20">
        <f t="shared" si="2"/>
        <v>5.857035220733886E-2</v>
      </c>
      <c r="K28" s="7">
        <v>338913866</v>
      </c>
      <c r="L28" s="8">
        <f t="shared" si="3"/>
        <v>348842399.16668957</v>
      </c>
      <c r="M28" s="9">
        <f t="shared" si="4"/>
        <v>9928533.1666895747</v>
      </c>
      <c r="N28" s="15">
        <f t="shared" si="5"/>
        <v>2.9295151844538504E-2</v>
      </c>
    </row>
    <row r="29" spans="1:14" x14ac:dyDescent="0.2">
      <c r="A29" s="6" t="s">
        <v>30</v>
      </c>
      <c r="B29" s="24">
        <v>1.228</v>
      </c>
      <c r="C29" s="24">
        <v>1.349</v>
      </c>
      <c r="D29" s="24">
        <v>1.0980000000000001</v>
      </c>
      <c r="E29" s="25">
        <v>1.22477444873849</v>
      </c>
      <c r="F29" s="19">
        <f>'Población 2025'!E29</f>
        <v>2100792</v>
      </c>
      <c r="G29" s="8">
        <f t="shared" si="0"/>
        <v>2572996.3637142298</v>
      </c>
      <c r="H29" s="20">
        <f t="shared" si="1"/>
        <v>1.7311079955160913</v>
      </c>
      <c r="I29" s="21">
        <v>1.5723720000000001</v>
      </c>
      <c r="J29" s="20">
        <f t="shared" si="2"/>
        <v>0.15873599551609119</v>
      </c>
      <c r="K29" s="7">
        <v>266541516</v>
      </c>
      <c r="L29" s="8">
        <f t="shared" si="3"/>
        <v>293449739.49734646</v>
      </c>
      <c r="M29" s="9">
        <f t="shared" si="4"/>
        <v>26908223.497346461</v>
      </c>
      <c r="N29" s="15">
        <f t="shared" si="5"/>
        <v>0.10095321697407342</v>
      </c>
    </row>
    <row r="30" spans="1:14" x14ac:dyDescent="0.2">
      <c r="A30" s="6" t="s">
        <v>31</v>
      </c>
      <c r="B30" s="24">
        <v>1.1859999999999999</v>
      </c>
      <c r="C30" s="24">
        <v>1.222</v>
      </c>
      <c r="D30" s="24">
        <v>1.0629999999999999</v>
      </c>
      <c r="E30" s="25">
        <v>1.15695578553096</v>
      </c>
      <c r="F30" s="19">
        <f>'Población 2025'!E30</f>
        <v>2889524</v>
      </c>
      <c r="G30" s="8">
        <f t="shared" si="0"/>
        <v>3343051.5092305616</v>
      </c>
      <c r="H30" s="20">
        <f t="shared" si="1"/>
        <v>2.2491999128584523</v>
      </c>
      <c r="I30" s="21">
        <v>2.249549</v>
      </c>
      <c r="J30" s="20">
        <f t="shared" si="2"/>
        <v>-3.4908714154768816E-4</v>
      </c>
      <c r="K30" s="7">
        <v>381333635</v>
      </c>
      <c r="L30" s="8">
        <f t="shared" si="3"/>
        <v>381274380.46347582</v>
      </c>
      <c r="M30" s="9">
        <f t="shared" si="4"/>
        <v>-59254.536524176598</v>
      </c>
      <c r="N30" s="15">
        <f t="shared" si="5"/>
        <v>-1.5538764768068938E-4</v>
      </c>
    </row>
    <row r="31" spans="1:14" x14ac:dyDescent="0.2">
      <c r="A31" s="6" t="s">
        <v>32</v>
      </c>
      <c r="B31" s="24">
        <v>1.1279999999999999</v>
      </c>
      <c r="C31" s="24">
        <v>1.0609999999999999</v>
      </c>
      <c r="D31" s="24">
        <v>1.0389999999999999</v>
      </c>
      <c r="E31" s="25">
        <v>1.07599885011636</v>
      </c>
      <c r="F31" s="19">
        <f>'Población 2025'!E31</f>
        <v>3102935</v>
      </c>
      <c r="G31" s="8">
        <f t="shared" si="0"/>
        <v>3338754.4919858077</v>
      </c>
      <c r="H31" s="20">
        <f t="shared" si="1"/>
        <v>2.2463088862662008</v>
      </c>
      <c r="I31" s="21">
        <v>2.280027</v>
      </c>
      <c r="J31" s="20">
        <f t="shared" si="2"/>
        <v>-3.3718113733799182E-2</v>
      </c>
      <c r="K31" s="7">
        <v>386500093</v>
      </c>
      <c r="L31" s="8">
        <f t="shared" si="3"/>
        <v>380784306.47469318</v>
      </c>
      <c r="M31" s="9">
        <f t="shared" si="4"/>
        <v>-5715786.5253068209</v>
      </c>
      <c r="N31" s="15">
        <f t="shared" si="5"/>
        <v>-1.4788577360851556E-2</v>
      </c>
    </row>
    <row r="32" spans="1:14" x14ac:dyDescent="0.2">
      <c r="A32" s="6" t="s">
        <v>33</v>
      </c>
      <c r="B32" s="24">
        <v>1.1910000000000001</v>
      </c>
      <c r="C32" s="24">
        <v>1.121</v>
      </c>
      <c r="D32" s="24">
        <v>1.0860000000000001</v>
      </c>
      <c r="E32" s="25">
        <v>1.1328431466004401</v>
      </c>
      <c r="F32" s="19">
        <f>'Población 2025'!E32</f>
        <v>3049889</v>
      </c>
      <c r="G32" s="8">
        <f t="shared" si="0"/>
        <v>3455045.8515420696</v>
      </c>
      <c r="H32" s="20">
        <f t="shared" si="1"/>
        <v>2.3245495340868909</v>
      </c>
      <c r="I32" s="21">
        <v>2.3222939999999999</v>
      </c>
      <c r="J32" s="20">
        <f t="shared" si="2"/>
        <v>2.2555340868910534E-3</v>
      </c>
      <c r="K32" s="7">
        <v>393665046</v>
      </c>
      <c r="L32" s="8">
        <f t="shared" si="3"/>
        <v>394047313.62419236</v>
      </c>
      <c r="M32" s="9">
        <f t="shared" si="4"/>
        <v>382267.62419235706</v>
      </c>
      <c r="N32" s="15">
        <f t="shared" si="5"/>
        <v>9.7104792024729845E-4</v>
      </c>
    </row>
    <row r="33" spans="1:14" x14ac:dyDescent="0.2">
      <c r="A33" s="6" t="s">
        <v>34</v>
      </c>
      <c r="B33" s="24">
        <v>1.131</v>
      </c>
      <c r="C33" s="24">
        <v>1.1879999999999999</v>
      </c>
      <c r="D33" s="24">
        <v>1.0449999999999999</v>
      </c>
      <c r="E33" s="25">
        <v>1.12152746102711</v>
      </c>
      <c r="F33" s="19">
        <f>'Población 2025'!E33</f>
        <v>2527009</v>
      </c>
      <c r="G33" s="8">
        <f t="shared" si="0"/>
        <v>2834109.9877626561</v>
      </c>
      <c r="H33" s="20">
        <f t="shared" si="1"/>
        <v>1.9067848401098042</v>
      </c>
      <c r="I33" s="21">
        <v>1.9302319999999999</v>
      </c>
      <c r="J33" s="20">
        <f t="shared" si="2"/>
        <v>-2.3447159890195746E-2</v>
      </c>
      <c r="K33" s="7">
        <v>327204386</v>
      </c>
      <c r="L33" s="8">
        <f t="shared" si="3"/>
        <v>323229698.00673556</v>
      </c>
      <c r="M33" s="9">
        <f t="shared" si="4"/>
        <v>-3974687.9932644367</v>
      </c>
      <c r="N33" s="15">
        <f t="shared" si="5"/>
        <v>-1.2147416609704115E-2</v>
      </c>
    </row>
    <row r="34" spans="1:14" x14ac:dyDescent="0.2">
      <c r="A34" s="6" t="s">
        <v>35</v>
      </c>
      <c r="B34" s="24">
        <v>1.1200000000000001</v>
      </c>
      <c r="C34" s="24">
        <v>1.1000000000000001</v>
      </c>
      <c r="D34" s="24">
        <v>1.103</v>
      </c>
      <c r="E34" s="25">
        <v>1.1076264888559699</v>
      </c>
      <c r="F34" s="19">
        <f>'Población 2025'!E34</f>
        <v>3620715</v>
      </c>
      <c r="G34" s="8">
        <f t="shared" si="0"/>
        <v>4010399.842598143</v>
      </c>
      <c r="H34" s="20">
        <f t="shared" si="1"/>
        <v>2.6981908449790493</v>
      </c>
      <c r="I34" s="21">
        <v>2.6644519999999998</v>
      </c>
      <c r="J34" s="20">
        <f t="shared" si="2"/>
        <v>3.3738844979049443E-2</v>
      </c>
      <c r="K34" s="7">
        <v>451666071</v>
      </c>
      <c r="L34" s="8">
        <f t="shared" si="3"/>
        <v>457385329.29436016</v>
      </c>
      <c r="M34" s="9">
        <f t="shared" si="4"/>
        <v>5719258.2943601608</v>
      </c>
      <c r="N34" s="15">
        <f t="shared" si="5"/>
        <v>1.2662581189013334E-2</v>
      </c>
    </row>
    <row r="35" spans="1:14" x14ac:dyDescent="0.2">
      <c r="A35" s="6" t="s">
        <v>36</v>
      </c>
      <c r="B35" s="24">
        <v>1.171</v>
      </c>
      <c r="C35" s="24">
        <v>1.1850000000000001</v>
      </c>
      <c r="D35" s="24">
        <v>1.0489999999999999</v>
      </c>
      <c r="E35" s="25">
        <v>1.1350375121129701</v>
      </c>
      <c r="F35" s="19">
        <f>'Población 2025'!E35</f>
        <v>1419482</v>
      </c>
      <c r="G35" s="8">
        <f t="shared" si="0"/>
        <v>1611165.317769143</v>
      </c>
      <c r="H35" s="20">
        <f t="shared" si="1"/>
        <v>1.0839895473704442</v>
      </c>
      <c r="I35" s="21">
        <v>1.1294390000000001</v>
      </c>
      <c r="J35" s="20">
        <f t="shared" si="2"/>
        <v>-4.5449452629555909E-2</v>
      </c>
      <c r="K35" s="7">
        <v>191457565</v>
      </c>
      <c r="L35" s="8">
        <f t="shared" si="3"/>
        <v>183753094.04013816</v>
      </c>
      <c r="M35" s="9">
        <f t="shared" si="4"/>
        <v>-7704470.9598618448</v>
      </c>
      <c r="N35" s="15">
        <f t="shared" si="5"/>
        <v>-4.0241141476242241E-2</v>
      </c>
    </row>
    <row r="36" spans="1:14" x14ac:dyDescent="0.2">
      <c r="A36" s="6" t="s">
        <v>37</v>
      </c>
      <c r="B36" s="24">
        <v>1.24</v>
      </c>
      <c r="C36" s="24">
        <v>1.054</v>
      </c>
      <c r="D36" s="24">
        <v>1.08</v>
      </c>
      <c r="E36" s="25">
        <v>1.12469570188269</v>
      </c>
      <c r="F36" s="19">
        <f>'Población 2025'!E36</f>
        <v>7917876</v>
      </c>
      <c r="G36" s="8">
        <f t="shared" si="0"/>
        <v>8905201.1052401066</v>
      </c>
      <c r="H36" s="20">
        <f t="shared" si="1"/>
        <v>5.9914056049058777</v>
      </c>
      <c r="I36" s="21">
        <v>6.1487749999999997</v>
      </c>
      <c r="J36" s="20">
        <f t="shared" si="2"/>
        <v>-0.15736939509412196</v>
      </c>
      <c r="K36" s="7">
        <v>1042313093</v>
      </c>
      <c r="L36" s="8">
        <f t="shared" si="3"/>
        <v>1015636470.1316109</v>
      </c>
      <c r="M36" s="9">
        <f t="shared" si="4"/>
        <v>-26676622.86838913</v>
      </c>
      <c r="N36" s="15">
        <f t="shared" si="5"/>
        <v>-2.5593675304996989E-2</v>
      </c>
    </row>
    <row r="37" spans="1:14" x14ac:dyDescent="0.2">
      <c r="A37" s="6" t="s">
        <v>38</v>
      </c>
      <c r="B37" s="24">
        <v>1.38</v>
      </c>
      <c r="C37" s="24">
        <v>1.099</v>
      </c>
      <c r="D37" s="24">
        <v>1.042</v>
      </c>
      <c r="E37" s="25">
        <v>1.1733738770375099</v>
      </c>
      <c r="F37" s="19">
        <f>'Población 2025'!E37</f>
        <v>2506448</v>
      </c>
      <c r="G37" s="8">
        <f t="shared" si="0"/>
        <v>2941000.6073529129</v>
      </c>
      <c r="H37" s="20">
        <f t="shared" si="1"/>
        <v>1.9787006845423436</v>
      </c>
      <c r="I37" s="21">
        <v>1.899181</v>
      </c>
      <c r="J37" s="20">
        <f t="shared" si="2"/>
        <v>7.9519684542343594E-2</v>
      </c>
      <c r="K37" s="7">
        <v>321940697</v>
      </c>
      <c r="L37" s="8">
        <f t="shared" si="3"/>
        <v>335420552.57451701</v>
      </c>
      <c r="M37" s="9">
        <f t="shared" si="4"/>
        <v>13479855.574517012</v>
      </c>
      <c r="N37" s="15">
        <f t="shared" si="5"/>
        <v>4.1870616856237379E-2</v>
      </c>
    </row>
    <row r="38" spans="1:14" x14ac:dyDescent="0.2">
      <c r="A38" s="6" t="s">
        <v>39</v>
      </c>
      <c r="B38" s="24">
        <v>0.97</v>
      </c>
      <c r="C38" s="24">
        <v>1.171</v>
      </c>
      <c r="D38" s="24">
        <v>1.016</v>
      </c>
      <c r="E38" s="25">
        <v>1.0523346022403901</v>
      </c>
      <c r="F38" s="19">
        <f>'Población 2025'!E38</f>
        <v>1686419</v>
      </c>
      <c r="G38" s="8">
        <f t="shared" si="0"/>
        <v>1774677.0675756366</v>
      </c>
      <c r="H38" s="20">
        <f t="shared" si="1"/>
        <v>1.1940000011132716</v>
      </c>
      <c r="I38" s="21">
        <v>1.20241</v>
      </c>
      <c r="J38" s="20">
        <f t="shared" si="2"/>
        <v>-8.4099988867283315E-3</v>
      </c>
      <c r="K38" s="7">
        <v>203827285</v>
      </c>
      <c r="L38" s="8">
        <f t="shared" si="3"/>
        <v>202401577.59889689</v>
      </c>
      <c r="M38" s="9">
        <f t="shared" si="4"/>
        <v>-1425707.4011031091</v>
      </c>
      <c r="N38" s="15">
        <f t="shared" si="5"/>
        <v>-6.9946837642620276E-3</v>
      </c>
    </row>
    <row r="39" spans="1:14" x14ac:dyDescent="0.2">
      <c r="A39" s="11" t="s">
        <v>40</v>
      </c>
      <c r="B39" s="22"/>
      <c r="C39" s="22"/>
      <c r="D39" s="22"/>
      <c r="E39" s="22"/>
      <c r="F39" s="12">
        <f t="shared" ref="F39:M39" si="6">SUM(F7:F38)</f>
        <v>130911314</v>
      </c>
      <c r="G39" s="12">
        <f t="shared" si="6"/>
        <v>148632920.09388176</v>
      </c>
      <c r="H39" s="23">
        <f t="shared" si="6"/>
        <v>100</v>
      </c>
      <c r="I39" s="23">
        <f t="shared" si="6"/>
        <v>99.999997000000022</v>
      </c>
      <c r="J39" s="23">
        <f t="shared" si="6"/>
        <v>2.999999980990431E-6</v>
      </c>
      <c r="K39" s="12">
        <f t="shared" si="6"/>
        <v>16951555897</v>
      </c>
      <c r="L39" s="12">
        <f t="shared" si="6"/>
        <v>16951555896.999996</v>
      </c>
      <c r="M39" s="12">
        <f t="shared" si="6"/>
        <v>-3.5464763641357422E-6</v>
      </c>
      <c r="N39" s="13">
        <f t="shared" si="5"/>
        <v>-2.092124395946085E-16</v>
      </c>
    </row>
    <row r="41" spans="1:14" x14ac:dyDescent="0.2">
      <c r="A41" s="2" t="s">
        <v>73</v>
      </c>
    </row>
    <row r="42" spans="1:14" x14ac:dyDescent="0.2">
      <c r="A42" s="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"/>
    </sheetView>
  </sheetViews>
  <sheetFormatPr baseColWidth="10" defaultColWidth="8.6640625" defaultRowHeight="15" x14ac:dyDescent="0.2"/>
  <cols>
    <col min="1" max="1" width="22" customWidth="1"/>
    <col min="2" max="5" width="16" customWidth="1"/>
    <col min="6" max="6" width="14" customWidth="1"/>
    <col min="7" max="7" width="15" customWidth="1"/>
    <col min="8" max="9" width="17" customWidth="1"/>
    <col min="10" max="10" width="15" customWidth="1"/>
    <col min="11" max="11" width="10" customWidth="1"/>
  </cols>
  <sheetData>
    <row r="1" spans="1:11" ht="17" x14ac:dyDescent="0.2">
      <c r="A1" s="1" t="s">
        <v>74</v>
      </c>
    </row>
    <row r="2" spans="1:11" x14ac:dyDescent="0.2">
      <c r="A2" s="2"/>
    </row>
    <row r="3" spans="1:11" x14ac:dyDescent="0.2">
      <c r="A3" s="3" t="s">
        <v>88</v>
      </c>
      <c r="F3" s="16">
        <v>5650518632</v>
      </c>
    </row>
    <row r="4" spans="1:11" x14ac:dyDescent="0.2">
      <c r="A4" s="2"/>
    </row>
    <row r="6" spans="1:11" ht="61.5" customHeight="1" x14ac:dyDescent="0.2">
      <c r="A6" s="5" t="s">
        <v>1</v>
      </c>
      <c r="B6" s="5" t="s">
        <v>75</v>
      </c>
      <c r="C6" s="14" t="s">
        <v>76</v>
      </c>
      <c r="D6" s="14" t="s">
        <v>77</v>
      </c>
      <c r="E6" s="14" t="s">
        <v>78</v>
      </c>
      <c r="F6" s="17" t="s">
        <v>59</v>
      </c>
      <c r="G6" s="17" t="s">
        <v>60</v>
      </c>
      <c r="H6" s="17" t="s">
        <v>61</v>
      </c>
      <c r="I6" s="17" t="s">
        <v>62</v>
      </c>
      <c r="J6" s="17" t="s">
        <v>63</v>
      </c>
      <c r="K6" s="17" t="s">
        <v>48</v>
      </c>
    </row>
    <row r="7" spans="1:11" x14ac:dyDescent="0.2">
      <c r="A7" s="6" t="s">
        <v>8</v>
      </c>
      <c r="B7" s="7">
        <v>5384140862</v>
      </c>
      <c r="C7" s="19">
        <f>'Población 2025'!E7</f>
        <v>1539174</v>
      </c>
      <c r="D7" s="8">
        <f t="shared" ref="D7:D38" si="0">B7*C7</f>
        <v>8287129627127988</v>
      </c>
      <c r="E7" s="20">
        <f t="shared" ref="E7:E38" si="1">D7/D$39*100</f>
        <v>0.25703435582209316</v>
      </c>
      <c r="F7" s="21">
        <v>0.25063999999999997</v>
      </c>
      <c r="G7" s="20">
        <f t="shared" ref="G7:G38" si="2">E7-F7</f>
        <v>6.3943558220931895E-3</v>
      </c>
      <c r="H7" s="7">
        <v>14162463</v>
      </c>
      <c r="I7" s="8">
        <f t="shared" ref="I7:I38" si="3">E7/100*$F$3</f>
        <v>14523774.166368552</v>
      </c>
      <c r="J7" s="9">
        <f t="shared" ref="J7:J38" si="4">I7-H7</f>
        <v>361311.16636855155</v>
      </c>
      <c r="K7" s="15">
        <f t="shared" ref="K7:K39" si="5">J7/H7</f>
        <v>2.5511887753461495E-2</v>
      </c>
    </row>
    <row r="8" spans="1:11" x14ac:dyDescent="0.2">
      <c r="A8" s="6" t="s">
        <v>9</v>
      </c>
      <c r="B8" s="7">
        <v>29484012362</v>
      </c>
      <c r="C8" s="19">
        <f>'Población 2025'!E8</f>
        <v>4009678</v>
      </c>
      <c r="D8" s="8">
        <f t="shared" si="0"/>
        <v>1.1822139571963944E+17</v>
      </c>
      <c r="E8" s="20">
        <f t="shared" si="1"/>
        <v>3.6667654134085597</v>
      </c>
      <c r="F8" s="21">
        <v>3.4489999999999998</v>
      </c>
      <c r="G8" s="20">
        <f t="shared" si="2"/>
        <v>0.21776541340855982</v>
      </c>
      <c r="H8" s="7">
        <v>194886397</v>
      </c>
      <c r="I8" s="8">
        <f t="shared" si="3"/>
        <v>207191262.8763825</v>
      </c>
      <c r="J8" s="9">
        <f t="shared" si="4"/>
        <v>12304865.8763825</v>
      </c>
      <c r="K8" s="15">
        <f t="shared" si="5"/>
        <v>6.3138659577058623E-2</v>
      </c>
    </row>
    <row r="9" spans="1:11" x14ac:dyDescent="0.2">
      <c r="A9" s="6" t="s">
        <v>10</v>
      </c>
      <c r="B9" s="7">
        <v>5736083240</v>
      </c>
      <c r="C9" s="19">
        <f>'Población 2025'!E9</f>
        <v>961514</v>
      </c>
      <c r="D9" s="8">
        <f t="shared" si="0"/>
        <v>5515324340425360</v>
      </c>
      <c r="E9" s="20">
        <f t="shared" si="1"/>
        <v>0.17106379443499067</v>
      </c>
      <c r="F9" s="21">
        <v>0.15648899999999999</v>
      </c>
      <c r="G9" s="20">
        <f t="shared" si="2"/>
        <v>1.4574794434990684E-2</v>
      </c>
      <c r="H9" s="7">
        <v>8842451</v>
      </c>
      <c r="I9" s="8">
        <f t="shared" si="3"/>
        <v>9665991.5771553274</v>
      </c>
      <c r="J9" s="9">
        <f t="shared" si="4"/>
        <v>823540.57715532742</v>
      </c>
      <c r="K9" s="15">
        <f t="shared" si="5"/>
        <v>9.3134875969946282E-2</v>
      </c>
    </row>
    <row r="10" spans="1:11" x14ac:dyDescent="0.2">
      <c r="A10" s="6" t="s">
        <v>11</v>
      </c>
      <c r="B10" s="7">
        <v>3605167152</v>
      </c>
      <c r="C10" s="19">
        <f>'Población 2025'!E10</f>
        <v>968673</v>
      </c>
      <c r="D10" s="8">
        <f t="shared" si="0"/>
        <v>3492228080629296</v>
      </c>
      <c r="E10" s="20">
        <f t="shared" si="1"/>
        <v>0.10831525938124591</v>
      </c>
      <c r="F10" s="21">
        <v>0.103357</v>
      </c>
      <c r="G10" s="20">
        <f t="shared" si="2"/>
        <v>4.9582593812459025E-3</v>
      </c>
      <c r="H10" s="7">
        <v>5840184</v>
      </c>
      <c r="I10" s="8">
        <f t="shared" si="3"/>
        <v>6120373.9126364281</v>
      </c>
      <c r="J10" s="9">
        <f t="shared" si="4"/>
        <v>280189.91263642814</v>
      </c>
      <c r="K10" s="15">
        <f t="shared" si="5"/>
        <v>4.7976213187192071E-2</v>
      </c>
    </row>
    <row r="11" spans="1:11" x14ac:dyDescent="0.2">
      <c r="A11" s="6" t="s">
        <v>12</v>
      </c>
      <c r="B11" s="7">
        <v>13249731591</v>
      </c>
      <c r="C11" s="19">
        <f>'Población 2025'!E11</f>
        <v>3415128</v>
      </c>
      <c r="D11" s="8">
        <f t="shared" si="0"/>
        <v>4.5249529348908648E+16</v>
      </c>
      <c r="E11" s="20">
        <f t="shared" si="1"/>
        <v>1.4034634609040615</v>
      </c>
      <c r="F11" s="21">
        <v>1.416493</v>
      </c>
      <c r="G11" s="20">
        <f t="shared" si="2"/>
        <v>-1.3029539095938514E-2</v>
      </c>
      <c r="H11" s="7">
        <v>80039199</v>
      </c>
      <c r="I11" s="8">
        <f t="shared" si="3"/>
        <v>79302964.351696029</v>
      </c>
      <c r="J11" s="9">
        <f t="shared" si="4"/>
        <v>-736234.64830397069</v>
      </c>
      <c r="K11" s="15">
        <f t="shared" si="5"/>
        <v>-9.1984259900448374E-3</v>
      </c>
    </row>
    <row r="12" spans="1:11" x14ac:dyDescent="0.2">
      <c r="A12" s="6" t="s">
        <v>13</v>
      </c>
      <c r="B12" s="7">
        <v>2781620079</v>
      </c>
      <c r="C12" s="19">
        <f>'Población 2025'!E12</f>
        <v>762212</v>
      </c>
      <c r="D12" s="8">
        <f t="shared" si="0"/>
        <v>2120184203654748</v>
      </c>
      <c r="E12" s="20">
        <f t="shared" si="1"/>
        <v>6.5759823428686817E-2</v>
      </c>
      <c r="F12" s="21">
        <v>6.2762999999999999E-2</v>
      </c>
      <c r="G12" s="20">
        <f t="shared" si="2"/>
        <v>2.9968234286868178E-3</v>
      </c>
      <c r="H12" s="7">
        <v>3546438</v>
      </c>
      <c r="I12" s="8">
        <f t="shared" si="3"/>
        <v>3715771.0752082495</v>
      </c>
      <c r="J12" s="9">
        <f t="shared" si="4"/>
        <v>169333.0752082495</v>
      </c>
      <c r="K12" s="15">
        <f t="shared" si="5"/>
        <v>4.7747366571260941E-2</v>
      </c>
    </row>
    <row r="13" spans="1:11" x14ac:dyDescent="0.2">
      <c r="A13" s="6" t="s">
        <v>14</v>
      </c>
      <c r="B13" s="7">
        <v>5216080441</v>
      </c>
      <c r="C13" s="19">
        <f>'Población 2025'!E13</f>
        <v>5860728</v>
      </c>
      <c r="D13" s="8">
        <f t="shared" si="0"/>
        <v>3.0570028690821048E+16</v>
      </c>
      <c r="E13" s="20">
        <f t="shared" si="1"/>
        <v>0.94816275182740528</v>
      </c>
      <c r="F13" s="21">
        <v>0.96495200000000003</v>
      </c>
      <c r="G13" s="20">
        <f t="shared" si="2"/>
        <v>-1.6789248172594751E-2</v>
      </c>
      <c r="H13" s="7">
        <v>54524779</v>
      </c>
      <c r="I13" s="8">
        <f t="shared" si="3"/>
        <v>53576112.95369146</v>
      </c>
      <c r="J13" s="9">
        <f t="shared" si="4"/>
        <v>-948666.04630853981</v>
      </c>
      <c r="K13" s="15">
        <f t="shared" si="5"/>
        <v>-1.7398805895362544E-2</v>
      </c>
    </row>
    <row r="14" spans="1:11" x14ac:dyDescent="0.2">
      <c r="A14" s="6" t="s">
        <v>15</v>
      </c>
      <c r="B14" s="7">
        <v>28092470321</v>
      </c>
      <c r="C14" s="19">
        <f>'Población 2025'!E14</f>
        <v>3903944</v>
      </c>
      <c r="D14" s="8">
        <f t="shared" si="0"/>
        <v>1.0967143095484602E+17</v>
      </c>
      <c r="E14" s="20">
        <f t="shared" si="1"/>
        <v>3.4015789393818601</v>
      </c>
      <c r="F14" s="21">
        <v>3.4582190000000002</v>
      </c>
      <c r="G14" s="20">
        <f t="shared" si="2"/>
        <v>-5.6640060618140087E-2</v>
      </c>
      <c r="H14" s="7">
        <v>195407310</v>
      </c>
      <c r="I14" s="8">
        <f t="shared" si="3"/>
        <v>192206851.75195998</v>
      </c>
      <c r="J14" s="9">
        <f t="shared" si="4"/>
        <v>-3200458.2480400205</v>
      </c>
      <c r="K14" s="15">
        <f t="shared" si="5"/>
        <v>-1.6378395711194326E-2</v>
      </c>
    </row>
    <row r="15" spans="1:11" x14ac:dyDescent="0.2">
      <c r="A15" s="6" t="s">
        <v>16</v>
      </c>
      <c r="B15" s="7">
        <v>83248412524</v>
      </c>
      <c r="C15" s="19">
        <f>'Población 2025'!E15</f>
        <v>9216407</v>
      </c>
      <c r="D15" s="8">
        <f t="shared" si="0"/>
        <v>7.6725125192508122E+17</v>
      </c>
      <c r="E15" s="20">
        <f t="shared" si="1"/>
        <v>23.797133647661234</v>
      </c>
      <c r="F15" s="21">
        <v>24.101523</v>
      </c>
      <c r="G15" s="20">
        <f t="shared" si="2"/>
        <v>-0.30438935233876663</v>
      </c>
      <c r="H15" s="7">
        <v>1361861067</v>
      </c>
      <c r="I15" s="8">
        <f t="shared" si="3"/>
        <v>1344661470.6430392</v>
      </c>
      <c r="J15" s="9">
        <f t="shared" si="4"/>
        <v>-17199596.356960773</v>
      </c>
      <c r="K15" s="15">
        <f t="shared" si="5"/>
        <v>-1.2629479448185718E-2</v>
      </c>
    </row>
    <row r="16" spans="1:11" x14ac:dyDescent="0.2">
      <c r="A16" s="6" t="s">
        <v>17</v>
      </c>
      <c r="B16" s="7">
        <v>5165207847</v>
      </c>
      <c r="C16" s="19">
        <f>'Población 2025'!E16</f>
        <v>1943290</v>
      </c>
      <c r="D16" s="8">
        <f t="shared" si="0"/>
        <v>1.003749675699663E+16</v>
      </c>
      <c r="E16" s="20">
        <f t="shared" si="1"/>
        <v>0.31132389971980001</v>
      </c>
      <c r="F16" s="21">
        <v>0.31098100000000001</v>
      </c>
      <c r="G16" s="20">
        <f t="shared" si="2"/>
        <v>3.42899719800005E-4</v>
      </c>
      <c r="H16" s="7">
        <v>17572019</v>
      </c>
      <c r="I16" s="8">
        <f t="shared" si="3"/>
        <v>17591414.959536295</v>
      </c>
      <c r="J16" s="9">
        <f t="shared" si="4"/>
        <v>19395.959536295384</v>
      </c>
      <c r="K16" s="15">
        <f t="shared" si="5"/>
        <v>1.1037980061537256E-3</v>
      </c>
    </row>
    <row r="17" spans="1:11" x14ac:dyDescent="0.2">
      <c r="A17" s="6" t="s">
        <v>18</v>
      </c>
      <c r="B17" s="7">
        <v>20656951459</v>
      </c>
      <c r="C17" s="19">
        <f>'Población 2025'!E17</f>
        <v>6446935</v>
      </c>
      <c r="D17" s="8">
        <f t="shared" si="0"/>
        <v>1.3317402335432816E+17</v>
      </c>
      <c r="E17" s="20">
        <f t="shared" si="1"/>
        <v>4.1305374532893691</v>
      </c>
      <c r="F17" s="21">
        <v>4.058497</v>
      </c>
      <c r="G17" s="20">
        <f t="shared" si="2"/>
        <v>7.2040453289369033E-2</v>
      </c>
      <c r="H17" s="7">
        <v>229326133</v>
      </c>
      <c r="I17" s="8">
        <f t="shared" si="3"/>
        <v>233396788.39985412</v>
      </c>
      <c r="J17" s="9">
        <f t="shared" si="4"/>
        <v>4070655.3998541236</v>
      </c>
      <c r="K17" s="15">
        <f t="shared" si="5"/>
        <v>1.7750508180653463E-2</v>
      </c>
    </row>
    <row r="18" spans="1:11" x14ac:dyDescent="0.2">
      <c r="A18" s="6" t="s">
        <v>19</v>
      </c>
      <c r="B18" s="7">
        <v>4116629127</v>
      </c>
      <c r="C18" s="19">
        <f>'Población 2025'!E18</f>
        <v>3418902</v>
      </c>
      <c r="D18" s="8">
        <f t="shared" si="0"/>
        <v>1.4074351555558554E+16</v>
      </c>
      <c r="E18" s="20">
        <f t="shared" si="1"/>
        <v>0.43653135023427775</v>
      </c>
      <c r="F18" s="21">
        <v>0.459673</v>
      </c>
      <c r="G18" s="20">
        <f t="shared" si="2"/>
        <v>-2.314164976572225E-2</v>
      </c>
      <c r="H18" s="7">
        <v>25973929</v>
      </c>
      <c r="I18" s="8">
        <f t="shared" si="3"/>
        <v>24666285.279509041</v>
      </c>
      <c r="J18" s="9">
        <f t="shared" si="4"/>
        <v>-1307643.7204909585</v>
      </c>
      <c r="K18" s="15">
        <f t="shared" si="5"/>
        <v>-5.0344471199985127E-2</v>
      </c>
    </row>
    <row r="19" spans="1:11" x14ac:dyDescent="0.2">
      <c r="A19" s="6" t="s">
        <v>20</v>
      </c>
      <c r="B19" s="7">
        <v>5796645284</v>
      </c>
      <c r="C19" s="19">
        <f>'Población 2025'!E19</f>
        <v>3245595</v>
      </c>
      <c r="D19" s="8">
        <f t="shared" si="0"/>
        <v>1.881356295052398E+16</v>
      </c>
      <c r="E19" s="20">
        <f t="shared" si="1"/>
        <v>0.58352315594008808</v>
      </c>
      <c r="F19" s="21">
        <v>0.58303099999999997</v>
      </c>
      <c r="G19" s="20">
        <f t="shared" si="2"/>
        <v>4.9215594008811259E-4</v>
      </c>
      <c r="H19" s="7">
        <v>32944277</v>
      </c>
      <c r="I19" s="8">
        <f t="shared" si="3"/>
        <v>32972084.648429088</v>
      </c>
      <c r="J19" s="9">
        <f t="shared" si="4"/>
        <v>27807.648429088295</v>
      </c>
      <c r="K19" s="15">
        <f t="shared" si="5"/>
        <v>8.4408130823718772E-4</v>
      </c>
    </row>
    <row r="20" spans="1:11" x14ac:dyDescent="0.2">
      <c r="A20" s="6" t="s">
        <v>21</v>
      </c>
      <c r="B20" s="7">
        <v>32342104929</v>
      </c>
      <c r="C20" s="19">
        <f>'Población 2025'!E20</f>
        <v>8679851</v>
      </c>
      <c r="D20" s="8">
        <f t="shared" si="0"/>
        <v>2.8072465181008557E+17</v>
      </c>
      <c r="E20" s="20">
        <f t="shared" si="1"/>
        <v>8.7069809799021201</v>
      </c>
      <c r="F20" s="21">
        <v>8.7513369999999995</v>
      </c>
      <c r="G20" s="20">
        <f t="shared" si="2"/>
        <v>-4.4356020097879423E-2</v>
      </c>
      <c r="H20" s="7">
        <v>494495941</v>
      </c>
      <c r="I20" s="8">
        <f t="shared" si="3"/>
        <v>491989582.55406541</v>
      </c>
      <c r="J20" s="9">
        <f t="shared" si="4"/>
        <v>-2506358.4459345937</v>
      </c>
      <c r="K20" s="15">
        <f t="shared" si="5"/>
        <v>-5.0685116663770425E-3</v>
      </c>
    </row>
    <row r="21" spans="1:11" x14ac:dyDescent="0.2">
      <c r="A21" s="6" t="s">
        <v>22</v>
      </c>
      <c r="B21" s="7">
        <v>50154698531</v>
      </c>
      <c r="C21" s="19">
        <f>'Población 2025'!E21</f>
        <v>17612480</v>
      </c>
      <c r="D21" s="8">
        <f t="shared" si="0"/>
        <v>8.8334862478326682E+17</v>
      </c>
      <c r="E21" s="20">
        <f t="shared" si="1"/>
        <v>27.398020177486504</v>
      </c>
      <c r="F21" s="21">
        <v>27.622924000000001</v>
      </c>
      <c r="G21" s="20">
        <f t="shared" si="2"/>
        <v>-0.22490382251349672</v>
      </c>
      <c r="H21" s="7">
        <v>1560838447</v>
      </c>
      <c r="I21" s="8">
        <f t="shared" si="3"/>
        <v>1548130234.9279945</v>
      </c>
      <c r="J21" s="9">
        <f t="shared" si="4"/>
        <v>-12708212.07200551</v>
      </c>
      <c r="K21" s="15">
        <f t="shared" si="5"/>
        <v>-8.141913787702534E-3</v>
      </c>
    </row>
    <row r="22" spans="1:11" x14ac:dyDescent="0.2">
      <c r="A22" s="6" t="s">
        <v>23</v>
      </c>
      <c r="B22" s="7">
        <v>9111204420</v>
      </c>
      <c r="C22" s="19">
        <f>'Población 2025'!E22</f>
        <v>4889574</v>
      </c>
      <c r="D22" s="8">
        <f t="shared" si="0"/>
        <v>4.454990824071708E+16</v>
      </c>
      <c r="E22" s="20">
        <f t="shared" si="1"/>
        <v>1.3817639498604677</v>
      </c>
      <c r="F22" s="21">
        <v>1.396593</v>
      </c>
      <c r="G22" s="20">
        <f t="shared" si="2"/>
        <v>-1.4829050139532285E-2</v>
      </c>
      <c r="H22" s="7">
        <v>78914739</v>
      </c>
      <c r="I22" s="8">
        <f t="shared" si="3"/>
        <v>78076829.437124863</v>
      </c>
      <c r="J22" s="9">
        <f t="shared" si="4"/>
        <v>-837909.56287513673</v>
      </c>
      <c r="K22" s="15">
        <f t="shared" si="5"/>
        <v>-1.0617909575486738E-2</v>
      </c>
    </row>
    <row r="23" spans="1:11" x14ac:dyDescent="0.2">
      <c r="A23" s="6" t="s">
        <v>24</v>
      </c>
      <c r="B23" s="7">
        <v>4622484543</v>
      </c>
      <c r="C23" s="19">
        <f>'Población 2025'!E23</f>
        <v>1997217</v>
      </c>
      <c r="D23" s="8">
        <f t="shared" si="0"/>
        <v>9232104711516832</v>
      </c>
      <c r="E23" s="20">
        <f t="shared" si="1"/>
        <v>0.28634378779823944</v>
      </c>
      <c r="F23" s="21">
        <v>0.28398600000000002</v>
      </c>
      <c r="G23" s="20">
        <f t="shared" si="2"/>
        <v>2.3577877982394191E-3</v>
      </c>
      <c r="H23" s="7">
        <v>16046673</v>
      </c>
      <c r="I23" s="8">
        <f t="shared" si="3"/>
        <v>16179909.081114061</v>
      </c>
      <c r="J23" s="9">
        <f t="shared" si="4"/>
        <v>133236.08111406118</v>
      </c>
      <c r="K23" s="15">
        <f t="shared" si="5"/>
        <v>8.3030345987645648E-3</v>
      </c>
    </row>
    <row r="24" spans="1:11" x14ac:dyDescent="0.2">
      <c r="A24" s="6" t="s">
        <v>25</v>
      </c>
      <c r="B24" s="7">
        <v>3580532424</v>
      </c>
      <c r="C24" s="19">
        <f>'Población 2025'!E24</f>
        <v>1299075</v>
      </c>
      <c r="D24" s="8">
        <f t="shared" si="0"/>
        <v>4651380158707800</v>
      </c>
      <c r="E24" s="20">
        <f t="shared" si="1"/>
        <v>0.14426762420409525</v>
      </c>
      <c r="F24" s="21">
        <v>0.138046</v>
      </c>
      <c r="G24" s="20">
        <f t="shared" si="2"/>
        <v>6.2216242040952496E-3</v>
      </c>
      <c r="H24" s="7">
        <v>7800343</v>
      </c>
      <c r="I24" s="8">
        <f t="shared" si="3"/>
        <v>8151868.9855961436</v>
      </c>
      <c r="J24" s="9">
        <f t="shared" si="4"/>
        <v>351525.98559614364</v>
      </c>
      <c r="K24" s="15">
        <f t="shared" si="5"/>
        <v>4.5065452326409704E-2</v>
      </c>
    </row>
    <row r="25" spans="1:11" x14ac:dyDescent="0.2">
      <c r="A25" s="6" t="s">
        <v>26</v>
      </c>
      <c r="B25" s="7">
        <v>40632791075</v>
      </c>
      <c r="C25" s="19">
        <f>'Población 2025'!E25</f>
        <v>6291899</v>
      </c>
      <c r="D25" s="8">
        <f t="shared" si="0"/>
        <v>2.5565741753200144E+17</v>
      </c>
      <c r="E25" s="20">
        <f t="shared" si="1"/>
        <v>7.9294933931486584</v>
      </c>
      <c r="F25" s="21">
        <v>7.7397530000000003</v>
      </c>
      <c r="G25" s="20">
        <f t="shared" si="2"/>
        <v>0.18974039314865809</v>
      </c>
      <c r="H25" s="7">
        <v>437336168</v>
      </c>
      <c r="I25" s="8">
        <f t="shared" si="3"/>
        <v>448057501.60307395</v>
      </c>
      <c r="J25" s="9">
        <f t="shared" si="4"/>
        <v>10721333.603073955</v>
      </c>
      <c r="K25" s="15">
        <f t="shared" si="5"/>
        <v>2.4515085619614144E-2</v>
      </c>
    </row>
    <row r="26" spans="1:11" x14ac:dyDescent="0.2">
      <c r="A26" s="6" t="s">
        <v>27</v>
      </c>
      <c r="B26" s="7">
        <v>5023050899</v>
      </c>
      <c r="C26" s="19">
        <f>'Población 2025'!E26</f>
        <v>4169180</v>
      </c>
      <c r="D26" s="8">
        <f t="shared" si="0"/>
        <v>2.094200334709282E+16</v>
      </c>
      <c r="E26" s="20">
        <f t="shared" si="1"/>
        <v>0.64953905418873059</v>
      </c>
      <c r="F26" s="21">
        <v>0.65822099999999995</v>
      </c>
      <c r="G26" s="20">
        <f t="shared" si="2"/>
        <v>-8.6819458112693537E-3</v>
      </c>
      <c r="H26" s="7">
        <v>37192894</v>
      </c>
      <c r="I26" s="8">
        <f t="shared" si="3"/>
        <v>36702325.279050797</v>
      </c>
      <c r="J26" s="9">
        <f t="shared" si="4"/>
        <v>-490568.72094920278</v>
      </c>
      <c r="K26" s="15">
        <f t="shared" si="5"/>
        <v>-1.3189850753458517E-2</v>
      </c>
    </row>
    <row r="27" spans="1:11" x14ac:dyDescent="0.2">
      <c r="A27" s="6" t="s">
        <v>28</v>
      </c>
      <c r="B27" s="7">
        <v>11122445539</v>
      </c>
      <c r="C27" s="19">
        <f>'Población 2025'!E27</f>
        <v>6851933</v>
      </c>
      <c r="D27" s="8">
        <f t="shared" si="0"/>
        <v>7.621025162937688E+16</v>
      </c>
      <c r="E27" s="20">
        <f t="shared" si="1"/>
        <v>2.3637440001508954</v>
      </c>
      <c r="F27" s="21">
        <v>2.2829670000000002</v>
      </c>
      <c r="G27" s="20">
        <f t="shared" si="2"/>
        <v>8.0777000150895173E-2</v>
      </c>
      <c r="H27" s="7">
        <v>128999494</v>
      </c>
      <c r="I27" s="8">
        <f t="shared" si="3"/>
        <v>133563795.14130846</v>
      </c>
      <c r="J27" s="9">
        <f t="shared" si="4"/>
        <v>4564301.1413084567</v>
      </c>
      <c r="K27" s="15">
        <f t="shared" si="5"/>
        <v>3.5382318176445382E-2</v>
      </c>
    </row>
    <row r="28" spans="1:11" x14ac:dyDescent="0.2">
      <c r="A28" s="6" t="s">
        <v>29</v>
      </c>
      <c r="B28" s="7">
        <v>15221679435</v>
      </c>
      <c r="C28" s="19">
        <f>'Población 2025'!E28</f>
        <v>2606836</v>
      </c>
      <c r="D28" s="8">
        <f t="shared" si="0"/>
        <v>3.9680421931617664E+16</v>
      </c>
      <c r="E28" s="20">
        <f t="shared" si="1"/>
        <v>1.2307315257329789</v>
      </c>
      <c r="F28" s="21">
        <v>1.191735</v>
      </c>
      <c r="G28" s="20">
        <f t="shared" si="2"/>
        <v>3.8996525732978959E-2</v>
      </c>
      <c r="H28" s="7">
        <v>67339218</v>
      </c>
      <c r="I28" s="8">
        <f t="shared" si="3"/>
        <v>69542714.171439841</v>
      </c>
      <c r="J28" s="9">
        <f t="shared" si="4"/>
        <v>2203496.1714398414</v>
      </c>
      <c r="K28" s="15">
        <f t="shared" si="5"/>
        <v>3.2722330862824119E-2</v>
      </c>
    </row>
    <row r="29" spans="1:11" x14ac:dyDescent="0.2">
      <c r="A29" s="6" t="s">
        <v>30</v>
      </c>
      <c r="B29" s="7">
        <v>18124327099</v>
      </c>
      <c r="C29" s="19">
        <f>'Población 2025'!E29</f>
        <v>2100792</v>
      </c>
      <c r="D29" s="8">
        <f t="shared" si="0"/>
        <v>3.8075441374962408E+16</v>
      </c>
      <c r="E29" s="20">
        <f t="shared" si="1"/>
        <v>1.1809513048303844</v>
      </c>
      <c r="F29" s="21">
        <v>1.0691029999999999</v>
      </c>
      <c r="G29" s="20">
        <f t="shared" si="2"/>
        <v>0.11184830483038444</v>
      </c>
      <c r="H29" s="7">
        <v>60409843</v>
      </c>
      <c r="I29" s="8">
        <f t="shared" si="3"/>
        <v>66729873.514287986</v>
      </c>
      <c r="J29" s="9">
        <f t="shared" si="4"/>
        <v>6320030.5142879859</v>
      </c>
      <c r="K29" s="15">
        <f t="shared" si="5"/>
        <v>0.10461921767100082</v>
      </c>
    </row>
    <row r="30" spans="1:11" x14ac:dyDescent="0.2">
      <c r="A30" s="6" t="s">
        <v>31</v>
      </c>
      <c r="B30" s="7">
        <v>7487153499</v>
      </c>
      <c r="C30" s="19">
        <f>'Población 2025'!E30</f>
        <v>2889524</v>
      </c>
      <c r="D30" s="8">
        <f t="shared" si="0"/>
        <v>2.1634309727044476E+16</v>
      </c>
      <c r="E30" s="20">
        <f t="shared" si="1"/>
        <v>0.67101169096514712</v>
      </c>
      <c r="F30" s="21">
        <v>0.66888899999999996</v>
      </c>
      <c r="G30" s="20">
        <f t="shared" si="2"/>
        <v>2.122690965147167E-3</v>
      </c>
      <c r="H30" s="7">
        <v>37795682</v>
      </c>
      <c r="I30" s="8">
        <f t="shared" si="3"/>
        <v>37915640.620883897</v>
      </c>
      <c r="J30" s="9">
        <f t="shared" si="4"/>
        <v>119958.62088389695</v>
      </c>
      <c r="K30" s="15">
        <f t="shared" si="5"/>
        <v>3.1738710491822043E-3</v>
      </c>
    </row>
    <row r="31" spans="1:11" x14ac:dyDescent="0.2">
      <c r="A31" s="6" t="s">
        <v>32</v>
      </c>
      <c r="B31" s="7">
        <v>12537579490</v>
      </c>
      <c r="C31" s="19">
        <f>'Población 2025'!E31</f>
        <v>3102935</v>
      </c>
      <c r="D31" s="8">
        <f t="shared" si="0"/>
        <v>3.8903294214803152E+16</v>
      </c>
      <c r="E31" s="20">
        <f t="shared" si="1"/>
        <v>1.2066280627644459</v>
      </c>
      <c r="F31" s="21">
        <v>1.2206760000000001</v>
      </c>
      <c r="G31" s="20">
        <f t="shared" si="2"/>
        <v>-1.4047937235554198E-2</v>
      </c>
      <c r="H31" s="7">
        <v>68974519</v>
      </c>
      <c r="I31" s="8">
        <f t="shared" si="3"/>
        <v>68180743.505445674</v>
      </c>
      <c r="J31" s="9">
        <f t="shared" si="4"/>
        <v>-793775.49455432594</v>
      </c>
      <c r="K31" s="15">
        <f t="shared" si="5"/>
        <v>-1.1508242551924515E-2</v>
      </c>
    </row>
    <row r="32" spans="1:11" x14ac:dyDescent="0.2">
      <c r="A32" s="6" t="s">
        <v>33</v>
      </c>
      <c r="B32" s="7">
        <v>13680442636</v>
      </c>
      <c r="C32" s="19">
        <f>'Población 2025'!E32</f>
        <v>3049889</v>
      </c>
      <c r="D32" s="8">
        <f t="shared" si="0"/>
        <v>4.1723831510667408E+16</v>
      </c>
      <c r="E32" s="20">
        <f t="shared" si="1"/>
        <v>1.2941101005186819</v>
      </c>
      <c r="F32" s="21">
        <v>1.288564</v>
      </c>
      <c r="G32" s="20">
        <f t="shared" si="2"/>
        <v>5.5461005186818735E-3</v>
      </c>
      <c r="H32" s="7">
        <v>72810559</v>
      </c>
      <c r="I32" s="8">
        <f t="shared" si="3"/>
        <v>73123932.348402053</v>
      </c>
      <c r="J32" s="9">
        <f t="shared" si="4"/>
        <v>313373.34840205312</v>
      </c>
      <c r="K32" s="15">
        <f t="shared" si="5"/>
        <v>4.3039547107728308E-3</v>
      </c>
    </row>
    <row r="33" spans="1:11" x14ac:dyDescent="0.2">
      <c r="A33" s="6" t="s">
        <v>34</v>
      </c>
      <c r="B33" s="7">
        <v>4346228391</v>
      </c>
      <c r="C33" s="19">
        <f>'Población 2025'!E33</f>
        <v>2527009</v>
      </c>
      <c r="D33" s="8">
        <f t="shared" si="0"/>
        <v>1.098295826011252E+16</v>
      </c>
      <c r="E33" s="20">
        <f t="shared" si="1"/>
        <v>0.34064841850281335</v>
      </c>
      <c r="F33" s="21">
        <v>0.34369300000000003</v>
      </c>
      <c r="G33" s="20">
        <f t="shared" si="2"/>
        <v>-3.0445814971866714E-3</v>
      </c>
      <c r="H33" s="7">
        <v>19420432</v>
      </c>
      <c r="I33" s="8">
        <f t="shared" si="3"/>
        <v>19248402.357114803</v>
      </c>
      <c r="J33" s="9">
        <f t="shared" si="4"/>
        <v>-172029.64288519695</v>
      </c>
      <c r="K33" s="15">
        <f t="shared" si="5"/>
        <v>-8.858177968708263E-3</v>
      </c>
    </row>
    <row r="34" spans="1:11" x14ac:dyDescent="0.2">
      <c r="A34" s="6" t="s">
        <v>35</v>
      </c>
      <c r="B34" s="7">
        <v>13854166845</v>
      </c>
      <c r="C34" s="19">
        <f>'Población 2025'!E34</f>
        <v>3620715</v>
      </c>
      <c r="D34" s="8">
        <f t="shared" si="0"/>
        <v>5.0161989708194176E+16</v>
      </c>
      <c r="E34" s="20">
        <f t="shared" si="1"/>
        <v>1.5558287720266437</v>
      </c>
      <c r="F34" s="21">
        <v>1.5312760000000001</v>
      </c>
      <c r="G34" s="20">
        <f t="shared" si="2"/>
        <v>2.4552772026643632E-2</v>
      </c>
      <c r="H34" s="7">
        <v>86525012</v>
      </c>
      <c r="I34" s="8">
        <f t="shared" si="3"/>
        <v>87912394.645382315</v>
      </c>
      <c r="J34" s="9">
        <f t="shared" si="4"/>
        <v>1387382.6453823149</v>
      </c>
      <c r="K34" s="15">
        <f t="shared" si="5"/>
        <v>1.6034469262856791E-2</v>
      </c>
    </row>
    <row r="35" spans="1:11" x14ac:dyDescent="0.2">
      <c r="A35" s="6" t="s">
        <v>36</v>
      </c>
      <c r="B35" s="7">
        <v>2013001528</v>
      </c>
      <c r="C35" s="19">
        <f>'Población 2025'!E35</f>
        <v>1419482</v>
      </c>
      <c r="D35" s="8">
        <f t="shared" si="0"/>
        <v>2857419434968496</v>
      </c>
      <c r="E35" s="20">
        <f t="shared" si="1"/>
        <v>8.862597748880531E-2</v>
      </c>
      <c r="F35" s="21">
        <v>9.2035000000000006E-2</v>
      </c>
      <c r="G35" s="20">
        <f t="shared" si="2"/>
        <v>-3.4090225111946953E-3</v>
      </c>
      <c r="H35" s="7">
        <v>5200482</v>
      </c>
      <c r="I35" s="8">
        <f t="shared" si="3"/>
        <v>5007827.3707970697</v>
      </c>
      <c r="J35" s="9">
        <f t="shared" si="4"/>
        <v>-192654.62920293026</v>
      </c>
      <c r="K35" s="15">
        <f t="shared" si="5"/>
        <v>-3.7045533318436685E-2</v>
      </c>
    </row>
    <row r="36" spans="1:11" x14ac:dyDescent="0.2">
      <c r="A36" s="6" t="s">
        <v>37</v>
      </c>
      <c r="B36" s="7">
        <v>14058779342</v>
      </c>
      <c r="C36" s="19">
        <f>'Población 2025'!E36</f>
        <v>7917876</v>
      </c>
      <c r="D36" s="8">
        <f t="shared" si="0"/>
        <v>1.113156715413176E+17</v>
      </c>
      <c r="E36" s="20">
        <f t="shared" si="1"/>
        <v>3.4525768528906329</v>
      </c>
      <c r="F36" s="21">
        <v>3.5315029999999998</v>
      </c>
      <c r="G36" s="20">
        <f t="shared" si="2"/>
        <v>-7.8926147109366962E-2</v>
      </c>
      <c r="H36" s="7">
        <v>199548244</v>
      </c>
      <c r="I36" s="8">
        <f t="shared" si="3"/>
        <v>195088498.35670444</v>
      </c>
      <c r="J36" s="9">
        <f t="shared" si="4"/>
        <v>-4459745.6432955563</v>
      </c>
      <c r="K36" s="15">
        <f t="shared" si="5"/>
        <v>-2.2349210165415218E-2</v>
      </c>
    </row>
    <row r="37" spans="1:11" x14ac:dyDescent="0.2">
      <c r="A37" s="6" t="s">
        <v>38</v>
      </c>
      <c r="B37" s="7">
        <v>7530932633</v>
      </c>
      <c r="C37" s="19">
        <f>'Población 2025'!E37</f>
        <v>2506448</v>
      </c>
      <c r="D37" s="8">
        <f t="shared" si="0"/>
        <v>1.8875891036117584E+16</v>
      </c>
      <c r="E37" s="20">
        <f t="shared" si="1"/>
        <v>0.58545632943332426</v>
      </c>
      <c r="F37" s="21">
        <v>0.56006299999999998</v>
      </c>
      <c r="G37" s="20">
        <f t="shared" si="2"/>
        <v>2.5393329433324285E-2</v>
      </c>
      <c r="H37" s="7">
        <v>31646472</v>
      </c>
      <c r="I37" s="8">
        <f t="shared" si="3"/>
        <v>33081318.976853289</v>
      </c>
      <c r="J37" s="9">
        <f t="shared" si="4"/>
        <v>1434846.9768532887</v>
      </c>
      <c r="K37" s="15">
        <f t="shared" si="5"/>
        <v>4.5339871593057475E-2</v>
      </c>
    </row>
    <row r="38" spans="1:11" x14ac:dyDescent="0.2">
      <c r="A38" s="6" t="s">
        <v>39</v>
      </c>
      <c r="B38" s="7">
        <v>4819410776</v>
      </c>
      <c r="C38" s="19">
        <f>'Población 2025'!E38</f>
        <v>1686419</v>
      </c>
      <c r="D38" s="8">
        <f t="shared" si="0"/>
        <v>8127545901451144</v>
      </c>
      <c r="E38" s="20">
        <f t="shared" si="1"/>
        <v>0.25208469267277267</v>
      </c>
      <c r="F38" s="21">
        <v>0.25301800000000002</v>
      </c>
      <c r="G38" s="20">
        <f t="shared" si="2"/>
        <v>-9.3330732722735066E-4</v>
      </c>
      <c r="H38" s="7">
        <v>14296824</v>
      </c>
      <c r="I38" s="8">
        <f t="shared" si="3"/>
        <v>14244092.527894959</v>
      </c>
      <c r="J38" s="9">
        <f t="shared" si="4"/>
        <v>-52731.472105041146</v>
      </c>
      <c r="K38" s="15">
        <f t="shared" si="5"/>
        <v>-3.6883347032208792E-3</v>
      </c>
    </row>
    <row r="39" spans="1:11" x14ac:dyDescent="0.2">
      <c r="A39" s="11" t="s">
        <v>40</v>
      </c>
      <c r="B39" s="22"/>
      <c r="C39" s="12">
        <f t="shared" ref="C39:J39" si="6">SUM(C7:C38)</f>
        <v>130911314</v>
      </c>
      <c r="D39" s="12">
        <f t="shared" si="6"/>
        <v>3.2241330543625626E+18</v>
      </c>
      <c r="E39" s="23">
        <f t="shared" si="6"/>
        <v>100.00000000000003</v>
      </c>
      <c r="F39" s="23">
        <f t="shared" si="6"/>
        <v>99.999999999999972</v>
      </c>
      <c r="G39" s="23">
        <f t="shared" si="6"/>
        <v>1.2032042029375134E-14</v>
      </c>
      <c r="H39" s="12">
        <f t="shared" si="6"/>
        <v>5650518632</v>
      </c>
      <c r="I39" s="12">
        <f t="shared" si="6"/>
        <v>5650518632.000001</v>
      </c>
      <c r="J39" s="12">
        <f t="shared" si="6"/>
        <v>8.0280005931854248E-7</v>
      </c>
      <c r="K39" s="13">
        <f t="shared" si="5"/>
        <v>1.4207546450198882E-16</v>
      </c>
    </row>
    <row r="41" spans="1:11" x14ac:dyDescent="0.2">
      <c r="A41" s="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"/>
    </sheetView>
  </sheetViews>
  <sheetFormatPr baseColWidth="10" defaultColWidth="8.6640625" defaultRowHeight="15" x14ac:dyDescent="0.2"/>
  <cols>
    <col min="1" max="1" width="22" customWidth="1"/>
    <col min="2" max="7" width="16" customWidth="1"/>
    <col min="8" max="8" width="14" customWidth="1"/>
    <col min="9" max="9" width="15" customWidth="1"/>
    <col min="10" max="11" width="17" customWidth="1"/>
    <col min="12" max="12" width="15" customWidth="1"/>
    <col min="13" max="13" width="10" customWidth="1"/>
  </cols>
  <sheetData>
    <row r="1" spans="1:13" ht="17" x14ac:dyDescent="0.2">
      <c r="A1" s="1" t="s">
        <v>79</v>
      </c>
    </row>
    <row r="2" spans="1:13" x14ac:dyDescent="0.2">
      <c r="A2" s="2"/>
    </row>
    <row r="3" spans="1:13" x14ac:dyDescent="0.2">
      <c r="A3" s="3" t="s">
        <v>89</v>
      </c>
      <c r="F3" s="16">
        <v>1508208534</v>
      </c>
    </row>
    <row r="4" spans="1:13" x14ac:dyDescent="0.2">
      <c r="A4" s="2"/>
    </row>
    <row r="6" spans="1:13" ht="61.5" customHeight="1" x14ac:dyDescent="0.2">
      <c r="A6" s="5" t="s">
        <v>1</v>
      </c>
      <c r="B6" s="5" t="s">
        <v>80</v>
      </c>
      <c r="C6" s="5" t="s">
        <v>81</v>
      </c>
      <c r="D6" s="5" t="s">
        <v>55</v>
      </c>
      <c r="E6" s="14" t="s">
        <v>56</v>
      </c>
      <c r="F6" s="14" t="s">
        <v>82</v>
      </c>
      <c r="G6" s="14" t="s">
        <v>58</v>
      </c>
      <c r="H6" s="17" t="s">
        <v>59</v>
      </c>
      <c r="I6" s="17" t="s">
        <v>60</v>
      </c>
      <c r="J6" s="17" t="s">
        <v>83</v>
      </c>
      <c r="K6" s="17" t="s">
        <v>62</v>
      </c>
      <c r="L6" s="17" t="s">
        <v>63</v>
      </c>
      <c r="M6" s="17" t="s">
        <v>48</v>
      </c>
    </row>
    <row r="7" spans="1:13" x14ac:dyDescent="0.2">
      <c r="A7" s="6" t="s">
        <v>8</v>
      </c>
      <c r="B7" s="7">
        <v>2207122394</v>
      </c>
      <c r="C7" s="7">
        <v>2325992855</v>
      </c>
      <c r="D7" s="18">
        <f t="shared" ref="D7:D38" si="0">C7/B7</f>
        <v>1.0538576661281431</v>
      </c>
      <c r="E7" s="19">
        <f>'Población 2025'!E7</f>
        <v>1539174</v>
      </c>
      <c r="F7" s="8">
        <f t="shared" ref="F7:F38" si="1">D7*E7</f>
        <v>1622070.3194051185</v>
      </c>
      <c r="G7" s="20">
        <f t="shared" ref="G7:G38" si="2">F7/F$39*100</f>
        <v>1.1686588121477073</v>
      </c>
      <c r="H7" s="21">
        <v>1.143138</v>
      </c>
      <c r="I7" s="20">
        <f t="shared" ref="I7:I38" si="3">G7-H7</f>
        <v>2.5520812147707295E-2</v>
      </c>
      <c r="J7" s="7">
        <v>17240909</v>
      </c>
      <c r="K7" s="8">
        <f t="shared" ref="K7:K38" si="4">G7/100*$F$3</f>
        <v>17625811.93815475</v>
      </c>
      <c r="L7" s="9">
        <f t="shared" ref="L7:L38" si="5">K7-J7</f>
        <v>384902.93815474957</v>
      </c>
      <c r="M7" s="15">
        <f t="shared" ref="M7:M39" si="6">L7/J7</f>
        <v>2.2324979393763378E-2</v>
      </c>
    </row>
    <row r="8" spans="1:13" x14ac:dyDescent="0.2">
      <c r="A8" s="6" t="s">
        <v>9</v>
      </c>
      <c r="B8" s="7">
        <v>12057564919</v>
      </c>
      <c r="C8" s="7">
        <v>13420132605</v>
      </c>
      <c r="D8" s="18">
        <f t="shared" si="0"/>
        <v>1.1130052125079501</v>
      </c>
      <c r="E8" s="19">
        <f>'Población 2025'!E8</f>
        <v>4009678</v>
      </c>
      <c r="F8" s="8">
        <f t="shared" si="1"/>
        <v>4462792.5144784525</v>
      </c>
      <c r="G8" s="20">
        <f t="shared" si="2"/>
        <v>3.2153241055201627</v>
      </c>
      <c r="H8" s="21">
        <v>3.0337969999999999</v>
      </c>
      <c r="I8" s="20">
        <f t="shared" si="3"/>
        <v>0.18152710552016282</v>
      </c>
      <c r="J8" s="7">
        <v>45755991</v>
      </c>
      <c r="K8" s="8">
        <f t="shared" si="4"/>
        <v>48493792.555214256</v>
      </c>
      <c r="L8" s="9">
        <f t="shared" si="5"/>
        <v>2737801.555214256</v>
      </c>
      <c r="M8" s="15">
        <f t="shared" si="6"/>
        <v>5.9834821525650186E-2</v>
      </c>
    </row>
    <row r="9" spans="1:13" x14ac:dyDescent="0.2">
      <c r="A9" s="6" t="s">
        <v>10</v>
      </c>
      <c r="B9" s="7">
        <v>2462231484</v>
      </c>
      <c r="C9" s="7">
        <v>2519870154</v>
      </c>
      <c r="D9" s="18">
        <f t="shared" si="0"/>
        <v>1.0234091190753372</v>
      </c>
      <c r="E9" s="19">
        <f>'Población 2025'!E9</f>
        <v>961514</v>
      </c>
      <c r="F9" s="8">
        <f t="shared" si="1"/>
        <v>984022.19571860379</v>
      </c>
      <c r="G9" s="20">
        <f t="shared" si="2"/>
        <v>0.70896199543138838</v>
      </c>
      <c r="H9" s="21">
        <v>0.65058000000000005</v>
      </c>
      <c r="I9" s="20">
        <f t="shared" si="3"/>
        <v>5.8381995431388334E-2</v>
      </c>
      <c r="J9" s="7">
        <v>9812108</v>
      </c>
      <c r="K9" s="8">
        <f t="shared" si="4"/>
        <v>10692625.31791289</v>
      </c>
      <c r="L9" s="9">
        <f t="shared" si="5"/>
        <v>880517.31791288964</v>
      </c>
      <c r="M9" s="15">
        <f t="shared" si="6"/>
        <v>8.9737833900002895E-2</v>
      </c>
    </row>
    <row r="10" spans="1:13" x14ac:dyDescent="0.2">
      <c r="A10" s="6" t="s">
        <v>11</v>
      </c>
      <c r="B10" s="7">
        <v>521998784</v>
      </c>
      <c r="C10" s="7">
        <v>517415843</v>
      </c>
      <c r="D10" s="18">
        <f t="shared" si="0"/>
        <v>0.99122039908813275</v>
      </c>
      <c r="E10" s="19">
        <f>'Población 2025'!E10</f>
        <v>968673</v>
      </c>
      <c r="F10" s="8">
        <f t="shared" si="1"/>
        <v>960168.43764589878</v>
      </c>
      <c r="G10" s="20">
        <f t="shared" si="2"/>
        <v>0.69177599292520231</v>
      </c>
      <c r="H10" s="21">
        <v>0.66216399999999997</v>
      </c>
      <c r="I10" s="20">
        <f t="shared" si="3"/>
        <v>2.9611992925202335E-2</v>
      </c>
      <c r="J10" s="7">
        <v>9986819</v>
      </c>
      <c r="K10" s="8">
        <f t="shared" si="4"/>
        <v>10433424.561461138</v>
      </c>
      <c r="L10" s="9">
        <f t="shared" si="5"/>
        <v>446605.56146113761</v>
      </c>
      <c r="M10" s="15">
        <f t="shared" si="6"/>
        <v>4.4719500920276781E-2</v>
      </c>
    </row>
    <row r="11" spans="1:13" x14ac:dyDescent="0.2">
      <c r="A11" s="6" t="s">
        <v>12</v>
      </c>
      <c r="B11" s="7">
        <v>4352564104</v>
      </c>
      <c r="C11" s="7">
        <v>4784874505</v>
      </c>
      <c r="D11" s="18">
        <f t="shared" si="0"/>
        <v>1.09932315542526</v>
      </c>
      <c r="E11" s="19">
        <f>'Población 2025'!E11</f>
        <v>3415128</v>
      </c>
      <c r="F11" s="8">
        <f t="shared" si="1"/>
        <v>3754329.2891411576</v>
      </c>
      <c r="G11" s="20">
        <f t="shared" si="2"/>
        <v>2.7048950683396655</v>
      </c>
      <c r="H11" s="21">
        <v>2.7385169999999999</v>
      </c>
      <c r="I11" s="20">
        <f t="shared" si="3"/>
        <v>-3.3621931660334337E-2</v>
      </c>
      <c r="J11" s="7">
        <v>41302548</v>
      </c>
      <c r="K11" s="8">
        <f t="shared" si="4"/>
        <v>40795458.256443962</v>
      </c>
      <c r="L11" s="9">
        <f t="shared" si="5"/>
        <v>-507089.74355603755</v>
      </c>
      <c r="M11" s="15">
        <f t="shared" si="6"/>
        <v>-1.2277444567246495E-2</v>
      </c>
    </row>
    <row r="12" spans="1:13" x14ac:dyDescent="0.2">
      <c r="A12" s="6" t="s">
        <v>13</v>
      </c>
      <c r="B12" s="7">
        <v>1484931675</v>
      </c>
      <c r="C12" s="7">
        <v>1573298254</v>
      </c>
      <c r="D12" s="18">
        <f t="shared" si="0"/>
        <v>1.0595088518129967</v>
      </c>
      <c r="E12" s="19">
        <f>'Población 2025'!E12</f>
        <v>762212</v>
      </c>
      <c r="F12" s="8">
        <f t="shared" si="1"/>
        <v>807570.36095808784</v>
      </c>
      <c r="G12" s="20">
        <f t="shared" si="2"/>
        <v>0.5818331101139288</v>
      </c>
      <c r="H12" s="21">
        <v>0.55704900000000002</v>
      </c>
      <c r="I12" s="20">
        <f t="shared" si="3"/>
        <v>2.4784110113928781E-2</v>
      </c>
      <c r="J12" s="7">
        <v>8401463</v>
      </c>
      <c r="K12" s="8">
        <f t="shared" si="4"/>
        <v>8775256.6203758921</v>
      </c>
      <c r="L12" s="9">
        <f t="shared" si="5"/>
        <v>373793.62037589215</v>
      </c>
      <c r="M12" s="15">
        <f t="shared" si="6"/>
        <v>4.4491491586154952E-2</v>
      </c>
    </row>
    <row r="13" spans="1:13" x14ac:dyDescent="0.2">
      <c r="A13" s="6" t="s">
        <v>14</v>
      </c>
      <c r="B13" s="7">
        <v>1744005137</v>
      </c>
      <c r="C13" s="7">
        <v>1815319906</v>
      </c>
      <c r="D13" s="18">
        <f t="shared" si="0"/>
        <v>1.0408913755395663</v>
      </c>
      <c r="E13" s="19">
        <f>'Población 2025'!E13</f>
        <v>5860728</v>
      </c>
      <c r="F13" s="8">
        <f t="shared" si="1"/>
        <v>6100381.2295832513</v>
      </c>
      <c r="G13" s="20">
        <f t="shared" si="2"/>
        <v>4.3951635117937018</v>
      </c>
      <c r="H13" s="21">
        <v>4.4869320000000004</v>
      </c>
      <c r="I13" s="20">
        <f t="shared" si="3"/>
        <v>-9.1768488206298571E-2</v>
      </c>
      <c r="J13" s="7">
        <v>67672289</v>
      </c>
      <c r="K13" s="8">
        <f t="shared" si="4"/>
        <v>66288231.168126702</v>
      </c>
      <c r="L13" s="9">
        <f t="shared" si="5"/>
        <v>-1384057.8318732977</v>
      </c>
      <c r="M13" s="15">
        <f t="shared" si="6"/>
        <v>-2.0452357269506543E-2</v>
      </c>
    </row>
    <row r="14" spans="1:13" x14ac:dyDescent="0.2">
      <c r="A14" s="6" t="s">
        <v>15</v>
      </c>
      <c r="B14" s="7">
        <v>8865227370</v>
      </c>
      <c r="C14" s="7">
        <v>9521809148</v>
      </c>
      <c r="D14" s="18">
        <f t="shared" si="0"/>
        <v>1.0740625988028099</v>
      </c>
      <c r="E14" s="19">
        <f>'Población 2025'!E14</f>
        <v>3903944</v>
      </c>
      <c r="F14" s="8">
        <f t="shared" si="1"/>
        <v>4193080.2382206367</v>
      </c>
      <c r="G14" s="20">
        <f t="shared" si="2"/>
        <v>3.0210035359232106</v>
      </c>
      <c r="H14" s="21">
        <v>3.0808810000000002</v>
      </c>
      <c r="I14" s="20">
        <f t="shared" si="3"/>
        <v>-5.9877464076789622E-2</v>
      </c>
      <c r="J14" s="7">
        <v>46466107</v>
      </c>
      <c r="K14" s="8">
        <f t="shared" si="4"/>
        <v>45563033.14123562</v>
      </c>
      <c r="L14" s="9">
        <f t="shared" si="5"/>
        <v>-903073.85876438022</v>
      </c>
      <c r="M14" s="15">
        <f t="shared" si="6"/>
        <v>-1.9435109094987885E-2</v>
      </c>
    </row>
    <row r="15" spans="1:13" x14ac:dyDescent="0.2">
      <c r="A15" s="6" t="s">
        <v>16</v>
      </c>
      <c r="B15" s="7">
        <v>31486327492</v>
      </c>
      <c r="C15" s="7">
        <v>33493698824</v>
      </c>
      <c r="D15" s="18">
        <f t="shared" si="0"/>
        <v>1.0637537462096851</v>
      </c>
      <c r="E15" s="19">
        <f>'Población 2025'!E15</f>
        <v>9216407</v>
      </c>
      <c r="F15" s="8">
        <f t="shared" si="1"/>
        <v>9803987.4728431646</v>
      </c>
      <c r="G15" s="20">
        <f t="shared" si="2"/>
        <v>7.0635139656126915</v>
      </c>
      <c r="H15" s="21">
        <v>7.176164</v>
      </c>
      <c r="I15" s="20">
        <f t="shared" si="3"/>
        <v>-0.11265003438730847</v>
      </c>
      <c r="J15" s="7">
        <v>108231522</v>
      </c>
      <c r="K15" s="8">
        <f t="shared" si="4"/>
        <v>106532520.42965244</v>
      </c>
      <c r="L15" s="9">
        <f t="shared" si="5"/>
        <v>-1699001.5703475624</v>
      </c>
      <c r="M15" s="15">
        <f t="shared" si="6"/>
        <v>-1.5697844204275002E-2</v>
      </c>
    </row>
    <row r="16" spans="1:13" x14ac:dyDescent="0.2">
      <c r="A16" s="6" t="s">
        <v>17</v>
      </c>
      <c r="B16" s="7">
        <v>1334905929</v>
      </c>
      <c r="C16" s="7">
        <v>1513863761</v>
      </c>
      <c r="D16" s="18">
        <f t="shared" si="0"/>
        <v>1.1340602570654998</v>
      </c>
      <c r="E16" s="19">
        <f>'Población 2025'!E16</f>
        <v>1943290</v>
      </c>
      <c r="F16" s="8">
        <f t="shared" si="1"/>
        <v>2203807.9569528154</v>
      </c>
      <c r="G16" s="20">
        <f t="shared" si="2"/>
        <v>1.5877854112506584</v>
      </c>
      <c r="H16" s="21">
        <v>1.5909789999999999</v>
      </c>
      <c r="I16" s="20">
        <f t="shared" si="3"/>
        <v>-3.1935887493415027E-3</v>
      </c>
      <c r="J16" s="7">
        <v>23995280</v>
      </c>
      <c r="K16" s="8">
        <f t="shared" si="4"/>
        <v>23947115.074089427</v>
      </c>
      <c r="L16" s="9">
        <f t="shared" si="5"/>
        <v>-48164.925910573453</v>
      </c>
      <c r="M16" s="15">
        <f t="shared" si="6"/>
        <v>-2.0072666753867198E-3</v>
      </c>
    </row>
    <row r="17" spans="1:13" x14ac:dyDescent="0.2">
      <c r="A17" s="6" t="s">
        <v>18</v>
      </c>
      <c r="B17" s="7">
        <v>8541908458</v>
      </c>
      <c r="C17" s="7">
        <v>8649635331</v>
      </c>
      <c r="D17" s="18">
        <f t="shared" si="0"/>
        <v>1.0126115695959148</v>
      </c>
      <c r="E17" s="19">
        <f>'Población 2025'!E17</f>
        <v>6446935</v>
      </c>
      <c r="F17" s="8">
        <f t="shared" si="1"/>
        <v>6528240.9694328392</v>
      </c>
      <c r="G17" s="20">
        <f t="shared" si="2"/>
        <v>4.7034251508586626</v>
      </c>
      <c r="H17" s="21">
        <v>4.6357989999999996</v>
      </c>
      <c r="I17" s="20">
        <f t="shared" si="3"/>
        <v>6.7626150858663081E-2</v>
      </c>
      <c r="J17" s="7">
        <v>69917521</v>
      </c>
      <c r="K17" s="8">
        <f t="shared" si="4"/>
        <v>70937459.515552714</v>
      </c>
      <c r="L17" s="9">
        <f t="shared" si="5"/>
        <v>1019938.5155527145</v>
      </c>
      <c r="M17" s="15">
        <f t="shared" si="6"/>
        <v>1.4587738537708088E-2</v>
      </c>
    </row>
    <row r="18" spans="1:13" x14ac:dyDescent="0.2">
      <c r="A18" s="6" t="s">
        <v>19</v>
      </c>
      <c r="B18" s="7">
        <v>1948086444</v>
      </c>
      <c r="C18" s="7">
        <v>1892957129</v>
      </c>
      <c r="D18" s="18">
        <f t="shared" si="0"/>
        <v>0.97170078608688271</v>
      </c>
      <c r="E18" s="19">
        <f>'Población 2025'!E18</f>
        <v>3418902</v>
      </c>
      <c r="F18" s="8">
        <f t="shared" si="1"/>
        <v>3322149.7609540154</v>
      </c>
      <c r="G18" s="20">
        <f t="shared" si="2"/>
        <v>2.3935211359006745</v>
      </c>
      <c r="H18" s="21">
        <v>2.528267</v>
      </c>
      <c r="I18" s="20">
        <f t="shared" si="3"/>
        <v>-0.13474586409932554</v>
      </c>
      <c r="J18" s="7">
        <v>38131535</v>
      </c>
      <c r="K18" s="8">
        <f t="shared" si="4"/>
        <v>36099290.034747712</v>
      </c>
      <c r="L18" s="9">
        <f t="shared" si="5"/>
        <v>-2032244.9652522877</v>
      </c>
      <c r="M18" s="15">
        <f t="shared" si="6"/>
        <v>-5.329565057510241E-2</v>
      </c>
    </row>
    <row r="19" spans="1:13" x14ac:dyDescent="0.2">
      <c r="A19" s="6" t="s">
        <v>20</v>
      </c>
      <c r="B19" s="7">
        <v>2273811624</v>
      </c>
      <c r="C19" s="7">
        <v>2561806971</v>
      </c>
      <c r="D19" s="18">
        <f t="shared" si="0"/>
        <v>1.1266575225318665</v>
      </c>
      <c r="E19" s="19">
        <f>'Población 2025'!E19</f>
        <v>3245595</v>
      </c>
      <c r="F19" s="8">
        <f t="shared" si="1"/>
        <v>3656674.0218418133</v>
      </c>
      <c r="G19" s="20">
        <f t="shared" si="2"/>
        <v>2.6345370281753695</v>
      </c>
      <c r="H19" s="21">
        <v>2.6405210000000001</v>
      </c>
      <c r="I19" s="20">
        <f t="shared" si="3"/>
        <v>-5.9839718246306184E-3</v>
      </c>
      <c r="J19" s="7">
        <v>39824560</v>
      </c>
      <c r="K19" s="8">
        <f t="shared" si="4"/>
        <v>39734312.290330909</v>
      </c>
      <c r="L19" s="9">
        <f t="shared" si="5"/>
        <v>-90247.709669090807</v>
      </c>
      <c r="M19" s="15">
        <f t="shared" si="6"/>
        <v>-2.2661319966646412E-3</v>
      </c>
    </row>
    <row r="20" spans="1:13" x14ac:dyDescent="0.2">
      <c r="A20" s="6" t="s">
        <v>21</v>
      </c>
      <c r="B20" s="7">
        <v>11989654420</v>
      </c>
      <c r="C20" s="7">
        <v>12962869372</v>
      </c>
      <c r="D20" s="18">
        <f t="shared" si="0"/>
        <v>1.081171226284602</v>
      </c>
      <c r="E20" s="19">
        <f>'Población 2025'!E20</f>
        <v>8679851</v>
      </c>
      <c r="F20" s="8">
        <f t="shared" si="1"/>
        <v>9384405.1496376302</v>
      </c>
      <c r="G20" s="20">
        <f t="shared" si="2"/>
        <v>6.7612159865612131</v>
      </c>
      <c r="H20" s="21">
        <v>6.8168439999999997</v>
      </c>
      <c r="I20" s="20">
        <f t="shared" si="3"/>
        <v>-5.5628013438786539E-2</v>
      </c>
      <c r="J20" s="7">
        <v>102812223</v>
      </c>
      <c r="K20" s="8">
        <f t="shared" si="4"/>
        <v>101973236.51148851</v>
      </c>
      <c r="L20" s="9">
        <f t="shared" si="5"/>
        <v>-838986.48851148784</v>
      </c>
      <c r="M20" s="15">
        <f t="shared" si="6"/>
        <v>-8.1603768893460053E-3</v>
      </c>
    </row>
    <row r="21" spans="1:13" x14ac:dyDescent="0.2">
      <c r="A21" s="6" t="s">
        <v>22</v>
      </c>
      <c r="B21" s="7">
        <v>15655134223</v>
      </c>
      <c r="C21" s="7">
        <v>16658474505</v>
      </c>
      <c r="D21" s="18">
        <f t="shared" si="0"/>
        <v>1.0640901743611961</v>
      </c>
      <c r="E21" s="19">
        <f>'Población 2025'!E21</f>
        <v>17612480</v>
      </c>
      <c r="F21" s="8">
        <f t="shared" si="1"/>
        <v>18741266.914133079</v>
      </c>
      <c r="G21" s="20">
        <f t="shared" si="2"/>
        <v>13.50258769178782</v>
      </c>
      <c r="H21" s="21">
        <v>13.655863999999999</v>
      </c>
      <c r="I21" s="20">
        <f t="shared" si="3"/>
        <v>-0.1532763082121793</v>
      </c>
      <c r="J21" s="7">
        <v>205958909</v>
      </c>
      <c r="K21" s="8">
        <f t="shared" si="4"/>
        <v>203647179.87837753</v>
      </c>
      <c r="L21" s="9">
        <f t="shared" si="5"/>
        <v>-2311729.121622473</v>
      </c>
      <c r="M21" s="15">
        <f t="shared" si="6"/>
        <v>-1.1224224933248568E-2</v>
      </c>
    </row>
    <row r="22" spans="1:13" x14ac:dyDescent="0.2">
      <c r="A22" s="6" t="s">
        <v>23</v>
      </c>
      <c r="B22" s="7">
        <v>3360450841</v>
      </c>
      <c r="C22" s="7">
        <v>3596469228</v>
      </c>
      <c r="D22" s="18">
        <f t="shared" si="0"/>
        <v>1.0702341436215641</v>
      </c>
      <c r="E22" s="19">
        <f>'Población 2025'!E22</f>
        <v>4889574</v>
      </c>
      <c r="F22" s="8">
        <f t="shared" si="1"/>
        <v>5232989.0425642654</v>
      </c>
      <c r="G22" s="20">
        <f t="shared" si="2"/>
        <v>3.7702303564175708</v>
      </c>
      <c r="H22" s="21">
        <v>3.8225709999999999</v>
      </c>
      <c r="I22" s="20">
        <f t="shared" si="3"/>
        <v>-5.234064358242918E-2</v>
      </c>
      <c r="J22" s="7">
        <v>57652342</v>
      </c>
      <c r="K22" s="8">
        <f t="shared" si="4"/>
        <v>56862935.986948416</v>
      </c>
      <c r="L22" s="9">
        <f t="shared" si="5"/>
        <v>-789406.01305158436</v>
      </c>
      <c r="M22" s="15">
        <f t="shared" si="6"/>
        <v>-1.3692522899617579E-2</v>
      </c>
    </row>
    <row r="23" spans="1:13" x14ac:dyDescent="0.2">
      <c r="A23" s="6" t="s">
        <v>24</v>
      </c>
      <c r="B23" s="7">
        <v>1992262825</v>
      </c>
      <c r="C23" s="7">
        <v>2040265749</v>
      </c>
      <c r="D23" s="18">
        <f t="shared" si="0"/>
        <v>1.0240946743560304</v>
      </c>
      <c r="E23" s="19">
        <f>'Población 2025'!E23</f>
        <v>1997217</v>
      </c>
      <c r="F23" s="8">
        <f t="shared" si="1"/>
        <v>2045339.293233328</v>
      </c>
      <c r="G23" s="20">
        <f t="shared" si="2"/>
        <v>1.4736129255763197</v>
      </c>
      <c r="H23" s="21">
        <v>1.4660340000000001</v>
      </c>
      <c r="I23" s="20">
        <f t="shared" si="3"/>
        <v>7.5789255763196728E-3</v>
      </c>
      <c r="J23" s="7">
        <v>22110852</v>
      </c>
      <c r="K23" s="8">
        <f t="shared" si="4"/>
        <v>22225155.901669122</v>
      </c>
      <c r="L23" s="9">
        <f t="shared" si="5"/>
        <v>114303.90166912228</v>
      </c>
      <c r="M23" s="15">
        <f t="shared" si="6"/>
        <v>5.1695837713138454E-3</v>
      </c>
    </row>
    <row r="24" spans="1:13" x14ac:dyDescent="0.2">
      <c r="A24" s="6" t="s">
        <v>25</v>
      </c>
      <c r="B24" s="7">
        <v>933018792</v>
      </c>
      <c r="C24" s="7">
        <v>1039445326</v>
      </c>
      <c r="D24" s="18">
        <f t="shared" si="0"/>
        <v>1.1140668707988894</v>
      </c>
      <c r="E24" s="19">
        <f>'Población 2025'!E24</f>
        <v>1299075</v>
      </c>
      <c r="F24" s="8">
        <f t="shared" si="1"/>
        <v>1447256.4201830672</v>
      </c>
      <c r="G24" s="20">
        <f t="shared" si="2"/>
        <v>1.0427100161135894</v>
      </c>
      <c r="H24" s="21">
        <v>1.000856</v>
      </c>
      <c r="I24" s="20">
        <f t="shared" si="3"/>
        <v>4.185401611358941E-2</v>
      </c>
      <c r="J24" s="7">
        <v>15095001</v>
      </c>
      <c r="K24" s="8">
        <f t="shared" si="4"/>
        <v>15726241.447897932</v>
      </c>
      <c r="L24" s="9">
        <f t="shared" si="5"/>
        <v>631240.44789793156</v>
      </c>
      <c r="M24" s="15">
        <f t="shared" si="6"/>
        <v>4.1817847371983054E-2</v>
      </c>
    </row>
    <row r="25" spans="1:13" x14ac:dyDescent="0.2">
      <c r="A25" s="6" t="s">
        <v>26</v>
      </c>
      <c r="B25" s="7">
        <v>13238060362</v>
      </c>
      <c r="C25" s="7">
        <v>14903709928</v>
      </c>
      <c r="D25" s="18">
        <f t="shared" si="0"/>
        <v>1.1258227807134997</v>
      </c>
      <c r="E25" s="19">
        <f>'Población 2025'!E25</f>
        <v>6291899</v>
      </c>
      <c r="F25" s="8">
        <f t="shared" si="1"/>
        <v>7083563.2281484883</v>
      </c>
      <c r="G25" s="20">
        <f t="shared" si="2"/>
        <v>5.1035201673730031</v>
      </c>
      <c r="H25" s="21">
        <v>4.9969289999999997</v>
      </c>
      <c r="I25" s="20">
        <f t="shared" si="3"/>
        <v>0.10659116737300334</v>
      </c>
      <c r="J25" s="7">
        <v>75364113</v>
      </c>
      <c r="K25" s="8">
        <f t="shared" si="4"/>
        <v>76971726.698730722</v>
      </c>
      <c r="L25" s="9">
        <f t="shared" si="5"/>
        <v>1607613.6987307221</v>
      </c>
      <c r="M25" s="15">
        <f t="shared" si="6"/>
        <v>2.1331289319768444E-2</v>
      </c>
    </row>
    <row r="26" spans="1:13" x14ac:dyDescent="0.2">
      <c r="A26" s="6" t="s">
        <v>27</v>
      </c>
      <c r="B26" s="7">
        <v>785553577</v>
      </c>
      <c r="C26" s="7">
        <v>780859947</v>
      </c>
      <c r="D26" s="18">
        <f t="shared" si="0"/>
        <v>0.99402506698788795</v>
      </c>
      <c r="E26" s="19">
        <f>'Población 2025'!E26</f>
        <v>4169180</v>
      </c>
      <c r="F26" s="8">
        <f t="shared" si="1"/>
        <v>4144269.4287845627</v>
      </c>
      <c r="G26" s="20">
        <f t="shared" si="2"/>
        <v>2.9858366372424858</v>
      </c>
      <c r="H26" s="21">
        <v>3.0351780000000002</v>
      </c>
      <c r="I26" s="20">
        <f t="shared" si="3"/>
        <v>-4.9341362757514329E-2</v>
      </c>
      <c r="J26" s="7">
        <v>45776813</v>
      </c>
      <c r="K26" s="8">
        <f t="shared" si="4"/>
        <v>45032642.974189796</v>
      </c>
      <c r="L26" s="9">
        <f t="shared" si="5"/>
        <v>-744170.02581020445</v>
      </c>
      <c r="M26" s="15">
        <f t="shared" si="6"/>
        <v>-1.6256483949859166E-2</v>
      </c>
    </row>
    <row r="27" spans="1:13" x14ac:dyDescent="0.2">
      <c r="A27" s="6" t="s">
        <v>28</v>
      </c>
      <c r="B27" s="7">
        <v>3663252126</v>
      </c>
      <c r="C27" s="7">
        <v>3842817237</v>
      </c>
      <c r="D27" s="18">
        <f t="shared" si="0"/>
        <v>1.0490179503959156</v>
      </c>
      <c r="E27" s="19">
        <f>'Población 2025'!E27</f>
        <v>6851933</v>
      </c>
      <c r="F27" s="8">
        <f t="shared" si="1"/>
        <v>7187800.711910137</v>
      </c>
      <c r="G27" s="20">
        <f t="shared" si="2"/>
        <v>5.1786205206048095</v>
      </c>
      <c r="H27" s="21">
        <v>5.0172420000000004</v>
      </c>
      <c r="I27" s="20">
        <f t="shared" si="3"/>
        <v>0.16137852060480906</v>
      </c>
      <c r="J27" s="7">
        <v>75670475</v>
      </c>
      <c r="K27" s="8">
        <f t="shared" si="4"/>
        <v>78104396.635236964</v>
      </c>
      <c r="L27" s="9">
        <f t="shared" si="5"/>
        <v>2433921.6352369636</v>
      </c>
      <c r="M27" s="15">
        <f t="shared" si="6"/>
        <v>3.2164746358959204E-2</v>
      </c>
    </row>
    <row r="28" spans="1:13" x14ac:dyDescent="0.2">
      <c r="A28" s="6" t="s">
        <v>29</v>
      </c>
      <c r="B28" s="7">
        <v>6089114278</v>
      </c>
      <c r="C28" s="7">
        <v>6342492623</v>
      </c>
      <c r="D28" s="18">
        <f t="shared" si="0"/>
        <v>1.0416116915255569</v>
      </c>
      <c r="E28" s="19">
        <f>'Población 2025'!E28</f>
        <v>2606836</v>
      </c>
      <c r="F28" s="8">
        <f t="shared" si="1"/>
        <v>2715310.8554897164</v>
      </c>
      <c r="G28" s="20">
        <f t="shared" si="2"/>
        <v>1.9563097364065938</v>
      </c>
      <c r="H28" s="21">
        <v>1.900228</v>
      </c>
      <c r="I28" s="20">
        <f t="shared" si="3"/>
        <v>5.6081736406593752E-2</v>
      </c>
      <c r="J28" s="7">
        <v>28659405</v>
      </c>
      <c r="K28" s="8">
        <f t="shared" si="4"/>
        <v>29505230.395957153</v>
      </c>
      <c r="L28" s="9">
        <f t="shared" si="5"/>
        <v>845825.39595715329</v>
      </c>
      <c r="M28" s="15">
        <f t="shared" si="6"/>
        <v>2.9513013126307167E-2</v>
      </c>
    </row>
    <row r="29" spans="1:13" x14ac:dyDescent="0.2">
      <c r="A29" s="6" t="s">
        <v>30</v>
      </c>
      <c r="B29" s="7">
        <v>5916680527</v>
      </c>
      <c r="C29" s="7">
        <v>6088161317</v>
      </c>
      <c r="D29" s="18">
        <f t="shared" si="0"/>
        <v>1.0289826008379985</v>
      </c>
      <c r="E29" s="19">
        <f>'Población 2025'!E29</f>
        <v>2100792</v>
      </c>
      <c r="F29" s="8">
        <f t="shared" si="1"/>
        <v>2161678.4159796606</v>
      </c>
      <c r="G29" s="20">
        <f t="shared" si="2"/>
        <v>1.5574321899870622</v>
      </c>
      <c r="H29" s="21">
        <v>1.4143220000000001</v>
      </c>
      <c r="I29" s="20">
        <f t="shared" si="3"/>
        <v>0.14311018998706215</v>
      </c>
      <c r="J29" s="7">
        <v>21330924</v>
      </c>
      <c r="K29" s="8">
        <f t="shared" si="4"/>
        <v>23489325.200647965</v>
      </c>
      <c r="L29" s="9">
        <f t="shared" si="5"/>
        <v>2158401.2006479651</v>
      </c>
      <c r="M29" s="15">
        <f t="shared" si="6"/>
        <v>0.10118648402891338</v>
      </c>
    </row>
    <row r="30" spans="1:13" x14ac:dyDescent="0.2">
      <c r="A30" s="6" t="s">
        <v>31</v>
      </c>
      <c r="B30" s="7">
        <v>2449054350</v>
      </c>
      <c r="C30" s="7">
        <v>2527538116</v>
      </c>
      <c r="D30" s="18">
        <f t="shared" si="0"/>
        <v>1.0320465595220458</v>
      </c>
      <c r="E30" s="19">
        <f>'Población 2025'!E30</f>
        <v>2889524</v>
      </c>
      <c r="F30" s="8">
        <f t="shared" si="1"/>
        <v>2982123.3028563801</v>
      </c>
      <c r="G30" s="20">
        <f t="shared" si="2"/>
        <v>2.1485410558971707</v>
      </c>
      <c r="H30" s="21">
        <v>2.1484200000000002</v>
      </c>
      <c r="I30" s="20">
        <f t="shared" si="3"/>
        <v>1.2105589717048559E-4</v>
      </c>
      <c r="J30" s="7">
        <v>32402652</v>
      </c>
      <c r="K30" s="8">
        <f t="shared" si="4"/>
        <v>32404479.561534837</v>
      </c>
      <c r="L30" s="9">
        <f t="shared" si="5"/>
        <v>1827.5615348368883</v>
      </c>
      <c r="M30" s="15">
        <f t="shared" si="6"/>
        <v>5.640160363531011E-5</v>
      </c>
    </row>
    <row r="31" spans="1:13" x14ac:dyDescent="0.2">
      <c r="A31" s="6" t="s">
        <v>32</v>
      </c>
      <c r="B31" s="7">
        <v>5127365283</v>
      </c>
      <c r="C31" s="7">
        <v>5096208896</v>
      </c>
      <c r="D31" s="18">
        <f t="shared" si="0"/>
        <v>0.99392350938925678</v>
      </c>
      <c r="E31" s="19">
        <f>'Población 2025'!E31</f>
        <v>3102935</v>
      </c>
      <c r="F31" s="8">
        <f t="shared" si="1"/>
        <v>3084080.0446067536</v>
      </c>
      <c r="G31" s="20">
        <f t="shared" si="2"/>
        <v>2.2219981947640854</v>
      </c>
      <c r="H31" s="21">
        <v>2.254874</v>
      </c>
      <c r="I31" s="20">
        <f t="shared" si="3"/>
        <v>-3.2875805235914601E-2</v>
      </c>
      <c r="J31" s="7">
        <v>34008210</v>
      </c>
      <c r="K31" s="8">
        <f t="shared" si="4"/>
        <v>33512366.398757879</v>
      </c>
      <c r="L31" s="9">
        <f t="shared" si="5"/>
        <v>-495843.60124212131</v>
      </c>
      <c r="M31" s="15">
        <f t="shared" si="6"/>
        <v>-1.4580114661786707E-2</v>
      </c>
    </row>
    <row r="32" spans="1:13" x14ac:dyDescent="0.2">
      <c r="A32" s="6" t="s">
        <v>33</v>
      </c>
      <c r="B32" s="7">
        <v>4498545546</v>
      </c>
      <c r="C32" s="7">
        <v>5072399122</v>
      </c>
      <c r="D32" s="18">
        <f t="shared" si="0"/>
        <v>1.1275642471843499</v>
      </c>
      <c r="E32" s="19">
        <f>'Población 2025'!E32</f>
        <v>3049889</v>
      </c>
      <c r="F32" s="8">
        <f t="shared" si="1"/>
        <v>3438945.7942808298</v>
      </c>
      <c r="G32" s="20">
        <f t="shared" si="2"/>
        <v>2.477669592313672</v>
      </c>
      <c r="H32" s="21">
        <v>2.474742</v>
      </c>
      <c r="I32" s="20">
        <f t="shared" si="3"/>
        <v>2.9275923136720117E-3</v>
      </c>
      <c r="J32" s="7">
        <v>37324271</v>
      </c>
      <c r="K32" s="8">
        <f t="shared" si="4"/>
        <v>37368424.235597812</v>
      </c>
      <c r="L32" s="9">
        <f t="shared" si="5"/>
        <v>44153.235597811639</v>
      </c>
      <c r="M32" s="15">
        <f t="shared" si="6"/>
        <v>1.1829631072449249E-3</v>
      </c>
    </row>
    <row r="33" spans="1:13" x14ac:dyDescent="0.2">
      <c r="A33" s="6" t="s">
        <v>34</v>
      </c>
      <c r="B33" s="7">
        <v>584669981</v>
      </c>
      <c r="C33" s="7">
        <v>567303935</v>
      </c>
      <c r="D33" s="18">
        <f t="shared" si="0"/>
        <v>0.97029769517104725</v>
      </c>
      <c r="E33" s="19">
        <f>'Población 2025'!E33</f>
        <v>2527009</v>
      </c>
      <c r="F33" s="8">
        <f t="shared" si="1"/>
        <v>2451951.0083764931</v>
      </c>
      <c r="G33" s="20">
        <f t="shared" si="2"/>
        <v>1.7665659241854217</v>
      </c>
      <c r="H33" s="21">
        <v>1.7879100000000001</v>
      </c>
      <c r="I33" s="20">
        <f t="shared" si="3"/>
        <v>-2.1344075814578423E-2</v>
      </c>
      <c r="J33" s="7">
        <v>26965419</v>
      </c>
      <c r="K33" s="8">
        <f t="shared" si="4"/>
        <v>26643498.027300499</v>
      </c>
      <c r="L33" s="9">
        <f t="shared" si="5"/>
        <v>-321920.97269950062</v>
      </c>
      <c r="M33" s="15">
        <f t="shared" si="6"/>
        <v>-1.1938289284490651E-2</v>
      </c>
    </row>
    <row r="34" spans="1:13" x14ac:dyDescent="0.2">
      <c r="A34" s="6" t="s">
        <v>35</v>
      </c>
      <c r="B34" s="7">
        <v>4561458079</v>
      </c>
      <c r="C34" s="7">
        <v>5005541870</v>
      </c>
      <c r="D34" s="18">
        <f t="shared" si="0"/>
        <v>1.0973556663919524</v>
      </c>
      <c r="E34" s="19">
        <f>'Población 2025'!E34</f>
        <v>3620715</v>
      </c>
      <c r="F34" s="8">
        <f t="shared" si="1"/>
        <v>3973212.1216403376</v>
      </c>
      <c r="G34" s="20">
        <f t="shared" si="2"/>
        <v>2.8625943665561757</v>
      </c>
      <c r="H34" s="21">
        <v>2.8262010000000002</v>
      </c>
      <c r="I34" s="20">
        <f t="shared" si="3"/>
        <v>3.6393366556175533E-2</v>
      </c>
      <c r="J34" s="7">
        <v>42625009</v>
      </c>
      <c r="K34" s="8">
        <f t="shared" si="4"/>
        <v>43173892.530203484</v>
      </c>
      <c r="L34" s="9">
        <f t="shared" si="5"/>
        <v>548883.530203484</v>
      </c>
      <c r="M34" s="15">
        <f t="shared" si="6"/>
        <v>1.2877030247746904E-2</v>
      </c>
    </row>
    <row r="35" spans="1:13" x14ac:dyDescent="0.2">
      <c r="A35" s="6" t="s">
        <v>36</v>
      </c>
      <c r="B35" s="7">
        <v>451672513</v>
      </c>
      <c r="C35" s="7">
        <v>461261777</v>
      </c>
      <c r="D35" s="18">
        <f t="shared" si="0"/>
        <v>1.0212305679978362</v>
      </c>
      <c r="E35" s="19">
        <f>'Población 2025'!E35</f>
        <v>1419482</v>
      </c>
      <c r="F35" s="8">
        <f t="shared" si="1"/>
        <v>1449618.4091227045</v>
      </c>
      <c r="G35" s="20">
        <f t="shared" si="2"/>
        <v>1.044411766743929</v>
      </c>
      <c r="H35" s="21">
        <v>1.0879719999999999</v>
      </c>
      <c r="I35" s="20">
        <f t="shared" si="3"/>
        <v>-4.3560233256070946E-2</v>
      </c>
      <c r="J35" s="7">
        <v>16408887</v>
      </c>
      <c r="K35" s="8">
        <f t="shared" si="4"/>
        <v>15751907.396132112</v>
      </c>
      <c r="L35" s="9">
        <f t="shared" si="5"/>
        <v>-656979.60386788845</v>
      </c>
      <c r="M35" s="15">
        <f t="shared" si="6"/>
        <v>-4.003803572222104E-2</v>
      </c>
    </row>
    <row r="36" spans="1:13" x14ac:dyDescent="0.2">
      <c r="A36" s="6" t="s">
        <v>37</v>
      </c>
      <c r="B36" s="7">
        <v>4628462870</v>
      </c>
      <c r="C36" s="7">
        <v>4968141044</v>
      </c>
      <c r="D36" s="18">
        <f t="shared" si="0"/>
        <v>1.0733889810808832</v>
      </c>
      <c r="E36" s="19">
        <f>'Población 2025'!E36</f>
        <v>7917876</v>
      </c>
      <c r="F36" s="8">
        <f t="shared" si="1"/>
        <v>8498960.8519647792</v>
      </c>
      <c r="G36" s="20">
        <f t="shared" si="2"/>
        <v>6.123276762372206</v>
      </c>
      <c r="H36" s="21">
        <v>6.2827799999999998</v>
      </c>
      <c r="I36" s="20">
        <f t="shared" si="3"/>
        <v>-0.15950323762779384</v>
      </c>
      <c r="J36" s="7">
        <v>94757425</v>
      </c>
      <c r="K36" s="8">
        <f t="shared" si="4"/>
        <v>92351782.690536514</v>
      </c>
      <c r="L36" s="9">
        <f t="shared" si="5"/>
        <v>-2405642.3094634861</v>
      </c>
      <c r="M36" s="15">
        <f t="shared" si="6"/>
        <v>-2.5387375284453815E-2</v>
      </c>
    </row>
    <row r="37" spans="1:13" x14ac:dyDescent="0.2">
      <c r="A37" s="6" t="s">
        <v>38</v>
      </c>
      <c r="B37" s="7">
        <v>1925506884</v>
      </c>
      <c r="C37" s="7">
        <v>1981620237</v>
      </c>
      <c r="D37" s="18">
        <f t="shared" si="0"/>
        <v>1.0291421201691222</v>
      </c>
      <c r="E37" s="19">
        <f>'Población 2025'!E37</f>
        <v>2506448</v>
      </c>
      <c r="F37" s="8">
        <f t="shared" si="1"/>
        <v>2579491.2088136561</v>
      </c>
      <c r="G37" s="20">
        <f t="shared" si="2"/>
        <v>1.8584552691545342</v>
      </c>
      <c r="H37" s="21">
        <v>1.78339</v>
      </c>
      <c r="I37" s="20">
        <f t="shared" si="3"/>
        <v>7.5065269154534153E-2</v>
      </c>
      <c r="J37" s="7">
        <v>26897239</v>
      </c>
      <c r="K37" s="8">
        <f t="shared" si="4"/>
        <v>28029380.969961356</v>
      </c>
      <c r="L37" s="9">
        <f t="shared" si="5"/>
        <v>1132141.9699613564</v>
      </c>
      <c r="M37" s="15">
        <f t="shared" si="6"/>
        <v>4.2091382314792841E-2</v>
      </c>
    </row>
    <row r="38" spans="1:13" x14ac:dyDescent="0.2">
      <c r="A38" s="6" t="s">
        <v>39</v>
      </c>
      <c r="B38" s="7">
        <v>1412961700</v>
      </c>
      <c r="C38" s="7">
        <v>1504822070</v>
      </c>
      <c r="D38" s="18">
        <f t="shared" si="0"/>
        <v>1.065012639762281</v>
      </c>
      <c r="E38" s="19">
        <f>'Población 2025'!E38</f>
        <v>1686419</v>
      </c>
      <c r="F38" s="8">
        <f t="shared" si="1"/>
        <v>1796057.5509352661</v>
      </c>
      <c r="G38" s="20">
        <f t="shared" si="2"/>
        <v>1.2940120159492914</v>
      </c>
      <c r="H38" s="21">
        <v>1.302851</v>
      </c>
      <c r="I38" s="20">
        <f t="shared" si="3"/>
        <v>-8.8389840507085982E-3</v>
      </c>
      <c r="J38" s="7">
        <v>19649713</v>
      </c>
      <c r="K38" s="8">
        <f t="shared" si="4"/>
        <v>19516399.655532654</v>
      </c>
      <c r="L38" s="9">
        <f t="shared" si="5"/>
        <v>-133313.34446734563</v>
      </c>
      <c r="M38" s="15">
        <f t="shared" si="6"/>
        <v>-6.784493212055852E-3</v>
      </c>
    </row>
    <row r="39" spans="1:13" x14ac:dyDescent="0.2">
      <c r="A39" s="11" t="s">
        <v>40</v>
      </c>
      <c r="B39" s="22"/>
      <c r="C39" s="22"/>
      <c r="D39" s="22"/>
      <c r="E39" s="12">
        <f t="shared" ref="E39:L39" si="7">SUM(E7:E38)</f>
        <v>130911314</v>
      </c>
      <c r="F39" s="12">
        <f t="shared" si="7"/>
        <v>138797594.51983702</v>
      </c>
      <c r="G39" s="23">
        <f t="shared" si="7"/>
        <v>100</v>
      </c>
      <c r="H39" s="23">
        <f t="shared" si="7"/>
        <v>99.999995999999996</v>
      </c>
      <c r="I39" s="23">
        <f t="shared" si="7"/>
        <v>3.9999999777995399E-6</v>
      </c>
      <c r="J39" s="12">
        <f t="shared" si="7"/>
        <v>1508208534</v>
      </c>
      <c r="K39" s="12">
        <f t="shared" si="7"/>
        <v>1508208534</v>
      </c>
      <c r="L39" s="12">
        <f t="shared" si="7"/>
        <v>-3.3527612686157227E-7</v>
      </c>
      <c r="M39" s="13">
        <f t="shared" si="6"/>
        <v>-2.2230090819892698E-16</v>
      </c>
    </row>
    <row r="41" spans="1:13" x14ac:dyDescent="0.2">
      <c r="A41" s="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Población 2025</vt:lpstr>
      <vt:lpstr>Cuadro 3</vt:lpstr>
      <vt:lpstr>Cuadro 4</vt:lpstr>
      <vt:lpstr>Cuadro 5</vt:lpstr>
      <vt:lpstr>Cuadro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ALFONSO MONTOYA AVILA</cp:lastModifiedBy>
  <cp:revision>0</cp:revision>
  <dcterms:created xsi:type="dcterms:W3CDTF">2026-09-29T14:13:56Z</dcterms:created>
  <dcterms:modified xsi:type="dcterms:W3CDTF">2026-09-29T14:20:00Z</dcterms:modified>
  <dc:language>en-US</dc:language>
</cp:coreProperties>
</file>