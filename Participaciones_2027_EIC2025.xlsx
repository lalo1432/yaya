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eduardomontoya/Downloads/Claude outputs/"/>
    </mc:Choice>
  </mc:AlternateContent>
  <xr:revisionPtr revIDLastSave="0" documentId="11_27849C56EAE8F0FE1E4980128E41F760EBC1BE8D" xr6:coauthVersionLast="47" xr6:coauthVersionMax="47" xr10:uidLastSave="{00000000-0000-0000-0000-000000000000}"/>
  <bookViews>
    <workbookView xWindow="0" yWindow="500" windowWidth="23340" windowHeight="12600" tabRatio="500" xr2:uid="{00000000-000D-0000-FFFF-FFFF00000000}"/>
  </bookViews>
  <sheets>
    <sheet name="Resumen" sheetId="1" r:id="rId1"/>
    <sheet name="Escenario ENOE 4T-2025" sheetId="2" r:id="rId2"/>
    <sheet name="Escenario ENOE 1T-2026" sheetId="3" r:id="rId3"/>
    <sheet name="Rango entre trimestres" sheetId="4" r:id="rId4"/>
    <sheet name="Evidencia ajuste 2026" sheetId="5" r:id="rId5"/>
    <sheet name="Fondos 2027" sheetId="6" r:id="rId6"/>
    <sheet name="Base 2027" sheetId="7" r:id="rId7"/>
    <sheet name="Población" sheetId="8" r:id="rId8"/>
    <sheet name="Cálculo FGP-FFM-FOFIR" sheetId="9" r:id="rId9"/>
    <sheet name="Cálculo FoCo" sheetId="10" r:id="rId10"/>
    <sheet name="Fuentes y notas" sheetId="11" r:id="rId11"/>
    <sheet name="Cálculo ajuste 2026" sheetId="12" r:id="rId12"/>
  </sheets>
  <definedNames>
    <definedName name="_xlnm._FilterDatabase" localSheetId="11" hidden="1">'Cálculo ajuste 2026'!$A$4:$AA$516</definedName>
    <definedName name="_xlnm._FilterDatabase" localSheetId="8" hidden="1">'Cálculo FGP-FFM-FOFIR'!$A$4:$AC$260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516" i="12" l="1"/>
  <c r="Q516" i="12" s="1"/>
  <c r="N516" i="12"/>
  <c r="P516" i="12" s="1"/>
  <c r="M516" i="12"/>
  <c r="P515" i="12"/>
  <c r="O515" i="12"/>
  <c r="R515" i="12" s="1"/>
  <c r="N515" i="12"/>
  <c r="M515" i="12"/>
  <c r="Q514" i="12"/>
  <c r="P514" i="12"/>
  <c r="O514" i="12"/>
  <c r="R514" i="12" s="1"/>
  <c r="N514" i="12"/>
  <c r="M514" i="12"/>
  <c r="R513" i="12"/>
  <c r="Q513" i="12"/>
  <c r="O513" i="12"/>
  <c r="N513" i="12"/>
  <c r="P513" i="12" s="1"/>
  <c r="M513" i="12"/>
  <c r="O512" i="12"/>
  <c r="N512" i="12"/>
  <c r="P512" i="12" s="1"/>
  <c r="M512" i="12"/>
  <c r="P511" i="12"/>
  <c r="O511" i="12"/>
  <c r="R511" i="12" s="1"/>
  <c r="N511" i="12"/>
  <c r="M511" i="12"/>
  <c r="Q510" i="12"/>
  <c r="P510" i="12"/>
  <c r="O510" i="12"/>
  <c r="R510" i="12" s="1"/>
  <c r="N510" i="12"/>
  <c r="M510" i="12"/>
  <c r="R509" i="12"/>
  <c r="Q509" i="12"/>
  <c r="O509" i="12"/>
  <c r="N509" i="12"/>
  <c r="P509" i="12" s="1"/>
  <c r="M509" i="12"/>
  <c r="O508" i="12"/>
  <c r="N508" i="12"/>
  <c r="P508" i="12" s="1"/>
  <c r="M508" i="12"/>
  <c r="P507" i="12"/>
  <c r="O507" i="12"/>
  <c r="R507" i="12" s="1"/>
  <c r="N507" i="12"/>
  <c r="M507" i="12"/>
  <c r="Q506" i="12"/>
  <c r="P506" i="12"/>
  <c r="O506" i="12"/>
  <c r="R506" i="12" s="1"/>
  <c r="N506" i="12"/>
  <c r="M506" i="12"/>
  <c r="R505" i="12"/>
  <c r="Q505" i="12"/>
  <c r="O505" i="12"/>
  <c r="N505" i="12"/>
  <c r="P505" i="12" s="1"/>
  <c r="M505" i="12"/>
  <c r="O504" i="12"/>
  <c r="N504" i="12"/>
  <c r="P504" i="12" s="1"/>
  <c r="M504" i="12"/>
  <c r="P503" i="12"/>
  <c r="O503" i="12"/>
  <c r="R503" i="12" s="1"/>
  <c r="N503" i="12"/>
  <c r="M503" i="12"/>
  <c r="Q502" i="12"/>
  <c r="P502" i="12"/>
  <c r="O502" i="12"/>
  <c r="R502" i="12" s="1"/>
  <c r="N502" i="12"/>
  <c r="M502" i="12"/>
  <c r="R501" i="12"/>
  <c r="Q501" i="12"/>
  <c r="O501" i="12"/>
  <c r="N501" i="12"/>
  <c r="P501" i="12" s="1"/>
  <c r="M501" i="12"/>
  <c r="O500" i="12"/>
  <c r="N500" i="12"/>
  <c r="P500" i="12" s="1"/>
  <c r="M500" i="12"/>
  <c r="P499" i="12"/>
  <c r="O499" i="12"/>
  <c r="R499" i="12" s="1"/>
  <c r="N499" i="12"/>
  <c r="M499" i="12"/>
  <c r="Q498" i="12"/>
  <c r="P498" i="12"/>
  <c r="O498" i="12"/>
  <c r="R498" i="12" s="1"/>
  <c r="N498" i="12"/>
  <c r="M498" i="12"/>
  <c r="R497" i="12"/>
  <c r="Q497" i="12"/>
  <c r="O497" i="12"/>
  <c r="N497" i="12"/>
  <c r="P497" i="12" s="1"/>
  <c r="M497" i="12"/>
  <c r="O496" i="12"/>
  <c r="N496" i="12"/>
  <c r="P496" i="12" s="1"/>
  <c r="M496" i="12"/>
  <c r="P495" i="12"/>
  <c r="O495" i="12"/>
  <c r="R495" i="12" s="1"/>
  <c r="N495" i="12"/>
  <c r="M495" i="12"/>
  <c r="Q494" i="12"/>
  <c r="P494" i="12"/>
  <c r="O494" i="12"/>
  <c r="R494" i="12" s="1"/>
  <c r="N494" i="12"/>
  <c r="M494" i="12"/>
  <c r="R493" i="12"/>
  <c r="Q493" i="12"/>
  <c r="O493" i="12"/>
  <c r="N493" i="12"/>
  <c r="P493" i="12" s="1"/>
  <c r="M493" i="12"/>
  <c r="O492" i="12"/>
  <c r="N492" i="12"/>
  <c r="P492" i="12" s="1"/>
  <c r="M492" i="12"/>
  <c r="P491" i="12"/>
  <c r="O491" i="12"/>
  <c r="R491" i="12" s="1"/>
  <c r="N491" i="12"/>
  <c r="M491" i="12"/>
  <c r="Q490" i="12"/>
  <c r="P490" i="12"/>
  <c r="O490" i="12"/>
  <c r="R490" i="12" s="1"/>
  <c r="N490" i="12"/>
  <c r="M490" i="12"/>
  <c r="R489" i="12"/>
  <c r="Q489" i="12"/>
  <c r="O489" i="12"/>
  <c r="N489" i="12"/>
  <c r="P489" i="12" s="1"/>
  <c r="M489" i="12"/>
  <c r="O488" i="12"/>
  <c r="N488" i="12"/>
  <c r="P488" i="12" s="1"/>
  <c r="M488" i="12"/>
  <c r="P487" i="12"/>
  <c r="O487" i="12"/>
  <c r="N487" i="12"/>
  <c r="M487" i="12"/>
  <c r="Q486" i="12"/>
  <c r="P486" i="12"/>
  <c r="O486" i="12"/>
  <c r="R486" i="12" s="1"/>
  <c r="N486" i="12"/>
  <c r="M486" i="12"/>
  <c r="R485" i="12"/>
  <c r="Q485" i="12"/>
  <c r="O485" i="12"/>
  <c r="N485" i="12"/>
  <c r="P485" i="12" s="1"/>
  <c r="M485" i="12"/>
  <c r="O484" i="12"/>
  <c r="N484" i="12"/>
  <c r="P484" i="12" s="1"/>
  <c r="M484" i="12"/>
  <c r="Q483" i="12"/>
  <c r="O483" i="12"/>
  <c r="R483" i="12" s="1"/>
  <c r="N483" i="12"/>
  <c r="P483" i="12" s="1"/>
  <c r="M483" i="12"/>
  <c r="R482" i="12"/>
  <c r="P482" i="12"/>
  <c r="O482" i="12"/>
  <c r="Q482" i="12" s="1"/>
  <c r="N482" i="12"/>
  <c r="M482" i="12"/>
  <c r="P481" i="12"/>
  <c r="O481" i="12"/>
  <c r="N481" i="12"/>
  <c r="M481" i="12"/>
  <c r="R480" i="12"/>
  <c r="Q480" i="12"/>
  <c r="P480" i="12"/>
  <c r="O480" i="12"/>
  <c r="N480" i="12"/>
  <c r="M480" i="12"/>
  <c r="R479" i="12"/>
  <c r="Q479" i="12"/>
  <c r="O479" i="12"/>
  <c r="N479" i="12"/>
  <c r="P479" i="12" s="1"/>
  <c r="M479" i="12"/>
  <c r="P478" i="12"/>
  <c r="O478" i="12"/>
  <c r="Q478" i="12" s="1"/>
  <c r="N478" i="12"/>
  <c r="M478" i="12"/>
  <c r="Q477" i="12"/>
  <c r="P477" i="12"/>
  <c r="O477" i="12"/>
  <c r="R477" i="12" s="1"/>
  <c r="N477" i="12"/>
  <c r="M477" i="12"/>
  <c r="R476" i="12"/>
  <c r="Q476" i="12"/>
  <c r="O476" i="12"/>
  <c r="N476" i="12"/>
  <c r="P476" i="12" s="1"/>
  <c r="M476" i="12"/>
  <c r="O475" i="12"/>
  <c r="N475" i="12"/>
  <c r="P475" i="12" s="1"/>
  <c r="M475" i="12"/>
  <c r="R474" i="12"/>
  <c r="O474" i="12"/>
  <c r="Q474" i="12" s="1"/>
  <c r="N474" i="12"/>
  <c r="P474" i="12" s="1"/>
  <c r="M474" i="12"/>
  <c r="P473" i="12"/>
  <c r="O473" i="12"/>
  <c r="N473" i="12"/>
  <c r="M473" i="12"/>
  <c r="R472" i="12"/>
  <c r="Q472" i="12"/>
  <c r="O472" i="12"/>
  <c r="N472" i="12"/>
  <c r="P472" i="12" s="1"/>
  <c r="M472" i="12"/>
  <c r="R471" i="12"/>
  <c r="Q471" i="12"/>
  <c r="O471" i="12"/>
  <c r="N471" i="12"/>
  <c r="P471" i="12" s="1"/>
  <c r="M471" i="12"/>
  <c r="O470" i="12"/>
  <c r="N470" i="12"/>
  <c r="P470" i="12" s="1"/>
  <c r="M470" i="12"/>
  <c r="Q469" i="12"/>
  <c r="P469" i="12"/>
  <c r="O469" i="12"/>
  <c r="R469" i="12" s="1"/>
  <c r="N469" i="12"/>
  <c r="M469" i="12"/>
  <c r="R468" i="12"/>
  <c r="Q468" i="12"/>
  <c r="O468" i="12"/>
  <c r="N468" i="12"/>
  <c r="P468" i="12" s="1"/>
  <c r="M468" i="12"/>
  <c r="O467" i="12"/>
  <c r="N467" i="12"/>
  <c r="P467" i="12" s="1"/>
  <c r="M467" i="12"/>
  <c r="R466" i="12"/>
  <c r="P466" i="12"/>
  <c r="O466" i="12"/>
  <c r="Q466" i="12" s="1"/>
  <c r="N466" i="12"/>
  <c r="M466" i="12"/>
  <c r="Q465" i="12"/>
  <c r="P465" i="12"/>
  <c r="O465" i="12"/>
  <c r="R465" i="12" s="1"/>
  <c r="N465" i="12"/>
  <c r="M465" i="12"/>
  <c r="R464" i="12"/>
  <c r="Q464" i="12"/>
  <c r="O464" i="12"/>
  <c r="N464" i="12"/>
  <c r="P464" i="12" s="1"/>
  <c r="M464" i="12"/>
  <c r="R463" i="12"/>
  <c r="Q463" i="12"/>
  <c r="O463" i="12"/>
  <c r="N463" i="12"/>
  <c r="P463" i="12" s="1"/>
  <c r="M463" i="12"/>
  <c r="O462" i="12"/>
  <c r="N462" i="12"/>
  <c r="P462" i="12" s="1"/>
  <c r="M462" i="12"/>
  <c r="Q461" i="12"/>
  <c r="P461" i="12"/>
  <c r="O461" i="12"/>
  <c r="R461" i="12" s="1"/>
  <c r="N461" i="12"/>
  <c r="M461" i="12"/>
  <c r="R460" i="12"/>
  <c r="Q460" i="12"/>
  <c r="O460" i="12"/>
  <c r="N460" i="12"/>
  <c r="P460" i="12" s="1"/>
  <c r="M460" i="12"/>
  <c r="O459" i="12"/>
  <c r="N459" i="12"/>
  <c r="P459" i="12" s="1"/>
  <c r="M459" i="12"/>
  <c r="R458" i="12"/>
  <c r="O458" i="12"/>
  <c r="Q458" i="12" s="1"/>
  <c r="N458" i="12"/>
  <c r="P458" i="12" s="1"/>
  <c r="M458" i="12"/>
  <c r="R457" i="12"/>
  <c r="Q457" i="12"/>
  <c r="O457" i="12"/>
  <c r="N457" i="12"/>
  <c r="P457" i="12" s="1"/>
  <c r="M457" i="12"/>
  <c r="O456" i="12"/>
  <c r="N456" i="12"/>
  <c r="P456" i="12" s="1"/>
  <c r="M456" i="12"/>
  <c r="R455" i="12"/>
  <c r="O455" i="12"/>
  <c r="Q455" i="12" s="1"/>
  <c r="N455" i="12"/>
  <c r="P455" i="12" s="1"/>
  <c r="M455" i="12"/>
  <c r="P454" i="12"/>
  <c r="O454" i="12"/>
  <c r="N454" i="12"/>
  <c r="M454" i="12"/>
  <c r="R453" i="12"/>
  <c r="Q453" i="12"/>
  <c r="O453" i="12"/>
  <c r="N453" i="12"/>
  <c r="P453" i="12" s="1"/>
  <c r="M453" i="12"/>
  <c r="R452" i="12"/>
  <c r="Q452" i="12"/>
  <c r="O452" i="12"/>
  <c r="N452" i="12"/>
  <c r="P452" i="12" s="1"/>
  <c r="M452" i="12"/>
  <c r="O451" i="12"/>
  <c r="N451" i="12"/>
  <c r="P451" i="12" s="1"/>
  <c r="M451" i="12"/>
  <c r="Q450" i="12"/>
  <c r="P450" i="12"/>
  <c r="O450" i="12"/>
  <c r="R450" i="12" s="1"/>
  <c r="N450" i="12"/>
  <c r="M450" i="12"/>
  <c r="R449" i="12"/>
  <c r="Q449" i="12"/>
  <c r="O449" i="12"/>
  <c r="N449" i="12"/>
  <c r="P449" i="12" s="1"/>
  <c r="M449" i="12"/>
  <c r="O448" i="12"/>
  <c r="N448" i="12"/>
  <c r="P448" i="12" s="1"/>
  <c r="M448" i="12"/>
  <c r="P447" i="12"/>
  <c r="O447" i="12"/>
  <c r="N447" i="12"/>
  <c r="M447" i="12"/>
  <c r="P446" i="12"/>
  <c r="O446" i="12"/>
  <c r="N446" i="12"/>
  <c r="M446" i="12"/>
  <c r="R445" i="12"/>
  <c r="Q445" i="12"/>
  <c r="O445" i="12"/>
  <c r="N445" i="12"/>
  <c r="P445" i="12" s="1"/>
  <c r="M445" i="12"/>
  <c r="R444" i="12"/>
  <c r="Q444" i="12"/>
  <c r="O444" i="12"/>
  <c r="N444" i="12"/>
  <c r="P444" i="12" s="1"/>
  <c r="M444" i="12"/>
  <c r="R443" i="12"/>
  <c r="O443" i="12"/>
  <c r="Q443" i="12" s="1"/>
  <c r="N443" i="12"/>
  <c r="P443" i="12" s="1"/>
  <c r="M443" i="12"/>
  <c r="Q442" i="12"/>
  <c r="P442" i="12"/>
  <c r="O442" i="12"/>
  <c r="R442" i="12" s="1"/>
  <c r="N442" i="12"/>
  <c r="M442" i="12"/>
  <c r="R441" i="12"/>
  <c r="Q441" i="12"/>
  <c r="P441" i="12"/>
  <c r="O441" i="12"/>
  <c r="N441" i="12"/>
  <c r="M441" i="12"/>
  <c r="R440" i="12"/>
  <c r="O440" i="12"/>
  <c r="Q440" i="12" s="1"/>
  <c r="N440" i="12"/>
  <c r="P440" i="12" s="1"/>
  <c r="M440" i="12"/>
  <c r="R439" i="12"/>
  <c r="Q439" i="12"/>
  <c r="O439" i="12"/>
  <c r="N439" i="12"/>
  <c r="P439" i="12" s="1"/>
  <c r="M439" i="12"/>
  <c r="Q438" i="12"/>
  <c r="O438" i="12"/>
  <c r="R438" i="12" s="1"/>
  <c r="N438" i="12"/>
  <c r="P438" i="12" s="1"/>
  <c r="M438" i="12"/>
  <c r="R437" i="12"/>
  <c r="O437" i="12"/>
  <c r="Q437" i="12" s="1"/>
  <c r="N437" i="12"/>
  <c r="P437" i="12" s="1"/>
  <c r="M437" i="12"/>
  <c r="Q436" i="12"/>
  <c r="P436" i="12"/>
  <c r="O436" i="12"/>
  <c r="R436" i="12" s="1"/>
  <c r="N436" i="12"/>
  <c r="M436" i="12"/>
  <c r="R435" i="12"/>
  <c r="Q435" i="12"/>
  <c r="P435" i="12"/>
  <c r="O435" i="12"/>
  <c r="N435" i="12"/>
  <c r="M435" i="12"/>
  <c r="R434" i="12"/>
  <c r="Q434" i="12"/>
  <c r="O434" i="12"/>
  <c r="N434" i="12"/>
  <c r="P434" i="12" s="1"/>
  <c r="M434" i="12"/>
  <c r="P433" i="12"/>
  <c r="O433" i="12"/>
  <c r="N433" i="12"/>
  <c r="M433" i="12"/>
  <c r="P432" i="12"/>
  <c r="O432" i="12"/>
  <c r="N432" i="12"/>
  <c r="M432" i="12"/>
  <c r="R431" i="12"/>
  <c r="Q431" i="12"/>
  <c r="O431" i="12"/>
  <c r="N431" i="12"/>
  <c r="P431" i="12" s="1"/>
  <c r="M431" i="12"/>
  <c r="O430" i="12"/>
  <c r="R430" i="12" s="1"/>
  <c r="N430" i="12"/>
  <c r="P430" i="12" s="1"/>
  <c r="M430" i="12"/>
  <c r="R429" i="12"/>
  <c r="O429" i="12"/>
  <c r="Q429" i="12" s="1"/>
  <c r="N429" i="12"/>
  <c r="P429" i="12" s="1"/>
  <c r="M429" i="12"/>
  <c r="Q428" i="12"/>
  <c r="P428" i="12"/>
  <c r="O428" i="12"/>
  <c r="R428" i="12" s="1"/>
  <c r="N428" i="12"/>
  <c r="M428" i="12"/>
  <c r="R427" i="12"/>
  <c r="Q427" i="12"/>
  <c r="P427" i="12"/>
  <c r="O427" i="12"/>
  <c r="N427" i="12"/>
  <c r="M427" i="12"/>
  <c r="R426" i="12"/>
  <c r="Q426" i="12"/>
  <c r="O426" i="12"/>
  <c r="N426" i="12"/>
  <c r="P426" i="12" s="1"/>
  <c r="M426" i="12"/>
  <c r="P425" i="12"/>
  <c r="O425" i="12"/>
  <c r="N425" i="12"/>
  <c r="M425" i="12"/>
  <c r="P424" i="12"/>
  <c r="O424" i="12"/>
  <c r="N424" i="12"/>
  <c r="M424" i="12"/>
  <c r="R423" i="12"/>
  <c r="Q423" i="12"/>
  <c r="O423" i="12"/>
  <c r="N423" i="12"/>
  <c r="P423" i="12" s="1"/>
  <c r="M423" i="12"/>
  <c r="O422" i="12"/>
  <c r="R422" i="12" s="1"/>
  <c r="N422" i="12"/>
  <c r="P422" i="12" s="1"/>
  <c r="M422" i="12"/>
  <c r="R421" i="12"/>
  <c r="O421" i="12"/>
  <c r="Q421" i="12" s="1"/>
  <c r="N421" i="12"/>
  <c r="P421" i="12" s="1"/>
  <c r="M421" i="12"/>
  <c r="Q420" i="12"/>
  <c r="P420" i="12"/>
  <c r="O420" i="12"/>
  <c r="R420" i="12" s="1"/>
  <c r="N420" i="12"/>
  <c r="M420" i="12"/>
  <c r="R419" i="12"/>
  <c r="Q419" i="12"/>
  <c r="P419" i="12"/>
  <c r="O419" i="12"/>
  <c r="N419" i="12"/>
  <c r="M419" i="12"/>
  <c r="R418" i="12"/>
  <c r="Q418" i="12"/>
  <c r="O418" i="12"/>
  <c r="N418" i="12"/>
  <c r="P418" i="12" s="1"/>
  <c r="M418" i="12"/>
  <c r="P417" i="12"/>
  <c r="O417" i="12"/>
  <c r="N417" i="12"/>
  <c r="M417" i="12"/>
  <c r="P416" i="12"/>
  <c r="O416" i="12"/>
  <c r="N416" i="12"/>
  <c r="M416" i="12"/>
  <c r="R415" i="12"/>
  <c r="Q415" i="12"/>
  <c r="O415" i="12"/>
  <c r="N415" i="12"/>
  <c r="P415" i="12" s="1"/>
  <c r="M415" i="12"/>
  <c r="O414" i="12"/>
  <c r="N414" i="12"/>
  <c r="P414" i="12" s="1"/>
  <c r="M414" i="12"/>
  <c r="R413" i="12"/>
  <c r="O413" i="12"/>
  <c r="Q413" i="12" s="1"/>
  <c r="N413" i="12"/>
  <c r="P413" i="12" s="1"/>
  <c r="M413" i="12"/>
  <c r="Q412" i="12"/>
  <c r="P412" i="12"/>
  <c r="O412" i="12"/>
  <c r="R412" i="12" s="1"/>
  <c r="N412" i="12"/>
  <c r="M412" i="12"/>
  <c r="R411" i="12"/>
  <c r="Q411" i="12"/>
  <c r="P411" i="12"/>
  <c r="O411" i="12"/>
  <c r="N411" i="12"/>
  <c r="M411" i="12"/>
  <c r="R410" i="12"/>
  <c r="Q410" i="12"/>
  <c r="O410" i="12"/>
  <c r="N410" i="12"/>
  <c r="P410" i="12" s="1"/>
  <c r="M410" i="12"/>
  <c r="P409" i="12"/>
  <c r="O409" i="12"/>
  <c r="N409" i="12"/>
  <c r="M409" i="12"/>
  <c r="P408" i="12"/>
  <c r="O408" i="12"/>
  <c r="N408" i="12"/>
  <c r="M408" i="12"/>
  <c r="R407" i="12"/>
  <c r="Q407" i="12"/>
  <c r="O407" i="12"/>
  <c r="N407" i="12"/>
  <c r="P407" i="12" s="1"/>
  <c r="M407" i="12"/>
  <c r="O406" i="12"/>
  <c r="R406" i="12" s="1"/>
  <c r="N406" i="12"/>
  <c r="P406" i="12" s="1"/>
  <c r="M406" i="12"/>
  <c r="R405" i="12"/>
  <c r="O405" i="12"/>
  <c r="Q405" i="12" s="1"/>
  <c r="N405" i="12"/>
  <c r="P405" i="12" s="1"/>
  <c r="M405" i="12"/>
  <c r="Q404" i="12"/>
  <c r="P404" i="12"/>
  <c r="O404" i="12"/>
  <c r="R404" i="12" s="1"/>
  <c r="N404" i="12"/>
  <c r="M404" i="12"/>
  <c r="R403" i="12"/>
  <c r="Q403" i="12"/>
  <c r="P403" i="12"/>
  <c r="O403" i="12"/>
  <c r="N403" i="12"/>
  <c r="M403" i="12"/>
  <c r="R402" i="12"/>
  <c r="Q402" i="12"/>
  <c r="O402" i="12"/>
  <c r="N402" i="12"/>
  <c r="P402" i="12" s="1"/>
  <c r="M402" i="12"/>
  <c r="P401" i="12"/>
  <c r="O401" i="12"/>
  <c r="N401" i="12"/>
  <c r="M401" i="12"/>
  <c r="P400" i="12"/>
  <c r="O400" i="12"/>
  <c r="N400" i="12"/>
  <c r="M400" i="12"/>
  <c r="R399" i="12"/>
  <c r="Q399" i="12"/>
  <c r="O399" i="12"/>
  <c r="N399" i="12"/>
  <c r="P399" i="12" s="1"/>
  <c r="M399" i="12"/>
  <c r="O398" i="12"/>
  <c r="N398" i="12"/>
  <c r="P398" i="12" s="1"/>
  <c r="M398" i="12"/>
  <c r="R397" i="12"/>
  <c r="O397" i="12"/>
  <c r="Q397" i="12" s="1"/>
  <c r="N397" i="12"/>
  <c r="P397" i="12" s="1"/>
  <c r="M397" i="12"/>
  <c r="Q396" i="12"/>
  <c r="P396" i="12"/>
  <c r="O396" i="12"/>
  <c r="R396" i="12" s="1"/>
  <c r="N396" i="12"/>
  <c r="M396" i="12"/>
  <c r="P395" i="12"/>
  <c r="O395" i="12"/>
  <c r="N395" i="12"/>
  <c r="M395" i="12"/>
  <c r="Q394" i="12"/>
  <c r="P394" i="12"/>
  <c r="O394" i="12"/>
  <c r="R394" i="12" s="1"/>
  <c r="N394" i="12"/>
  <c r="M394" i="12"/>
  <c r="R393" i="12"/>
  <c r="Q393" i="12"/>
  <c r="O393" i="12"/>
  <c r="N393" i="12"/>
  <c r="P393" i="12" s="1"/>
  <c r="M393" i="12"/>
  <c r="O392" i="12"/>
  <c r="N392" i="12"/>
  <c r="P392" i="12" s="1"/>
  <c r="M392" i="12"/>
  <c r="P391" i="12"/>
  <c r="O391" i="12"/>
  <c r="N391" i="12"/>
  <c r="M391" i="12"/>
  <c r="Q390" i="12"/>
  <c r="P390" i="12"/>
  <c r="O390" i="12"/>
  <c r="R390" i="12" s="1"/>
  <c r="N390" i="12"/>
  <c r="M390" i="12"/>
  <c r="R389" i="12"/>
  <c r="Q389" i="12"/>
  <c r="O389" i="12"/>
  <c r="N389" i="12"/>
  <c r="P389" i="12" s="1"/>
  <c r="M389" i="12"/>
  <c r="O388" i="12"/>
  <c r="N388" i="12"/>
  <c r="P388" i="12" s="1"/>
  <c r="M388" i="12"/>
  <c r="P387" i="12"/>
  <c r="O387" i="12"/>
  <c r="N387" i="12"/>
  <c r="M387" i="12"/>
  <c r="Q386" i="12"/>
  <c r="P386" i="12"/>
  <c r="O386" i="12"/>
  <c r="R386" i="12" s="1"/>
  <c r="N386" i="12"/>
  <c r="M386" i="12"/>
  <c r="R385" i="12"/>
  <c r="Q385" i="12"/>
  <c r="O385" i="12"/>
  <c r="N385" i="12"/>
  <c r="P385" i="12" s="1"/>
  <c r="M385" i="12"/>
  <c r="O384" i="12"/>
  <c r="N384" i="12"/>
  <c r="P384" i="12" s="1"/>
  <c r="M384" i="12"/>
  <c r="P383" i="12"/>
  <c r="O383" i="12"/>
  <c r="N383" i="12"/>
  <c r="M383" i="12"/>
  <c r="Q382" i="12"/>
  <c r="P382" i="12"/>
  <c r="O382" i="12"/>
  <c r="R382" i="12" s="1"/>
  <c r="N382" i="12"/>
  <c r="M382" i="12"/>
  <c r="R381" i="12"/>
  <c r="Q381" i="12"/>
  <c r="O381" i="12"/>
  <c r="N381" i="12"/>
  <c r="P381" i="12" s="1"/>
  <c r="M381" i="12"/>
  <c r="O380" i="12"/>
  <c r="N380" i="12"/>
  <c r="P380" i="12" s="1"/>
  <c r="M380" i="12"/>
  <c r="P379" i="12"/>
  <c r="O379" i="12"/>
  <c r="N379" i="12"/>
  <c r="M379" i="12"/>
  <c r="Q378" i="12"/>
  <c r="P378" i="12"/>
  <c r="O378" i="12"/>
  <c r="R378" i="12" s="1"/>
  <c r="N378" i="12"/>
  <c r="M378" i="12"/>
  <c r="R377" i="12"/>
  <c r="Q377" i="12"/>
  <c r="P377" i="12"/>
  <c r="O377" i="12"/>
  <c r="N377" i="12"/>
  <c r="M377" i="12"/>
  <c r="R376" i="12"/>
  <c r="O376" i="12"/>
  <c r="Q376" i="12" s="1"/>
  <c r="N376" i="12"/>
  <c r="P376" i="12" s="1"/>
  <c r="M376" i="12"/>
  <c r="R375" i="12"/>
  <c r="P375" i="12"/>
  <c r="O375" i="12"/>
  <c r="Q375" i="12" s="1"/>
  <c r="N375" i="12"/>
  <c r="M375" i="12"/>
  <c r="P374" i="12"/>
  <c r="O374" i="12"/>
  <c r="N374" i="12"/>
  <c r="M374" i="12"/>
  <c r="R373" i="12"/>
  <c r="Q373" i="12"/>
  <c r="O373" i="12"/>
  <c r="N373" i="12"/>
  <c r="P373" i="12" s="1"/>
  <c r="M373" i="12"/>
  <c r="O372" i="12"/>
  <c r="N372" i="12"/>
  <c r="P372" i="12" s="1"/>
  <c r="M372" i="12"/>
  <c r="O371" i="12"/>
  <c r="N371" i="12"/>
  <c r="P371" i="12" s="1"/>
  <c r="M371" i="12"/>
  <c r="Q370" i="12"/>
  <c r="P370" i="12"/>
  <c r="O370" i="12"/>
  <c r="R370" i="12" s="1"/>
  <c r="N370" i="12"/>
  <c r="M370" i="12"/>
  <c r="R369" i="12"/>
  <c r="Q369" i="12"/>
  <c r="O369" i="12"/>
  <c r="N369" i="12"/>
  <c r="P369" i="12" s="1"/>
  <c r="M369" i="12"/>
  <c r="Q368" i="12"/>
  <c r="O368" i="12"/>
  <c r="R368" i="12" s="1"/>
  <c r="N368" i="12"/>
  <c r="P368" i="12" s="1"/>
  <c r="M368" i="12"/>
  <c r="R367" i="12"/>
  <c r="O367" i="12"/>
  <c r="Q367" i="12" s="1"/>
  <c r="N367" i="12"/>
  <c r="P367" i="12" s="1"/>
  <c r="M367" i="12"/>
  <c r="Q366" i="12"/>
  <c r="P366" i="12"/>
  <c r="O366" i="12"/>
  <c r="R366" i="12" s="1"/>
  <c r="N366" i="12"/>
  <c r="M366" i="12"/>
  <c r="R365" i="12"/>
  <c r="Q365" i="12"/>
  <c r="P365" i="12"/>
  <c r="O365" i="12"/>
  <c r="N365" i="12"/>
  <c r="M365" i="12"/>
  <c r="R364" i="12"/>
  <c r="Q364" i="12"/>
  <c r="O364" i="12"/>
  <c r="N364" i="12"/>
  <c r="P364" i="12" s="1"/>
  <c r="M364" i="12"/>
  <c r="P363" i="12"/>
  <c r="O363" i="12"/>
  <c r="N363" i="12"/>
  <c r="M363" i="12"/>
  <c r="P362" i="12"/>
  <c r="O362" i="12"/>
  <c r="N362" i="12"/>
  <c r="M362" i="12"/>
  <c r="R361" i="12"/>
  <c r="Q361" i="12"/>
  <c r="O361" i="12"/>
  <c r="N361" i="12"/>
  <c r="P361" i="12" s="1"/>
  <c r="M361" i="12"/>
  <c r="O360" i="12"/>
  <c r="R360" i="12" s="1"/>
  <c r="N360" i="12"/>
  <c r="P360" i="12" s="1"/>
  <c r="M360" i="12"/>
  <c r="R359" i="12"/>
  <c r="O359" i="12"/>
  <c r="Q359" i="12" s="1"/>
  <c r="N359" i="12"/>
  <c r="P359" i="12" s="1"/>
  <c r="M359" i="12"/>
  <c r="Q358" i="12"/>
  <c r="P358" i="12"/>
  <c r="O358" i="12"/>
  <c r="R358" i="12" s="1"/>
  <c r="N358" i="12"/>
  <c r="M358" i="12"/>
  <c r="R357" i="12"/>
  <c r="Q357" i="12"/>
  <c r="P357" i="12"/>
  <c r="O357" i="12"/>
  <c r="N357" i="12"/>
  <c r="M357" i="12"/>
  <c r="R356" i="12"/>
  <c r="Q356" i="12"/>
  <c r="O356" i="12"/>
  <c r="N356" i="12"/>
  <c r="P356" i="12" s="1"/>
  <c r="M356" i="12"/>
  <c r="P355" i="12"/>
  <c r="O355" i="12"/>
  <c r="N355" i="12"/>
  <c r="M355" i="12"/>
  <c r="P354" i="12"/>
  <c r="O354" i="12"/>
  <c r="N354" i="12"/>
  <c r="M354" i="12"/>
  <c r="R353" i="12"/>
  <c r="Q353" i="12"/>
  <c r="O353" i="12"/>
  <c r="N353" i="12"/>
  <c r="P353" i="12" s="1"/>
  <c r="M353" i="12"/>
  <c r="Q352" i="12"/>
  <c r="O352" i="12"/>
  <c r="R352" i="12" s="1"/>
  <c r="N352" i="12"/>
  <c r="P352" i="12" s="1"/>
  <c r="M352" i="12"/>
  <c r="R351" i="12"/>
  <c r="O351" i="12"/>
  <c r="Q351" i="12" s="1"/>
  <c r="N351" i="12"/>
  <c r="P351" i="12" s="1"/>
  <c r="M351" i="12"/>
  <c r="Q350" i="12"/>
  <c r="P350" i="12"/>
  <c r="O350" i="12"/>
  <c r="R350" i="12" s="1"/>
  <c r="N350" i="12"/>
  <c r="M350" i="12"/>
  <c r="R349" i="12"/>
  <c r="Q349" i="12"/>
  <c r="P349" i="12"/>
  <c r="O349" i="12"/>
  <c r="N349" i="12"/>
  <c r="M349" i="12"/>
  <c r="R348" i="12"/>
  <c r="Q348" i="12"/>
  <c r="O348" i="12"/>
  <c r="N348" i="12"/>
  <c r="P348" i="12" s="1"/>
  <c r="M348" i="12"/>
  <c r="P347" i="12"/>
  <c r="O347" i="12"/>
  <c r="N347" i="12"/>
  <c r="M347" i="12"/>
  <c r="P346" i="12"/>
  <c r="O346" i="12"/>
  <c r="N346" i="12"/>
  <c r="M346" i="12"/>
  <c r="R345" i="12"/>
  <c r="Q345" i="12"/>
  <c r="O345" i="12"/>
  <c r="N345" i="12"/>
  <c r="P345" i="12" s="1"/>
  <c r="M345" i="12"/>
  <c r="O344" i="12"/>
  <c r="R344" i="12" s="1"/>
  <c r="N344" i="12"/>
  <c r="P344" i="12" s="1"/>
  <c r="M344" i="12"/>
  <c r="R343" i="12"/>
  <c r="O343" i="12"/>
  <c r="Q343" i="12" s="1"/>
  <c r="N343" i="12"/>
  <c r="P343" i="12" s="1"/>
  <c r="M343" i="12"/>
  <c r="Q342" i="12"/>
  <c r="P342" i="12"/>
  <c r="O342" i="12"/>
  <c r="R342" i="12" s="1"/>
  <c r="N342" i="12"/>
  <c r="M342" i="12"/>
  <c r="R341" i="12"/>
  <c r="Q341" i="12"/>
  <c r="P341" i="12"/>
  <c r="O341" i="12"/>
  <c r="N341" i="12"/>
  <c r="M341" i="12"/>
  <c r="R340" i="12"/>
  <c r="Q340" i="12"/>
  <c r="O340" i="12"/>
  <c r="N340" i="12"/>
  <c r="P340" i="12" s="1"/>
  <c r="M340" i="12"/>
  <c r="P339" i="12"/>
  <c r="O339" i="12"/>
  <c r="N339" i="12"/>
  <c r="M339" i="12"/>
  <c r="P338" i="12"/>
  <c r="O338" i="12"/>
  <c r="N338" i="12"/>
  <c r="M338" i="12"/>
  <c r="R337" i="12"/>
  <c r="Q337" i="12"/>
  <c r="O337" i="12"/>
  <c r="N337" i="12"/>
  <c r="P337" i="12" s="1"/>
  <c r="M337" i="12"/>
  <c r="Q336" i="12"/>
  <c r="O336" i="12"/>
  <c r="R336" i="12" s="1"/>
  <c r="N336" i="12"/>
  <c r="P336" i="12" s="1"/>
  <c r="M336" i="12"/>
  <c r="R335" i="12"/>
  <c r="O335" i="12"/>
  <c r="Q335" i="12" s="1"/>
  <c r="N335" i="12"/>
  <c r="P335" i="12" s="1"/>
  <c r="M335" i="12"/>
  <c r="Q334" i="12"/>
  <c r="P334" i="12"/>
  <c r="O334" i="12"/>
  <c r="R334" i="12" s="1"/>
  <c r="N334" i="12"/>
  <c r="M334" i="12"/>
  <c r="R333" i="12"/>
  <c r="Q333" i="12"/>
  <c r="P333" i="12"/>
  <c r="O333" i="12"/>
  <c r="N333" i="12"/>
  <c r="M333" i="12"/>
  <c r="R332" i="12"/>
  <c r="O332" i="12"/>
  <c r="Q332" i="12" s="1"/>
  <c r="N332" i="12"/>
  <c r="P332" i="12" s="1"/>
  <c r="M332" i="12"/>
  <c r="P331" i="12"/>
  <c r="O331" i="12"/>
  <c r="N331" i="12"/>
  <c r="M331" i="12"/>
  <c r="P330" i="12"/>
  <c r="O330" i="12"/>
  <c r="N330" i="12"/>
  <c r="M330" i="12"/>
  <c r="R329" i="12"/>
  <c r="Q329" i="12"/>
  <c r="O329" i="12"/>
  <c r="N329" i="12"/>
  <c r="P329" i="12" s="1"/>
  <c r="M329" i="12"/>
  <c r="O328" i="12"/>
  <c r="R328" i="12" s="1"/>
  <c r="N328" i="12"/>
  <c r="P328" i="12" s="1"/>
  <c r="M328" i="12"/>
  <c r="R327" i="12"/>
  <c r="O327" i="12"/>
  <c r="Q327" i="12" s="1"/>
  <c r="N327" i="12"/>
  <c r="P327" i="12" s="1"/>
  <c r="M327" i="12"/>
  <c r="Q326" i="12"/>
  <c r="P326" i="12"/>
  <c r="O326" i="12"/>
  <c r="R326" i="12" s="1"/>
  <c r="N326" i="12"/>
  <c r="M326" i="12"/>
  <c r="R325" i="12"/>
  <c r="Q325" i="12"/>
  <c r="P325" i="12"/>
  <c r="O325" i="12"/>
  <c r="N325" i="12"/>
  <c r="M325" i="12"/>
  <c r="R324" i="12"/>
  <c r="O324" i="12"/>
  <c r="Q324" i="12" s="1"/>
  <c r="N324" i="12"/>
  <c r="P324" i="12" s="1"/>
  <c r="M324" i="12"/>
  <c r="P323" i="12"/>
  <c r="O323" i="12"/>
  <c r="N323" i="12"/>
  <c r="M323" i="12"/>
  <c r="P322" i="12"/>
  <c r="O322" i="12"/>
  <c r="N322" i="12"/>
  <c r="M322" i="12"/>
  <c r="R321" i="12"/>
  <c r="Q321" i="12"/>
  <c r="O321" i="12"/>
  <c r="N321" i="12"/>
  <c r="P321" i="12" s="1"/>
  <c r="M321" i="12"/>
  <c r="O320" i="12"/>
  <c r="R320" i="12" s="1"/>
  <c r="N320" i="12"/>
  <c r="P320" i="12" s="1"/>
  <c r="M320" i="12"/>
  <c r="R319" i="12"/>
  <c r="O319" i="12"/>
  <c r="Q319" i="12" s="1"/>
  <c r="N319" i="12"/>
  <c r="P319" i="12" s="1"/>
  <c r="M319" i="12"/>
  <c r="Q318" i="12"/>
  <c r="P318" i="12"/>
  <c r="O318" i="12"/>
  <c r="R318" i="12" s="1"/>
  <c r="N318" i="12"/>
  <c r="M318" i="12"/>
  <c r="R317" i="12"/>
  <c r="Q317" i="12"/>
  <c r="P317" i="12"/>
  <c r="O317" i="12"/>
  <c r="N317" i="12"/>
  <c r="M317" i="12"/>
  <c r="R316" i="12"/>
  <c r="O316" i="12"/>
  <c r="Q316" i="12" s="1"/>
  <c r="N316" i="12"/>
  <c r="P316" i="12" s="1"/>
  <c r="M316" i="12"/>
  <c r="P315" i="12"/>
  <c r="O315" i="12"/>
  <c r="N315" i="12"/>
  <c r="M315" i="12"/>
  <c r="P314" i="12"/>
  <c r="O314" i="12"/>
  <c r="N314" i="12"/>
  <c r="M314" i="12"/>
  <c r="R313" i="12"/>
  <c r="Q313" i="12"/>
  <c r="O313" i="12"/>
  <c r="N313" i="12"/>
  <c r="P313" i="12" s="1"/>
  <c r="M313" i="12"/>
  <c r="O312" i="12"/>
  <c r="N312" i="12"/>
  <c r="P312" i="12" s="1"/>
  <c r="M312" i="12"/>
  <c r="R311" i="12"/>
  <c r="O311" i="12"/>
  <c r="Q311" i="12" s="1"/>
  <c r="N311" i="12"/>
  <c r="P311" i="12" s="1"/>
  <c r="M311" i="12"/>
  <c r="Q310" i="12"/>
  <c r="P310" i="12"/>
  <c r="O310" i="12"/>
  <c r="R310" i="12" s="1"/>
  <c r="N310" i="12"/>
  <c r="M310" i="12"/>
  <c r="R309" i="12"/>
  <c r="Q309" i="12"/>
  <c r="P309" i="12"/>
  <c r="O309" i="12"/>
  <c r="N309" i="12"/>
  <c r="M309" i="12"/>
  <c r="R308" i="12"/>
  <c r="O308" i="12"/>
  <c r="Q308" i="12" s="1"/>
  <c r="N308" i="12"/>
  <c r="P308" i="12" s="1"/>
  <c r="M308" i="12"/>
  <c r="P307" i="12"/>
  <c r="O307" i="12"/>
  <c r="N307" i="12"/>
  <c r="M307" i="12"/>
  <c r="P306" i="12"/>
  <c r="O306" i="12"/>
  <c r="N306" i="12"/>
  <c r="M306" i="12"/>
  <c r="R305" i="12"/>
  <c r="Q305" i="12"/>
  <c r="O305" i="12"/>
  <c r="N305" i="12"/>
  <c r="P305" i="12" s="1"/>
  <c r="M305" i="12"/>
  <c r="Q304" i="12"/>
  <c r="O304" i="12"/>
  <c r="R304" i="12" s="1"/>
  <c r="N304" i="12"/>
  <c r="P304" i="12" s="1"/>
  <c r="M304" i="12"/>
  <c r="R303" i="12"/>
  <c r="O303" i="12"/>
  <c r="Q303" i="12" s="1"/>
  <c r="N303" i="12"/>
  <c r="P303" i="12" s="1"/>
  <c r="M303" i="12"/>
  <c r="Q302" i="12"/>
  <c r="P302" i="12"/>
  <c r="O302" i="12"/>
  <c r="R302" i="12" s="1"/>
  <c r="N302" i="12"/>
  <c r="M302" i="12"/>
  <c r="R301" i="12"/>
  <c r="Q301" i="12"/>
  <c r="P301" i="12"/>
  <c r="O301" i="12"/>
  <c r="N301" i="12"/>
  <c r="M301" i="12"/>
  <c r="R300" i="12"/>
  <c r="O300" i="12"/>
  <c r="Q300" i="12" s="1"/>
  <c r="N300" i="12"/>
  <c r="P300" i="12" s="1"/>
  <c r="M300" i="12"/>
  <c r="P299" i="12"/>
  <c r="O299" i="12"/>
  <c r="N299" i="12"/>
  <c r="M299" i="12"/>
  <c r="P298" i="12"/>
  <c r="O298" i="12"/>
  <c r="N298" i="12"/>
  <c r="M298" i="12"/>
  <c r="R297" i="12"/>
  <c r="Q297" i="12"/>
  <c r="O297" i="12"/>
  <c r="N297" i="12"/>
  <c r="P297" i="12" s="1"/>
  <c r="M297" i="12"/>
  <c r="O296" i="12"/>
  <c r="R296" i="12" s="1"/>
  <c r="N296" i="12"/>
  <c r="P296" i="12" s="1"/>
  <c r="M296" i="12"/>
  <c r="R295" i="12"/>
  <c r="O295" i="12"/>
  <c r="Q295" i="12" s="1"/>
  <c r="N295" i="12"/>
  <c r="P295" i="12" s="1"/>
  <c r="M295" i="12"/>
  <c r="Q294" i="12"/>
  <c r="P294" i="12"/>
  <c r="O294" i="12"/>
  <c r="R294" i="12" s="1"/>
  <c r="N294" i="12"/>
  <c r="M294" i="12"/>
  <c r="R293" i="12"/>
  <c r="Q293" i="12"/>
  <c r="P293" i="12"/>
  <c r="O293" i="12"/>
  <c r="N293" i="12"/>
  <c r="M293" i="12"/>
  <c r="R292" i="12"/>
  <c r="O292" i="12"/>
  <c r="Q292" i="12" s="1"/>
  <c r="N292" i="12"/>
  <c r="P292" i="12" s="1"/>
  <c r="M292" i="12"/>
  <c r="P291" i="12"/>
  <c r="O291" i="12"/>
  <c r="N291" i="12"/>
  <c r="M291" i="12"/>
  <c r="P290" i="12"/>
  <c r="O290" i="12"/>
  <c r="N290" i="12"/>
  <c r="M290" i="12"/>
  <c r="R289" i="12"/>
  <c r="Q289" i="12"/>
  <c r="O289" i="12"/>
  <c r="N289" i="12"/>
  <c r="P289" i="12" s="1"/>
  <c r="M289" i="12"/>
  <c r="O288" i="12"/>
  <c r="R288" i="12" s="1"/>
  <c r="N288" i="12"/>
  <c r="P288" i="12" s="1"/>
  <c r="M288" i="12"/>
  <c r="R287" i="12"/>
  <c r="O287" i="12"/>
  <c r="Q287" i="12" s="1"/>
  <c r="N287" i="12"/>
  <c r="P287" i="12" s="1"/>
  <c r="M287" i="12"/>
  <c r="Q286" i="12"/>
  <c r="P286" i="12"/>
  <c r="O286" i="12"/>
  <c r="R286" i="12" s="1"/>
  <c r="N286" i="12"/>
  <c r="M286" i="12"/>
  <c r="R285" i="12"/>
  <c r="Q285" i="12"/>
  <c r="P285" i="12"/>
  <c r="O285" i="12"/>
  <c r="N285" i="12"/>
  <c r="M285" i="12"/>
  <c r="O284" i="12"/>
  <c r="N284" i="12"/>
  <c r="P284" i="12" s="1"/>
  <c r="M284" i="12"/>
  <c r="P283" i="12"/>
  <c r="O283" i="12"/>
  <c r="N283" i="12"/>
  <c r="M283" i="12"/>
  <c r="P282" i="12"/>
  <c r="O282" i="12"/>
  <c r="N282" i="12"/>
  <c r="M282" i="12"/>
  <c r="R281" i="12"/>
  <c r="Q281" i="12"/>
  <c r="O281" i="12"/>
  <c r="N281" i="12"/>
  <c r="P281" i="12" s="1"/>
  <c r="M281" i="12"/>
  <c r="R280" i="12"/>
  <c r="O280" i="12"/>
  <c r="Q280" i="12" s="1"/>
  <c r="N280" i="12"/>
  <c r="P280" i="12" s="1"/>
  <c r="M280" i="12"/>
  <c r="O279" i="12"/>
  <c r="Q279" i="12" s="1"/>
  <c r="N279" i="12"/>
  <c r="P279" i="12" s="1"/>
  <c r="M279" i="12"/>
  <c r="Q278" i="12"/>
  <c r="P278" i="12"/>
  <c r="O278" i="12"/>
  <c r="R278" i="12" s="1"/>
  <c r="N278" i="12"/>
  <c r="M278" i="12"/>
  <c r="R277" i="12"/>
  <c r="Q277" i="12"/>
  <c r="P277" i="12"/>
  <c r="O277" i="12"/>
  <c r="N277" i="12"/>
  <c r="M277" i="12"/>
  <c r="O276" i="12"/>
  <c r="N276" i="12"/>
  <c r="P276" i="12" s="1"/>
  <c r="M276" i="12"/>
  <c r="R275" i="12"/>
  <c r="P275" i="12"/>
  <c r="O275" i="12"/>
  <c r="Q275" i="12" s="1"/>
  <c r="N275" i="12"/>
  <c r="M275" i="12"/>
  <c r="P274" i="12"/>
  <c r="O274" i="12"/>
  <c r="N274" i="12"/>
  <c r="M274" i="12"/>
  <c r="R273" i="12"/>
  <c r="Q273" i="12"/>
  <c r="O273" i="12"/>
  <c r="N273" i="12"/>
  <c r="P273" i="12" s="1"/>
  <c r="M273" i="12"/>
  <c r="R272" i="12"/>
  <c r="Q272" i="12"/>
  <c r="O272" i="12"/>
  <c r="N272" i="12"/>
  <c r="P272" i="12" s="1"/>
  <c r="M272" i="12"/>
  <c r="O271" i="12"/>
  <c r="N271" i="12"/>
  <c r="P271" i="12" s="1"/>
  <c r="M271" i="12"/>
  <c r="Q270" i="12"/>
  <c r="P270" i="12"/>
  <c r="O270" i="12"/>
  <c r="R270" i="12" s="1"/>
  <c r="N270" i="12"/>
  <c r="M270" i="12"/>
  <c r="R269" i="12"/>
  <c r="Q269" i="12"/>
  <c r="P269" i="12"/>
  <c r="O269" i="12"/>
  <c r="N269" i="12"/>
  <c r="M269" i="12"/>
  <c r="O268" i="12"/>
  <c r="N268" i="12"/>
  <c r="P268" i="12" s="1"/>
  <c r="M268" i="12"/>
  <c r="R267" i="12"/>
  <c r="P267" i="12"/>
  <c r="O267" i="12"/>
  <c r="Q267" i="12" s="1"/>
  <c r="N267" i="12"/>
  <c r="M267" i="12"/>
  <c r="P266" i="12"/>
  <c r="O266" i="12"/>
  <c r="N266" i="12"/>
  <c r="M266" i="12"/>
  <c r="R265" i="12"/>
  <c r="Q265" i="12"/>
  <c r="O265" i="12"/>
  <c r="N265" i="12"/>
  <c r="P265" i="12" s="1"/>
  <c r="M265" i="12"/>
  <c r="R264" i="12"/>
  <c r="Q264" i="12"/>
  <c r="O264" i="12"/>
  <c r="N264" i="12"/>
  <c r="P264" i="12" s="1"/>
  <c r="M264" i="12"/>
  <c r="O263" i="12"/>
  <c r="N263" i="12"/>
  <c r="P263" i="12" s="1"/>
  <c r="M263" i="12"/>
  <c r="Q262" i="12"/>
  <c r="P262" i="12"/>
  <c r="O262" i="12"/>
  <c r="R262" i="12" s="1"/>
  <c r="N262" i="12"/>
  <c r="M262" i="12"/>
  <c r="R261" i="12"/>
  <c r="Q261" i="12"/>
  <c r="P261" i="12"/>
  <c r="O261" i="12"/>
  <c r="N261" i="12"/>
  <c r="M261" i="12"/>
  <c r="O260" i="12"/>
  <c r="N260" i="12"/>
  <c r="P260" i="12" s="1"/>
  <c r="M260" i="12"/>
  <c r="R259" i="12"/>
  <c r="P259" i="12"/>
  <c r="O259" i="12"/>
  <c r="Q259" i="12" s="1"/>
  <c r="N259" i="12"/>
  <c r="M259" i="12"/>
  <c r="P258" i="12"/>
  <c r="O258" i="12"/>
  <c r="N258" i="12"/>
  <c r="M258" i="12"/>
  <c r="R257" i="12"/>
  <c r="Q257" i="12"/>
  <c r="O257" i="12"/>
  <c r="N257" i="12"/>
  <c r="P257" i="12" s="1"/>
  <c r="M257" i="12"/>
  <c r="R256" i="12"/>
  <c r="Q256" i="12"/>
  <c r="O256" i="12"/>
  <c r="N256" i="12"/>
  <c r="P256" i="12" s="1"/>
  <c r="M256" i="12"/>
  <c r="O255" i="12"/>
  <c r="N255" i="12"/>
  <c r="P255" i="12" s="1"/>
  <c r="M255" i="12"/>
  <c r="Q254" i="12"/>
  <c r="P254" i="12"/>
  <c r="O254" i="12"/>
  <c r="R254" i="12" s="1"/>
  <c r="N254" i="12"/>
  <c r="M254" i="12"/>
  <c r="R253" i="12"/>
  <c r="Q253" i="12"/>
  <c r="P253" i="12"/>
  <c r="O253" i="12"/>
  <c r="N253" i="12"/>
  <c r="M253" i="12"/>
  <c r="O252" i="12"/>
  <c r="N252" i="12"/>
  <c r="P252" i="12" s="1"/>
  <c r="M252" i="12"/>
  <c r="R251" i="12"/>
  <c r="P251" i="12"/>
  <c r="O251" i="12"/>
  <c r="Q251" i="12" s="1"/>
  <c r="N251" i="12"/>
  <c r="M251" i="12"/>
  <c r="P250" i="12"/>
  <c r="O250" i="12"/>
  <c r="N250" i="12"/>
  <c r="M250" i="12"/>
  <c r="R249" i="12"/>
  <c r="Q249" i="12"/>
  <c r="O249" i="12"/>
  <c r="N249" i="12"/>
  <c r="P249" i="12" s="1"/>
  <c r="M249" i="12"/>
  <c r="R248" i="12"/>
  <c r="Q248" i="12"/>
  <c r="O248" i="12"/>
  <c r="N248" i="12"/>
  <c r="P248" i="12" s="1"/>
  <c r="M248" i="12"/>
  <c r="O247" i="12"/>
  <c r="N247" i="12"/>
  <c r="P247" i="12" s="1"/>
  <c r="M247" i="12"/>
  <c r="Q246" i="12"/>
  <c r="P246" i="12"/>
  <c r="O246" i="12"/>
  <c r="R246" i="12" s="1"/>
  <c r="N246" i="12"/>
  <c r="M246" i="12"/>
  <c r="R245" i="12"/>
  <c r="Q245" i="12"/>
  <c r="P245" i="12"/>
  <c r="O245" i="12"/>
  <c r="N245" i="12"/>
  <c r="M245" i="12"/>
  <c r="O244" i="12"/>
  <c r="N244" i="12"/>
  <c r="P244" i="12" s="1"/>
  <c r="M244" i="12"/>
  <c r="P243" i="12"/>
  <c r="O243" i="12"/>
  <c r="N243" i="12"/>
  <c r="M243" i="12"/>
  <c r="R242" i="12"/>
  <c r="Q242" i="12"/>
  <c r="P242" i="12"/>
  <c r="O242" i="12"/>
  <c r="N242" i="12"/>
  <c r="M242" i="12"/>
  <c r="R241" i="12"/>
  <c r="Q241" i="12"/>
  <c r="O241" i="12"/>
  <c r="N241" i="12"/>
  <c r="P241" i="12" s="1"/>
  <c r="M241" i="12"/>
  <c r="R240" i="12"/>
  <c r="O240" i="12"/>
  <c r="Q240" i="12" s="1"/>
  <c r="N240" i="12"/>
  <c r="P240" i="12" s="1"/>
  <c r="M240" i="12"/>
  <c r="P239" i="12"/>
  <c r="O239" i="12"/>
  <c r="N239" i="12"/>
  <c r="M239" i="12"/>
  <c r="R238" i="12"/>
  <c r="Q238" i="12"/>
  <c r="P238" i="12"/>
  <c r="O238" i="12"/>
  <c r="N238" i="12"/>
  <c r="M238" i="12"/>
  <c r="R237" i="12"/>
  <c r="Q237" i="12"/>
  <c r="O237" i="12"/>
  <c r="N237" i="12"/>
  <c r="P237" i="12" s="1"/>
  <c r="M237" i="12"/>
  <c r="O236" i="12"/>
  <c r="N236" i="12"/>
  <c r="P236" i="12" s="1"/>
  <c r="M236" i="12"/>
  <c r="P235" i="12"/>
  <c r="O235" i="12"/>
  <c r="N235" i="12"/>
  <c r="M235" i="12"/>
  <c r="R234" i="12"/>
  <c r="Q234" i="12"/>
  <c r="P234" i="12"/>
  <c r="O234" i="12"/>
  <c r="N234" i="12"/>
  <c r="M234" i="12"/>
  <c r="R233" i="12"/>
  <c r="Q233" i="12"/>
  <c r="O233" i="12"/>
  <c r="N233" i="12"/>
  <c r="P233" i="12" s="1"/>
  <c r="M233" i="12"/>
  <c r="R232" i="12"/>
  <c r="O232" i="12"/>
  <c r="Q232" i="12" s="1"/>
  <c r="N232" i="12"/>
  <c r="P232" i="12" s="1"/>
  <c r="M232" i="12"/>
  <c r="P231" i="12"/>
  <c r="O231" i="12"/>
  <c r="N231" i="12"/>
  <c r="M231" i="12"/>
  <c r="R230" i="12"/>
  <c r="Q230" i="12"/>
  <c r="P230" i="12"/>
  <c r="O230" i="12"/>
  <c r="N230" i="12"/>
  <c r="M230" i="12"/>
  <c r="R229" i="12"/>
  <c r="Q229" i="12"/>
  <c r="O229" i="12"/>
  <c r="N229" i="12"/>
  <c r="P229" i="12" s="1"/>
  <c r="M229" i="12"/>
  <c r="O228" i="12"/>
  <c r="N228" i="12"/>
  <c r="P228" i="12" s="1"/>
  <c r="M228" i="12"/>
  <c r="P227" i="12"/>
  <c r="O227" i="12"/>
  <c r="N227" i="12"/>
  <c r="M227" i="12"/>
  <c r="R226" i="12"/>
  <c r="Q226" i="12"/>
  <c r="P226" i="12"/>
  <c r="O226" i="12"/>
  <c r="N226" i="12"/>
  <c r="M226" i="12"/>
  <c r="R225" i="12"/>
  <c r="Q225" i="12"/>
  <c r="O225" i="12"/>
  <c r="N225" i="12"/>
  <c r="P225" i="12" s="1"/>
  <c r="M225" i="12"/>
  <c r="R224" i="12"/>
  <c r="O224" i="12"/>
  <c r="Q224" i="12" s="1"/>
  <c r="N224" i="12"/>
  <c r="P224" i="12" s="1"/>
  <c r="M224" i="12"/>
  <c r="P223" i="12"/>
  <c r="O223" i="12"/>
  <c r="N223" i="12"/>
  <c r="M223" i="12"/>
  <c r="R222" i="12"/>
  <c r="Q222" i="12"/>
  <c r="P222" i="12"/>
  <c r="O222" i="12"/>
  <c r="N222" i="12"/>
  <c r="M222" i="12"/>
  <c r="R221" i="12"/>
  <c r="Q221" i="12"/>
  <c r="O221" i="12"/>
  <c r="N221" i="12"/>
  <c r="P221" i="12" s="1"/>
  <c r="M221" i="12"/>
  <c r="O220" i="12"/>
  <c r="N220" i="12"/>
  <c r="P220" i="12" s="1"/>
  <c r="M220" i="12"/>
  <c r="P219" i="12"/>
  <c r="O219" i="12"/>
  <c r="N219" i="12"/>
  <c r="M219" i="12"/>
  <c r="R218" i="12"/>
  <c r="Q218" i="12"/>
  <c r="P218" i="12"/>
  <c r="O218" i="12"/>
  <c r="N218" i="12"/>
  <c r="M218" i="12"/>
  <c r="R217" i="12"/>
  <c r="Q217" i="12"/>
  <c r="O217" i="12"/>
  <c r="N217" i="12"/>
  <c r="P217" i="12" s="1"/>
  <c r="M217" i="12"/>
  <c r="R216" i="12"/>
  <c r="O216" i="12"/>
  <c r="Q216" i="12" s="1"/>
  <c r="N216" i="12"/>
  <c r="P216" i="12" s="1"/>
  <c r="M216" i="12"/>
  <c r="P215" i="12"/>
  <c r="O215" i="12"/>
  <c r="N215" i="12"/>
  <c r="M215" i="12"/>
  <c r="R214" i="12"/>
  <c r="Q214" i="12"/>
  <c r="P214" i="12"/>
  <c r="O214" i="12"/>
  <c r="N214" i="12"/>
  <c r="M214" i="12"/>
  <c r="R213" i="12"/>
  <c r="Q213" i="12"/>
  <c r="O213" i="12"/>
  <c r="N213" i="12"/>
  <c r="P213" i="12" s="1"/>
  <c r="M213" i="12"/>
  <c r="O212" i="12"/>
  <c r="N212" i="12"/>
  <c r="P212" i="12" s="1"/>
  <c r="M212" i="12"/>
  <c r="P211" i="12"/>
  <c r="O211" i="12"/>
  <c r="N211" i="12"/>
  <c r="M211" i="12"/>
  <c r="R210" i="12"/>
  <c r="Q210" i="12"/>
  <c r="P210" i="12"/>
  <c r="O210" i="12"/>
  <c r="N210" i="12"/>
  <c r="M210" i="12"/>
  <c r="R209" i="12"/>
  <c r="Q209" i="12"/>
  <c r="O209" i="12"/>
  <c r="N209" i="12"/>
  <c r="P209" i="12" s="1"/>
  <c r="M209" i="12"/>
  <c r="R208" i="12"/>
  <c r="O208" i="12"/>
  <c r="Q208" i="12" s="1"/>
  <c r="N208" i="12"/>
  <c r="P208" i="12" s="1"/>
  <c r="M208" i="12"/>
  <c r="P207" i="12"/>
  <c r="O207" i="12"/>
  <c r="N207" i="12"/>
  <c r="M207" i="12"/>
  <c r="R206" i="12"/>
  <c r="Q206" i="12"/>
  <c r="P206" i="12"/>
  <c r="O206" i="12"/>
  <c r="N206" i="12"/>
  <c r="M206" i="12"/>
  <c r="R205" i="12"/>
  <c r="Q205" i="12"/>
  <c r="O205" i="12"/>
  <c r="N205" i="12"/>
  <c r="P205" i="12" s="1"/>
  <c r="M205" i="12"/>
  <c r="O204" i="12"/>
  <c r="N204" i="12"/>
  <c r="P204" i="12" s="1"/>
  <c r="M204" i="12"/>
  <c r="P203" i="12"/>
  <c r="O203" i="12"/>
  <c r="N203" i="12"/>
  <c r="M203" i="12"/>
  <c r="R202" i="12"/>
  <c r="Q202" i="12"/>
  <c r="P202" i="12"/>
  <c r="O202" i="12"/>
  <c r="N202" i="12"/>
  <c r="M202" i="12"/>
  <c r="R201" i="12"/>
  <c r="Q201" i="12"/>
  <c r="O201" i="12"/>
  <c r="N201" i="12"/>
  <c r="P201" i="12" s="1"/>
  <c r="M201" i="12"/>
  <c r="R200" i="12"/>
  <c r="O200" i="12"/>
  <c r="Q200" i="12" s="1"/>
  <c r="N200" i="12"/>
  <c r="P200" i="12" s="1"/>
  <c r="M200" i="12"/>
  <c r="P199" i="12"/>
  <c r="O199" i="12"/>
  <c r="N199" i="12"/>
  <c r="M199" i="12"/>
  <c r="R198" i="12"/>
  <c r="Q198" i="12"/>
  <c r="P198" i="12"/>
  <c r="O198" i="12"/>
  <c r="N198" i="12"/>
  <c r="M198" i="12"/>
  <c r="R197" i="12"/>
  <c r="Q197" i="12"/>
  <c r="O197" i="12"/>
  <c r="N197" i="12"/>
  <c r="P197" i="12" s="1"/>
  <c r="M197" i="12"/>
  <c r="O196" i="12"/>
  <c r="N196" i="12"/>
  <c r="P196" i="12" s="1"/>
  <c r="M196" i="12"/>
  <c r="P195" i="12"/>
  <c r="O195" i="12"/>
  <c r="N195" i="12"/>
  <c r="M195" i="12"/>
  <c r="R194" i="12"/>
  <c r="Q194" i="12"/>
  <c r="P194" i="12"/>
  <c r="O194" i="12"/>
  <c r="N194" i="12"/>
  <c r="M194" i="12"/>
  <c r="R193" i="12"/>
  <c r="Q193" i="12"/>
  <c r="O193" i="12"/>
  <c r="N193" i="12"/>
  <c r="P193" i="12" s="1"/>
  <c r="M193" i="12"/>
  <c r="R192" i="12"/>
  <c r="O192" i="12"/>
  <c r="Q192" i="12" s="1"/>
  <c r="N192" i="12"/>
  <c r="P192" i="12" s="1"/>
  <c r="M192" i="12"/>
  <c r="P191" i="12"/>
  <c r="O191" i="12"/>
  <c r="N191" i="12"/>
  <c r="M191" i="12"/>
  <c r="R190" i="12"/>
  <c r="Q190" i="12"/>
  <c r="P190" i="12"/>
  <c r="O190" i="12"/>
  <c r="N190" i="12"/>
  <c r="M190" i="12"/>
  <c r="R189" i="12"/>
  <c r="Q189" i="12"/>
  <c r="O189" i="12"/>
  <c r="N189" i="12"/>
  <c r="P189" i="12" s="1"/>
  <c r="M189" i="12"/>
  <c r="O188" i="12"/>
  <c r="N188" i="12"/>
  <c r="P188" i="12" s="1"/>
  <c r="M188" i="12"/>
  <c r="P187" i="12"/>
  <c r="O187" i="12"/>
  <c r="N187" i="12"/>
  <c r="M187" i="12"/>
  <c r="R186" i="12"/>
  <c r="Q186" i="12"/>
  <c r="P186" i="12"/>
  <c r="O186" i="12"/>
  <c r="N186" i="12"/>
  <c r="M186" i="12"/>
  <c r="R185" i="12"/>
  <c r="Q185" i="12"/>
  <c r="O185" i="12"/>
  <c r="N185" i="12"/>
  <c r="P185" i="12" s="1"/>
  <c r="M185" i="12"/>
  <c r="O184" i="12"/>
  <c r="N184" i="12"/>
  <c r="P184" i="12" s="1"/>
  <c r="M184" i="12"/>
  <c r="Q183" i="12"/>
  <c r="P183" i="12"/>
  <c r="O183" i="12"/>
  <c r="R183" i="12" s="1"/>
  <c r="N183" i="12"/>
  <c r="M183" i="12"/>
  <c r="R182" i="12"/>
  <c r="Q182" i="12"/>
  <c r="O182" i="12"/>
  <c r="N182" i="12"/>
  <c r="P182" i="12" s="1"/>
  <c r="M182" i="12"/>
  <c r="O181" i="12"/>
  <c r="R181" i="12" s="1"/>
  <c r="N181" i="12"/>
  <c r="P181" i="12" s="1"/>
  <c r="M181" i="12"/>
  <c r="R180" i="12"/>
  <c r="P180" i="12"/>
  <c r="O180" i="12"/>
  <c r="Q180" i="12" s="1"/>
  <c r="N180" i="12"/>
  <c r="M180" i="12"/>
  <c r="Q179" i="12"/>
  <c r="P179" i="12"/>
  <c r="O179" i="12"/>
  <c r="R179" i="12" s="1"/>
  <c r="N179" i="12"/>
  <c r="M179" i="12"/>
  <c r="R178" i="12"/>
  <c r="Q178" i="12"/>
  <c r="O178" i="12"/>
  <c r="N178" i="12"/>
  <c r="P178" i="12" s="1"/>
  <c r="M178" i="12"/>
  <c r="R177" i="12"/>
  <c r="Q177" i="12"/>
  <c r="O177" i="12"/>
  <c r="N177" i="12"/>
  <c r="P177" i="12" s="1"/>
  <c r="M177" i="12"/>
  <c r="P176" i="12"/>
  <c r="O176" i="12"/>
  <c r="N176" i="12"/>
  <c r="M176" i="12"/>
  <c r="Q175" i="12"/>
  <c r="P175" i="12"/>
  <c r="O175" i="12"/>
  <c r="R175" i="12" s="1"/>
  <c r="N175" i="12"/>
  <c r="M175" i="12"/>
  <c r="R174" i="12"/>
  <c r="Q174" i="12"/>
  <c r="O174" i="12"/>
  <c r="N174" i="12"/>
  <c r="P174" i="12" s="1"/>
  <c r="M174" i="12"/>
  <c r="O173" i="12"/>
  <c r="R173" i="12" s="1"/>
  <c r="N173" i="12"/>
  <c r="P173" i="12" s="1"/>
  <c r="M173" i="12"/>
  <c r="R172" i="12"/>
  <c r="P172" i="12"/>
  <c r="O172" i="12"/>
  <c r="Q172" i="12" s="1"/>
  <c r="N172" i="12"/>
  <c r="M172" i="12"/>
  <c r="Q171" i="12"/>
  <c r="P171" i="12"/>
  <c r="O171" i="12"/>
  <c r="R171" i="12" s="1"/>
  <c r="N171" i="12"/>
  <c r="M171" i="12"/>
  <c r="R170" i="12"/>
  <c r="Q170" i="12"/>
  <c r="O170" i="12"/>
  <c r="N170" i="12"/>
  <c r="P170" i="12" s="1"/>
  <c r="M170" i="12"/>
  <c r="R169" i="12"/>
  <c r="Q169" i="12"/>
  <c r="O169" i="12"/>
  <c r="N169" i="12"/>
  <c r="P169" i="12" s="1"/>
  <c r="M169" i="12"/>
  <c r="P168" i="12"/>
  <c r="O168" i="12"/>
  <c r="N168" i="12"/>
  <c r="M168" i="12"/>
  <c r="Q167" i="12"/>
  <c r="P167" i="12"/>
  <c r="O167" i="12"/>
  <c r="R167" i="12" s="1"/>
  <c r="N167" i="12"/>
  <c r="M167" i="12"/>
  <c r="R166" i="12"/>
  <c r="Q166" i="12"/>
  <c r="O166" i="12"/>
  <c r="N166" i="12"/>
  <c r="P166" i="12" s="1"/>
  <c r="M166" i="12"/>
  <c r="O165" i="12"/>
  <c r="N165" i="12"/>
  <c r="P165" i="12" s="1"/>
  <c r="M165" i="12"/>
  <c r="R164" i="12"/>
  <c r="P164" i="12"/>
  <c r="O164" i="12"/>
  <c r="Q164" i="12" s="1"/>
  <c r="N164" i="12"/>
  <c r="M164" i="12"/>
  <c r="Q163" i="12"/>
  <c r="P163" i="12"/>
  <c r="O163" i="12"/>
  <c r="R163" i="12" s="1"/>
  <c r="N163" i="12"/>
  <c r="M163" i="12"/>
  <c r="R162" i="12"/>
  <c r="Q162" i="12"/>
  <c r="O162" i="12"/>
  <c r="N162" i="12"/>
  <c r="P162" i="12" s="1"/>
  <c r="M162" i="12"/>
  <c r="R161" i="12"/>
  <c r="Q161" i="12"/>
  <c r="O161" i="12"/>
  <c r="N161" i="12"/>
  <c r="P161" i="12" s="1"/>
  <c r="M161" i="12"/>
  <c r="P160" i="12"/>
  <c r="O160" i="12"/>
  <c r="N160" i="12"/>
  <c r="M160" i="12"/>
  <c r="Q159" i="12"/>
  <c r="P159" i="12"/>
  <c r="O159" i="12"/>
  <c r="R159" i="12" s="1"/>
  <c r="N159" i="12"/>
  <c r="M159" i="12"/>
  <c r="S159" i="12" s="1"/>
  <c r="U159" i="12" s="1"/>
  <c r="R158" i="12"/>
  <c r="Q158" i="12"/>
  <c r="O158" i="12"/>
  <c r="N158" i="12"/>
  <c r="P158" i="12" s="1"/>
  <c r="M158" i="12"/>
  <c r="O157" i="12"/>
  <c r="N157" i="12"/>
  <c r="P157" i="12" s="1"/>
  <c r="M157" i="12"/>
  <c r="R156" i="12"/>
  <c r="P156" i="12"/>
  <c r="O156" i="12"/>
  <c r="Q156" i="12" s="1"/>
  <c r="N156" i="12"/>
  <c r="M156" i="12"/>
  <c r="P155" i="12"/>
  <c r="O155" i="12"/>
  <c r="N155" i="12"/>
  <c r="M155" i="12"/>
  <c r="R154" i="12"/>
  <c r="Q154" i="12"/>
  <c r="O154" i="12"/>
  <c r="N154" i="12"/>
  <c r="P154" i="12" s="1"/>
  <c r="M154" i="12"/>
  <c r="R153" i="12"/>
  <c r="Q153" i="12"/>
  <c r="O153" i="12"/>
  <c r="N153" i="12"/>
  <c r="P153" i="12" s="1"/>
  <c r="M153" i="12"/>
  <c r="O152" i="12"/>
  <c r="N152" i="12"/>
  <c r="P152" i="12" s="1"/>
  <c r="S152" i="12" s="1"/>
  <c r="U152" i="12" s="1"/>
  <c r="M152" i="12"/>
  <c r="Q151" i="12"/>
  <c r="P151" i="12"/>
  <c r="O151" i="12"/>
  <c r="R151" i="12" s="1"/>
  <c r="N151" i="12"/>
  <c r="M151" i="12"/>
  <c r="S151" i="12" s="1"/>
  <c r="U151" i="12" s="1"/>
  <c r="R150" i="12"/>
  <c r="Q150" i="12"/>
  <c r="P150" i="12"/>
  <c r="O150" i="12"/>
  <c r="N150" i="12"/>
  <c r="M150" i="12"/>
  <c r="O149" i="12"/>
  <c r="N149" i="12"/>
  <c r="P149" i="12" s="1"/>
  <c r="M149" i="12"/>
  <c r="R148" i="12"/>
  <c r="P148" i="12"/>
  <c r="O148" i="12"/>
  <c r="Q148" i="12" s="1"/>
  <c r="N148" i="12"/>
  <c r="M148" i="12"/>
  <c r="P147" i="12"/>
  <c r="O147" i="12"/>
  <c r="N147" i="12"/>
  <c r="M147" i="12"/>
  <c r="R146" i="12"/>
  <c r="Q146" i="12"/>
  <c r="O146" i="12"/>
  <c r="N146" i="12"/>
  <c r="P146" i="12" s="1"/>
  <c r="M146" i="12"/>
  <c r="R145" i="12"/>
  <c r="Q145" i="12"/>
  <c r="O145" i="12"/>
  <c r="N145" i="12"/>
  <c r="P145" i="12" s="1"/>
  <c r="M145" i="12"/>
  <c r="O144" i="12"/>
  <c r="N144" i="12"/>
  <c r="P144" i="12" s="1"/>
  <c r="S144" i="12" s="1"/>
  <c r="U144" i="12" s="1"/>
  <c r="M144" i="12"/>
  <c r="Q143" i="12"/>
  <c r="P143" i="12"/>
  <c r="O143" i="12"/>
  <c r="R143" i="12" s="1"/>
  <c r="N143" i="12"/>
  <c r="M143" i="12"/>
  <c r="R142" i="12"/>
  <c r="Q142" i="12"/>
  <c r="P142" i="12"/>
  <c r="O142" i="12"/>
  <c r="N142" i="12"/>
  <c r="M142" i="12"/>
  <c r="O141" i="12"/>
  <c r="N141" i="12"/>
  <c r="P141" i="12" s="1"/>
  <c r="M141" i="12"/>
  <c r="R140" i="12"/>
  <c r="P140" i="12"/>
  <c r="O140" i="12"/>
  <c r="Q140" i="12" s="1"/>
  <c r="N140" i="12"/>
  <c r="M140" i="12"/>
  <c r="P139" i="12"/>
  <c r="O139" i="12"/>
  <c r="N139" i="12"/>
  <c r="M139" i="12"/>
  <c r="R138" i="12"/>
  <c r="Q138" i="12"/>
  <c r="O138" i="12"/>
  <c r="N138" i="12"/>
  <c r="P138" i="12" s="1"/>
  <c r="M138" i="12"/>
  <c r="R137" i="12"/>
  <c r="Q137" i="12"/>
  <c r="O137" i="12"/>
  <c r="N137" i="12"/>
  <c r="P137" i="12" s="1"/>
  <c r="M137" i="12"/>
  <c r="O136" i="12"/>
  <c r="N136" i="12"/>
  <c r="P136" i="12" s="1"/>
  <c r="S136" i="12" s="1"/>
  <c r="U136" i="12" s="1"/>
  <c r="M136" i="12"/>
  <c r="Q135" i="12"/>
  <c r="P135" i="12"/>
  <c r="O135" i="12"/>
  <c r="R135" i="12" s="1"/>
  <c r="N135" i="12"/>
  <c r="M135" i="12"/>
  <c r="R134" i="12"/>
  <c r="Q134" i="12"/>
  <c r="P134" i="12"/>
  <c r="O134" i="12"/>
  <c r="N134" i="12"/>
  <c r="M134" i="12"/>
  <c r="O133" i="12"/>
  <c r="N133" i="12"/>
  <c r="P133" i="12" s="1"/>
  <c r="M133" i="12"/>
  <c r="R132" i="12"/>
  <c r="P132" i="12"/>
  <c r="O132" i="12"/>
  <c r="Q132" i="12" s="1"/>
  <c r="N132" i="12"/>
  <c r="M132" i="12"/>
  <c r="P131" i="12"/>
  <c r="O131" i="12"/>
  <c r="N131" i="12"/>
  <c r="M131" i="12"/>
  <c r="R130" i="12"/>
  <c r="Q130" i="12"/>
  <c r="O130" i="12"/>
  <c r="N130" i="12"/>
  <c r="P130" i="12" s="1"/>
  <c r="M130" i="12"/>
  <c r="R129" i="12"/>
  <c r="Q129" i="12"/>
  <c r="O129" i="12"/>
  <c r="N129" i="12"/>
  <c r="P129" i="12" s="1"/>
  <c r="M129" i="12"/>
  <c r="O128" i="12"/>
  <c r="N128" i="12"/>
  <c r="P128" i="12" s="1"/>
  <c r="M128" i="12"/>
  <c r="Q127" i="12"/>
  <c r="P127" i="12"/>
  <c r="O127" i="12"/>
  <c r="R127" i="12" s="1"/>
  <c r="N127" i="12"/>
  <c r="M127" i="12"/>
  <c r="R126" i="12"/>
  <c r="Q126" i="12"/>
  <c r="P126" i="12"/>
  <c r="O126" i="12"/>
  <c r="N126" i="12"/>
  <c r="M126" i="12"/>
  <c r="O125" i="12"/>
  <c r="N125" i="12"/>
  <c r="P125" i="12" s="1"/>
  <c r="M125" i="12"/>
  <c r="R124" i="12"/>
  <c r="P124" i="12"/>
  <c r="O124" i="12"/>
  <c r="Q124" i="12" s="1"/>
  <c r="N124" i="12"/>
  <c r="M124" i="12"/>
  <c r="P123" i="12"/>
  <c r="O123" i="12"/>
  <c r="N123" i="12"/>
  <c r="M123" i="12"/>
  <c r="R122" i="12"/>
  <c r="Q122" i="12"/>
  <c r="O122" i="12"/>
  <c r="N122" i="12"/>
  <c r="P122" i="12" s="1"/>
  <c r="M122" i="12"/>
  <c r="R121" i="12"/>
  <c r="Q121" i="12"/>
  <c r="O121" i="12"/>
  <c r="N121" i="12"/>
  <c r="P121" i="12" s="1"/>
  <c r="M121" i="12"/>
  <c r="O120" i="12"/>
  <c r="N120" i="12"/>
  <c r="P120" i="12" s="1"/>
  <c r="M120" i="12"/>
  <c r="Q119" i="12"/>
  <c r="P119" i="12"/>
  <c r="O119" i="12"/>
  <c r="R119" i="12" s="1"/>
  <c r="N119" i="12"/>
  <c r="M119" i="12"/>
  <c r="R118" i="12"/>
  <c r="Q118" i="12"/>
  <c r="O118" i="12"/>
  <c r="N118" i="12"/>
  <c r="P118" i="12" s="1"/>
  <c r="M118" i="12"/>
  <c r="O117" i="12"/>
  <c r="R117" i="12" s="1"/>
  <c r="N117" i="12"/>
  <c r="P117" i="12" s="1"/>
  <c r="M117" i="12"/>
  <c r="R116" i="12"/>
  <c r="O116" i="12"/>
  <c r="Q116" i="12" s="1"/>
  <c r="N116" i="12"/>
  <c r="P116" i="12" s="1"/>
  <c r="M116" i="12"/>
  <c r="P115" i="12"/>
  <c r="O115" i="12"/>
  <c r="R115" i="12" s="1"/>
  <c r="N115" i="12"/>
  <c r="M115" i="12"/>
  <c r="R114" i="12"/>
  <c r="Q114" i="12"/>
  <c r="O114" i="12"/>
  <c r="N114" i="12"/>
  <c r="P114" i="12" s="1"/>
  <c r="M114" i="12"/>
  <c r="R113" i="12"/>
  <c r="Q113" i="12"/>
  <c r="O113" i="12"/>
  <c r="N113" i="12"/>
  <c r="P113" i="12" s="1"/>
  <c r="M113" i="12"/>
  <c r="O112" i="12"/>
  <c r="N112" i="12"/>
  <c r="P112" i="12" s="1"/>
  <c r="M112" i="12"/>
  <c r="Q111" i="12"/>
  <c r="P111" i="12"/>
  <c r="O111" i="12"/>
  <c r="R111" i="12" s="1"/>
  <c r="N111" i="12"/>
  <c r="M111" i="12"/>
  <c r="R110" i="12"/>
  <c r="Q110" i="12"/>
  <c r="O110" i="12"/>
  <c r="N110" i="12"/>
  <c r="P110" i="12" s="1"/>
  <c r="M110" i="12"/>
  <c r="O109" i="12"/>
  <c r="R109" i="12" s="1"/>
  <c r="N109" i="12"/>
  <c r="P109" i="12" s="1"/>
  <c r="M109" i="12"/>
  <c r="R108" i="12"/>
  <c r="O108" i="12"/>
  <c r="Q108" i="12" s="1"/>
  <c r="N108" i="12"/>
  <c r="P108" i="12" s="1"/>
  <c r="M108" i="12"/>
  <c r="P107" i="12"/>
  <c r="O107" i="12"/>
  <c r="R107" i="12" s="1"/>
  <c r="N107" i="12"/>
  <c r="M107" i="12"/>
  <c r="R106" i="12"/>
  <c r="Q106" i="12"/>
  <c r="O106" i="12"/>
  <c r="N106" i="12"/>
  <c r="P106" i="12" s="1"/>
  <c r="M106" i="12"/>
  <c r="R105" i="12"/>
  <c r="Q105" i="12"/>
  <c r="O105" i="12"/>
  <c r="N105" i="12"/>
  <c r="P105" i="12" s="1"/>
  <c r="M105" i="12"/>
  <c r="O104" i="12"/>
  <c r="N104" i="12"/>
  <c r="P104" i="12" s="1"/>
  <c r="M104" i="12"/>
  <c r="Q103" i="12"/>
  <c r="P103" i="12"/>
  <c r="O103" i="12"/>
  <c r="R103" i="12" s="1"/>
  <c r="N103" i="12"/>
  <c r="M103" i="12"/>
  <c r="R102" i="12"/>
  <c r="Q102" i="12"/>
  <c r="O102" i="12"/>
  <c r="N102" i="12"/>
  <c r="P102" i="12" s="1"/>
  <c r="S102" i="12" s="1"/>
  <c r="U102" i="12" s="1"/>
  <c r="M102" i="12"/>
  <c r="O101" i="12"/>
  <c r="R101" i="12" s="1"/>
  <c r="N101" i="12"/>
  <c r="P101" i="12" s="1"/>
  <c r="M101" i="12"/>
  <c r="R100" i="12"/>
  <c r="O100" i="12"/>
  <c r="Q100" i="12" s="1"/>
  <c r="N100" i="12"/>
  <c r="P100" i="12" s="1"/>
  <c r="M100" i="12"/>
  <c r="Q99" i="12"/>
  <c r="P99" i="12"/>
  <c r="O99" i="12"/>
  <c r="R99" i="12" s="1"/>
  <c r="N99" i="12"/>
  <c r="M99" i="12"/>
  <c r="R98" i="12"/>
  <c r="Q98" i="12"/>
  <c r="P98" i="12"/>
  <c r="O98" i="12"/>
  <c r="N98" i="12"/>
  <c r="M98" i="12"/>
  <c r="O97" i="12"/>
  <c r="R97" i="12" s="1"/>
  <c r="N97" i="12"/>
  <c r="P97" i="12" s="1"/>
  <c r="S97" i="12" s="1"/>
  <c r="U97" i="12" s="1"/>
  <c r="M97" i="12"/>
  <c r="R96" i="12"/>
  <c r="P96" i="12"/>
  <c r="S96" i="12" s="1"/>
  <c r="U96" i="12" s="1"/>
  <c r="O96" i="12"/>
  <c r="Q96" i="12" s="1"/>
  <c r="N96" i="12"/>
  <c r="M96" i="12"/>
  <c r="P95" i="12"/>
  <c r="S95" i="12" s="1"/>
  <c r="U95" i="12" s="1"/>
  <c r="O95" i="12"/>
  <c r="R95" i="12" s="1"/>
  <c r="N95" i="12"/>
  <c r="M95" i="12"/>
  <c r="R94" i="12"/>
  <c r="Q94" i="12"/>
  <c r="O94" i="12"/>
  <c r="N94" i="12"/>
  <c r="P94" i="12" s="1"/>
  <c r="M94" i="12"/>
  <c r="R93" i="12"/>
  <c r="Q93" i="12"/>
  <c r="O93" i="12"/>
  <c r="N93" i="12"/>
  <c r="P93" i="12" s="1"/>
  <c r="S93" i="12" s="1"/>
  <c r="U93" i="12" s="1"/>
  <c r="M93" i="12"/>
  <c r="O92" i="12"/>
  <c r="Q92" i="12" s="1"/>
  <c r="N92" i="12"/>
  <c r="P92" i="12" s="1"/>
  <c r="M92" i="12"/>
  <c r="Q91" i="12"/>
  <c r="P91" i="12"/>
  <c r="O91" i="12"/>
  <c r="R91" i="12" s="1"/>
  <c r="N91" i="12"/>
  <c r="M91" i="12"/>
  <c r="R90" i="12"/>
  <c r="Q90" i="12"/>
  <c r="P90" i="12"/>
  <c r="O90" i="12"/>
  <c r="N90" i="12"/>
  <c r="M90" i="12"/>
  <c r="O89" i="12"/>
  <c r="R89" i="12" s="1"/>
  <c r="N89" i="12"/>
  <c r="P89" i="12" s="1"/>
  <c r="S89" i="12" s="1"/>
  <c r="U89" i="12" s="1"/>
  <c r="M89" i="12"/>
  <c r="R88" i="12"/>
  <c r="P88" i="12"/>
  <c r="S88" i="12" s="1"/>
  <c r="U88" i="12" s="1"/>
  <c r="O88" i="12"/>
  <c r="Q88" i="12" s="1"/>
  <c r="N88" i="12"/>
  <c r="M88" i="12"/>
  <c r="P87" i="12"/>
  <c r="S87" i="12" s="1"/>
  <c r="U87" i="12" s="1"/>
  <c r="O87" i="12"/>
  <c r="R87" i="12" s="1"/>
  <c r="N87" i="12"/>
  <c r="M87" i="12"/>
  <c r="R86" i="12"/>
  <c r="Q86" i="12"/>
  <c r="O86" i="12"/>
  <c r="N86" i="12"/>
  <c r="P86" i="12" s="1"/>
  <c r="M86" i="12"/>
  <c r="R85" i="12"/>
  <c r="Q85" i="12"/>
  <c r="O85" i="12"/>
  <c r="N85" i="12"/>
  <c r="P85" i="12" s="1"/>
  <c r="S85" i="12" s="1"/>
  <c r="U85" i="12" s="1"/>
  <c r="M85" i="12"/>
  <c r="O84" i="12"/>
  <c r="Q84" i="12" s="1"/>
  <c r="N84" i="12"/>
  <c r="P84" i="12" s="1"/>
  <c r="M84" i="12"/>
  <c r="Q83" i="12"/>
  <c r="P83" i="12"/>
  <c r="O83" i="12"/>
  <c r="R83" i="12" s="1"/>
  <c r="N83" i="12"/>
  <c r="M83" i="12"/>
  <c r="R82" i="12"/>
  <c r="Q82" i="12"/>
  <c r="P82" i="12"/>
  <c r="O82" i="12"/>
  <c r="N82" i="12"/>
  <c r="M82" i="12"/>
  <c r="O81" i="12"/>
  <c r="R81" i="12" s="1"/>
  <c r="N81" i="12"/>
  <c r="P81" i="12" s="1"/>
  <c r="S81" i="12" s="1"/>
  <c r="U81" i="12" s="1"/>
  <c r="M81" i="12"/>
  <c r="R80" i="12"/>
  <c r="P80" i="12"/>
  <c r="S80" i="12" s="1"/>
  <c r="U80" i="12" s="1"/>
  <c r="O80" i="12"/>
  <c r="Q80" i="12" s="1"/>
  <c r="N80" i="12"/>
  <c r="M80" i="12"/>
  <c r="P79" i="12"/>
  <c r="S79" i="12" s="1"/>
  <c r="U79" i="12" s="1"/>
  <c r="O79" i="12"/>
  <c r="R79" i="12" s="1"/>
  <c r="N79" i="12"/>
  <c r="M79" i="12"/>
  <c r="R78" i="12"/>
  <c r="Q78" i="12"/>
  <c r="O78" i="12"/>
  <c r="N78" i="12"/>
  <c r="P78" i="12" s="1"/>
  <c r="M78" i="12"/>
  <c r="R77" i="12"/>
  <c r="Q77" i="12"/>
  <c r="O77" i="12"/>
  <c r="N77" i="12"/>
  <c r="P77" i="12" s="1"/>
  <c r="S77" i="12" s="1"/>
  <c r="U77" i="12" s="1"/>
  <c r="M77" i="12"/>
  <c r="O76" i="12"/>
  <c r="Q76" i="12" s="1"/>
  <c r="N76" i="12"/>
  <c r="P76" i="12" s="1"/>
  <c r="M76" i="12"/>
  <c r="Q75" i="12"/>
  <c r="P75" i="12"/>
  <c r="O75" i="12"/>
  <c r="R75" i="12" s="1"/>
  <c r="N75" i="12"/>
  <c r="M75" i="12"/>
  <c r="R74" i="12"/>
  <c r="Q74" i="12"/>
  <c r="P74" i="12"/>
  <c r="O74" i="12"/>
  <c r="N74" i="12"/>
  <c r="M74" i="12"/>
  <c r="O73" i="12"/>
  <c r="R73" i="12" s="1"/>
  <c r="N73" i="12"/>
  <c r="P73" i="12" s="1"/>
  <c r="S73" i="12" s="1"/>
  <c r="U73" i="12" s="1"/>
  <c r="M73" i="12"/>
  <c r="R72" i="12"/>
  <c r="P72" i="12"/>
  <c r="S72" i="12" s="1"/>
  <c r="U72" i="12" s="1"/>
  <c r="O72" i="12"/>
  <c r="Q72" i="12" s="1"/>
  <c r="N72" i="12"/>
  <c r="M72" i="12"/>
  <c r="P71" i="12"/>
  <c r="S71" i="12" s="1"/>
  <c r="U71" i="12" s="1"/>
  <c r="O71" i="12"/>
  <c r="R71" i="12" s="1"/>
  <c r="N71" i="12"/>
  <c r="M71" i="12"/>
  <c r="R70" i="12"/>
  <c r="Q70" i="12"/>
  <c r="O70" i="12"/>
  <c r="N70" i="12"/>
  <c r="P70" i="12" s="1"/>
  <c r="S70" i="12" s="1"/>
  <c r="U70" i="12" s="1"/>
  <c r="M70" i="12"/>
  <c r="R69" i="12"/>
  <c r="Q69" i="12"/>
  <c r="O69" i="12"/>
  <c r="N69" i="12"/>
  <c r="P69" i="12" s="1"/>
  <c r="S69" i="12" s="1"/>
  <c r="U69" i="12" s="1"/>
  <c r="M69" i="12"/>
  <c r="O68" i="12"/>
  <c r="Q68" i="12" s="1"/>
  <c r="N68" i="12"/>
  <c r="P68" i="12" s="1"/>
  <c r="M68" i="12"/>
  <c r="Q67" i="12"/>
  <c r="P67" i="12"/>
  <c r="O67" i="12"/>
  <c r="R67" i="12" s="1"/>
  <c r="N67" i="12"/>
  <c r="M67" i="12"/>
  <c r="R66" i="12"/>
  <c r="Q66" i="12"/>
  <c r="P66" i="12"/>
  <c r="O66" i="12"/>
  <c r="N66" i="12"/>
  <c r="M66" i="12"/>
  <c r="O65" i="12"/>
  <c r="R65" i="12" s="1"/>
  <c r="N65" i="12"/>
  <c r="P65" i="12" s="1"/>
  <c r="M65" i="12"/>
  <c r="R64" i="12"/>
  <c r="P64" i="12"/>
  <c r="O64" i="12"/>
  <c r="Q64" i="12" s="1"/>
  <c r="N64" i="12"/>
  <c r="M64" i="12"/>
  <c r="P63" i="12"/>
  <c r="O63" i="12"/>
  <c r="R63" i="12" s="1"/>
  <c r="N63" i="12"/>
  <c r="M63" i="12"/>
  <c r="R62" i="12"/>
  <c r="Q62" i="12"/>
  <c r="O62" i="12"/>
  <c r="N62" i="12"/>
  <c r="P62" i="12" s="1"/>
  <c r="M62" i="12"/>
  <c r="R61" i="12"/>
  <c r="Q61" i="12"/>
  <c r="O61" i="12"/>
  <c r="N61" i="12"/>
  <c r="P61" i="12" s="1"/>
  <c r="M61" i="12"/>
  <c r="O60" i="12"/>
  <c r="Q60" i="12" s="1"/>
  <c r="N60" i="12"/>
  <c r="P60" i="12" s="1"/>
  <c r="M60" i="12"/>
  <c r="Q59" i="12"/>
  <c r="P59" i="12"/>
  <c r="O59" i="12"/>
  <c r="R59" i="12" s="1"/>
  <c r="N59" i="12"/>
  <c r="M59" i="12"/>
  <c r="R58" i="12"/>
  <c r="Q58" i="12"/>
  <c r="P58" i="12"/>
  <c r="O58" i="12"/>
  <c r="N58" i="12"/>
  <c r="M58" i="12"/>
  <c r="O57" i="12"/>
  <c r="R57" i="12" s="1"/>
  <c r="N57" i="12"/>
  <c r="P57" i="12" s="1"/>
  <c r="M57" i="12"/>
  <c r="R56" i="12"/>
  <c r="P56" i="12"/>
  <c r="O56" i="12"/>
  <c r="Q56" i="12" s="1"/>
  <c r="N56" i="12"/>
  <c r="M56" i="12"/>
  <c r="P55" i="12"/>
  <c r="O55" i="12"/>
  <c r="R55" i="12" s="1"/>
  <c r="N55" i="12"/>
  <c r="M55" i="12"/>
  <c r="R54" i="12"/>
  <c r="Q54" i="12"/>
  <c r="O54" i="12"/>
  <c r="N54" i="12"/>
  <c r="P54" i="12" s="1"/>
  <c r="M54" i="12"/>
  <c r="R53" i="12"/>
  <c r="Q53" i="12"/>
  <c r="O53" i="12"/>
  <c r="N53" i="12"/>
  <c r="P53" i="12" s="1"/>
  <c r="M53" i="12"/>
  <c r="O52" i="12"/>
  <c r="Q52" i="12" s="1"/>
  <c r="N52" i="12"/>
  <c r="P52" i="12" s="1"/>
  <c r="M52" i="12"/>
  <c r="Q51" i="12"/>
  <c r="P51" i="12"/>
  <c r="O51" i="12"/>
  <c r="R51" i="12" s="1"/>
  <c r="N51" i="12"/>
  <c r="M51" i="12"/>
  <c r="R50" i="12"/>
  <c r="Q50" i="12"/>
  <c r="P50" i="12"/>
  <c r="O50" i="12"/>
  <c r="N50" i="12"/>
  <c r="M50" i="12"/>
  <c r="O49" i="12"/>
  <c r="R49" i="12" s="1"/>
  <c r="N49" i="12"/>
  <c r="P49" i="12" s="1"/>
  <c r="M49" i="12"/>
  <c r="R48" i="12"/>
  <c r="P48" i="12"/>
  <c r="O48" i="12"/>
  <c r="Q48" i="12" s="1"/>
  <c r="N48" i="12"/>
  <c r="M48" i="12"/>
  <c r="P47" i="12"/>
  <c r="O47" i="12"/>
  <c r="R47" i="12" s="1"/>
  <c r="N47" i="12"/>
  <c r="M47" i="12"/>
  <c r="R46" i="12"/>
  <c r="Q46" i="12"/>
  <c r="O46" i="12"/>
  <c r="N46" i="12"/>
  <c r="P46" i="12" s="1"/>
  <c r="M46" i="12"/>
  <c r="R45" i="12"/>
  <c r="Q45" i="12"/>
  <c r="O45" i="12"/>
  <c r="N45" i="12"/>
  <c r="P45" i="12" s="1"/>
  <c r="M45" i="12"/>
  <c r="O44" i="12"/>
  <c r="Q44" i="12" s="1"/>
  <c r="N44" i="12"/>
  <c r="P44" i="12" s="1"/>
  <c r="M44" i="12"/>
  <c r="Q43" i="12"/>
  <c r="P43" i="12"/>
  <c r="O43" i="12"/>
  <c r="R43" i="12" s="1"/>
  <c r="N43" i="12"/>
  <c r="M43" i="12"/>
  <c r="R42" i="12"/>
  <c r="Q42" i="12"/>
  <c r="P42" i="12"/>
  <c r="O42" i="12"/>
  <c r="N42" i="12"/>
  <c r="M42" i="12"/>
  <c r="O41" i="12"/>
  <c r="R41" i="12" s="1"/>
  <c r="N41" i="12"/>
  <c r="P41" i="12" s="1"/>
  <c r="M41" i="12"/>
  <c r="R40" i="12"/>
  <c r="P40" i="12"/>
  <c r="O40" i="12"/>
  <c r="Q40" i="12" s="1"/>
  <c r="N40" i="12"/>
  <c r="M40" i="12"/>
  <c r="R39" i="12"/>
  <c r="Q39" i="12"/>
  <c r="P39" i="12"/>
  <c r="O39" i="12"/>
  <c r="N39" i="12"/>
  <c r="M39" i="12"/>
  <c r="R38" i="12"/>
  <c r="Q38" i="12"/>
  <c r="O38" i="12"/>
  <c r="N38" i="12"/>
  <c r="P38" i="12" s="1"/>
  <c r="M38" i="12"/>
  <c r="O37" i="12"/>
  <c r="Q37" i="12" s="1"/>
  <c r="N37" i="12"/>
  <c r="P37" i="12" s="1"/>
  <c r="S37" i="12" s="1"/>
  <c r="U37" i="12" s="1"/>
  <c r="M37" i="12"/>
  <c r="P36" i="12"/>
  <c r="O36" i="12"/>
  <c r="R36" i="12" s="1"/>
  <c r="N36" i="12"/>
  <c r="M36" i="12"/>
  <c r="R35" i="12"/>
  <c r="Q35" i="12"/>
  <c r="P35" i="12"/>
  <c r="O35" i="12"/>
  <c r="N35" i="12"/>
  <c r="M35" i="12"/>
  <c r="R34" i="12"/>
  <c r="Q34" i="12"/>
  <c r="O34" i="12"/>
  <c r="N34" i="12"/>
  <c r="P34" i="12" s="1"/>
  <c r="M34" i="12"/>
  <c r="O33" i="12"/>
  <c r="Q33" i="12" s="1"/>
  <c r="N33" i="12"/>
  <c r="P33" i="12" s="1"/>
  <c r="M33" i="12"/>
  <c r="P32" i="12"/>
  <c r="O32" i="12"/>
  <c r="R32" i="12" s="1"/>
  <c r="N32" i="12"/>
  <c r="M32" i="12"/>
  <c r="R31" i="12"/>
  <c r="Q31" i="12"/>
  <c r="P31" i="12"/>
  <c r="O31" i="12"/>
  <c r="N31" i="12"/>
  <c r="M31" i="12"/>
  <c r="R30" i="12"/>
  <c r="Q30" i="12"/>
  <c r="O30" i="12"/>
  <c r="N30" i="12"/>
  <c r="P30" i="12" s="1"/>
  <c r="M30" i="12"/>
  <c r="O29" i="12"/>
  <c r="Q29" i="12" s="1"/>
  <c r="N29" i="12"/>
  <c r="P29" i="12" s="1"/>
  <c r="M29" i="12"/>
  <c r="P28" i="12"/>
  <c r="O28" i="12"/>
  <c r="R28" i="12" s="1"/>
  <c r="N28" i="12"/>
  <c r="M28" i="12"/>
  <c r="R27" i="12"/>
  <c r="Q27" i="12"/>
  <c r="P27" i="12"/>
  <c r="O27" i="12"/>
  <c r="N27" i="12"/>
  <c r="M27" i="12"/>
  <c r="R26" i="12"/>
  <c r="Q26" i="12"/>
  <c r="O26" i="12"/>
  <c r="N26" i="12"/>
  <c r="P26" i="12" s="1"/>
  <c r="M26" i="12"/>
  <c r="O25" i="12"/>
  <c r="Q25" i="12" s="1"/>
  <c r="N25" i="12"/>
  <c r="P25" i="12" s="1"/>
  <c r="M25" i="12"/>
  <c r="P24" i="12"/>
  <c r="O24" i="12"/>
  <c r="R24" i="12" s="1"/>
  <c r="N24" i="12"/>
  <c r="M24" i="12"/>
  <c r="R23" i="12"/>
  <c r="Q23" i="12"/>
  <c r="P23" i="12"/>
  <c r="O23" i="12"/>
  <c r="N23" i="12"/>
  <c r="M23" i="12"/>
  <c r="R22" i="12"/>
  <c r="Q22" i="12"/>
  <c r="O22" i="12"/>
  <c r="N22" i="12"/>
  <c r="P22" i="12" s="1"/>
  <c r="M22" i="12"/>
  <c r="O21" i="12"/>
  <c r="Q21" i="12" s="1"/>
  <c r="N21" i="12"/>
  <c r="P21" i="12" s="1"/>
  <c r="M21" i="12"/>
  <c r="P20" i="12"/>
  <c r="O20" i="12"/>
  <c r="R20" i="12" s="1"/>
  <c r="N20" i="12"/>
  <c r="M20" i="12"/>
  <c r="R19" i="12"/>
  <c r="Q19" i="12"/>
  <c r="P19" i="12"/>
  <c r="O19" i="12"/>
  <c r="N19" i="12"/>
  <c r="M19" i="12"/>
  <c r="R18" i="12"/>
  <c r="Q18" i="12"/>
  <c r="O18" i="12"/>
  <c r="N18" i="12"/>
  <c r="P18" i="12" s="1"/>
  <c r="M18" i="12"/>
  <c r="O17" i="12"/>
  <c r="Q17" i="12" s="1"/>
  <c r="N17" i="12"/>
  <c r="P17" i="12" s="1"/>
  <c r="M17" i="12"/>
  <c r="P16" i="12"/>
  <c r="O16" i="12"/>
  <c r="R16" i="12" s="1"/>
  <c r="N16" i="12"/>
  <c r="M16" i="12"/>
  <c r="R15" i="12"/>
  <c r="Q15" i="12"/>
  <c r="P15" i="12"/>
  <c r="O15" i="12"/>
  <c r="N15" i="12"/>
  <c r="M15" i="12"/>
  <c r="R14" i="12"/>
  <c r="Q14" i="12"/>
  <c r="O14" i="12"/>
  <c r="N14" i="12"/>
  <c r="P14" i="12" s="1"/>
  <c r="M14" i="12"/>
  <c r="O13" i="12"/>
  <c r="Q13" i="12" s="1"/>
  <c r="N13" i="12"/>
  <c r="P13" i="12" s="1"/>
  <c r="M13" i="12"/>
  <c r="P12" i="12"/>
  <c r="O12" i="12"/>
  <c r="R12" i="12" s="1"/>
  <c r="N12" i="12"/>
  <c r="M12" i="12"/>
  <c r="R11" i="12"/>
  <c r="Q11" i="12"/>
  <c r="P11" i="12"/>
  <c r="O11" i="12"/>
  <c r="N11" i="12"/>
  <c r="M11" i="12"/>
  <c r="R10" i="12"/>
  <c r="Q10" i="12"/>
  <c r="O10" i="12"/>
  <c r="N10" i="12"/>
  <c r="P10" i="12" s="1"/>
  <c r="M10" i="12"/>
  <c r="O9" i="12"/>
  <c r="Q9" i="12" s="1"/>
  <c r="N9" i="12"/>
  <c r="P9" i="12" s="1"/>
  <c r="M9" i="12"/>
  <c r="P8" i="12"/>
  <c r="O8" i="12"/>
  <c r="R8" i="12" s="1"/>
  <c r="N8" i="12"/>
  <c r="M8" i="12"/>
  <c r="R7" i="12"/>
  <c r="Q7" i="12"/>
  <c r="P7" i="12"/>
  <c r="O7" i="12"/>
  <c r="N7" i="12"/>
  <c r="M7" i="12"/>
  <c r="R6" i="12"/>
  <c r="Q6" i="12"/>
  <c r="O6" i="12"/>
  <c r="N6" i="12"/>
  <c r="P6" i="12" s="1"/>
  <c r="M6" i="12"/>
  <c r="O5" i="12"/>
  <c r="Q5" i="12" s="1"/>
  <c r="N5" i="12"/>
  <c r="P5" i="12" s="1"/>
  <c r="S5" i="12" s="1"/>
  <c r="U5" i="12" s="1"/>
  <c r="M5" i="12"/>
  <c r="S212" i="12" s="1"/>
  <c r="U212" i="12" s="1"/>
  <c r="L37" i="10"/>
  <c r="E36" i="10"/>
  <c r="D36" i="10"/>
  <c r="F36" i="10" s="1"/>
  <c r="E35" i="10"/>
  <c r="D35" i="10"/>
  <c r="F35" i="10" s="1"/>
  <c r="G34" i="10"/>
  <c r="F34" i="10"/>
  <c r="E34" i="10"/>
  <c r="D34" i="10"/>
  <c r="E33" i="10"/>
  <c r="D33" i="10"/>
  <c r="F33" i="10" s="1"/>
  <c r="F32" i="10"/>
  <c r="E32" i="10"/>
  <c r="D32" i="10"/>
  <c r="E31" i="10"/>
  <c r="D31" i="10"/>
  <c r="F31" i="10" s="1"/>
  <c r="F30" i="10"/>
  <c r="E30" i="10"/>
  <c r="D30" i="10"/>
  <c r="E29" i="10"/>
  <c r="D29" i="10"/>
  <c r="F29" i="10" s="1"/>
  <c r="G28" i="10"/>
  <c r="F28" i="10"/>
  <c r="E28" i="10"/>
  <c r="D28" i="10"/>
  <c r="E27" i="10"/>
  <c r="D27" i="10"/>
  <c r="F27" i="10" s="1"/>
  <c r="G26" i="10"/>
  <c r="F26" i="10"/>
  <c r="E26" i="10"/>
  <c r="D26" i="10"/>
  <c r="E25" i="10"/>
  <c r="D25" i="10"/>
  <c r="F25" i="10" s="1"/>
  <c r="E24" i="10"/>
  <c r="D24" i="10"/>
  <c r="F24" i="10" s="1"/>
  <c r="F23" i="10"/>
  <c r="E23" i="10"/>
  <c r="D23" i="10"/>
  <c r="E22" i="10"/>
  <c r="D22" i="10"/>
  <c r="F22" i="10" s="1"/>
  <c r="F21" i="10"/>
  <c r="E21" i="10"/>
  <c r="D21" i="10"/>
  <c r="G20" i="10"/>
  <c r="E20" i="10"/>
  <c r="D20" i="10"/>
  <c r="F20" i="10" s="1"/>
  <c r="F19" i="10"/>
  <c r="E19" i="10"/>
  <c r="D19" i="10"/>
  <c r="G18" i="10"/>
  <c r="E18" i="10"/>
  <c r="D18" i="10"/>
  <c r="F18" i="10" s="1"/>
  <c r="F17" i="10"/>
  <c r="E17" i="10"/>
  <c r="D17" i="10"/>
  <c r="G16" i="10"/>
  <c r="E16" i="10"/>
  <c r="D16" i="10"/>
  <c r="F16" i="10" s="1"/>
  <c r="E15" i="10"/>
  <c r="D15" i="10"/>
  <c r="F15" i="10" s="1"/>
  <c r="E14" i="10"/>
  <c r="D14" i="10"/>
  <c r="F14" i="10" s="1"/>
  <c r="E13" i="10"/>
  <c r="D13" i="10"/>
  <c r="F13" i="10" s="1"/>
  <c r="F12" i="10"/>
  <c r="E12" i="10"/>
  <c r="D12" i="10"/>
  <c r="F11" i="10"/>
  <c r="H11" i="10" s="1"/>
  <c r="J11" i="10" s="1"/>
  <c r="E11" i="10"/>
  <c r="D11" i="10"/>
  <c r="H10" i="10"/>
  <c r="J10" i="10" s="1"/>
  <c r="G10" i="10"/>
  <c r="E10" i="10"/>
  <c r="D10" i="10"/>
  <c r="F10" i="10" s="1"/>
  <c r="E9" i="10"/>
  <c r="D9" i="10"/>
  <c r="F9" i="10" s="1"/>
  <c r="F8" i="10"/>
  <c r="E8" i="10"/>
  <c r="D8" i="10"/>
  <c r="G7" i="10"/>
  <c r="E7" i="10"/>
  <c r="D7" i="10"/>
  <c r="F7" i="10" s="1"/>
  <c r="F6" i="10"/>
  <c r="E6" i="10"/>
  <c r="G12" i="10" s="1"/>
  <c r="D6" i="10"/>
  <c r="F5" i="10"/>
  <c r="E5" i="10"/>
  <c r="D5" i="10"/>
  <c r="Z260" i="9"/>
  <c r="V260" i="9"/>
  <c r="R260" i="9"/>
  <c r="I260" i="9"/>
  <c r="G260" i="9"/>
  <c r="E260" i="9"/>
  <c r="AA260" i="9" s="1"/>
  <c r="Z259" i="9"/>
  <c r="V259" i="9"/>
  <c r="R259" i="9"/>
  <c r="G259" i="9"/>
  <c r="E259" i="9"/>
  <c r="Z258" i="9"/>
  <c r="V258" i="9"/>
  <c r="S258" i="9"/>
  <c r="R258" i="9"/>
  <c r="I258" i="9"/>
  <c r="G258" i="9"/>
  <c r="E258" i="9"/>
  <c r="W258" i="9" s="1"/>
  <c r="Z257" i="9"/>
  <c r="V257" i="9"/>
  <c r="R257" i="9"/>
  <c r="G257" i="9"/>
  <c r="E257" i="9"/>
  <c r="J257" i="9" s="1"/>
  <c r="Z256" i="9"/>
  <c r="V256" i="9"/>
  <c r="R256" i="9"/>
  <c r="I256" i="9"/>
  <c r="G256" i="9"/>
  <c r="E256" i="9"/>
  <c r="AA256" i="9" s="1"/>
  <c r="AA255" i="9"/>
  <c r="Z255" i="9"/>
  <c r="W255" i="9"/>
  <c r="V255" i="9"/>
  <c r="S255" i="9"/>
  <c r="R255" i="9"/>
  <c r="G255" i="9"/>
  <c r="J255" i="9" s="1"/>
  <c r="E255" i="9"/>
  <c r="I255" i="9" s="1"/>
  <c r="Z254" i="9"/>
  <c r="W254" i="9"/>
  <c r="V254" i="9"/>
  <c r="R254" i="9"/>
  <c r="J254" i="9"/>
  <c r="I254" i="9"/>
  <c r="G254" i="9"/>
  <c r="E254" i="9"/>
  <c r="AA253" i="9"/>
  <c r="Z253" i="9"/>
  <c r="V253" i="9"/>
  <c r="W253" i="9" s="1"/>
  <c r="R253" i="9"/>
  <c r="J253" i="9"/>
  <c r="G253" i="9"/>
  <c r="E253" i="9"/>
  <c r="I253" i="9" s="1"/>
  <c r="Z252" i="9"/>
  <c r="V252" i="9"/>
  <c r="R252" i="9"/>
  <c r="I252" i="9"/>
  <c r="G252" i="9"/>
  <c r="E252" i="9"/>
  <c r="Z251" i="9"/>
  <c r="V251" i="9"/>
  <c r="R251" i="9"/>
  <c r="G251" i="9"/>
  <c r="E251" i="9"/>
  <c r="Z250" i="9"/>
  <c r="W250" i="9"/>
  <c r="V250" i="9"/>
  <c r="S250" i="9"/>
  <c r="R250" i="9"/>
  <c r="I250" i="9"/>
  <c r="G250" i="9"/>
  <c r="E250" i="9"/>
  <c r="Z249" i="9"/>
  <c r="AA249" i="9" s="1"/>
  <c r="V249" i="9"/>
  <c r="S249" i="9"/>
  <c r="R249" i="9"/>
  <c r="I249" i="9"/>
  <c r="G249" i="9"/>
  <c r="E249" i="9"/>
  <c r="Z248" i="9"/>
  <c r="V248" i="9"/>
  <c r="R248" i="9"/>
  <c r="I248" i="9"/>
  <c r="G248" i="9"/>
  <c r="E248" i="9"/>
  <c r="AA248" i="9" s="1"/>
  <c r="AA247" i="9"/>
  <c r="Z247" i="9"/>
  <c r="W247" i="9"/>
  <c r="V247" i="9"/>
  <c r="S247" i="9"/>
  <c r="R247" i="9"/>
  <c r="G247" i="9"/>
  <c r="J247" i="9" s="1"/>
  <c r="E247" i="9"/>
  <c r="I247" i="9" s="1"/>
  <c r="Z246" i="9"/>
  <c r="V246" i="9"/>
  <c r="R246" i="9"/>
  <c r="G246" i="9"/>
  <c r="E246" i="9"/>
  <c r="J246" i="9" s="1"/>
  <c r="Z245" i="9"/>
  <c r="W245" i="9"/>
  <c r="V245" i="9"/>
  <c r="R245" i="9"/>
  <c r="J245" i="9"/>
  <c r="G245" i="9"/>
  <c r="E245" i="9"/>
  <c r="I245" i="9" s="1"/>
  <c r="Z244" i="9"/>
  <c r="V244" i="9"/>
  <c r="R244" i="9"/>
  <c r="I244" i="9"/>
  <c r="G244" i="9"/>
  <c r="E244" i="9"/>
  <c r="Z243" i="9"/>
  <c r="V243" i="9"/>
  <c r="R243" i="9"/>
  <c r="J243" i="9"/>
  <c r="G243" i="9"/>
  <c r="E243" i="9"/>
  <c r="Z242" i="9"/>
  <c r="V242" i="9"/>
  <c r="S242" i="9"/>
  <c r="R242" i="9"/>
  <c r="G242" i="9"/>
  <c r="E242" i="9"/>
  <c r="Z241" i="9"/>
  <c r="V241" i="9"/>
  <c r="R241" i="9"/>
  <c r="I241" i="9"/>
  <c r="G241" i="9"/>
  <c r="E241" i="9"/>
  <c r="Z240" i="9"/>
  <c r="V240" i="9"/>
  <c r="R240" i="9"/>
  <c r="I240" i="9"/>
  <c r="G240" i="9"/>
  <c r="E240" i="9"/>
  <c r="AA240" i="9" s="1"/>
  <c r="AA239" i="9"/>
  <c r="Z239" i="9"/>
  <c r="W239" i="9"/>
  <c r="V239" i="9"/>
  <c r="S239" i="9"/>
  <c r="R239" i="9"/>
  <c r="J239" i="9"/>
  <c r="G239" i="9"/>
  <c r="E239" i="9"/>
  <c r="I239" i="9" s="1"/>
  <c r="Z238" i="9"/>
  <c r="V238" i="9"/>
  <c r="R238" i="9"/>
  <c r="G238" i="9"/>
  <c r="E238" i="9"/>
  <c r="AA238" i="9" s="1"/>
  <c r="AA237" i="9"/>
  <c r="Z237" i="9"/>
  <c r="V237" i="9"/>
  <c r="S237" i="9"/>
  <c r="R237" i="9"/>
  <c r="J237" i="9"/>
  <c r="G237" i="9"/>
  <c r="E237" i="9"/>
  <c r="Z236" i="9"/>
  <c r="V236" i="9"/>
  <c r="R236" i="9"/>
  <c r="I236" i="9"/>
  <c r="G236" i="9"/>
  <c r="E236" i="9"/>
  <c r="AA236" i="9" s="1"/>
  <c r="Z235" i="9"/>
  <c r="V235" i="9"/>
  <c r="R235" i="9"/>
  <c r="J235" i="9"/>
  <c r="G235" i="9"/>
  <c r="E235" i="9"/>
  <c r="Z234" i="9"/>
  <c r="V234" i="9"/>
  <c r="R234" i="9"/>
  <c r="G234" i="9"/>
  <c r="E234" i="9"/>
  <c r="I234" i="9" s="1"/>
  <c r="Z233" i="9"/>
  <c r="V233" i="9"/>
  <c r="R233" i="9"/>
  <c r="G233" i="9"/>
  <c r="E233" i="9"/>
  <c r="S233" i="9" s="1"/>
  <c r="Z232" i="9"/>
  <c r="V232" i="9"/>
  <c r="R232" i="9"/>
  <c r="I232" i="9"/>
  <c r="G232" i="9"/>
  <c r="E232" i="9"/>
  <c r="AA232" i="9" s="1"/>
  <c r="AA231" i="9"/>
  <c r="Z231" i="9"/>
  <c r="W231" i="9"/>
  <c r="V231" i="9"/>
  <c r="S231" i="9"/>
  <c r="R231" i="9"/>
  <c r="J231" i="9"/>
  <c r="G231" i="9"/>
  <c r="E231" i="9"/>
  <c r="I231" i="9" s="1"/>
  <c r="Z230" i="9"/>
  <c r="W230" i="9"/>
  <c r="V230" i="9"/>
  <c r="R230" i="9"/>
  <c r="J230" i="9"/>
  <c r="I230" i="9"/>
  <c r="G230" i="9"/>
  <c r="E230" i="9"/>
  <c r="AA229" i="9"/>
  <c r="Z229" i="9"/>
  <c r="W229" i="9"/>
  <c r="V229" i="9"/>
  <c r="S229" i="9"/>
  <c r="R229" i="9"/>
  <c r="G229" i="9"/>
  <c r="E229" i="9"/>
  <c r="Z228" i="9"/>
  <c r="V228" i="9"/>
  <c r="R228" i="9"/>
  <c r="I228" i="9"/>
  <c r="G228" i="9"/>
  <c r="E228" i="9"/>
  <c r="Z227" i="9"/>
  <c r="V227" i="9"/>
  <c r="R227" i="9"/>
  <c r="G227" i="9"/>
  <c r="E227" i="9"/>
  <c r="Z226" i="9"/>
  <c r="W226" i="9"/>
  <c r="V226" i="9"/>
  <c r="S226" i="9"/>
  <c r="R226" i="9"/>
  <c r="I226" i="9"/>
  <c r="G226" i="9"/>
  <c r="E226" i="9"/>
  <c r="Z225" i="9"/>
  <c r="V225" i="9"/>
  <c r="R225" i="9"/>
  <c r="G225" i="9"/>
  <c r="E225" i="9"/>
  <c r="S225" i="9" s="1"/>
  <c r="Z224" i="9"/>
  <c r="V224" i="9"/>
  <c r="R224" i="9"/>
  <c r="I224" i="9"/>
  <c r="G224" i="9"/>
  <c r="E224" i="9"/>
  <c r="AA224" i="9" s="1"/>
  <c r="AA223" i="9"/>
  <c r="Z223" i="9"/>
  <c r="W223" i="9"/>
  <c r="V223" i="9"/>
  <c r="S223" i="9"/>
  <c r="R223" i="9"/>
  <c r="G223" i="9"/>
  <c r="J223" i="9" s="1"/>
  <c r="E223" i="9"/>
  <c r="I223" i="9" s="1"/>
  <c r="AA222" i="9"/>
  <c r="Z222" i="9"/>
  <c r="W222" i="9"/>
  <c r="V222" i="9"/>
  <c r="R222" i="9"/>
  <c r="J222" i="9"/>
  <c r="I222" i="9"/>
  <c r="G222" i="9"/>
  <c r="E222" i="9"/>
  <c r="AA221" i="9"/>
  <c r="Z221" i="9"/>
  <c r="W221" i="9"/>
  <c r="V221" i="9"/>
  <c r="R221" i="9"/>
  <c r="J221" i="9"/>
  <c r="G221" i="9"/>
  <c r="E221" i="9"/>
  <c r="I221" i="9" s="1"/>
  <c r="Z220" i="9"/>
  <c r="V220" i="9"/>
  <c r="R220" i="9"/>
  <c r="I220" i="9"/>
  <c r="G220" i="9"/>
  <c r="E220" i="9"/>
  <c r="AA220" i="9" s="1"/>
  <c r="Z219" i="9"/>
  <c r="V219" i="9"/>
  <c r="R219" i="9"/>
  <c r="J219" i="9"/>
  <c r="G219" i="9"/>
  <c r="E219" i="9"/>
  <c r="Z218" i="9"/>
  <c r="W218" i="9"/>
  <c r="V218" i="9"/>
  <c r="S218" i="9"/>
  <c r="R218" i="9"/>
  <c r="I218" i="9"/>
  <c r="G218" i="9"/>
  <c r="E218" i="9"/>
  <c r="Z217" i="9"/>
  <c r="AA217" i="9" s="1"/>
  <c r="V217" i="9"/>
  <c r="S217" i="9"/>
  <c r="R217" i="9"/>
  <c r="I217" i="9"/>
  <c r="G217" i="9"/>
  <c r="E217" i="9"/>
  <c r="Z216" i="9"/>
  <c r="V216" i="9"/>
  <c r="R216" i="9"/>
  <c r="I216" i="9"/>
  <c r="G216" i="9"/>
  <c r="E216" i="9"/>
  <c r="AA216" i="9" s="1"/>
  <c r="AA215" i="9"/>
  <c r="Z215" i="9"/>
  <c r="W215" i="9"/>
  <c r="V215" i="9"/>
  <c r="S215" i="9"/>
  <c r="R215" i="9"/>
  <c r="J215" i="9"/>
  <c r="G215" i="9"/>
  <c r="E215" i="9"/>
  <c r="I215" i="9" s="1"/>
  <c r="AA214" i="9"/>
  <c r="Z214" i="9"/>
  <c r="V214" i="9"/>
  <c r="R214" i="9"/>
  <c r="J214" i="9"/>
  <c r="G214" i="9"/>
  <c r="E214" i="9"/>
  <c r="Z213" i="9"/>
  <c r="V213" i="9"/>
  <c r="S213" i="9"/>
  <c r="R213" i="9"/>
  <c r="J213" i="9"/>
  <c r="G213" i="9"/>
  <c r="E213" i="9"/>
  <c r="W213" i="9" s="1"/>
  <c r="Z212" i="9"/>
  <c r="V212" i="9"/>
  <c r="R212" i="9"/>
  <c r="I212" i="9"/>
  <c r="G212" i="9"/>
  <c r="E212" i="9"/>
  <c r="Z211" i="9"/>
  <c r="V211" i="9"/>
  <c r="R211" i="9"/>
  <c r="G211" i="9"/>
  <c r="J211" i="9" s="1"/>
  <c r="E211" i="9"/>
  <c r="Z210" i="9"/>
  <c r="V210" i="9"/>
  <c r="S210" i="9"/>
  <c r="R210" i="9"/>
  <c r="G210" i="9"/>
  <c r="E210" i="9"/>
  <c r="Z209" i="9"/>
  <c r="V209" i="9"/>
  <c r="R209" i="9"/>
  <c r="I209" i="9"/>
  <c r="G209" i="9"/>
  <c r="E209" i="9"/>
  <c r="Z208" i="9"/>
  <c r="V208" i="9"/>
  <c r="R208" i="9"/>
  <c r="I208" i="9"/>
  <c r="G208" i="9"/>
  <c r="E208" i="9"/>
  <c r="AA208" i="9" s="1"/>
  <c r="AA207" i="9"/>
  <c r="Z207" i="9"/>
  <c r="W207" i="9"/>
  <c r="V207" i="9"/>
  <c r="S207" i="9"/>
  <c r="R207" i="9"/>
  <c r="J207" i="9"/>
  <c r="G207" i="9"/>
  <c r="E207" i="9"/>
  <c r="I207" i="9" s="1"/>
  <c r="Z206" i="9"/>
  <c r="V206" i="9"/>
  <c r="R206" i="9"/>
  <c r="J206" i="9"/>
  <c r="G206" i="9"/>
  <c r="E206" i="9"/>
  <c r="Z205" i="9"/>
  <c r="V205" i="9"/>
  <c r="R205" i="9"/>
  <c r="G205" i="9"/>
  <c r="E205" i="9"/>
  <c r="S205" i="9" s="1"/>
  <c r="Z204" i="9"/>
  <c r="V204" i="9"/>
  <c r="R204" i="9"/>
  <c r="I204" i="9"/>
  <c r="G204" i="9"/>
  <c r="E204" i="9"/>
  <c r="AA204" i="9" s="1"/>
  <c r="Z203" i="9"/>
  <c r="V203" i="9"/>
  <c r="R203" i="9"/>
  <c r="I203" i="9"/>
  <c r="G203" i="9"/>
  <c r="E203" i="9"/>
  <c r="AA203" i="9" s="1"/>
  <c r="AA202" i="9"/>
  <c r="Z202" i="9"/>
  <c r="W202" i="9"/>
  <c r="V202" i="9"/>
  <c r="S202" i="9"/>
  <c r="R202" i="9"/>
  <c r="J202" i="9"/>
  <c r="G202" i="9"/>
  <c r="E202" i="9"/>
  <c r="I202" i="9" s="1"/>
  <c r="Z201" i="9"/>
  <c r="V201" i="9"/>
  <c r="W201" i="9" s="1"/>
  <c r="R201" i="9"/>
  <c r="I201" i="9"/>
  <c r="G201" i="9"/>
  <c r="E201" i="9"/>
  <c r="S201" i="9" s="1"/>
  <c r="Z200" i="9"/>
  <c r="V200" i="9"/>
  <c r="R200" i="9"/>
  <c r="G200" i="9"/>
  <c r="E200" i="9"/>
  <c r="I200" i="9" s="1"/>
  <c r="Z199" i="9"/>
  <c r="V199" i="9"/>
  <c r="R199" i="9"/>
  <c r="I199" i="9"/>
  <c r="G199" i="9"/>
  <c r="E199" i="9"/>
  <c r="AA199" i="9" s="1"/>
  <c r="Z198" i="9"/>
  <c r="V198" i="9"/>
  <c r="R198" i="9"/>
  <c r="G198" i="9"/>
  <c r="E198" i="9"/>
  <c r="J198" i="9" s="1"/>
  <c r="Z197" i="9"/>
  <c r="W197" i="9"/>
  <c r="V197" i="9"/>
  <c r="R197" i="9"/>
  <c r="I197" i="9"/>
  <c r="G197" i="9"/>
  <c r="E197" i="9"/>
  <c r="S197" i="9" s="1"/>
  <c r="Z196" i="9"/>
  <c r="V196" i="9"/>
  <c r="R196" i="9"/>
  <c r="G196" i="9"/>
  <c r="E196" i="9"/>
  <c r="W196" i="9" s="1"/>
  <c r="Z195" i="9"/>
  <c r="V195" i="9"/>
  <c r="R195" i="9"/>
  <c r="I195" i="9"/>
  <c r="G195" i="9"/>
  <c r="E195" i="9"/>
  <c r="AA195" i="9" s="1"/>
  <c r="AA194" i="9"/>
  <c r="Z194" i="9"/>
  <c r="W194" i="9"/>
  <c r="V194" i="9"/>
  <c r="S194" i="9"/>
  <c r="R194" i="9"/>
  <c r="G194" i="9"/>
  <c r="J194" i="9" s="1"/>
  <c r="E194" i="9"/>
  <c r="I194" i="9" s="1"/>
  <c r="Z193" i="9"/>
  <c r="W193" i="9"/>
  <c r="V193" i="9"/>
  <c r="R193" i="9"/>
  <c r="J193" i="9"/>
  <c r="I193" i="9"/>
  <c r="G193" i="9"/>
  <c r="E193" i="9"/>
  <c r="AA192" i="9"/>
  <c r="Z192" i="9"/>
  <c r="V192" i="9"/>
  <c r="W192" i="9" s="1"/>
  <c r="R192" i="9"/>
  <c r="G192" i="9"/>
  <c r="E192" i="9"/>
  <c r="I192" i="9" s="1"/>
  <c r="Z191" i="9"/>
  <c r="V191" i="9"/>
  <c r="R191" i="9"/>
  <c r="I191" i="9"/>
  <c r="G191" i="9"/>
  <c r="E191" i="9"/>
  <c r="AA191" i="9" s="1"/>
  <c r="Z190" i="9"/>
  <c r="V190" i="9"/>
  <c r="R190" i="9"/>
  <c r="G190" i="9"/>
  <c r="E190" i="9"/>
  <c r="J190" i="9" s="1"/>
  <c r="Z189" i="9"/>
  <c r="W189" i="9"/>
  <c r="V189" i="9"/>
  <c r="R189" i="9"/>
  <c r="S189" i="9" s="1"/>
  <c r="I189" i="9"/>
  <c r="G189" i="9"/>
  <c r="E189" i="9"/>
  <c r="Z188" i="9"/>
  <c r="AA188" i="9" s="1"/>
  <c r="V188" i="9"/>
  <c r="S188" i="9"/>
  <c r="R188" i="9"/>
  <c r="G188" i="9"/>
  <c r="E188" i="9"/>
  <c r="W188" i="9" s="1"/>
  <c r="Z187" i="9"/>
  <c r="V187" i="9"/>
  <c r="R187" i="9"/>
  <c r="I187" i="9"/>
  <c r="G187" i="9"/>
  <c r="E187" i="9"/>
  <c r="AA187" i="9" s="1"/>
  <c r="AA186" i="9"/>
  <c r="Z186" i="9"/>
  <c r="W186" i="9"/>
  <c r="V186" i="9"/>
  <c r="S186" i="9"/>
  <c r="R186" i="9"/>
  <c r="G186" i="9"/>
  <c r="J186" i="9" s="1"/>
  <c r="E186" i="9"/>
  <c r="I186" i="9" s="1"/>
  <c r="Z185" i="9"/>
  <c r="V185" i="9"/>
  <c r="R185" i="9"/>
  <c r="J185" i="9"/>
  <c r="G185" i="9"/>
  <c r="E185" i="9"/>
  <c r="W185" i="9" s="1"/>
  <c r="AA184" i="9"/>
  <c r="Z184" i="9"/>
  <c r="W184" i="9"/>
  <c r="V184" i="9"/>
  <c r="R184" i="9"/>
  <c r="J184" i="9"/>
  <c r="G184" i="9"/>
  <c r="E184" i="9"/>
  <c r="I184" i="9" s="1"/>
  <c r="Z183" i="9"/>
  <c r="V183" i="9"/>
  <c r="R183" i="9"/>
  <c r="I183" i="9"/>
  <c r="G183" i="9"/>
  <c r="E183" i="9"/>
  <c r="Z182" i="9"/>
  <c r="V182" i="9"/>
  <c r="R182" i="9"/>
  <c r="G182" i="9"/>
  <c r="J182" i="9" s="1"/>
  <c r="E182" i="9"/>
  <c r="Z181" i="9"/>
  <c r="V181" i="9"/>
  <c r="S181" i="9"/>
  <c r="R181" i="9"/>
  <c r="G181" i="9"/>
  <c r="E181" i="9"/>
  <c r="W181" i="9" s="1"/>
  <c r="AA180" i="9"/>
  <c r="Z180" i="9"/>
  <c r="V180" i="9"/>
  <c r="S180" i="9"/>
  <c r="R180" i="9"/>
  <c r="I180" i="9"/>
  <c r="G180" i="9"/>
  <c r="E180" i="9"/>
  <c r="Z179" i="9"/>
  <c r="V179" i="9"/>
  <c r="R179" i="9"/>
  <c r="I179" i="9"/>
  <c r="G179" i="9"/>
  <c r="E179" i="9"/>
  <c r="AA179" i="9" s="1"/>
  <c r="AA178" i="9"/>
  <c r="Z178" i="9"/>
  <c r="W178" i="9"/>
  <c r="V178" i="9"/>
  <c r="S178" i="9"/>
  <c r="R178" i="9"/>
  <c r="J178" i="9"/>
  <c r="G178" i="9"/>
  <c r="E178" i="9"/>
  <c r="I178" i="9" s="1"/>
  <c r="Z177" i="9"/>
  <c r="V177" i="9"/>
  <c r="R177" i="9"/>
  <c r="G177" i="9"/>
  <c r="E177" i="9"/>
  <c r="S177" i="9" s="1"/>
  <c r="Z176" i="9"/>
  <c r="V176" i="9"/>
  <c r="R176" i="9"/>
  <c r="J176" i="9"/>
  <c r="G176" i="9"/>
  <c r="E176" i="9"/>
  <c r="I176" i="9" s="1"/>
  <c r="Z175" i="9"/>
  <c r="V175" i="9"/>
  <c r="R175" i="9"/>
  <c r="I175" i="9"/>
  <c r="G175" i="9"/>
  <c r="E175" i="9"/>
  <c r="Z174" i="9"/>
  <c r="V174" i="9"/>
  <c r="R174" i="9"/>
  <c r="J174" i="9"/>
  <c r="G174" i="9"/>
  <c r="E174" i="9"/>
  <c r="Z173" i="9"/>
  <c r="V173" i="9"/>
  <c r="R173" i="9"/>
  <c r="G173" i="9"/>
  <c r="E173" i="9"/>
  <c r="S173" i="9" s="1"/>
  <c r="Z172" i="9"/>
  <c r="V172" i="9"/>
  <c r="R172" i="9"/>
  <c r="I172" i="9"/>
  <c r="G172" i="9"/>
  <c r="E172" i="9"/>
  <c r="AA172" i="9" s="1"/>
  <c r="Z171" i="9"/>
  <c r="V171" i="9"/>
  <c r="R171" i="9"/>
  <c r="I171" i="9"/>
  <c r="G171" i="9"/>
  <c r="E171" i="9"/>
  <c r="AA171" i="9" s="1"/>
  <c r="AA170" i="9"/>
  <c r="Z170" i="9"/>
  <c r="W170" i="9"/>
  <c r="V170" i="9"/>
  <c r="S170" i="9"/>
  <c r="R170" i="9"/>
  <c r="J170" i="9"/>
  <c r="G170" i="9"/>
  <c r="E170" i="9"/>
  <c r="I170" i="9" s="1"/>
  <c r="Z169" i="9"/>
  <c r="V169" i="9"/>
  <c r="W169" i="9" s="1"/>
  <c r="R169" i="9"/>
  <c r="I169" i="9"/>
  <c r="G169" i="9"/>
  <c r="E169" i="9"/>
  <c r="S169" i="9" s="1"/>
  <c r="Z168" i="9"/>
  <c r="V168" i="9"/>
  <c r="R168" i="9"/>
  <c r="G168" i="9"/>
  <c r="E168" i="9"/>
  <c r="I168" i="9" s="1"/>
  <c r="Z167" i="9"/>
  <c r="V167" i="9"/>
  <c r="R167" i="9"/>
  <c r="I167" i="9"/>
  <c r="G167" i="9"/>
  <c r="E167" i="9"/>
  <c r="AA167" i="9" s="1"/>
  <c r="Z166" i="9"/>
  <c r="V166" i="9"/>
  <c r="R166" i="9"/>
  <c r="G166" i="9"/>
  <c r="E166" i="9"/>
  <c r="J166" i="9" s="1"/>
  <c r="Z165" i="9"/>
  <c r="W165" i="9"/>
  <c r="V165" i="9"/>
  <c r="R165" i="9"/>
  <c r="I165" i="9"/>
  <c r="G165" i="9"/>
  <c r="E165" i="9"/>
  <c r="S165" i="9" s="1"/>
  <c r="Z164" i="9"/>
  <c r="V164" i="9"/>
  <c r="R164" i="9"/>
  <c r="G164" i="9"/>
  <c r="E164" i="9"/>
  <c r="W164" i="9" s="1"/>
  <c r="Z163" i="9"/>
  <c r="V163" i="9"/>
  <c r="R163" i="9"/>
  <c r="I163" i="9"/>
  <c r="G163" i="9"/>
  <c r="E163" i="9"/>
  <c r="AA163" i="9" s="1"/>
  <c r="AA162" i="9"/>
  <c r="Z162" i="9"/>
  <c r="W162" i="9"/>
  <c r="V162" i="9"/>
  <c r="S162" i="9"/>
  <c r="R162" i="9"/>
  <c r="G162" i="9"/>
  <c r="J162" i="9" s="1"/>
  <c r="E162" i="9"/>
  <c r="I162" i="9" s="1"/>
  <c r="Z161" i="9"/>
  <c r="W161" i="9"/>
  <c r="V161" i="9"/>
  <c r="R161" i="9"/>
  <c r="J161" i="9"/>
  <c r="I161" i="9"/>
  <c r="G161" i="9"/>
  <c r="E161" i="9"/>
  <c r="AA160" i="9"/>
  <c r="Z160" i="9"/>
  <c r="V160" i="9"/>
  <c r="W160" i="9" s="1"/>
  <c r="R160" i="9"/>
  <c r="G160" i="9"/>
  <c r="E160" i="9"/>
  <c r="I160" i="9" s="1"/>
  <c r="Z159" i="9"/>
  <c r="V159" i="9"/>
  <c r="R159" i="9"/>
  <c r="I159" i="9"/>
  <c r="G159" i="9"/>
  <c r="E159" i="9"/>
  <c r="AA159" i="9" s="1"/>
  <c r="Z158" i="9"/>
  <c r="V158" i="9"/>
  <c r="R158" i="9"/>
  <c r="G158" i="9"/>
  <c r="E158" i="9"/>
  <c r="J158" i="9" s="1"/>
  <c r="Z157" i="9"/>
  <c r="W157" i="9"/>
  <c r="V157" i="9"/>
  <c r="R157" i="9"/>
  <c r="S157" i="9" s="1"/>
  <c r="I157" i="9"/>
  <c r="G157" i="9"/>
  <c r="E157" i="9"/>
  <c r="Z156" i="9"/>
  <c r="AA156" i="9" s="1"/>
  <c r="V156" i="9"/>
  <c r="S156" i="9"/>
  <c r="R156" i="9"/>
  <c r="G156" i="9"/>
  <c r="E156" i="9"/>
  <c r="W156" i="9" s="1"/>
  <c r="Z155" i="9"/>
  <c r="V155" i="9"/>
  <c r="R155" i="9"/>
  <c r="I155" i="9"/>
  <c r="G155" i="9"/>
  <c r="E155" i="9"/>
  <c r="AA155" i="9" s="1"/>
  <c r="AA154" i="9"/>
  <c r="Z154" i="9"/>
  <c r="W154" i="9"/>
  <c r="V154" i="9"/>
  <c r="S154" i="9"/>
  <c r="R154" i="9"/>
  <c r="G154" i="9"/>
  <c r="J154" i="9" s="1"/>
  <c r="E154" i="9"/>
  <c r="I154" i="9" s="1"/>
  <c r="Z153" i="9"/>
  <c r="V153" i="9"/>
  <c r="R153" i="9"/>
  <c r="J153" i="9"/>
  <c r="G153" i="9"/>
  <c r="E153" i="9"/>
  <c r="W153" i="9" s="1"/>
  <c r="AA152" i="9"/>
  <c r="Z152" i="9"/>
  <c r="W152" i="9"/>
  <c r="V152" i="9"/>
  <c r="R152" i="9"/>
  <c r="J152" i="9"/>
  <c r="G152" i="9"/>
  <c r="E152" i="9"/>
  <c r="I152" i="9" s="1"/>
  <c r="Z151" i="9"/>
  <c r="V151" i="9"/>
  <c r="R151" i="9"/>
  <c r="I151" i="9"/>
  <c r="G151" i="9"/>
  <c r="E151" i="9"/>
  <c r="Z150" i="9"/>
  <c r="V150" i="9"/>
  <c r="R150" i="9"/>
  <c r="G150" i="9"/>
  <c r="J150" i="9" s="1"/>
  <c r="E150" i="9"/>
  <c r="Z149" i="9"/>
  <c r="V149" i="9"/>
  <c r="S149" i="9"/>
  <c r="R149" i="9"/>
  <c r="G149" i="9"/>
  <c r="E149" i="9"/>
  <c r="W149" i="9" s="1"/>
  <c r="AA148" i="9"/>
  <c r="Z148" i="9"/>
  <c r="V148" i="9"/>
  <c r="S148" i="9"/>
  <c r="R148" i="9"/>
  <c r="I148" i="9"/>
  <c r="G148" i="9"/>
  <c r="E148" i="9"/>
  <c r="Z147" i="9"/>
  <c r="V147" i="9"/>
  <c r="R147" i="9"/>
  <c r="I147" i="9"/>
  <c r="G147" i="9"/>
  <c r="E147" i="9"/>
  <c r="AA147" i="9" s="1"/>
  <c r="AA146" i="9"/>
  <c r="Z146" i="9"/>
  <c r="W146" i="9"/>
  <c r="V146" i="9"/>
  <c r="S146" i="9"/>
  <c r="R146" i="9"/>
  <c r="J146" i="9"/>
  <c r="G146" i="9"/>
  <c r="E146" i="9"/>
  <c r="I146" i="9" s="1"/>
  <c r="Z145" i="9"/>
  <c r="V145" i="9"/>
  <c r="R145" i="9"/>
  <c r="G145" i="9"/>
  <c r="E145" i="9"/>
  <c r="S145" i="9" s="1"/>
  <c r="Z144" i="9"/>
  <c r="V144" i="9"/>
  <c r="R144" i="9"/>
  <c r="J144" i="9"/>
  <c r="G144" i="9"/>
  <c r="E144" i="9"/>
  <c r="I144" i="9" s="1"/>
  <c r="Z143" i="9"/>
  <c r="V143" i="9"/>
  <c r="R143" i="9"/>
  <c r="I143" i="9"/>
  <c r="G143" i="9"/>
  <c r="E143" i="9"/>
  <c r="Z142" i="9"/>
  <c r="V142" i="9"/>
  <c r="R142" i="9"/>
  <c r="J142" i="9"/>
  <c r="G142" i="9"/>
  <c r="E142" i="9"/>
  <c r="Z141" i="9"/>
  <c r="V141" i="9"/>
  <c r="R141" i="9"/>
  <c r="G141" i="9"/>
  <c r="E141" i="9"/>
  <c r="S141" i="9" s="1"/>
  <c r="Z140" i="9"/>
  <c r="V140" i="9"/>
  <c r="R140" i="9"/>
  <c r="I140" i="9"/>
  <c r="G140" i="9"/>
  <c r="E140" i="9"/>
  <c r="AA140" i="9" s="1"/>
  <c r="Z139" i="9"/>
  <c r="V139" i="9"/>
  <c r="R139" i="9"/>
  <c r="I139" i="9"/>
  <c r="G139" i="9"/>
  <c r="E139" i="9"/>
  <c r="AA139" i="9" s="1"/>
  <c r="AA138" i="9"/>
  <c r="Z138" i="9"/>
  <c r="W138" i="9"/>
  <c r="V138" i="9"/>
  <c r="S138" i="9"/>
  <c r="R138" i="9"/>
  <c r="J138" i="9"/>
  <c r="G138" i="9"/>
  <c r="E138" i="9"/>
  <c r="I138" i="9" s="1"/>
  <c r="Z137" i="9"/>
  <c r="V137" i="9"/>
  <c r="W137" i="9" s="1"/>
  <c r="R137" i="9"/>
  <c r="I137" i="9"/>
  <c r="G137" i="9"/>
  <c r="E137" i="9"/>
  <c r="S137" i="9" s="1"/>
  <c r="Z136" i="9"/>
  <c r="V136" i="9"/>
  <c r="R136" i="9"/>
  <c r="G136" i="9"/>
  <c r="E136" i="9"/>
  <c r="I136" i="9" s="1"/>
  <c r="Z135" i="9"/>
  <c r="V135" i="9"/>
  <c r="R135" i="9"/>
  <c r="I135" i="9"/>
  <c r="G135" i="9"/>
  <c r="E135" i="9"/>
  <c r="AA135" i="9" s="1"/>
  <c r="Z134" i="9"/>
  <c r="V134" i="9"/>
  <c r="R134" i="9"/>
  <c r="G134" i="9"/>
  <c r="E134" i="9"/>
  <c r="J134" i="9" s="1"/>
  <c r="Z133" i="9"/>
  <c r="W133" i="9"/>
  <c r="V133" i="9"/>
  <c r="R133" i="9"/>
  <c r="I133" i="9"/>
  <c r="G133" i="9"/>
  <c r="E133" i="9"/>
  <c r="S133" i="9" s="1"/>
  <c r="Z132" i="9"/>
  <c r="V132" i="9"/>
  <c r="R132" i="9"/>
  <c r="G132" i="9"/>
  <c r="E132" i="9"/>
  <c r="W132" i="9" s="1"/>
  <c r="Z131" i="9"/>
  <c r="V131" i="9"/>
  <c r="R131" i="9"/>
  <c r="I131" i="9"/>
  <c r="G131" i="9"/>
  <c r="E131" i="9"/>
  <c r="AA131" i="9" s="1"/>
  <c r="AA130" i="9"/>
  <c r="Z130" i="9"/>
  <c r="W130" i="9"/>
  <c r="V130" i="9"/>
  <c r="S130" i="9"/>
  <c r="R130" i="9"/>
  <c r="J130" i="9"/>
  <c r="G130" i="9"/>
  <c r="E130" i="9"/>
  <c r="I130" i="9" s="1"/>
  <c r="Z129" i="9"/>
  <c r="V129" i="9"/>
  <c r="W129" i="9" s="1"/>
  <c r="R129" i="9"/>
  <c r="J129" i="9"/>
  <c r="I129" i="9"/>
  <c r="G129" i="9"/>
  <c r="E129" i="9"/>
  <c r="Z128" i="9"/>
  <c r="V128" i="9"/>
  <c r="R128" i="9"/>
  <c r="G128" i="9"/>
  <c r="E128" i="9"/>
  <c r="I128" i="9" s="1"/>
  <c r="Z127" i="9"/>
  <c r="V127" i="9"/>
  <c r="R127" i="9"/>
  <c r="I127" i="9"/>
  <c r="G127" i="9"/>
  <c r="E127" i="9"/>
  <c r="AA127" i="9" s="1"/>
  <c r="Z126" i="9"/>
  <c r="V126" i="9"/>
  <c r="R126" i="9"/>
  <c r="G126" i="9"/>
  <c r="E126" i="9"/>
  <c r="J126" i="9" s="1"/>
  <c r="Z125" i="9"/>
  <c r="W125" i="9"/>
  <c r="V125" i="9"/>
  <c r="R125" i="9"/>
  <c r="S125" i="9" s="1"/>
  <c r="I125" i="9"/>
  <c r="G125" i="9"/>
  <c r="E125" i="9"/>
  <c r="Z124" i="9"/>
  <c r="V124" i="9"/>
  <c r="R124" i="9"/>
  <c r="G124" i="9"/>
  <c r="E124" i="9"/>
  <c r="W124" i="9" s="1"/>
  <c r="Z123" i="9"/>
  <c r="V123" i="9"/>
  <c r="R123" i="9"/>
  <c r="I123" i="9"/>
  <c r="G123" i="9"/>
  <c r="E123" i="9"/>
  <c r="AA123" i="9" s="1"/>
  <c r="AA122" i="9"/>
  <c r="Z122" i="9"/>
  <c r="W122" i="9"/>
  <c r="V122" i="9"/>
  <c r="S122" i="9"/>
  <c r="R122" i="9"/>
  <c r="G122" i="9"/>
  <c r="J122" i="9" s="1"/>
  <c r="E122" i="9"/>
  <c r="I122" i="9" s="1"/>
  <c r="Z121" i="9"/>
  <c r="W121" i="9"/>
  <c r="V121" i="9"/>
  <c r="R121" i="9"/>
  <c r="J121" i="9"/>
  <c r="I121" i="9"/>
  <c r="G121" i="9"/>
  <c r="E121" i="9"/>
  <c r="AA120" i="9"/>
  <c r="Z120" i="9"/>
  <c r="V120" i="9"/>
  <c r="W120" i="9" s="1"/>
  <c r="R120" i="9"/>
  <c r="J120" i="9"/>
  <c r="G120" i="9"/>
  <c r="E120" i="9"/>
  <c r="I120" i="9" s="1"/>
  <c r="Z119" i="9"/>
  <c r="V119" i="9"/>
  <c r="R119" i="9"/>
  <c r="I119" i="9"/>
  <c r="G119" i="9"/>
  <c r="E119" i="9"/>
  <c r="AA119" i="9" s="1"/>
  <c r="Z118" i="9"/>
  <c r="V118" i="9"/>
  <c r="R118" i="9"/>
  <c r="G118" i="9"/>
  <c r="E118" i="9"/>
  <c r="Z117" i="9"/>
  <c r="W117" i="9"/>
  <c r="V117" i="9"/>
  <c r="R117" i="9"/>
  <c r="S117" i="9" s="1"/>
  <c r="I117" i="9"/>
  <c r="G117" i="9"/>
  <c r="E117" i="9"/>
  <c r="Z116" i="9"/>
  <c r="AA116" i="9" s="1"/>
  <c r="V116" i="9"/>
  <c r="S116" i="9"/>
  <c r="R116" i="9"/>
  <c r="I116" i="9"/>
  <c r="G116" i="9"/>
  <c r="E116" i="9"/>
  <c r="Z115" i="9"/>
  <c r="V115" i="9"/>
  <c r="R115" i="9"/>
  <c r="I115" i="9"/>
  <c r="G115" i="9"/>
  <c r="E115" i="9"/>
  <c r="AA115" i="9" s="1"/>
  <c r="AA114" i="9"/>
  <c r="Z114" i="9"/>
  <c r="W114" i="9"/>
  <c r="V114" i="9"/>
  <c r="S114" i="9"/>
  <c r="R114" i="9"/>
  <c r="G114" i="9"/>
  <c r="J114" i="9" s="1"/>
  <c r="E114" i="9"/>
  <c r="I114" i="9" s="1"/>
  <c r="Z113" i="9"/>
  <c r="V113" i="9"/>
  <c r="R113" i="9"/>
  <c r="J113" i="9"/>
  <c r="G113" i="9"/>
  <c r="E113" i="9"/>
  <c r="W113" i="9" s="1"/>
  <c r="AA112" i="9"/>
  <c r="Z112" i="9"/>
  <c r="W112" i="9"/>
  <c r="V112" i="9"/>
  <c r="R112" i="9"/>
  <c r="J112" i="9"/>
  <c r="G112" i="9"/>
  <c r="E112" i="9"/>
  <c r="I112" i="9" s="1"/>
  <c r="Z111" i="9"/>
  <c r="V111" i="9"/>
  <c r="R111" i="9"/>
  <c r="I111" i="9"/>
  <c r="G111" i="9"/>
  <c r="E111" i="9"/>
  <c r="Z110" i="9"/>
  <c r="V110" i="9"/>
  <c r="R110" i="9"/>
  <c r="G110" i="9"/>
  <c r="J110" i="9" s="1"/>
  <c r="E110" i="9"/>
  <c r="Z109" i="9"/>
  <c r="V109" i="9"/>
  <c r="S109" i="9"/>
  <c r="R109" i="9"/>
  <c r="G109" i="9"/>
  <c r="E109" i="9"/>
  <c r="W109" i="9" s="1"/>
  <c r="AA108" i="9"/>
  <c r="Z108" i="9"/>
  <c r="V108" i="9"/>
  <c r="S108" i="9"/>
  <c r="R108" i="9"/>
  <c r="I108" i="9"/>
  <c r="G108" i="9"/>
  <c r="E108" i="9"/>
  <c r="Z107" i="9"/>
  <c r="V107" i="9"/>
  <c r="R107" i="9"/>
  <c r="I107" i="9"/>
  <c r="G107" i="9"/>
  <c r="E107" i="9"/>
  <c r="AA107" i="9" s="1"/>
  <c r="AA106" i="9"/>
  <c r="Z106" i="9"/>
  <c r="W106" i="9"/>
  <c r="V106" i="9"/>
  <c r="S106" i="9"/>
  <c r="R106" i="9"/>
  <c r="J106" i="9"/>
  <c r="G106" i="9"/>
  <c r="E106" i="9"/>
  <c r="I106" i="9" s="1"/>
  <c r="AA105" i="9"/>
  <c r="Z105" i="9"/>
  <c r="V105" i="9"/>
  <c r="R105" i="9"/>
  <c r="G105" i="9"/>
  <c r="E105" i="9"/>
  <c r="Z104" i="9"/>
  <c r="V104" i="9"/>
  <c r="R104" i="9"/>
  <c r="J104" i="9"/>
  <c r="G104" i="9"/>
  <c r="E104" i="9"/>
  <c r="I104" i="9" s="1"/>
  <c r="Z103" i="9"/>
  <c r="V103" i="9"/>
  <c r="R103" i="9"/>
  <c r="J103" i="9"/>
  <c r="I103" i="9"/>
  <c r="G103" i="9"/>
  <c r="E103" i="9"/>
  <c r="Z102" i="9"/>
  <c r="V102" i="9"/>
  <c r="R102" i="9"/>
  <c r="G102" i="9"/>
  <c r="E102" i="9"/>
  <c r="AA102" i="9" s="1"/>
  <c r="Z101" i="9"/>
  <c r="V101" i="9"/>
  <c r="R101" i="9"/>
  <c r="I101" i="9"/>
  <c r="G101" i="9"/>
  <c r="E101" i="9"/>
  <c r="Z100" i="9"/>
  <c r="V100" i="9"/>
  <c r="R100" i="9"/>
  <c r="J100" i="9"/>
  <c r="G100" i="9"/>
  <c r="E100" i="9"/>
  <c r="I100" i="9" s="1"/>
  <c r="Z99" i="9"/>
  <c r="V99" i="9"/>
  <c r="R99" i="9"/>
  <c r="G99" i="9"/>
  <c r="E99" i="9"/>
  <c r="Z98" i="9"/>
  <c r="W98" i="9"/>
  <c r="V98" i="9"/>
  <c r="S98" i="9"/>
  <c r="R98" i="9"/>
  <c r="I98" i="9"/>
  <c r="G98" i="9"/>
  <c r="E98" i="9"/>
  <c r="AA98" i="9" s="1"/>
  <c r="Z97" i="9"/>
  <c r="V97" i="9"/>
  <c r="R97" i="9"/>
  <c r="I97" i="9"/>
  <c r="G97" i="9"/>
  <c r="E97" i="9"/>
  <c r="AA97" i="9" s="1"/>
  <c r="AA96" i="9"/>
  <c r="Z96" i="9"/>
  <c r="W96" i="9"/>
  <c r="V96" i="9"/>
  <c r="S96" i="9"/>
  <c r="R96" i="9"/>
  <c r="G96" i="9"/>
  <c r="E96" i="9"/>
  <c r="I96" i="9" s="1"/>
  <c r="Z95" i="9"/>
  <c r="AA95" i="9" s="1"/>
  <c r="V95" i="9"/>
  <c r="S95" i="9"/>
  <c r="R95" i="9"/>
  <c r="J95" i="9"/>
  <c r="I95" i="9"/>
  <c r="G95" i="9"/>
  <c r="E95" i="9"/>
  <c r="W95" i="9" s="1"/>
  <c r="AA94" i="9"/>
  <c r="Z94" i="9"/>
  <c r="V94" i="9"/>
  <c r="R94" i="9"/>
  <c r="J94" i="9"/>
  <c r="G94" i="9"/>
  <c r="E94" i="9"/>
  <c r="Z93" i="9"/>
  <c r="V93" i="9"/>
  <c r="R93" i="9"/>
  <c r="I93" i="9"/>
  <c r="G93" i="9"/>
  <c r="E93" i="9"/>
  <c r="Z92" i="9"/>
  <c r="V92" i="9"/>
  <c r="R92" i="9"/>
  <c r="J92" i="9"/>
  <c r="G92" i="9"/>
  <c r="E92" i="9"/>
  <c r="I92" i="9" s="1"/>
  <c r="Z91" i="9"/>
  <c r="W91" i="9"/>
  <c r="V91" i="9"/>
  <c r="R91" i="9"/>
  <c r="G91" i="9"/>
  <c r="E91" i="9"/>
  <c r="Z90" i="9"/>
  <c r="W90" i="9"/>
  <c r="V90" i="9"/>
  <c r="S90" i="9"/>
  <c r="R90" i="9"/>
  <c r="I90" i="9"/>
  <c r="G90" i="9"/>
  <c r="E90" i="9"/>
  <c r="AA90" i="9" s="1"/>
  <c r="Z89" i="9"/>
  <c r="V89" i="9"/>
  <c r="R89" i="9"/>
  <c r="I89" i="9"/>
  <c r="G89" i="9"/>
  <c r="E89" i="9"/>
  <c r="AA89" i="9" s="1"/>
  <c r="AA88" i="9"/>
  <c r="Z88" i="9"/>
  <c r="W88" i="9"/>
  <c r="V88" i="9"/>
  <c r="S88" i="9"/>
  <c r="R88" i="9"/>
  <c r="G88" i="9"/>
  <c r="E88" i="9"/>
  <c r="I88" i="9" s="1"/>
  <c r="Z87" i="9"/>
  <c r="AA87" i="9" s="1"/>
  <c r="V87" i="9"/>
  <c r="S87" i="9"/>
  <c r="R87" i="9"/>
  <c r="J87" i="9"/>
  <c r="I87" i="9"/>
  <c r="G87" i="9"/>
  <c r="E87" i="9"/>
  <c r="W87" i="9" s="1"/>
  <c r="Z86" i="9"/>
  <c r="V86" i="9"/>
  <c r="R86" i="9"/>
  <c r="J86" i="9"/>
  <c r="G86" i="9"/>
  <c r="E86" i="9"/>
  <c r="AA86" i="9" s="1"/>
  <c r="Z85" i="9"/>
  <c r="V85" i="9"/>
  <c r="R85" i="9"/>
  <c r="I85" i="9"/>
  <c r="G85" i="9"/>
  <c r="E85" i="9"/>
  <c r="Z84" i="9"/>
  <c r="V84" i="9"/>
  <c r="R84" i="9"/>
  <c r="J84" i="9"/>
  <c r="G84" i="9"/>
  <c r="E84" i="9"/>
  <c r="I84" i="9" s="1"/>
  <c r="Z83" i="9"/>
  <c r="W83" i="9"/>
  <c r="V83" i="9"/>
  <c r="R83" i="9"/>
  <c r="G83" i="9"/>
  <c r="E83" i="9"/>
  <c r="Z82" i="9"/>
  <c r="W82" i="9"/>
  <c r="V82" i="9"/>
  <c r="S82" i="9"/>
  <c r="R82" i="9"/>
  <c r="I82" i="9"/>
  <c r="G82" i="9"/>
  <c r="E82" i="9"/>
  <c r="AA82" i="9" s="1"/>
  <c r="Z81" i="9"/>
  <c r="V81" i="9"/>
  <c r="R81" i="9"/>
  <c r="I81" i="9"/>
  <c r="G81" i="9"/>
  <c r="E81" i="9"/>
  <c r="AA81" i="9" s="1"/>
  <c r="AA80" i="9"/>
  <c r="Z80" i="9"/>
  <c r="W80" i="9"/>
  <c r="V80" i="9"/>
  <c r="S80" i="9"/>
  <c r="R80" i="9"/>
  <c r="G80" i="9"/>
  <c r="E80" i="9"/>
  <c r="I80" i="9" s="1"/>
  <c r="Z79" i="9"/>
  <c r="AA79" i="9" s="1"/>
  <c r="V79" i="9"/>
  <c r="S79" i="9"/>
  <c r="R79" i="9"/>
  <c r="J79" i="9"/>
  <c r="I79" i="9"/>
  <c r="G79" i="9"/>
  <c r="E79" i="9"/>
  <c r="W79" i="9" s="1"/>
  <c r="Z78" i="9"/>
  <c r="V78" i="9"/>
  <c r="R78" i="9"/>
  <c r="G78" i="9"/>
  <c r="E78" i="9"/>
  <c r="Z77" i="9"/>
  <c r="V77" i="9"/>
  <c r="R77" i="9"/>
  <c r="I77" i="9"/>
  <c r="G77" i="9"/>
  <c r="E77" i="9"/>
  <c r="Z76" i="9"/>
  <c r="V76" i="9"/>
  <c r="R76" i="9"/>
  <c r="J76" i="9"/>
  <c r="G76" i="9"/>
  <c r="E76" i="9"/>
  <c r="I76" i="9" s="1"/>
  <c r="Z75" i="9"/>
  <c r="W75" i="9"/>
  <c r="V75" i="9"/>
  <c r="R75" i="9"/>
  <c r="G75" i="9"/>
  <c r="E75" i="9"/>
  <c r="Z74" i="9"/>
  <c r="W74" i="9"/>
  <c r="V74" i="9"/>
  <c r="S74" i="9"/>
  <c r="R74" i="9"/>
  <c r="I74" i="9"/>
  <c r="G74" i="9"/>
  <c r="E74" i="9"/>
  <c r="AA74" i="9" s="1"/>
  <c r="Z73" i="9"/>
  <c r="V73" i="9"/>
  <c r="R73" i="9"/>
  <c r="I73" i="9"/>
  <c r="G73" i="9"/>
  <c r="E73" i="9"/>
  <c r="AA73" i="9" s="1"/>
  <c r="AA72" i="9"/>
  <c r="Z72" i="9"/>
  <c r="W72" i="9"/>
  <c r="V72" i="9"/>
  <c r="S72" i="9"/>
  <c r="R72" i="9"/>
  <c r="G72" i="9"/>
  <c r="E72" i="9"/>
  <c r="I72" i="9" s="1"/>
  <c r="Z71" i="9"/>
  <c r="AA71" i="9" s="1"/>
  <c r="V71" i="9"/>
  <c r="S71" i="9"/>
  <c r="R71" i="9"/>
  <c r="J71" i="9"/>
  <c r="I71" i="9"/>
  <c r="G71" i="9"/>
  <c r="E71" i="9"/>
  <c r="W71" i="9" s="1"/>
  <c r="Z70" i="9"/>
  <c r="V70" i="9"/>
  <c r="R70" i="9"/>
  <c r="G70" i="9"/>
  <c r="E70" i="9"/>
  <c r="AA70" i="9" s="1"/>
  <c r="Z69" i="9"/>
  <c r="V69" i="9"/>
  <c r="R69" i="9"/>
  <c r="I69" i="9"/>
  <c r="G69" i="9"/>
  <c r="E69" i="9"/>
  <c r="Z68" i="9"/>
  <c r="V68" i="9"/>
  <c r="R68" i="9"/>
  <c r="J68" i="9"/>
  <c r="G68" i="9"/>
  <c r="E68" i="9"/>
  <c r="I68" i="9" s="1"/>
  <c r="Z67" i="9"/>
  <c r="V67" i="9"/>
  <c r="R67" i="9"/>
  <c r="G67" i="9"/>
  <c r="E67" i="9"/>
  <c r="Z66" i="9"/>
  <c r="W66" i="9"/>
  <c r="V66" i="9"/>
  <c r="S66" i="9"/>
  <c r="R66" i="9"/>
  <c r="I66" i="9"/>
  <c r="G66" i="9"/>
  <c r="E66" i="9"/>
  <c r="AA66" i="9" s="1"/>
  <c r="Z65" i="9"/>
  <c r="V65" i="9"/>
  <c r="R65" i="9"/>
  <c r="I65" i="9"/>
  <c r="G65" i="9"/>
  <c r="E65" i="9"/>
  <c r="AA65" i="9" s="1"/>
  <c r="AA64" i="9"/>
  <c r="Z64" i="9"/>
  <c r="W64" i="9"/>
  <c r="V64" i="9"/>
  <c r="S64" i="9"/>
  <c r="R64" i="9"/>
  <c r="G64" i="9"/>
  <c r="E64" i="9"/>
  <c r="I64" i="9" s="1"/>
  <c r="Z63" i="9"/>
  <c r="AA63" i="9" s="1"/>
  <c r="V63" i="9"/>
  <c r="S63" i="9"/>
  <c r="R63" i="9"/>
  <c r="J63" i="9"/>
  <c r="I63" i="9"/>
  <c r="G63" i="9"/>
  <c r="E63" i="9"/>
  <c r="W63" i="9" s="1"/>
  <c r="AA62" i="9"/>
  <c r="Z62" i="9"/>
  <c r="V62" i="9"/>
  <c r="R62" i="9"/>
  <c r="J62" i="9"/>
  <c r="G62" i="9"/>
  <c r="E62" i="9"/>
  <c r="Z61" i="9"/>
  <c r="V61" i="9"/>
  <c r="R61" i="9"/>
  <c r="I61" i="9"/>
  <c r="G61" i="9"/>
  <c r="E61" i="9"/>
  <c r="Z60" i="9"/>
  <c r="V60" i="9"/>
  <c r="R60" i="9"/>
  <c r="I60" i="9"/>
  <c r="G60" i="9"/>
  <c r="E60" i="9"/>
  <c r="AA60" i="9" s="1"/>
  <c r="Z59" i="9"/>
  <c r="V59" i="9"/>
  <c r="R59" i="9"/>
  <c r="G59" i="9"/>
  <c r="E59" i="9"/>
  <c r="I59" i="9" s="1"/>
  <c r="Z58" i="9"/>
  <c r="V58" i="9"/>
  <c r="R58" i="9"/>
  <c r="G58" i="9"/>
  <c r="E58" i="9"/>
  <c r="I58" i="9" s="1"/>
  <c r="Z57" i="9"/>
  <c r="V57" i="9"/>
  <c r="R57" i="9"/>
  <c r="I57" i="9"/>
  <c r="G57" i="9"/>
  <c r="E57" i="9"/>
  <c r="Z56" i="9"/>
  <c r="V56" i="9"/>
  <c r="R56" i="9"/>
  <c r="I56" i="9"/>
  <c r="G56" i="9"/>
  <c r="E56" i="9"/>
  <c r="AA56" i="9" s="1"/>
  <c r="Z55" i="9"/>
  <c r="V55" i="9"/>
  <c r="R55" i="9"/>
  <c r="G55" i="9"/>
  <c r="E55" i="9"/>
  <c r="I55" i="9" s="1"/>
  <c r="AA54" i="9"/>
  <c r="Z54" i="9"/>
  <c r="W54" i="9"/>
  <c r="V54" i="9"/>
  <c r="S54" i="9"/>
  <c r="R54" i="9"/>
  <c r="J54" i="9"/>
  <c r="G54" i="9"/>
  <c r="E54" i="9"/>
  <c r="I54" i="9" s="1"/>
  <c r="Z53" i="9"/>
  <c r="V53" i="9"/>
  <c r="R53" i="9"/>
  <c r="I53" i="9"/>
  <c r="G53" i="9"/>
  <c r="E53" i="9"/>
  <c r="Z52" i="9"/>
  <c r="V52" i="9"/>
  <c r="R52" i="9"/>
  <c r="I52" i="9"/>
  <c r="G52" i="9"/>
  <c r="E52" i="9"/>
  <c r="AA52" i="9" s="1"/>
  <c r="Z51" i="9"/>
  <c r="V51" i="9"/>
  <c r="R51" i="9"/>
  <c r="G51" i="9"/>
  <c r="E51" i="9"/>
  <c r="I51" i="9" s="1"/>
  <c r="AA50" i="9"/>
  <c r="Z50" i="9"/>
  <c r="V50" i="9"/>
  <c r="S50" i="9"/>
  <c r="R50" i="9"/>
  <c r="J50" i="9"/>
  <c r="G50" i="9"/>
  <c r="E50" i="9"/>
  <c r="I50" i="9" s="1"/>
  <c r="Z49" i="9"/>
  <c r="V49" i="9"/>
  <c r="R49" i="9"/>
  <c r="I49" i="9"/>
  <c r="G49" i="9"/>
  <c r="E49" i="9"/>
  <c r="AA49" i="9" s="1"/>
  <c r="Z48" i="9"/>
  <c r="V48" i="9"/>
  <c r="R48" i="9"/>
  <c r="I48" i="9"/>
  <c r="G48" i="9"/>
  <c r="E48" i="9"/>
  <c r="AA48" i="9" s="1"/>
  <c r="Z47" i="9"/>
  <c r="V47" i="9"/>
  <c r="R47" i="9"/>
  <c r="G47" i="9"/>
  <c r="E47" i="9"/>
  <c r="I47" i="9" s="1"/>
  <c r="AA46" i="9"/>
  <c r="Z46" i="9"/>
  <c r="V46" i="9"/>
  <c r="S46" i="9"/>
  <c r="R46" i="9"/>
  <c r="G46" i="9"/>
  <c r="E46" i="9"/>
  <c r="I46" i="9" s="1"/>
  <c r="Z45" i="9"/>
  <c r="V45" i="9"/>
  <c r="R45" i="9"/>
  <c r="I45" i="9"/>
  <c r="G45" i="9"/>
  <c r="E45" i="9"/>
  <c r="AA45" i="9" s="1"/>
  <c r="Z44" i="9"/>
  <c r="V44" i="9"/>
  <c r="R44" i="9"/>
  <c r="I44" i="9"/>
  <c r="G44" i="9"/>
  <c r="E44" i="9"/>
  <c r="AA44" i="9" s="1"/>
  <c r="Z43" i="9"/>
  <c r="V43" i="9"/>
  <c r="R43" i="9"/>
  <c r="G43" i="9"/>
  <c r="E43" i="9"/>
  <c r="I43" i="9" s="1"/>
  <c r="Z42" i="9"/>
  <c r="V42" i="9"/>
  <c r="R42" i="9"/>
  <c r="G42" i="9"/>
  <c r="E42" i="9"/>
  <c r="I42" i="9" s="1"/>
  <c r="Z41" i="9"/>
  <c r="V41" i="9"/>
  <c r="R41" i="9"/>
  <c r="I41" i="9"/>
  <c r="G41" i="9"/>
  <c r="E41" i="9"/>
  <c r="Z40" i="9"/>
  <c r="V40" i="9"/>
  <c r="R40" i="9"/>
  <c r="I40" i="9"/>
  <c r="G40" i="9"/>
  <c r="E40" i="9"/>
  <c r="AA40" i="9" s="1"/>
  <c r="Z39" i="9"/>
  <c r="V39" i="9"/>
  <c r="R39" i="9"/>
  <c r="G39" i="9"/>
  <c r="E39" i="9"/>
  <c r="I39" i="9" s="1"/>
  <c r="AA38" i="9"/>
  <c r="Z38" i="9"/>
  <c r="W38" i="9"/>
  <c r="V38" i="9"/>
  <c r="S38" i="9"/>
  <c r="R38" i="9"/>
  <c r="J38" i="9"/>
  <c r="G38" i="9"/>
  <c r="E38" i="9"/>
  <c r="I38" i="9" s="1"/>
  <c r="Z37" i="9"/>
  <c r="V37" i="9"/>
  <c r="R37" i="9"/>
  <c r="I37" i="9"/>
  <c r="G37" i="9"/>
  <c r="E37" i="9"/>
  <c r="Z36" i="9"/>
  <c r="V36" i="9"/>
  <c r="R36" i="9"/>
  <c r="I36" i="9"/>
  <c r="G36" i="9"/>
  <c r="E36" i="9"/>
  <c r="AA36" i="9" s="1"/>
  <c r="Z35" i="9"/>
  <c r="V35" i="9"/>
  <c r="R35" i="9"/>
  <c r="G35" i="9"/>
  <c r="E35" i="9"/>
  <c r="I35" i="9" s="1"/>
  <c r="AA34" i="9"/>
  <c r="Z34" i="9"/>
  <c r="V34" i="9"/>
  <c r="S34" i="9"/>
  <c r="R34" i="9"/>
  <c r="J34" i="9"/>
  <c r="G34" i="9"/>
  <c r="E34" i="9"/>
  <c r="I34" i="9" s="1"/>
  <c r="Z33" i="9"/>
  <c r="V33" i="9"/>
  <c r="R33" i="9"/>
  <c r="I33" i="9"/>
  <c r="G33" i="9"/>
  <c r="E33" i="9"/>
  <c r="AA33" i="9" s="1"/>
  <c r="Z32" i="9"/>
  <c r="V32" i="9"/>
  <c r="R32" i="9"/>
  <c r="I32" i="9"/>
  <c r="G32" i="9"/>
  <c r="E32" i="9"/>
  <c r="AA32" i="9" s="1"/>
  <c r="Z31" i="9"/>
  <c r="V31" i="9"/>
  <c r="R31" i="9"/>
  <c r="G31" i="9"/>
  <c r="E31" i="9"/>
  <c r="I31" i="9" s="1"/>
  <c r="AA30" i="9"/>
  <c r="Z30" i="9"/>
  <c r="V30" i="9"/>
  <c r="S30" i="9"/>
  <c r="R30" i="9"/>
  <c r="G30" i="9"/>
  <c r="E30" i="9"/>
  <c r="I30" i="9" s="1"/>
  <c r="Z29" i="9"/>
  <c r="V29" i="9"/>
  <c r="R29" i="9"/>
  <c r="I29" i="9"/>
  <c r="G29" i="9"/>
  <c r="E29" i="9"/>
  <c r="AA29" i="9" s="1"/>
  <c r="Z28" i="9"/>
  <c r="V28" i="9"/>
  <c r="R28" i="9"/>
  <c r="I28" i="9"/>
  <c r="G28" i="9"/>
  <c r="E28" i="9"/>
  <c r="AA28" i="9" s="1"/>
  <c r="Z27" i="9"/>
  <c r="V27" i="9"/>
  <c r="R27" i="9"/>
  <c r="G27" i="9"/>
  <c r="E27" i="9"/>
  <c r="I27" i="9" s="1"/>
  <c r="Z26" i="9"/>
  <c r="V26" i="9"/>
  <c r="R26" i="9"/>
  <c r="G26" i="9"/>
  <c r="E26" i="9"/>
  <c r="I26" i="9" s="1"/>
  <c r="Z25" i="9"/>
  <c r="V25" i="9"/>
  <c r="R25" i="9"/>
  <c r="I25" i="9"/>
  <c r="G25" i="9"/>
  <c r="E25" i="9"/>
  <c r="Z24" i="9"/>
  <c r="V24" i="9"/>
  <c r="R24" i="9"/>
  <c r="I24" i="9"/>
  <c r="G24" i="9"/>
  <c r="E24" i="9"/>
  <c r="AA24" i="9" s="1"/>
  <c r="Z23" i="9"/>
  <c r="V23" i="9"/>
  <c r="R23" i="9"/>
  <c r="G23" i="9"/>
  <c r="E23" i="9"/>
  <c r="I23" i="9" s="1"/>
  <c r="K23" i="9" s="1"/>
  <c r="AA22" i="9"/>
  <c r="Z22" i="9"/>
  <c r="W22" i="9"/>
  <c r="V22" i="9"/>
  <c r="S22" i="9"/>
  <c r="R22" i="9"/>
  <c r="J22" i="9"/>
  <c r="G22" i="9"/>
  <c r="E22" i="9"/>
  <c r="I22" i="9" s="1"/>
  <c r="Z21" i="9"/>
  <c r="V21" i="9"/>
  <c r="R21" i="9"/>
  <c r="I21" i="9"/>
  <c r="G21" i="9"/>
  <c r="E21" i="9"/>
  <c r="Z20" i="9"/>
  <c r="V20" i="9"/>
  <c r="R20" i="9"/>
  <c r="I20" i="9"/>
  <c r="G20" i="9"/>
  <c r="E20" i="9"/>
  <c r="AA20" i="9" s="1"/>
  <c r="Z19" i="9"/>
  <c r="V19" i="9"/>
  <c r="R19" i="9"/>
  <c r="G19" i="9"/>
  <c r="E19" i="9"/>
  <c r="I19" i="9" s="1"/>
  <c r="AA18" i="9"/>
  <c r="Z18" i="9"/>
  <c r="V18" i="9"/>
  <c r="S18" i="9"/>
  <c r="R18" i="9"/>
  <c r="J18" i="9"/>
  <c r="G18" i="9"/>
  <c r="E18" i="9"/>
  <c r="I18" i="9" s="1"/>
  <c r="Z17" i="9"/>
  <c r="V17" i="9"/>
  <c r="R17" i="9"/>
  <c r="I17" i="9"/>
  <c r="G17" i="9"/>
  <c r="E17" i="9"/>
  <c r="AA17" i="9" s="1"/>
  <c r="Z16" i="9"/>
  <c r="V16" i="9"/>
  <c r="R16" i="9"/>
  <c r="I16" i="9"/>
  <c r="G16" i="9"/>
  <c r="E16" i="9"/>
  <c r="AA16" i="9" s="1"/>
  <c r="Z15" i="9"/>
  <c r="V15" i="9"/>
  <c r="R15" i="9"/>
  <c r="G15" i="9"/>
  <c r="E15" i="9"/>
  <c r="I15" i="9" s="1"/>
  <c r="K15" i="9" s="1"/>
  <c r="Z14" i="9"/>
  <c r="V14" i="9"/>
  <c r="R14" i="9"/>
  <c r="G14" i="9"/>
  <c r="E14" i="9"/>
  <c r="I14" i="9" s="1"/>
  <c r="K14" i="9" s="1"/>
  <c r="Z13" i="9"/>
  <c r="V13" i="9"/>
  <c r="R13" i="9"/>
  <c r="G13" i="9"/>
  <c r="E13" i="9"/>
  <c r="I13" i="9" s="1"/>
  <c r="Z12" i="9"/>
  <c r="V12" i="9"/>
  <c r="R12" i="9"/>
  <c r="I12" i="9"/>
  <c r="G12" i="9"/>
  <c r="E12" i="9"/>
  <c r="AA12" i="9" s="1"/>
  <c r="Z11" i="9"/>
  <c r="V11" i="9"/>
  <c r="R11" i="9"/>
  <c r="G11" i="9"/>
  <c r="E11" i="9"/>
  <c r="I11" i="9" s="1"/>
  <c r="K11" i="9" s="1"/>
  <c r="Z10" i="9"/>
  <c r="V10" i="9"/>
  <c r="R10" i="9"/>
  <c r="G10" i="9"/>
  <c r="E10" i="9"/>
  <c r="I10" i="9" s="1"/>
  <c r="Z9" i="9"/>
  <c r="V9" i="9"/>
  <c r="R9" i="9"/>
  <c r="G9" i="9"/>
  <c r="E9" i="9"/>
  <c r="I9" i="9" s="1"/>
  <c r="Z8" i="9"/>
  <c r="V8" i="9"/>
  <c r="R8" i="9"/>
  <c r="I8" i="9"/>
  <c r="G8" i="9"/>
  <c r="E8" i="9"/>
  <c r="AA8" i="9" s="1"/>
  <c r="Z7" i="9"/>
  <c r="V7" i="9"/>
  <c r="R7" i="9"/>
  <c r="G7" i="9"/>
  <c r="E7" i="9"/>
  <c r="I7" i="9" s="1"/>
  <c r="Z6" i="9"/>
  <c r="V6" i="9"/>
  <c r="R6" i="9"/>
  <c r="G6" i="9"/>
  <c r="E6" i="9"/>
  <c r="I6" i="9" s="1"/>
  <c r="Z5" i="9"/>
  <c r="V5" i="9"/>
  <c r="R5" i="9"/>
  <c r="G5" i="9"/>
  <c r="E5" i="9"/>
  <c r="I5" i="9" s="1"/>
  <c r="M37" i="8"/>
  <c r="E38" i="4" s="1"/>
  <c r="L37" i="8"/>
  <c r="K37" i="8"/>
  <c r="D37" i="8"/>
  <c r="H35" i="8" s="1"/>
  <c r="C37" i="8"/>
  <c r="B37" i="8"/>
  <c r="G35" i="8" s="1"/>
  <c r="H36" i="8"/>
  <c r="F36" i="8"/>
  <c r="E36" i="8"/>
  <c r="F35" i="8"/>
  <c r="E35" i="8"/>
  <c r="H34" i="8"/>
  <c r="F34" i="8"/>
  <c r="E34" i="8"/>
  <c r="H33" i="8"/>
  <c r="F33" i="8"/>
  <c r="E33" i="8"/>
  <c r="H32" i="8"/>
  <c r="F32" i="8"/>
  <c r="E32" i="8"/>
  <c r="G31" i="8"/>
  <c r="F31" i="8"/>
  <c r="E31" i="8"/>
  <c r="H30" i="8"/>
  <c r="G30" i="8"/>
  <c r="F30" i="8"/>
  <c r="E30" i="8"/>
  <c r="H29" i="8"/>
  <c r="F29" i="8"/>
  <c r="E29" i="8"/>
  <c r="H28" i="8"/>
  <c r="F28" i="8"/>
  <c r="E28" i="8"/>
  <c r="F27" i="8"/>
  <c r="E27" i="8"/>
  <c r="H26" i="8"/>
  <c r="F26" i="8"/>
  <c r="E26" i="8"/>
  <c r="H25" i="8"/>
  <c r="F25" i="8"/>
  <c r="E25" i="8"/>
  <c r="H24" i="8"/>
  <c r="F24" i="8"/>
  <c r="E24" i="8"/>
  <c r="F23" i="8"/>
  <c r="E23" i="8"/>
  <c r="H22" i="8"/>
  <c r="F22" i="8"/>
  <c r="E22" i="8"/>
  <c r="H21" i="8"/>
  <c r="F21" i="8"/>
  <c r="E21" i="8"/>
  <c r="H20" i="8"/>
  <c r="F20" i="8"/>
  <c r="E20" i="8"/>
  <c r="F19" i="8"/>
  <c r="E19" i="8"/>
  <c r="H18" i="8"/>
  <c r="F18" i="8"/>
  <c r="E18" i="8"/>
  <c r="H17" i="8"/>
  <c r="F17" i="8"/>
  <c r="E17" i="8"/>
  <c r="H16" i="8"/>
  <c r="F16" i="8"/>
  <c r="E16" i="8"/>
  <c r="G15" i="8"/>
  <c r="F15" i="8"/>
  <c r="E15" i="8"/>
  <c r="H14" i="8"/>
  <c r="G14" i="8"/>
  <c r="F14" i="8"/>
  <c r="E14" i="8"/>
  <c r="H13" i="8"/>
  <c r="F13" i="8"/>
  <c r="E13" i="8"/>
  <c r="H12" i="8"/>
  <c r="F12" i="8"/>
  <c r="E12" i="8"/>
  <c r="F11" i="8"/>
  <c r="E11" i="8"/>
  <c r="H10" i="8"/>
  <c r="F10" i="8"/>
  <c r="E10" i="8"/>
  <c r="H9" i="8"/>
  <c r="F9" i="8"/>
  <c r="E9" i="8"/>
  <c r="H8" i="8"/>
  <c r="F8" i="8"/>
  <c r="E8" i="8"/>
  <c r="F7" i="8"/>
  <c r="E7" i="8"/>
  <c r="H6" i="8"/>
  <c r="F6" i="8"/>
  <c r="E6" i="8"/>
  <c r="H5" i="8"/>
  <c r="F5" i="8"/>
  <c r="E5" i="8"/>
  <c r="E37" i="8" s="1"/>
  <c r="K37" i="7"/>
  <c r="G37" i="7"/>
  <c r="F37" i="7"/>
  <c r="E37" i="7"/>
  <c r="D37" i="7"/>
  <c r="I36" i="7" s="1"/>
  <c r="C37" i="7"/>
  <c r="H36" i="7" s="1"/>
  <c r="B37" i="7"/>
  <c r="K36" i="7"/>
  <c r="G36" i="7"/>
  <c r="K35" i="7"/>
  <c r="I35" i="7"/>
  <c r="G35" i="7"/>
  <c r="K34" i="7"/>
  <c r="G34" i="7"/>
  <c r="K33" i="7"/>
  <c r="I33" i="7"/>
  <c r="G33" i="7"/>
  <c r="K32" i="7"/>
  <c r="G32" i="7"/>
  <c r="K31" i="7"/>
  <c r="I31" i="7"/>
  <c r="G31" i="7"/>
  <c r="K30" i="7"/>
  <c r="G30" i="7"/>
  <c r="K29" i="7"/>
  <c r="I29" i="7"/>
  <c r="G29" i="7"/>
  <c r="K28" i="7"/>
  <c r="G28" i="7"/>
  <c r="K27" i="7"/>
  <c r="I27" i="7"/>
  <c r="G27" i="7"/>
  <c r="K26" i="7"/>
  <c r="G26" i="7"/>
  <c r="K25" i="7"/>
  <c r="I25" i="7"/>
  <c r="G25" i="7"/>
  <c r="K24" i="7"/>
  <c r="G24" i="7"/>
  <c r="K23" i="7"/>
  <c r="I23" i="7"/>
  <c r="G23" i="7"/>
  <c r="K22" i="7"/>
  <c r="G22" i="7"/>
  <c r="K21" i="7"/>
  <c r="I21" i="7"/>
  <c r="G21" i="7"/>
  <c r="K20" i="7"/>
  <c r="G20" i="7"/>
  <c r="K19" i="7"/>
  <c r="I19" i="7"/>
  <c r="G19" i="7"/>
  <c r="K18" i="7"/>
  <c r="G18" i="7"/>
  <c r="K17" i="7"/>
  <c r="I17" i="7"/>
  <c r="G17" i="7"/>
  <c r="K16" i="7"/>
  <c r="G16" i="7"/>
  <c r="K15" i="7"/>
  <c r="I15" i="7"/>
  <c r="G15" i="7"/>
  <c r="K14" i="7"/>
  <c r="G14" i="7"/>
  <c r="K13" i="7"/>
  <c r="I13" i="7"/>
  <c r="G13" i="7"/>
  <c r="K12" i="7"/>
  <c r="G12" i="7"/>
  <c r="K11" i="7"/>
  <c r="I11" i="7"/>
  <c r="G11" i="7"/>
  <c r="K10" i="7"/>
  <c r="G10" i="7"/>
  <c r="K9" i="7"/>
  <c r="I9" i="7"/>
  <c r="G9" i="7"/>
  <c r="K8" i="7"/>
  <c r="G8" i="7"/>
  <c r="K7" i="7"/>
  <c r="I7" i="7"/>
  <c r="G7" i="7"/>
  <c r="K6" i="7"/>
  <c r="G6" i="7"/>
  <c r="K5" i="7"/>
  <c r="I5" i="7"/>
  <c r="G5" i="7"/>
  <c r="B28" i="6"/>
  <c r="B16" i="6"/>
  <c r="B24" i="6" s="1"/>
  <c r="B10" i="6"/>
  <c r="B38" i="5"/>
  <c r="C38" i="4"/>
  <c r="B38" i="4"/>
  <c r="C38" i="3"/>
  <c r="D38" i="3" s="1"/>
  <c r="B38" i="3"/>
  <c r="D37" i="3"/>
  <c r="C37" i="3"/>
  <c r="B37" i="3"/>
  <c r="C36" i="3"/>
  <c r="D36" i="3" s="1"/>
  <c r="B36" i="3"/>
  <c r="D35" i="3"/>
  <c r="C35" i="3"/>
  <c r="B35" i="3"/>
  <c r="C34" i="3"/>
  <c r="D34" i="3" s="1"/>
  <c r="B34" i="3"/>
  <c r="D33" i="3"/>
  <c r="C33" i="3"/>
  <c r="B33" i="3"/>
  <c r="C32" i="3"/>
  <c r="D32" i="3" s="1"/>
  <c r="B32" i="3"/>
  <c r="D31" i="3"/>
  <c r="C31" i="3"/>
  <c r="B31" i="3"/>
  <c r="C30" i="3"/>
  <c r="D30" i="3" s="1"/>
  <c r="B30" i="3"/>
  <c r="D29" i="3"/>
  <c r="C29" i="3"/>
  <c r="B29" i="3"/>
  <c r="C28" i="3"/>
  <c r="D28" i="3" s="1"/>
  <c r="B28" i="3"/>
  <c r="D27" i="3"/>
  <c r="C27" i="3"/>
  <c r="B27" i="3"/>
  <c r="C26" i="3"/>
  <c r="D26" i="3" s="1"/>
  <c r="B26" i="3"/>
  <c r="D25" i="3"/>
  <c r="C25" i="3"/>
  <c r="B25" i="3"/>
  <c r="C24" i="3"/>
  <c r="D24" i="3" s="1"/>
  <c r="B24" i="3"/>
  <c r="D23" i="3"/>
  <c r="C23" i="3"/>
  <c r="B23" i="3"/>
  <c r="C22" i="3"/>
  <c r="D22" i="3" s="1"/>
  <c r="B22" i="3"/>
  <c r="D21" i="3"/>
  <c r="C21" i="3"/>
  <c r="B21" i="3"/>
  <c r="C20" i="3"/>
  <c r="D20" i="3" s="1"/>
  <c r="B20" i="3"/>
  <c r="D19" i="3"/>
  <c r="C19" i="3"/>
  <c r="B19" i="3"/>
  <c r="C18" i="3"/>
  <c r="D18" i="3" s="1"/>
  <c r="B18" i="3"/>
  <c r="D17" i="3"/>
  <c r="C17" i="3"/>
  <c r="B17" i="3"/>
  <c r="C16" i="3"/>
  <c r="D16" i="3" s="1"/>
  <c r="B16" i="3"/>
  <c r="D15" i="3"/>
  <c r="C15" i="3"/>
  <c r="B15" i="3"/>
  <c r="C14" i="3"/>
  <c r="D14" i="3" s="1"/>
  <c r="B14" i="3"/>
  <c r="D13" i="3"/>
  <c r="C13" i="3"/>
  <c r="B13" i="3"/>
  <c r="C12" i="3"/>
  <c r="D12" i="3" s="1"/>
  <c r="B12" i="3"/>
  <c r="D11" i="3"/>
  <c r="C11" i="3"/>
  <c r="B11" i="3"/>
  <c r="C10" i="3"/>
  <c r="D10" i="3" s="1"/>
  <c r="B10" i="3"/>
  <c r="D9" i="3"/>
  <c r="C9" i="3"/>
  <c r="B9" i="3"/>
  <c r="C8" i="3"/>
  <c r="D8" i="3" s="1"/>
  <c r="B8" i="3"/>
  <c r="D7" i="3"/>
  <c r="C7" i="3"/>
  <c r="C39" i="3" s="1"/>
  <c r="D39" i="3" s="1"/>
  <c r="B7" i="3"/>
  <c r="B39" i="3" s="1"/>
  <c r="C38" i="2"/>
  <c r="D38" i="2" s="1"/>
  <c r="B38" i="2"/>
  <c r="C37" i="2"/>
  <c r="B37" i="2"/>
  <c r="D37" i="2" s="1"/>
  <c r="C36" i="2"/>
  <c r="D36" i="2" s="1"/>
  <c r="B36" i="2"/>
  <c r="C35" i="2"/>
  <c r="B35" i="2"/>
  <c r="D35" i="2" s="1"/>
  <c r="C34" i="2"/>
  <c r="D34" i="2" s="1"/>
  <c r="B34" i="2"/>
  <c r="C33" i="2"/>
  <c r="B33" i="2"/>
  <c r="D33" i="2" s="1"/>
  <c r="C32" i="2"/>
  <c r="D32" i="2" s="1"/>
  <c r="B32" i="2"/>
  <c r="C31" i="2"/>
  <c r="B31" i="2"/>
  <c r="D31" i="2" s="1"/>
  <c r="C30" i="2"/>
  <c r="D30" i="2" s="1"/>
  <c r="B30" i="2"/>
  <c r="C29" i="2"/>
  <c r="B29" i="2"/>
  <c r="D29" i="2" s="1"/>
  <c r="C28" i="2"/>
  <c r="D28" i="2" s="1"/>
  <c r="B28" i="2"/>
  <c r="C27" i="2"/>
  <c r="B27" i="2"/>
  <c r="D27" i="2" s="1"/>
  <c r="C26" i="2"/>
  <c r="D26" i="2" s="1"/>
  <c r="B26" i="2"/>
  <c r="C25" i="2"/>
  <c r="B25" i="2"/>
  <c r="D25" i="2" s="1"/>
  <c r="C24" i="2"/>
  <c r="D24" i="2" s="1"/>
  <c r="B24" i="2"/>
  <c r="C23" i="2"/>
  <c r="B23" i="2"/>
  <c r="D23" i="2" s="1"/>
  <c r="C22" i="2"/>
  <c r="D22" i="2" s="1"/>
  <c r="B22" i="2"/>
  <c r="C21" i="2"/>
  <c r="B21" i="2"/>
  <c r="D21" i="2" s="1"/>
  <c r="C20" i="2"/>
  <c r="D20" i="2" s="1"/>
  <c r="B20" i="2"/>
  <c r="C19" i="2"/>
  <c r="B19" i="2"/>
  <c r="D19" i="2" s="1"/>
  <c r="C18" i="2"/>
  <c r="D18" i="2" s="1"/>
  <c r="B18" i="2"/>
  <c r="C17" i="2"/>
  <c r="B17" i="2"/>
  <c r="D17" i="2" s="1"/>
  <c r="C16" i="2"/>
  <c r="D16" i="2" s="1"/>
  <c r="B16" i="2"/>
  <c r="C15" i="2"/>
  <c r="B15" i="2"/>
  <c r="D15" i="2" s="1"/>
  <c r="C14" i="2"/>
  <c r="D14" i="2" s="1"/>
  <c r="B14" i="2"/>
  <c r="C13" i="2"/>
  <c r="B13" i="2"/>
  <c r="D13" i="2" s="1"/>
  <c r="C12" i="2"/>
  <c r="D12" i="2" s="1"/>
  <c r="B12" i="2"/>
  <c r="C11" i="2"/>
  <c r="B11" i="2"/>
  <c r="D11" i="2" s="1"/>
  <c r="C10" i="2"/>
  <c r="D10" i="2" s="1"/>
  <c r="B10" i="2"/>
  <c r="C9" i="2"/>
  <c r="B9" i="2"/>
  <c r="D9" i="2" s="1"/>
  <c r="C8" i="2"/>
  <c r="D8" i="2" s="1"/>
  <c r="B8" i="2"/>
  <c r="C7" i="2"/>
  <c r="C39" i="2" s="1"/>
  <c r="D39" i="2" s="1"/>
  <c r="B7" i="2"/>
  <c r="B39" i="2" s="1"/>
  <c r="M14" i="9" l="1"/>
  <c r="M15" i="9"/>
  <c r="H161" i="9"/>
  <c r="H157" i="9"/>
  <c r="H153" i="9"/>
  <c r="H149" i="9"/>
  <c r="H145" i="9"/>
  <c r="H141" i="9"/>
  <c r="H137" i="9"/>
  <c r="H133" i="9"/>
  <c r="H158" i="9"/>
  <c r="H150" i="9"/>
  <c r="H142" i="9"/>
  <c r="H134" i="9"/>
  <c r="H160" i="9"/>
  <c r="H156" i="9"/>
  <c r="H155" i="9"/>
  <c r="H154" i="9"/>
  <c r="H151" i="9"/>
  <c r="H152" i="9"/>
  <c r="H148" i="9"/>
  <c r="H147" i="9"/>
  <c r="H146" i="9"/>
  <c r="H143" i="9"/>
  <c r="H144" i="9"/>
  <c r="H140" i="9"/>
  <c r="H139" i="9"/>
  <c r="H138" i="9"/>
  <c r="H135" i="9"/>
  <c r="H164" i="9"/>
  <c r="H163" i="9"/>
  <c r="H162" i="9"/>
  <c r="H159" i="9"/>
  <c r="H136" i="9"/>
  <c r="K6" i="9"/>
  <c r="K9" i="9"/>
  <c r="K19" i="9"/>
  <c r="M11" i="9"/>
  <c r="K5" i="9"/>
  <c r="K27" i="9"/>
  <c r="K31" i="9"/>
  <c r="K7" i="9"/>
  <c r="K10" i="9"/>
  <c r="K13" i="9"/>
  <c r="K35" i="9"/>
  <c r="M23" i="9"/>
  <c r="D7" i="2"/>
  <c r="B14" i="6"/>
  <c r="B15" i="6"/>
  <c r="H5" i="7"/>
  <c r="H7" i="7"/>
  <c r="H9" i="7"/>
  <c r="H11" i="7"/>
  <c r="H13" i="7"/>
  <c r="H15" i="7"/>
  <c r="H17" i="7"/>
  <c r="H19" i="7"/>
  <c r="H21" i="7"/>
  <c r="H23" i="7"/>
  <c r="H25" i="7"/>
  <c r="H27" i="7"/>
  <c r="H29" i="7"/>
  <c r="H31" i="7"/>
  <c r="H33" i="7"/>
  <c r="H35" i="7"/>
  <c r="G18" i="8"/>
  <c r="G19" i="8"/>
  <c r="G34" i="8"/>
  <c r="J5" i="9"/>
  <c r="S5" i="9"/>
  <c r="AA5" i="9"/>
  <c r="AB17" i="9" s="1"/>
  <c r="S6" i="9"/>
  <c r="J9" i="9"/>
  <c r="S9" i="9"/>
  <c r="AA9" i="9"/>
  <c r="S10" i="9"/>
  <c r="J13" i="9"/>
  <c r="S13" i="9"/>
  <c r="AA13" i="9"/>
  <c r="S14" i="9"/>
  <c r="K25" i="9"/>
  <c r="W26" i="9"/>
  <c r="K28" i="9"/>
  <c r="K30" i="9"/>
  <c r="W42" i="9"/>
  <c r="W58" i="9"/>
  <c r="I75" i="9"/>
  <c r="S75" i="9"/>
  <c r="AA75" i="9"/>
  <c r="J75" i="9"/>
  <c r="S78" i="9"/>
  <c r="W78" i="9"/>
  <c r="I78" i="9"/>
  <c r="B25" i="6"/>
  <c r="B26" i="6"/>
  <c r="B27" i="6"/>
  <c r="I18" i="8"/>
  <c r="I34" i="8"/>
  <c r="G36" i="8"/>
  <c r="I36" i="8" s="1"/>
  <c r="G32" i="8"/>
  <c r="I32" i="8" s="1"/>
  <c r="G28" i="8"/>
  <c r="I28" i="8" s="1"/>
  <c r="G24" i="8"/>
  <c r="I24" i="8" s="1"/>
  <c r="G20" i="8"/>
  <c r="I20" i="8" s="1"/>
  <c r="G16" i="8"/>
  <c r="I16" i="8" s="1"/>
  <c r="G12" i="8"/>
  <c r="I12" i="8" s="1"/>
  <c r="G8" i="8"/>
  <c r="I8" i="8" s="1"/>
  <c r="G33" i="8"/>
  <c r="I33" i="8" s="1"/>
  <c r="G29" i="8"/>
  <c r="I29" i="8" s="1"/>
  <c r="G25" i="8"/>
  <c r="I25" i="8" s="1"/>
  <c r="G21" i="8"/>
  <c r="I21" i="8" s="1"/>
  <c r="G17" i="8"/>
  <c r="I17" i="8" s="1"/>
  <c r="G13" i="8"/>
  <c r="I13" i="8" s="1"/>
  <c r="G9" i="8"/>
  <c r="I9" i="8" s="1"/>
  <c r="G5" i="8"/>
  <c r="I5" i="8" s="1"/>
  <c r="F37" i="8"/>
  <c r="K21" i="9"/>
  <c r="K24" i="9"/>
  <c r="K26" i="9"/>
  <c r="I67" i="9"/>
  <c r="S67" i="9"/>
  <c r="AA67" i="9"/>
  <c r="J67" i="9"/>
  <c r="S70" i="9"/>
  <c r="W70" i="9"/>
  <c r="I70" i="9"/>
  <c r="K76" i="9" s="1"/>
  <c r="I99" i="9"/>
  <c r="S99" i="9"/>
  <c r="AA99" i="9"/>
  <c r="J99" i="9"/>
  <c r="S102" i="9"/>
  <c r="W102" i="9"/>
  <c r="I102" i="9"/>
  <c r="K117" i="9" s="1"/>
  <c r="D38" i="4"/>
  <c r="H6" i="7"/>
  <c r="H8" i="7"/>
  <c r="H10" i="7"/>
  <c r="H12" i="7"/>
  <c r="H14" i="7"/>
  <c r="H16" i="7"/>
  <c r="H18" i="7"/>
  <c r="H20" i="7"/>
  <c r="H22" i="7"/>
  <c r="H24" i="7"/>
  <c r="H26" i="7"/>
  <c r="H28" i="7"/>
  <c r="H30" i="7"/>
  <c r="H32" i="7"/>
  <c r="H34" i="7"/>
  <c r="G10" i="8"/>
  <c r="G11" i="8"/>
  <c r="I14" i="8"/>
  <c r="G26" i="8"/>
  <c r="G27" i="8"/>
  <c r="I30" i="8"/>
  <c r="W5" i="9"/>
  <c r="AA6" i="9"/>
  <c r="AB28" i="9" s="1"/>
  <c r="W9" i="9"/>
  <c r="AA10" i="9"/>
  <c r="W13" i="9"/>
  <c r="AA14" i="9"/>
  <c r="K17" i="9"/>
  <c r="W18" i="9"/>
  <c r="K20" i="9"/>
  <c r="K22" i="9"/>
  <c r="AA25" i="9"/>
  <c r="S26" i="9"/>
  <c r="AA26" i="9"/>
  <c r="J30" i="9"/>
  <c r="K33" i="9"/>
  <c r="W34" i="9"/>
  <c r="K36" i="9"/>
  <c r="AA41" i="9"/>
  <c r="S42" i="9"/>
  <c r="AA42" i="9"/>
  <c r="J46" i="9"/>
  <c r="W50" i="9"/>
  <c r="K54" i="9"/>
  <c r="AA57" i="9"/>
  <c r="S58" i="9"/>
  <c r="AA58" i="9"/>
  <c r="S62" i="9"/>
  <c r="W62" i="9"/>
  <c r="I62" i="9"/>
  <c r="K62" i="9" s="1"/>
  <c r="W67" i="9"/>
  <c r="J78" i="9"/>
  <c r="I91" i="9"/>
  <c r="S91" i="9"/>
  <c r="AA91" i="9"/>
  <c r="J91" i="9"/>
  <c r="S94" i="9"/>
  <c r="W94" i="9"/>
  <c r="I94" i="9"/>
  <c r="W99" i="9"/>
  <c r="S105" i="9"/>
  <c r="W105" i="9"/>
  <c r="I105" i="9"/>
  <c r="J105" i="9"/>
  <c r="I6" i="7"/>
  <c r="I37" i="7" s="1"/>
  <c r="I8" i="7"/>
  <c r="I10" i="7"/>
  <c r="I12" i="7"/>
  <c r="I14" i="7"/>
  <c r="I16" i="7"/>
  <c r="I18" i="7"/>
  <c r="I20" i="7"/>
  <c r="I22" i="7"/>
  <c r="I24" i="7"/>
  <c r="I26" i="7"/>
  <c r="I28" i="7"/>
  <c r="I30" i="7"/>
  <c r="I32" i="7"/>
  <c r="I34" i="7"/>
  <c r="G6" i="8"/>
  <c r="I6" i="8" s="1"/>
  <c r="G7" i="8"/>
  <c r="I10" i="8"/>
  <c r="G22" i="8"/>
  <c r="I22" i="8" s="1"/>
  <c r="G23" i="8"/>
  <c r="I26" i="8"/>
  <c r="I35" i="8"/>
  <c r="J6" i="9"/>
  <c r="W6" i="9"/>
  <c r="K8" i="9"/>
  <c r="J10" i="9"/>
  <c r="W10" i="9"/>
  <c r="K12" i="9"/>
  <c r="J14" i="9"/>
  <c r="W14" i="9"/>
  <c r="K16" i="9"/>
  <c r="K18" i="9"/>
  <c r="AA21" i="9"/>
  <c r="AB22" i="9"/>
  <c r="J26" i="9"/>
  <c r="K29" i="9"/>
  <c r="W30" i="9"/>
  <c r="K32" i="9"/>
  <c r="K34" i="9"/>
  <c r="AA37" i="9"/>
  <c r="J42" i="9"/>
  <c r="K45" i="9"/>
  <c r="W46" i="9"/>
  <c r="K48" i="9"/>
  <c r="K50" i="9"/>
  <c r="AA53" i="9"/>
  <c r="J58" i="9"/>
  <c r="K61" i="9"/>
  <c r="J70" i="9"/>
  <c r="K71" i="9"/>
  <c r="AA78" i="9"/>
  <c r="I83" i="9"/>
  <c r="K83" i="9" s="1"/>
  <c r="S83" i="9"/>
  <c r="AA83" i="9"/>
  <c r="J83" i="9"/>
  <c r="K84" i="9"/>
  <c r="S86" i="9"/>
  <c r="W86" i="9"/>
  <c r="I86" i="9"/>
  <c r="K93" i="9"/>
  <c r="J102" i="9"/>
  <c r="J7" i="9"/>
  <c r="S7" i="9"/>
  <c r="W7" i="9"/>
  <c r="AA7" i="9"/>
  <c r="AB36" i="9" s="1"/>
  <c r="J11" i="9"/>
  <c r="S11" i="9"/>
  <c r="W11" i="9"/>
  <c r="AA11" i="9"/>
  <c r="J15" i="9"/>
  <c r="S15" i="9"/>
  <c r="W15" i="9"/>
  <c r="AA15" i="9"/>
  <c r="J19" i="9"/>
  <c r="S19" i="9"/>
  <c r="W19" i="9"/>
  <c r="AA19" i="9"/>
  <c r="J23" i="9"/>
  <c r="S23" i="9"/>
  <c r="W23" i="9"/>
  <c r="AA23" i="9"/>
  <c r="J27" i="9"/>
  <c r="S27" i="9"/>
  <c r="W27" i="9"/>
  <c r="AA27" i="9"/>
  <c r="J31" i="9"/>
  <c r="S31" i="9"/>
  <c r="W31" i="9"/>
  <c r="AA31" i="9"/>
  <c r="J35" i="9"/>
  <c r="S35" i="9"/>
  <c r="W35" i="9"/>
  <c r="AA35" i="9"/>
  <c r="AB35" i="9" s="1"/>
  <c r="J39" i="9"/>
  <c r="S39" i="9"/>
  <c r="W39" i="9"/>
  <c r="AA39" i="9"/>
  <c r="AB54" i="9" s="1"/>
  <c r="J43" i="9"/>
  <c r="S43" i="9"/>
  <c r="W43" i="9"/>
  <c r="AA43" i="9"/>
  <c r="J47" i="9"/>
  <c r="S47" i="9"/>
  <c r="W47" i="9"/>
  <c r="AA47" i="9"/>
  <c r="J51" i="9"/>
  <c r="S51" i="9"/>
  <c r="W51" i="9"/>
  <c r="AA51" i="9"/>
  <c r="J55" i="9"/>
  <c r="S55" i="9"/>
  <c r="W55" i="9"/>
  <c r="AA55" i="9"/>
  <c r="J59" i="9"/>
  <c r="S59" i="9"/>
  <c r="W59" i="9"/>
  <c r="AA59" i="9"/>
  <c r="S68" i="9"/>
  <c r="W68" i="9"/>
  <c r="AA68" i="9"/>
  <c r="S76" i="9"/>
  <c r="W76" i="9"/>
  <c r="AA76" i="9"/>
  <c r="S84" i="9"/>
  <c r="W84" i="9"/>
  <c r="AA84" i="9"/>
  <c r="S92" i="9"/>
  <c r="W92" i="9"/>
  <c r="AA92" i="9"/>
  <c r="S100" i="9"/>
  <c r="W100" i="9"/>
  <c r="AA100" i="9"/>
  <c r="W104" i="9"/>
  <c r="I109" i="9"/>
  <c r="K121" i="9" s="1"/>
  <c r="I110" i="9"/>
  <c r="AA110" i="9"/>
  <c r="W110" i="9"/>
  <c r="S110" i="9"/>
  <c r="AA111" i="9"/>
  <c r="I113" i="9"/>
  <c r="W116" i="9"/>
  <c r="J116" i="9"/>
  <c r="S120" i="9"/>
  <c r="I124" i="9"/>
  <c r="AA125" i="9"/>
  <c r="J125" i="9"/>
  <c r="J128" i="9"/>
  <c r="S129" i="9"/>
  <c r="AA129" i="9"/>
  <c r="AA132" i="9"/>
  <c r="W136" i="9"/>
  <c r="J137" i="9"/>
  <c r="S140" i="9"/>
  <c r="I141" i="9"/>
  <c r="W141" i="9"/>
  <c r="I142" i="9"/>
  <c r="AA142" i="9"/>
  <c r="W142" i="9"/>
  <c r="S142" i="9"/>
  <c r="AA143" i="9"/>
  <c r="AA144" i="9"/>
  <c r="I145" i="9"/>
  <c r="W145" i="9"/>
  <c r="W148" i="9"/>
  <c r="J148" i="9"/>
  <c r="S152" i="9"/>
  <c r="I156" i="9"/>
  <c r="AA157" i="9"/>
  <c r="J157" i="9"/>
  <c r="J160" i="9"/>
  <c r="S161" i="9"/>
  <c r="AA161" i="9"/>
  <c r="AA164" i="9"/>
  <c r="W168" i="9"/>
  <c r="J169" i="9"/>
  <c r="S172" i="9"/>
  <c r="I173" i="9"/>
  <c r="W173" i="9"/>
  <c r="I174" i="9"/>
  <c r="AA174" i="9"/>
  <c r="W174" i="9"/>
  <c r="S174" i="9"/>
  <c r="AA175" i="9"/>
  <c r="AA176" i="9"/>
  <c r="I177" i="9"/>
  <c r="W177" i="9"/>
  <c r="W180" i="9"/>
  <c r="J180" i="9"/>
  <c r="S184" i="9"/>
  <c r="I188" i="9"/>
  <c r="AA189" i="9"/>
  <c r="J189" i="9"/>
  <c r="J192" i="9"/>
  <c r="S193" i="9"/>
  <c r="AA193" i="9"/>
  <c r="AA196" i="9"/>
  <c r="W200" i="9"/>
  <c r="J201" i="9"/>
  <c r="S204" i="9"/>
  <c r="I205" i="9"/>
  <c r="W205" i="9"/>
  <c r="I206" i="9"/>
  <c r="AA206" i="9"/>
  <c r="W206" i="9"/>
  <c r="S206" i="9"/>
  <c r="W209" i="9"/>
  <c r="S209" i="9"/>
  <c r="J209" i="9"/>
  <c r="AA209" i="9"/>
  <c r="S214" i="9"/>
  <c r="W214" i="9"/>
  <c r="I214" i="9"/>
  <c r="AA218" i="9"/>
  <c r="J218" i="9"/>
  <c r="I219" i="9"/>
  <c r="AA219" i="9"/>
  <c r="W219" i="9"/>
  <c r="S219" i="9"/>
  <c r="S222" i="9"/>
  <c r="I227" i="9"/>
  <c r="AA227" i="9"/>
  <c r="W227" i="9"/>
  <c r="S227" i="9"/>
  <c r="J227" i="9"/>
  <c r="I229" i="9"/>
  <c r="J229" i="9"/>
  <c r="I237" i="9"/>
  <c r="W237" i="9"/>
  <c r="W238" i="9"/>
  <c r="W241" i="9"/>
  <c r="S241" i="9"/>
  <c r="J241" i="9"/>
  <c r="AA241" i="9"/>
  <c r="I251" i="9"/>
  <c r="AA251" i="9"/>
  <c r="W251" i="9"/>
  <c r="S251" i="9"/>
  <c r="J251" i="9"/>
  <c r="H6" i="10"/>
  <c r="J6" i="10" s="1"/>
  <c r="H14" i="10"/>
  <c r="J14" i="10" s="1"/>
  <c r="I118" i="9"/>
  <c r="AA118" i="9"/>
  <c r="W118" i="9"/>
  <c r="S118" i="9"/>
  <c r="J124" i="9"/>
  <c r="S128" i="9"/>
  <c r="I132" i="9"/>
  <c r="AA133" i="9"/>
  <c r="AB135" i="9" s="1"/>
  <c r="J133" i="9"/>
  <c r="N134" i="9" s="1"/>
  <c r="J136" i="9"/>
  <c r="AA137" i="9"/>
  <c r="W144" i="9"/>
  <c r="J145" i="9"/>
  <c r="I149" i="9"/>
  <c r="I150" i="9"/>
  <c r="AA150" i="9"/>
  <c r="W150" i="9"/>
  <c r="S150" i="9"/>
  <c r="AA151" i="9"/>
  <c r="I153" i="9"/>
  <c r="J156" i="9"/>
  <c r="S160" i="9"/>
  <c r="I164" i="9"/>
  <c r="AA165" i="9"/>
  <c r="AB172" i="9" s="1"/>
  <c r="J165" i="9"/>
  <c r="N194" i="9" s="1"/>
  <c r="J168" i="9"/>
  <c r="AA169" i="9"/>
  <c r="W176" i="9"/>
  <c r="J177" i="9"/>
  <c r="I181" i="9"/>
  <c r="I182" i="9"/>
  <c r="AA182" i="9"/>
  <c r="W182" i="9"/>
  <c r="S182" i="9"/>
  <c r="AA183" i="9"/>
  <c r="I185" i="9"/>
  <c r="J188" i="9"/>
  <c r="S192" i="9"/>
  <c r="I196" i="9"/>
  <c r="AA197" i="9"/>
  <c r="J197" i="9"/>
  <c r="N198" i="9" s="1"/>
  <c r="J200" i="9"/>
  <c r="AA201" i="9"/>
  <c r="AA210" i="9"/>
  <c r="J210" i="9"/>
  <c r="W210" i="9"/>
  <c r="I210" i="9"/>
  <c r="AA228" i="9"/>
  <c r="I233" i="9"/>
  <c r="I235" i="9"/>
  <c r="AA235" i="9"/>
  <c r="W235" i="9"/>
  <c r="S235" i="9"/>
  <c r="I238" i="9"/>
  <c r="AA242" i="9"/>
  <c r="J242" i="9"/>
  <c r="W242" i="9"/>
  <c r="I242" i="9"/>
  <c r="I7" i="10"/>
  <c r="H15" i="10"/>
  <c r="J15" i="10" s="1"/>
  <c r="I20" i="10"/>
  <c r="J17" i="9"/>
  <c r="S17" i="9"/>
  <c r="W17" i="9"/>
  <c r="J21" i="9"/>
  <c r="S21" i="9"/>
  <c r="W21" i="9"/>
  <c r="J25" i="9"/>
  <c r="S25" i="9"/>
  <c r="W25" i="9"/>
  <c r="J29" i="9"/>
  <c r="S29" i="9"/>
  <c r="W29" i="9"/>
  <c r="J33" i="9"/>
  <c r="S33" i="9"/>
  <c r="W33" i="9"/>
  <c r="J37" i="9"/>
  <c r="N68" i="9" s="1"/>
  <c r="S37" i="9"/>
  <c r="T46" i="9" s="1"/>
  <c r="W37" i="9"/>
  <c r="J41" i="9"/>
  <c r="S41" i="9"/>
  <c r="W41" i="9"/>
  <c r="J45" i="9"/>
  <c r="S45" i="9"/>
  <c r="W45" i="9"/>
  <c r="J49" i="9"/>
  <c r="S49" i="9"/>
  <c r="W49" i="9"/>
  <c r="J53" i="9"/>
  <c r="S53" i="9"/>
  <c r="W53" i="9"/>
  <c r="J57" i="9"/>
  <c r="S57" i="9"/>
  <c r="W57" i="9"/>
  <c r="AA61" i="9"/>
  <c r="AB61" i="9" s="1"/>
  <c r="W61" i="9"/>
  <c r="S61" i="9"/>
  <c r="J61" i="9"/>
  <c r="K66" i="9"/>
  <c r="K74" i="9"/>
  <c r="K82" i="9"/>
  <c r="K90" i="9"/>
  <c r="K98" i="9"/>
  <c r="K104" i="9"/>
  <c r="S104" i="9"/>
  <c r="K108" i="9"/>
  <c r="AA109" i="9"/>
  <c r="J109" i="9"/>
  <c r="S113" i="9"/>
  <c r="AA113" i="9"/>
  <c r="S124" i="9"/>
  <c r="I126" i="9"/>
  <c r="K126" i="9" s="1"/>
  <c r="AA126" i="9"/>
  <c r="W126" i="9"/>
  <c r="S126" i="9"/>
  <c r="AA128" i="9"/>
  <c r="K130" i="9"/>
  <c r="K131" i="9"/>
  <c r="J132" i="9"/>
  <c r="S136" i="9"/>
  <c r="AA141" i="9"/>
  <c r="J141" i="9"/>
  <c r="AA145" i="9"/>
  <c r="I158" i="9"/>
  <c r="AA158" i="9"/>
  <c r="W158" i="9"/>
  <c r="S158" i="9"/>
  <c r="J164" i="9"/>
  <c r="S168" i="9"/>
  <c r="AA173" i="9"/>
  <c r="J173" i="9"/>
  <c r="AA177" i="9"/>
  <c r="I190" i="9"/>
  <c r="AA190" i="9"/>
  <c r="W190" i="9"/>
  <c r="S190" i="9"/>
  <c r="J196" i="9"/>
  <c r="S200" i="9"/>
  <c r="AA205" i="9"/>
  <c r="J205" i="9"/>
  <c r="J225" i="9"/>
  <c r="J233" i="9"/>
  <c r="AA234" i="9"/>
  <c r="J234" i="9"/>
  <c r="S234" i="9"/>
  <c r="W234" i="9"/>
  <c r="S246" i="9"/>
  <c r="W246" i="9"/>
  <c r="I246" i="9"/>
  <c r="AA246" i="9"/>
  <c r="AA252" i="9"/>
  <c r="H9" i="10"/>
  <c r="J9" i="10" s="1"/>
  <c r="I28" i="10"/>
  <c r="S6" i="12"/>
  <c r="U6" i="12" s="1"/>
  <c r="S14" i="12"/>
  <c r="U14" i="12" s="1"/>
  <c r="S22" i="12"/>
  <c r="U22" i="12" s="1"/>
  <c r="H7" i="8"/>
  <c r="I7" i="8" s="1"/>
  <c r="H11" i="8"/>
  <c r="I11" i="8" s="1"/>
  <c r="H15" i="8"/>
  <c r="I15" i="8" s="1"/>
  <c r="H19" i="8"/>
  <c r="I19" i="8" s="1"/>
  <c r="H23" i="8"/>
  <c r="I23" i="8" s="1"/>
  <c r="H27" i="8"/>
  <c r="I27" i="8" s="1"/>
  <c r="H31" i="8"/>
  <c r="I31" i="8" s="1"/>
  <c r="J8" i="9"/>
  <c r="S8" i="9"/>
  <c r="W8" i="9"/>
  <c r="J12" i="9"/>
  <c r="S12" i="9"/>
  <c r="W12" i="9"/>
  <c r="J16" i="9"/>
  <c r="S16" i="9"/>
  <c r="W16" i="9"/>
  <c r="J20" i="9"/>
  <c r="S20" i="9"/>
  <c r="W20" i="9"/>
  <c r="J24" i="9"/>
  <c r="S24" i="9"/>
  <c r="W24" i="9"/>
  <c r="J28" i="9"/>
  <c r="N28" i="9" s="1"/>
  <c r="S28" i="9"/>
  <c r="W28" i="9"/>
  <c r="J32" i="9"/>
  <c r="S32" i="9"/>
  <c r="T32" i="9" s="1"/>
  <c r="W32" i="9"/>
  <c r="J36" i="9"/>
  <c r="S36" i="9"/>
  <c r="W36" i="9"/>
  <c r="X36" i="9" s="1"/>
  <c r="J40" i="9"/>
  <c r="S40" i="9"/>
  <c r="W40" i="9"/>
  <c r="J44" i="9"/>
  <c r="S44" i="9"/>
  <c r="W44" i="9"/>
  <c r="J48" i="9"/>
  <c r="S48" i="9"/>
  <c r="W48" i="9"/>
  <c r="J52" i="9"/>
  <c r="S52" i="9"/>
  <c r="W52" i="9"/>
  <c r="J56" i="9"/>
  <c r="S56" i="9"/>
  <c r="W56" i="9"/>
  <c r="J60" i="9"/>
  <c r="S60" i="9"/>
  <c r="W60" i="9"/>
  <c r="J64" i="9"/>
  <c r="J66" i="9"/>
  <c r="AA69" i="9"/>
  <c r="AB81" i="9" s="1"/>
  <c r="J72" i="9"/>
  <c r="J74" i="9"/>
  <c r="AA77" i="9"/>
  <c r="AB77" i="9" s="1"/>
  <c r="J80" i="9"/>
  <c r="J82" i="9"/>
  <c r="AA85" i="9"/>
  <c r="J88" i="9"/>
  <c r="J90" i="9"/>
  <c r="AA93" i="9"/>
  <c r="J96" i="9"/>
  <c r="J98" i="9"/>
  <c r="AA101" i="9"/>
  <c r="AB116" i="9" s="1"/>
  <c r="K101" i="9"/>
  <c r="AA103" i="9"/>
  <c r="W103" i="9"/>
  <c r="S103" i="9"/>
  <c r="AA104" i="9"/>
  <c r="K106" i="9"/>
  <c r="W108" i="9"/>
  <c r="J108" i="9"/>
  <c r="K112" i="9"/>
  <c r="S112" i="9"/>
  <c r="K116" i="9"/>
  <c r="AA117" i="9"/>
  <c r="J117" i="9"/>
  <c r="J118" i="9"/>
  <c r="S121" i="9"/>
  <c r="AA121" i="9"/>
  <c r="AA124" i="9"/>
  <c r="AB124" i="9" s="1"/>
  <c r="W128" i="9"/>
  <c r="S132" i="9"/>
  <c r="I134" i="9"/>
  <c r="AA134" i="9"/>
  <c r="AB148" i="9" s="1"/>
  <c r="W134" i="9"/>
  <c r="X138" i="9" s="1"/>
  <c r="S134" i="9"/>
  <c r="T154" i="9" s="1"/>
  <c r="AA136" i="9"/>
  <c r="W140" i="9"/>
  <c r="J140" i="9"/>
  <c r="K144" i="9"/>
  <c r="S144" i="9"/>
  <c r="AA149" i="9"/>
  <c r="AB149" i="9" s="1"/>
  <c r="J149" i="9"/>
  <c r="S153" i="9"/>
  <c r="AA153" i="9"/>
  <c r="S164" i="9"/>
  <c r="I166" i="9"/>
  <c r="K193" i="9" s="1"/>
  <c r="AA166" i="9"/>
  <c r="W166" i="9"/>
  <c r="S166" i="9"/>
  <c r="T186" i="9" s="1"/>
  <c r="AA168" i="9"/>
  <c r="W172" i="9"/>
  <c r="J172" i="9"/>
  <c r="K176" i="9"/>
  <c r="S176" i="9"/>
  <c r="K180" i="9"/>
  <c r="AA181" i="9"/>
  <c r="J181" i="9"/>
  <c r="S185" i="9"/>
  <c r="AA185" i="9"/>
  <c r="AB185" i="9" s="1"/>
  <c r="S196" i="9"/>
  <c r="I198" i="9"/>
  <c r="K201" i="9" s="1"/>
  <c r="AA198" i="9"/>
  <c r="AB221" i="9" s="1"/>
  <c r="W198" i="9"/>
  <c r="X213" i="9" s="1"/>
  <c r="S198" i="9"/>
  <c r="AA200" i="9"/>
  <c r="W204" i="9"/>
  <c r="J204" i="9"/>
  <c r="I213" i="9"/>
  <c r="AA213" i="9"/>
  <c r="W225" i="9"/>
  <c r="I225" i="9"/>
  <c r="AA225" i="9"/>
  <c r="W233" i="9"/>
  <c r="AA233" i="9"/>
  <c r="S238" i="9"/>
  <c r="J238" i="9"/>
  <c r="S257" i="9"/>
  <c r="W257" i="9"/>
  <c r="AA257" i="9"/>
  <c r="I257" i="9"/>
  <c r="I12" i="10"/>
  <c r="I26" i="10"/>
  <c r="I34" i="10"/>
  <c r="S8" i="12"/>
  <c r="U8" i="12" s="1"/>
  <c r="S11" i="12"/>
  <c r="U11" i="12" s="1"/>
  <c r="S13" i="12"/>
  <c r="U13" i="12" s="1"/>
  <c r="S16" i="12"/>
  <c r="U16" i="12" s="1"/>
  <c r="S19" i="12"/>
  <c r="U19" i="12" s="1"/>
  <c r="S21" i="12"/>
  <c r="U21" i="12" s="1"/>
  <c r="S24" i="12"/>
  <c r="U24" i="12" s="1"/>
  <c r="S27" i="12"/>
  <c r="U27" i="12" s="1"/>
  <c r="S29" i="12"/>
  <c r="U29" i="12" s="1"/>
  <c r="S32" i="12"/>
  <c r="U32" i="12" s="1"/>
  <c r="S35" i="12"/>
  <c r="U35" i="12" s="1"/>
  <c r="S40" i="12"/>
  <c r="U40" i="12" s="1"/>
  <c r="S45" i="12"/>
  <c r="U45" i="12" s="1"/>
  <c r="S47" i="12"/>
  <c r="U47" i="12" s="1"/>
  <c r="S48" i="12"/>
  <c r="U48" i="12" s="1"/>
  <c r="S53" i="12"/>
  <c r="U53" i="12" s="1"/>
  <c r="S55" i="12"/>
  <c r="U55" i="12" s="1"/>
  <c r="S245" i="9"/>
  <c r="AA250" i="9"/>
  <c r="J250" i="9"/>
  <c r="S254" i="9"/>
  <c r="AA254" i="9"/>
  <c r="H7" i="10"/>
  <c r="J7" i="10" s="1"/>
  <c r="H13" i="10"/>
  <c r="J13" i="10" s="1"/>
  <c r="I16" i="10"/>
  <c r="J65" i="9"/>
  <c r="N65" i="9" s="1"/>
  <c r="S65" i="9"/>
  <c r="T65" i="9" s="1"/>
  <c r="W65" i="9"/>
  <c r="X65" i="9" s="1"/>
  <c r="J69" i="9"/>
  <c r="S69" i="9"/>
  <c r="T98" i="9" s="1"/>
  <c r="W69" i="9"/>
  <c r="X79" i="9" s="1"/>
  <c r="J73" i="9"/>
  <c r="S73" i="9"/>
  <c r="W73" i="9"/>
  <c r="J77" i="9"/>
  <c r="S77" i="9"/>
  <c r="W77" i="9"/>
  <c r="J81" i="9"/>
  <c r="S81" i="9"/>
  <c r="W81" i="9"/>
  <c r="J85" i="9"/>
  <c r="S85" i="9"/>
  <c r="W85" i="9"/>
  <c r="X85" i="9" s="1"/>
  <c r="J89" i="9"/>
  <c r="S89" i="9"/>
  <c r="W89" i="9"/>
  <c r="X89" i="9" s="1"/>
  <c r="J93" i="9"/>
  <c r="N93" i="9" s="1"/>
  <c r="S93" i="9"/>
  <c r="W93" i="9"/>
  <c r="J97" i="9"/>
  <c r="N97" i="9" s="1"/>
  <c r="S97" i="9"/>
  <c r="T97" i="9" s="1"/>
  <c r="W97" i="9"/>
  <c r="J101" i="9"/>
  <c r="S101" i="9"/>
  <c r="T130" i="9" s="1"/>
  <c r="W101" i="9"/>
  <c r="X114" i="9" s="1"/>
  <c r="I211" i="9"/>
  <c r="K211" i="9" s="1"/>
  <c r="AA211" i="9"/>
  <c r="W211" i="9"/>
  <c r="S211" i="9"/>
  <c r="AA212" i="9"/>
  <c r="K215" i="9"/>
  <c r="W217" i="9"/>
  <c r="J217" i="9"/>
  <c r="K221" i="9"/>
  <c r="S221" i="9"/>
  <c r="AA226" i="9"/>
  <c r="AB226" i="9" s="1"/>
  <c r="J226" i="9"/>
  <c r="S230" i="9"/>
  <c r="T250" i="9" s="1"/>
  <c r="AA230" i="9"/>
  <c r="I243" i="9"/>
  <c r="K243" i="9" s="1"/>
  <c r="AA243" i="9"/>
  <c r="W243" i="9"/>
  <c r="S243" i="9"/>
  <c r="AA244" i="9"/>
  <c r="AA245" i="9"/>
  <c r="W249" i="9"/>
  <c r="J249" i="9"/>
  <c r="K253" i="9"/>
  <c r="S253" i="9"/>
  <c r="I259" i="9"/>
  <c r="J259" i="9"/>
  <c r="AA259" i="9"/>
  <c r="W259" i="9"/>
  <c r="S259" i="9"/>
  <c r="H36" i="10"/>
  <c r="J36" i="10" s="1"/>
  <c r="H34" i="10"/>
  <c r="J34" i="10" s="1"/>
  <c r="H32" i="10"/>
  <c r="J32" i="10" s="1"/>
  <c r="H30" i="10"/>
  <c r="J30" i="10" s="1"/>
  <c r="H28" i="10"/>
  <c r="J28" i="10" s="1"/>
  <c r="H26" i="10"/>
  <c r="J26" i="10" s="1"/>
  <c r="H35" i="10"/>
  <c r="J35" i="10" s="1"/>
  <c r="H5" i="10"/>
  <c r="J5" i="10" s="1"/>
  <c r="R10" i="10"/>
  <c r="I10" i="10"/>
  <c r="H12" i="10"/>
  <c r="J12" i="10" s="1"/>
  <c r="I18" i="10"/>
  <c r="S30" i="12"/>
  <c r="U30" i="12" s="1"/>
  <c r="S38" i="12"/>
  <c r="U38" i="12" s="1"/>
  <c r="S41" i="12"/>
  <c r="U41" i="12" s="1"/>
  <c r="S49" i="12"/>
  <c r="U49" i="12" s="1"/>
  <c r="S57" i="12"/>
  <c r="U57" i="12" s="1"/>
  <c r="S65" i="12"/>
  <c r="U65" i="12" s="1"/>
  <c r="S56" i="12"/>
  <c r="U56" i="12" s="1"/>
  <c r="S61" i="12"/>
  <c r="U61" i="12" s="1"/>
  <c r="S63" i="12"/>
  <c r="U63" i="12" s="1"/>
  <c r="S64" i="12"/>
  <c r="U64" i="12" s="1"/>
  <c r="S103" i="12"/>
  <c r="U103" i="12" s="1"/>
  <c r="S112" i="12"/>
  <c r="U112" i="12" s="1"/>
  <c r="J107" i="9"/>
  <c r="S107" i="9"/>
  <c r="W107" i="9"/>
  <c r="J111" i="9"/>
  <c r="S111" i="9"/>
  <c r="W111" i="9"/>
  <c r="J115" i="9"/>
  <c r="S115" i="9"/>
  <c r="W115" i="9"/>
  <c r="J119" i="9"/>
  <c r="S119" i="9"/>
  <c r="T119" i="9" s="1"/>
  <c r="W119" i="9"/>
  <c r="J123" i="9"/>
  <c r="S123" i="9"/>
  <c r="W123" i="9"/>
  <c r="X123" i="9" s="1"/>
  <c r="J127" i="9"/>
  <c r="S127" i="9"/>
  <c r="W127" i="9"/>
  <c r="J131" i="9"/>
  <c r="N131" i="9" s="1"/>
  <c r="S131" i="9"/>
  <c r="W131" i="9"/>
  <c r="J135" i="9"/>
  <c r="S135" i="9"/>
  <c r="W135" i="9"/>
  <c r="J139" i="9"/>
  <c r="S139" i="9"/>
  <c r="W139" i="9"/>
  <c r="J143" i="9"/>
  <c r="S143" i="9"/>
  <c r="W143" i="9"/>
  <c r="J147" i="9"/>
  <c r="S147" i="9"/>
  <c r="W147" i="9"/>
  <c r="J151" i="9"/>
  <c r="S151" i="9"/>
  <c r="T151" i="9" s="1"/>
  <c r="W151" i="9"/>
  <c r="J155" i="9"/>
  <c r="S155" i="9"/>
  <c r="W155" i="9"/>
  <c r="X155" i="9" s="1"/>
  <c r="J159" i="9"/>
  <c r="S159" i="9"/>
  <c r="W159" i="9"/>
  <c r="J163" i="9"/>
  <c r="N163" i="9" s="1"/>
  <c r="S163" i="9"/>
  <c r="W163" i="9"/>
  <c r="J167" i="9"/>
  <c r="S167" i="9"/>
  <c r="W167" i="9"/>
  <c r="J171" i="9"/>
  <c r="S171" i="9"/>
  <c r="W171" i="9"/>
  <c r="J175" i="9"/>
  <c r="S175" i="9"/>
  <c r="W175" i="9"/>
  <c r="J179" i="9"/>
  <c r="S179" i="9"/>
  <c r="W179" i="9"/>
  <c r="J183" i="9"/>
  <c r="S183" i="9"/>
  <c r="T183" i="9" s="1"/>
  <c r="W183" i="9"/>
  <c r="J187" i="9"/>
  <c r="S187" i="9"/>
  <c r="W187" i="9"/>
  <c r="X187" i="9" s="1"/>
  <c r="J191" i="9"/>
  <c r="S191" i="9"/>
  <c r="W191" i="9"/>
  <c r="J195" i="9"/>
  <c r="N195" i="9" s="1"/>
  <c r="S195" i="9"/>
  <c r="W195" i="9"/>
  <c r="J199" i="9"/>
  <c r="S199" i="9"/>
  <c r="W199" i="9"/>
  <c r="X221" i="9" s="1"/>
  <c r="J203" i="9"/>
  <c r="S203" i="9"/>
  <c r="W203" i="9"/>
  <c r="J258" i="9"/>
  <c r="AA258" i="9"/>
  <c r="AB258" i="9" s="1"/>
  <c r="G5" i="10"/>
  <c r="H8" i="10"/>
  <c r="J8" i="10" s="1"/>
  <c r="G15" i="10"/>
  <c r="G17" i="10"/>
  <c r="G19" i="10"/>
  <c r="G21" i="10"/>
  <c r="H22" i="10"/>
  <c r="J22" i="10" s="1"/>
  <c r="H25" i="10"/>
  <c r="J25" i="10" s="1"/>
  <c r="H27" i="10"/>
  <c r="J27" i="10" s="1"/>
  <c r="H33" i="10"/>
  <c r="J33" i="10" s="1"/>
  <c r="G6" i="10"/>
  <c r="G32" i="10"/>
  <c r="G24" i="10"/>
  <c r="G22" i="10"/>
  <c r="G8" i="10"/>
  <c r="G11" i="10"/>
  <c r="G14" i="10"/>
  <c r="H16" i="10"/>
  <c r="J16" i="10" s="1"/>
  <c r="H17" i="10"/>
  <c r="J17" i="10" s="1"/>
  <c r="H18" i="10"/>
  <c r="J18" i="10" s="1"/>
  <c r="H19" i="10"/>
  <c r="J19" i="10" s="1"/>
  <c r="H20" i="10"/>
  <c r="J20" i="10" s="1"/>
  <c r="G23" i="10"/>
  <c r="H24" i="10"/>
  <c r="J24" i="10" s="1"/>
  <c r="G27" i="10"/>
  <c r="G29" i="10"/>
  <c r="G35" i="10"/>
  <c r="S108" i="12"/>
  <c r="U108" i="12" s="1"/>
  <c r="S114" i="12"/>
  <c r="U114" i="12" s="1"/>
  <c r="S118" i="12"/>
  <c r="U118" i="12" s="1"/>
  <c r="S119" i="12"/>
  <c r="U119" i="12" s="1"/>
  <c r="S125" i="12"/>
  <c r="U125" i="12" s="1"/>
  <c r="S127" i="12"/>
  <c r="U127" i="12" s="1"/>
  <c r="H21" i="10"/>
  <c r="J21" i="10" s="1"/>
  <c r="H23" i="10"/>
  <c r="J23" i="10" s="1"/>
  <c r="N23" i="10" s="1"/>
  <c r="P23" i="10" s="1"/>
  <c r="G25" i="10"/>
  <c r="H31" i="10"/>
  <c r="J31" i="10" s="1"/>
  <c r="G33" i="10"/>
  <c r="S10" i="12"/>
  <c r="U10" i="12" s="1"/>
  <c r="S18" i="12"/>
  <c r="U18" i="12" s="1"/>
  <c r="S26" i="12"/>
  <c r="U26" i="12" s="1"/>
  <c r="S34" i="12"/>
  <c r="U34" i="12" s="1"/>
  <c r="S44" i="12"/>
  <c r="U44" i="12" s="1"/>
  <c r="S46" i="12"/>
  <c r="U46" i="12" s="1"/>
  <c r="S52" i="12"/>
  <c r="U52" i="12" s="1"/>
  <c r="S54" i="12"/>
  <c r="U54" i="12" s="1"/>
  <c r="S60" i="12"/>
  <c r="U60" i="12" s="1"/>
  <c r="S62" i="12"/>
  <c r="U62" i="12" s="1"/>
  <c r="S68" i="12"/>
  <c r="U68" i="12" s="1"/>
  <c r="S76" i="12"/>
  <c r="U76" i="12" s="1"/>
  <c r="S78" i="12"/>
  <c r="U78" i="12" s="1"/>
  <c r="S84" i="12"/>
  <c r="U84" i="12" s="1"/>
  <c r="S86" i="12"/>
  <c r="U86" i="12" s="1"/>
  <c r="S92" i="12"/>
  <c r="U92" i="12" s="1"/>
  <c r="S94" i="12"/>
  <c r="U94" i="12" s="1"/>
  <c r="S100" i="12"/>
  <c r="U100" i="12" s="1"/>
  <c r="S101" i="12"/>
  <c r="U101" i="12" s="1"/>
  <c r="S105" i="12"/>
  <c r="U105" i="12" s="1"/>
  <c r="S116" i="12"/>
  <c r="U116" i="12" s="1"/>
  <c r="S117" i="12"/>
  <c r="U117" i="12" s="1"/>
  <c r="J208" i="9"/>
  <c r="S208" i="9"/>
  <c r="W208" i="9"/>
  <c r="J212" i="9"/>
  <c r="S212" i="9"/>
  <c r="W212" i="9"/>
  <c r="J216" i="9"/>
  <c r="S216" i="9"/>
  <c r="T216" i="9" s="1"/>
  <c r="W216" i="9"/>
  <c r="J220" i="9"/>
  <c r="S220" i="9"/>
  <c r="W220" i="9"/>
  <c r="X220" i="9" s="1"/>
  <c r="J224" i="9"/>
  <c r="S224" i="9"/>
  <c r="W224" i="9"/>
  <c r="J228" i="9"/>
  <c r="N228" i="9" s="1"/>
  <c r="S228" i="9"/>
  <c r="W228" i="9"/>
  <c r="J232" i="9"/>
  <c r="S232" i="9"/>
  <c r="W232" i="9"/>
  <c r="X258" i="9" s="1"/>
  <c r="J236" i="9"/>
  <c r="S236" i="9"/>
  <c r="W236" i="9"/>
  <c r="J240" i="9"/>
  <c r="S240" i="9"/>
  <c r="W240" i="9"/>
  <c r="J244" i="9"/>
  <c r="S244" i="9"/>
  <c r="W244" i="9"/>
  <c r="J248" i="9"/>
  <c r="S248" i="9"/>
  <c r="T248" i="9" s="1"/>
  <c r="W248" i="9"/>
  <c r="J252" i="9"/>
  <c r="S252" i="9"/>
  <c r="W252" i="9"/>
  <c r="X252" i="9" s="1"/>
  <c r="J256" i="9"/>
  <c r="S256" i="9"/>
  <c r="W256" i="9"/>
  <c r="J260" i="9"/>
  <c r="N260" i="9" s="1"/>
  <c r="S260" i="9"/>
  <c r="W260" i="9"/>
  <c r="G36" i="10"/>
  <c r="G9" i="10"/>
  <c r="G13" i="10"/>
  <c r="H29" i="10"/>
  <c r="J29" i="10" s="1"/>
  <c r="G30" i="10"/>
  <c r="G31" i="10"/>
  <c r="S7" i="12"/>
  <c r="U7" i="12" s="1"/>
  <c r="S9" i="12"/>
  <c r="U9" i="12" s="1"/>
  <c r="S12" i="12"/>
  <c r="U12" i="12" s="1"/>
  <c r="S15" i="12"/>
  <c r="U15" i="12" s="1"/>
  <c r="S17" i="12"/>
  <c r="U17" i="12" s="1"/>
  <c r="S20" i="12"/>
  <c r="U20" i="12" s="1"/>
  <c r="S23" i="12"/>
  <c r="U23" i="12" s="1"/>
  <c r="S25" i="12"/>
  <c r="U25" i="12" s="1"/>
  <c r="S28" i="12"/>
  <c r="U28" i="12" s="1"/>
  <c r="S31" i="12"/>
  <c r="U31" i="12" s="1"/>
  <c r="S33" i="12"/>
  <c r="U33" i="12" s="1"/>
  <c r="S36" i="12"/>
  <c r="U36" i="12" s="1"/>
  <c r="S39" i="12"/>
  <c r="U39" i="12" s="1"/>
  <c r="V45" i="12"/>
  <c r="AA45" i="12" s="1"/>
  <c r="V77" i="12"/>
  <c r="AA77" i="12" s="1"/>
  <c r="S104" i="12"/>
  <c r="U104" i="12" s="1"/>
  <c r="S106" i="12"/>
  <c r="U106" i="12" s="1"/>
  <c r="S110" i="12"/>
  <c r="U110" i="12" s="1"/>
  <c r="S111" i="12"/>
  <c r="U111" i="12" s="1"/>
  <c r="S109" i="12"/>
  <c r="U109" i="12" s="1"/>
  <c r="S113" i="12"/>
  <c r="U113" i="12" s="1"/>
  <c r="R5" i="12"/>
  <c r="W10" i="12" s="1"/>
  <c r="R9" i="12"/>
  <c r="R13" i="12"/>
  <c r="R17" i="12"/>
  <c r="R21" i="12"/>
  <c r="W21" i="12" s="1"/>
  <c r="R25" i="12"/>
  <c r="R29" i="12"/>
  <c r="R33" i="12"/>
  <c r="R37" i="12"/>
  <c r="W46" i="12" s="1"/>
  <c r="S42" i="12"/>
  <c r="U42" i="12" s="1"/>
  <c r="S50" i="12"/>
  <c r="U50" i="12" s="1"/>
  <c r="S58" i="12"/>
  <c r="U58" i="12" s="1"/>
  <c r="S66" i="12"/>
  <c r="U66" i="12" s="1"/>
  <c r="S74" i="12"/>
  <c r="U74" i="12" s="1"/>
  <c r="S82" i="12"/>
  <c r="U82" i="12" s="1"/>
  <c r="S90" i="12"/>
  <c r="U90" i="12" s="1"/>
  <c r="S98" i="12"/>
  <c r="U98" i="12" s="1"/>
  <c r="S120" i="12"/>
  <c r="U120" i="12" s="1"/>
  <c r="S121" i="12"/>
  <c r="U121" i="12" s="1"/>
  <c r="R123" i="12"/>
  <c r="Q123" i="12"/>
  <c r="S124" i="12"/>
  <c r="U124" i="12" s="1"/>
  <c r="Q128" i="12"/>
  <c r="R128" i="12"/>
  <c r="S130" i="12"/>
  <c r="U130" i="12" s="1"/>
  <c r="S133" i="12"/>
  <c r="U133" i="12" s="1"/>
  <c r="S135" i="12"/>
  <c r="U135" i="12" s="1"/>
  <c r="R141" i="12"/>
  <c r="Q141" i="12"/>
  <c r="S147" i="12"/>
  <c r="U147" i="12" s="1"/>
  <c r="S150" i="12"/>
  <c r="U150" i="12" s="1"/>
  <c r="S153" i="12"/>
  <c r="U153" i="12" s="1"/>
  <c r="R155" i="12"/>
  <c r="Q155" i="12"/>
  <c r="S156" i="12"/>
  <c r="U156" i="12" s="1"/>
  <c r="S168" i="12"/>
  <c r="U168" i="12" s="1"/>
  <c r="S176" i="12"/>
  <c r="U176" i="12" s="1"/>
  <c r="S191" i="12"/>
  <c r="U191" i="12" s="1"/>
  <c r="Q204" i="12"/>
  <c r="R204" i="12"/>
  <c r="S214" i="12"/>
  <c r="U214" i="12" s="1"/>
  <c r="S43" i="12"/>
  <c r="U43" i="12" s="1"/>
  <c r="S51" i="12"/>
  <c r="U51" i="12" s="1"/>
  <c r="S59" i="12"/>
  <c r="U59" i="12" s="1"/>
  <c r="S67" i="12"/>
  <c r="U67" i="12" s="1"/>
  <c r="S75" i="12"/>
  <c r="U75" i="12" s="1"/>
  <c r="S83" i="12"/>
  <c r="U83" i="12" s="1"/>
  <c r="S91" i="12"/>
  <c r="U91" i="12" s="1"/>
  <c r="S99" i="12"/>
  <c r="U99" i="12" s="1"/>
  <c r="Q104" i="12"/>
  <c r="R104" i="12"/>
  <c r="W117" i="12" s="1"/>
  <c r="S107" i="12"/>
  <c r="U107" i="12" s="1"/>
  <c r="Q112" i="12"/>
  <c r="R112" i="12"/>
  <c r="S115" i="12"/>
  <c r="U115" i="12" s="1"/>
  <c r="S123" i="12"/>
  <c r="U123" i="12" s="1"/>
  <c r="S126" i="12"/>
  <c r="U126" i="12" s="1"/>
  <c r="S128" i="12"/>
  <c r="U128" i="12" s="1"/>
  <c r="S129" i="12"/>
  <c r="U129" i="12" s="1"/>
  <c r="R131" i="12"/>
  <c r="Q131" i="12"/>
  <c r="S132" i="12"/>
  <c r="U132" i="12" s="1"/>
  <c r="Q136" i="12"/>
  <c r="R136" i="12"/>
  <c r="S138" i="12"/>
  <c r="U138" i="12" s="1"/>
  <c r="S141" i="12"/>
  <c r="U141" i="12" s="1"/>
  <c r="S143" i="12"/>
  <c r="U143" i="12" s="1"/>
  <c r="R149" i="12"/>
  <c r="Q149" i="12"/>
  <c r="S155" i="12"/>
  <c r="U155" i="12" s="1"/>
  <c r="S157" i="12"/>
  <c r="U157" i="12" s="1"/>
  <c r="Q160" i="12"/>
  <c r="R160" i="12"/>
  <c r="S162" i="12"/>
  <c r="U162" i="12" s="1"/>
  <c r="S164" i="12"/>
  <c r="U164" i="12" s="1"/>
  <c r="S170" i="12"/>
  <c r="U170" i="12" s="1"/>
  <c r="S171" i="12"/>
  <c r="U171" i="12" s="1"/>
  <c r="S178" i="12"/>
  <c r="U178" i="12" s="1"/>
  <c r="S179" i="12"/>
  <c r="U179" i="12" s="1"/>
  <c r="S188" i="12"/>
  <c r="U188" i="12" s="1"/>
  <c r="S190" i="12"/>
  <c r="U190" i="12" s="1"/>
  <c r="S203" i="12"/>
  <c r="U203" i="12" s="1"/>
  <c r="S216" i="12"/>
  <c r="U216" i="12" s="1"/>
  <c r="Q8" i="12"/>
  <c r="V9" i="12" s="1"/>
  <c r="AA9" i="12" s="1"/>
  <c r="Q12" i="12"/>
  <c r="Q16" i="12"/>
  <c r="Q20" i="12"/>
  <c r="Q24" i="12"/>
  <c r="Q28" i="12"/>
  <c r="Q32" i="12"/>
  <c r="V32" i="12" s="1"/>
  <c r="AA32" i="12" s="1"/>
  <c r="Q36" i="12"/>
  <c r="Q41" i="12"/>
  <c r="Q47" i="12"/>
  <c r="Q49" i="12"/>
  <c r="Q55" i="12"/>
  <c r="Q57" i="12"/>
  <c r="Q63" i="12"/>
  <c r="V63" i="12" s="1"/>
  <c r="AA63" i="12" s="1"/>
  <c r="Q65" i="12"/>
  <c r="V70" i="12"/>
  <c r="AA70" i="12" s="1"/>
  <c r="Q71" i="12"/>
  <c r="V83" i="12" s="1"/>
  <c r="AA83" i="12" s="1"/>
  <c r="Q73" i="12"/>
  <c r="V78" i="12"/>
  <c r="AA78" i="12" s="1"/>
  <c r="Q79" i="12"/>
  <c r="Q81" i="12"/>
  <c r="V86" i="12"/>
  <c r="AA86" i="12" s="1"/>
  <c r="Q87" i="12"/>
  <c r="Q89" i="12"/>
  <c r="V94" i="12"/>
  <c r="AA94" i="12" s="1"/>
  <c r="Q95" i="12"/>
  <c r="V95" i="12" s="1"/>
  <c r="AA95" i="12" s="1"/>
  <c r="Q97" i="12"/>
  <c r="Q107" i="12"/>
  <c r="Q115" i="12"/>
  <c r="R125" i="12"/>
  <c r="Q125" i="12"/>
  <c r="S131" i="12"/>
  <c r="U131" i="12" s="1"/>
  <c r="S134" i="12"/>
  <c r="U134" i="12" s="1"/>
  <c r="S137" i="12"/>
  <c r="U137" i="12" s="1"/>
  <c r="R139" i="12"/>
  <c r="Q139" i="12"/>
  <c r="S140" i="12"/>
  <c r="U140" i="12" s="1"/>
  <c r="Q144" i="12"/>
  <c r="R144" i="12"/>
  <c r="S146" i="12"/>
  <c r="U146" i="12" s="1"/>
  <c r="S149" i="12"/>
  <c r="U149" i="12" s="1"/>
  <c r="R157" i="12"/>
  <c r="Q157" i="12"/>
  <c r="S158" i="12"/>
  <c r="U158" i="12" s="1"/>
  <c r="S160" i="12"/>
  <c r="U160" i="12" s="1"/>
  <c r="S161" i="12"/>
  <c r="U161" i="12" s="1"/>
  <c r="S163" i="12"/>
  <c r="U163" i="12" s="1"/>
  <c r="S165" i="12"/>
  <c r="U165" i="12" s="1"/>
  <c r="S205" i="12"/>
  <c r="U205" i="12" s="1"/>
  <c r="R219" i="12"/>
  <c r="Q219" i="12"/>
  <c r="S483" i="12"/>
  <c r="U483" i="12" s="1"/>
  <c r="S477" i="12"/>
  <c r="U477" i="12" s="1"/>
  <c r="S469" i="12"/>
  <c r="U469" i="12" s="1"/>
  <c r="S424" i="12"/>
  <c r="U424" i="12" s="1"/>
  <c r="S408" i="12"/>
  <c r="U408" i="12" s="1"/>
  <c r="S450" i="12"/>
  <c r="U450" i="12" s="1"/>
  <c r="S448" i="12"/>
  <c r="U448" i="12" s="1"/>
  <c r="S442" i="12"/>
  <c r="U442" i="12" s="1"/>
  <c r="S467" i="12"/>
  <c r="U467" i="12" s="1"/>
  <c r="S458" i="12"/>
  <c r="U458" i="12" s="1"/>
  <c r="S416" i="12"/>
  <c r="U416" i="12" s="1"/>
  <c r="S400" i="12"/>
  <c r="U400" i="12" s="1"/>
  <c r="S314" i="12"/>
  <c r="U314" i="12" s="1"/>
  <c r="S429" i="12"/>
  <c r="U429" i="12" s="1"/>
  <c r="S378" i="12"/>
  <c r="U378" i="12" s="1"/>
  <c r="S374" i="12"/>
  <c r="U374" i="12" s="1"/>
  <c r="S367" i="12"/>
  <c r="U367" i="12" s="1"/>
  <c r="S354" i="12"/>
  <c r="U354" i="12" s="1"/>
  <c r="S351" i="12"/>
  <c r="U351" i="12" s="1"/>
  <c r="S338" i="12"/>
  <c r="U338" i="12" s="1"/>
  <c r="S335" i="12"/>
  <c r="U335" i="12" s="1"/>
  <c r="S306" i="12"/>
  <c r="U306" i="12" s="1"/>
  <c r="S303" i="12"/>
  <c r="U303" i="12" s="1"/>
  <c r="S474" i="12"/>
  <c r="U474" i="12" s="1"/>
  <c r="S455" i="12"/>
  <c r="U455" i="12" s="1"/>
  <c r="S413" i="12"/>
  <c r="U413" i="12" s="1"/>
  <c r="S330" i="12"/>
  <c r="U330" i="12" s="1"/>
  <c r="S327" i="12"/>
  <c r="U327" i="12" s="1"/>
  <c r="S298" i="12"/>
  <c r="U298" i="12" s="1"/>
  <c r="S295" i="12"/>
  <c r="U295" i="12" s="1"/>
  <c r="S432" i="12"/>
  <c r="U432" i="12" s="1"/>
  <c r="S362" i="12"/>
  <c r="U362" i="12" s="1"/>
  <c r="S359" i="12"/>
  <c r="U359" i="12" s="1"/>
  <c r="S346" i="12"/>
  <c r="U346" i="12" s="1"/>
  <c r="S343" i="12"/>
  <c r="U343" i="12" s="1"/>
  <c r="S279" i="12"/>
  <c r="U279" i="12" s="1"/>
  <c r="S278" i="12"/>
  <c r="U278" i="12" s="1"/>
  <c r="S276" i="12"/>
  <c r="U276" i="12" s="1"/>
  <c r="S263" i="12"/>
  <c r="U263" i="12" s="1"/>
  <c r="S244" i="12"/>
  <c r="U244" i="12" s="1"/>
  <c r="S319" i="12"/>
  <c r="U319" i="12" s="1"/>
  <c r="S290" i="12"/>
  <c r="U290" i="12" s="1"/>
  <c r="S270" i="12"/>
  <c r="U270" i="12" s="1"/>
  <c r="S322" i="12"/>
  <c r="U322" i="12" s="1"/>
  <c r="S287" i="12"/>
  <c r="U287" i="12" s="1"/>
  <c r="S271" i="12"/>
  <c r="U271" i="12" s="1"/>
  <c r="S254" i="12"/>
  <c r="U254" i="12" s="1"/>
  <c r="S252" i="12"/>
  <c r="U252" i="12" s="1"/>
  <c r="S236" i="12"/>
  <c r="U236" i="12" s="1"/>
  <c r="S227" i="12"/>
  <c r="U227" i="12" s="1"/>
  <c r="S204" i="12"/>
  <c r="U204" i="12" s="1"/>
  <c r="S195" i="12"/>
  <c r="U195" i="12" s="1"/>
  <c r="S192" i="12"/>
  <c r="U192" i="12" s="1"/>
  <c r="S235" i="12"/>
  <c r="U235" i="12" s="1"/>
  <c r="S243" i="12"/>
  <c r="U243" i="12" s="1"/>
  <c r="S220" i="12"/>
  <c r="U220" i="12" s="1"/>
  <c r="S211" i="12"/>
  <c r="U211" i="12" s="1"/>
  <c r="S228" i="12"/>
  <c r="U228" i="12" s="1"/>
  <c r="S219" i="12"/>
  <c r="U219" i="12" s="1"/>
  <c r="S196" i="12"/>
  <c r="U196" i="12" s="1"/>
  <c r="V154" i="12"/>
  <c r="AA154" i="12" s="1"/>
  <c r="V40" i="12"/>
  <c r="AA40" i="12" s="1"/>
  <c r="R44" i="12"/>
  <c r="V48" i="12"/>
  <c r="AA48" i="12" s="1"/>
  <c r="R52" i="12"/>
  <c r="V56" i="12"/>
  <c r="AA56" i="12" s="1"/>
  <c r="R60" i="12"/>
  <c r="V64" i="12"/>
  <c r="AA64" i="12" s="1"/>
  <c r="R68" i="12"/>
  <c r="W68" i="12" s="1"/>
  <c r="V72" i="12"/>
  <c r="AA72" i="12" s="1"/>
  <c r="R76" i="12"/>
  <c r="W69" i="12" s="1"/>
  <c r="V80" i="12"/>
  <c r="AA80" i="12" s="1"/>
  <c r="R84" i="12"/>
  <c r="W84" i="12" s="1"/>
  <c r="V88" i="12"/>
  <c r="AA88" i="12" s="1"/>
  <c r="R92" i="12"/>
  <c r="V96" i="12"/>
  <c r="AA96" i="12" s="1"/>
  <c r="Q101" i="12"/>
  <c r="V111" i="12" s="1"/>
  <c r="AA111" i="12" s="1"/>
  <c r="Q109" i="12"/>
  <c r="W111" i="12"/>
  <c r="Q117" i="12"/>
  <c r="W119" i="12"/>
  <c r="Q120" i="12"/>
  <c r="V120" i="12" s="1"/>
  <c r="AA120" i="12" s="1"/>
  <c r="R120" i="12"/>
  <c r="W120" i="12" s="1"/>
  <c r="S122" i="12"/>
  <c r="U122" i="12" s="1"/>
  <c r="W130" i="12"/>
  <c r="R133" i="12"/>
  <c r="W145" i="12" s="1"/>
  <c r="Q133" i="12"/>
  <c r="V150" i="12" s="1"/>
  <c r="AA150" i="12" s="1"/>
  <c r="S139" i="12"/>
  <c r="U139" i="12" s="1"/>
  <c r="S142" i="12"/>
  <c r="U142" i="12" s="1"/>
  <c r="S145" i="12"/>
  <c r="U145" i="12" s="1"/>
  <c r="R147" i="12"/>
  <c r="W135" i="12" s="1"/>
  <c r="Q147" i="12"/>
  <c r="V159" i="12" s="1"/>
  <c r="AA159" i="12" s="1"/>
  <c r="S148" i="12"/>
  <c r="U148" i="12" s="1"/>
  <c r="Q152" i="12"/>
  <c r="V152" i="12" s="1"/>
  <c r="AA152" i="12" s="1"/>
  <c r="R152" i="12"/>
  <c r="W152" i="12" s="1"/>
  <c r="S154" i="12"/>
  <c r="U154" i="12" s="1"/>
  <c r="V163" i="12"/>
  <c r="AA163" i="12" s="1"/>
  <c r="W164" i="12"/>
  <c r="R165" i="12"/>
  <c r="W172" i="12" s="1"/>
  <c r="Q165" i="12"/>
  <c r="S166" i="12"/>
  <c r="U166" i="12" s="1"/>
  <c r="S167" i="12"/>
  <c r="U167" i="12" s="1"/>
  <c r="Q168" i="12"/>
  <c r="R168" i="12"/>
  <c r="S169" i="12"/>
  <c r="U169" i="12" s="1"/>
  <c r="S172" i="12"/>
  <c r="U172" i="12" s="1"/>
  <c r="S173" i="12"/>
  <c r="U173" i="12" s="1"/>
  <c r="S174" i="12"/>
  <c r="U174" i="12" s="1"/>
  <c r="S175" i="12"/>
  <c r="U175" i="12" s="1"/>
  <c r="Q176" i="12"/>
  <c r="R176" i="12"/>
  <c r="W186" i="12" s="1"/>
  <c r="S177" i="12"/>
  <c r="U177" i="12" s="1"/>
  <c r="S180" i="12"/>
  <c r="U180" i="12" s="1"/>
  <c r="S181" i="12"/>
  <c r="U181" i="12" s="1"/>
  <c r="S182" i="12"/>
  <c r="U182" i="12" s="1"/>
  <c r="S183" i="12"/>
  <c r="U183" i="12" s="1"/>
  <c r="Q184" i="12"/>
  <c r="R184" i="12"/>
  <c r="S187" i="12"/>
  <c r="U187" i="12" s="1"/>
  <c r="S215" i="12"/>
  <c r="U215" i="12" s="1"/>
  <c r="W127" i="12"/>
  <c r="W159" i="12"/>
  <c r="Q173" i="12"/>
  <c r="Q181" i="12"/>
  <c r="V185" i="12" s="1"/>
  <c r="AA185" i="12" s="1"/>
  <c r="S186" i="12"/>
  <c r="U186" i="12" s="1"/>
  <c r="R187" i="12"/>
  <c r="Q187" i="12"/>
  <c r="S189" i="12"/>
  <c r="U189" i="12" s="1"/>
  <c r="S198" i="12"/>
  <c r="U198" i="12" s="1"/>
  <c r="S199" i="12"/>
  <c r="U199" i="12" s="1"/>
  <c r="S200" i="12"/>
  <c r="U200" i="12" s="1"/>
  <c r="R203" i="12"/>
  <c r="Q203" i="12"/>
  <c r="Q220" i="12"/>
  <c r="R220" i="12"/>
  <c r="S221" i="12"/>
  <c r="U221" i="12" s="1"/>
  <c r="S230" i="12"/>
  <c r="U230" i="12" s="1"/>
  <c r="S231" i="12"/>
  <c r="U231" i="12" s="1"/>
  <c r="S232" i="12"/>
  <c r="U232" i="12" s="1"/>
  <c r="R235" i="12"/>
  <c r="Q235" i="12"/>
  <c r="S260" i="12"/>
  <c r="U260" i="12" s="1"/>
  <c r="S262" i="12"/>
  <c r="U262" i="12" s="1"/>
  <c r="S268" i="12"/>
  <c r="U268" i="12" s="1"/>
  <c r="V100" i="12"/>
  <c r="AA100" i="12" s="1"/>
  <c r="V116" i="12"/>
  <c r="AA116" i="12" s="1"/>
  <c r="V124" i="12"/>
  <c r="AA124" i="12" s="1"/>
  <c r="V148" i="12"/>
  <c r="AA148" i="12" s="1"/>
  <c r="V156" i="12"/>
  <c r="AA156" i="12" s="1"/>
  <c r="S184" i="12"/>
  <c r="U184" i="12" s="1"/>
  <c r="R195" i="12"/>
  <c r="Q195" i="12"/>
  <c r="Q212" i="12"/>
  <c r="R212" i="12"/>
  <c r="S213" i="12"/>
  <c r="U213" i="12" s="1"/>
  <c r="S222" i="12"/>
  <c r="U222" i="12" s="1"/>
  <c r="S223" i="12"/>
  <c r="U223" i="12" s="1"/>
  <c r="S224" i="12"/>
  <c r="U224" i="12" s="1"/>
  <c r="R227" i="12"/>
  <c r="Q227" i="12"/>
  <c r="R244" i="12"/>
  <c r="Q244" i="12"/>
  <c r="S247" i="12"/>
  <c r="U247" i="12" s="1"/>
  <c r="S255" i="12"/>
  <c r="U255" i="12" s="1"/>
  <c r="Q236" i="12"/>
  <c r="R236" i="12"/>
  <c r="S237" i="12"/>
  <c r="U237" i="12" s="1"/>
  <c r="S246" i="12"/>
  <c r="U246" i="12" s="1"/>
  <c r="Q247" i="12"/>
  <c r="R247" i="12"/>
  <c r="S308" i="12"/>
  <c r="U308" i="12" s="1"/>
  <c r="Q188" i="12"/>
  <c r="R188" i="12"/>
  <c r="Q196" i="12"/>
  <c r="R196" i="12"/>
  <c r="S197" i="12"/>
  <c r="U197" i="12" s="1"/>
  <c r="S206" i="12"/>
  <c r="U206" i="12" s="1"/>
  <c r="S207" i="12"/>
  <c r="U207" i="12" s="1"/>
  <c r="S208" i="12"/>
  <c r="U208" i="12" s="1"/>
  <c r="R211" i="12"/>
  <c r="Q211" i="12"/>
  <c r="Q228" i="12"/>
  <c r="R228" i="12"/>
  <c r="S229" i="12"/>
  <c r="U229" i="12" s="1"/>
  <c r="S238" i="12"/>
  <c r="U238" i="12" s="1"/>
  <c r="S239" i="12"/>
  <c r="U239" i="12" s="1"/>
  <c r="S240" i="12"/>
  <c r="U240" i="12" s="1"/>
  <c r="R243" i="12"/>
  <c r="Q243" i="12"/>
  <c r="S249" i="12"/>
  <c r="U249" i="12" s="1"/>
  <c r="R260" i="12"/>
  <c r="Q260" i="12"/>
  <c r="S266" i="12"/>
  <c r="U266" i="12" s="1"/>
  <c r="S269" i="12"/>
  <c r="U269" i="12" s="1"/>
  <c r="S272" i="12"/>
  <c r="U272" i="12" s="1"/>
  <c r="R274" i="12"/>
  <c r="Q274" i="12"/>
  <c r="S275" i="12"/>
  <c r="U275" i="12" s="1"/>
  <c r="S284" i="12"/>
  <c r="U284" i="12" s="1"/>
  <c r="S292" i="12"/>
  <c r="U292" i="12" s="1"/>
  <c r="S293" i="12"/>
  <c r="U293" i="12" s="1"/>
  <c r="S299" i="12"/>
  <c r="U299" i="12" s="1"/>
  <c r="R306" i="12"/>
  <c r="Q306" i="12"/>
  <c r="S311" i="12"/>
  <c r="U311" i="12" s="1"/>
  <c r="S318" i="12"/>
  <c r="U318" i="12" s="1"/>
  <c r="S320" i="12"/>
  <c r="U320" i="12" s="1"/>
  <c r="S332" i="12"/>
  <c r="U332" i="12" s="1"/>
  <c r="S340" i="12"/>
  <c r="U340" i="12" s="1"/>
  <c r="S348" i="12"/>
  <c r="U348" i="12" s="1"/>
  <c r="V164" i="12"/>
  <c r="AA164" i="12" s="1"/>
  <c r="S185" i="12"/>
  <c r="U185" i="12" s="1"/>
  <c r="R191" i="12"/>
  <c r="W191" i="12" s="1"/>
  <c r="Q191" i="12"/>
  <c r="V191" i="12" s="1"/>
  <c r="AA191" i="12" s="1"/>
  <c r="S194" i="12"/>
  <c r="U194" i="12" s="1"/>
  <c r="S201" i="12"/>
  <c r="U201" i="12" s="1"/>
  <c r="W202" i="12"/>
  <c r="R207" i="12"/>
  <c r="Q207" i="12"/>
  <c r="S210" i="12"/>
  <c r="U210" i="12" s="1"/>
  <c r="S217" i="12"/>
  <c r="U217" i="12" s="1"/>
  <c r="R223" i="12"/>
  <c r="Q223" i="12"/>
  <c r="S226" i="12"/>
  <c r="U226" i="12" s="1"/>
  <c r="S233" i="12"/>
  <c r="U233" i="12" s="1"/>
  <c r="R239" i="12"/>
  <c r="Q239" i="12"/>
  <c r="S242" i="12"/>
  <c r="U242" i="12" s="1"/>
  <c r="S245" i="12"/>
  <c r="U245" i="12" s="1"/>
  <c r="S248" i="12"/>
  <c r="U248" i="12" s="1"/>
  <c r="R250" i="12"/>
  <c r="Q250" i="12"/>
  <c r="S251" i="12"/>
  <c r="U251" i="12" s="1"/>
  <c r="Q255" i="12"/>
  <c r="R255" i="12"/>
  <c r="S257" i="12"/>
  <c r="U257" i="12" s="1"/>
  <c r="R268" i="12"/>
  <c r="Q268" i="12"/>
  <c r="V286" i="12" s="1"/>
  <c r="AA286" i="12" s="1"/>
  <c r="S274" i="12"/>
  <c r="U274" i="12" s="1"/>
  <c r="S277" i="12"/>
  <c r="U277" i="12" s="1"/>
  <c r="S282" i="12"/>
  <c r="U282" i="12" s="1"/>
  <c r="Q283" i="12"/>
  <c r="R283" i="12"/>
  <c r="S305" i="12"/>
  <c r="U305" i="12" s="1"/>
  <c r="Q307" i="12"/>
  <c r="R307" i="12"/>
  <c r="S356" i="12"/>
  <c r="U356" i="12" s="1"/>
  <c r="S364" i="12"/>
  <c r="U364" i="12" s="1"/>
  <c r="S250" i="12"/>
  <c r="U250" i="12" s="1"/>
  <c r="S253" i="12"/>
  <c r="U253" i="12" s="1"/>
  <c r="S256" i="12"/>
  <c r="U256" i="12" s="1"/>
  <c r="R258" i="12"/>
  <c r="W258" i="12" s="1"/>
  <c r="Q258" i="12"/>
  <c r="S259" i="12"/>
  <c r="U259" i="12" s="1"/>
  <c r="Q263" i="12"/>
  <c r="R263" i="12"/>
  <c r="W272" i="12" s="1"/>
  <c r="S265" i="12"/>
  <c r="U265" i="12" s="1"/>
  <c r="R276" i="12"/>
  <c r="Q276" i="12"/>
  <c r="Q284" i="12"/>
  <c r="R284" i="12"/>
  <c r="S288" i="12"/>
  <c r="U288" i="12" s="1"/>
  <c r="S300" i="12"/>
  <c r="U300" i="12" s="1"/>
  <c r="R312" i="12"/>
  <c r="Q312" i="12"/>
  <c r="S316" i="12"/>
  <c r="U316" i="12" s="1"/>
  <c r="S324" i="12"/>
  <c r="U324" i="12" s="1"/>
  <c r="S325" i="12"/>
  <c r="U325" i="12" s="1"/>
  <c r="S331" i="12"/>
  <c r="U331" i="12" s="1"/>
  <c r="S376" i="12"/>
  <c r="U376" i="12" s="1"/>
  <c r="S193" i="12"/>
  <c r="U193" i="12" s="1"/>
  <c r="R199" i="12"/>
  <c r="W199" i="12" s="1"/>
  <c r="Q199" i="12"/>
  <c r="V199" i="12" s="1"/>
  <c r="AA199" i="12" s="1"/>
  <c r="S202" i="12"/>
  <c r="U202" i="12" s="1"/>
  <c r="S209" i="12"/>
  <c r="U209" i="12" s="1"/>
  <c r="W210" i="12"/>
  <c r="R215" i="12"/>
  <c r="Q215" i="12"/>
  <c r="S218" i="12"/>
  <c r="U218" i="12" s="1"/>
  <c r="S225" i="12"/>
  <c r="U225" i="12" s="1"/>
  <c r="R231" i="12"/>
  <c r="Q231" i="12"/>
  <c r="V229" i="12" s="1"/>
  <c r="AA229" i="12" s="1"/>
  <c r="S234" i="12"/>
  <c r="U234" i="12" s="1"/>
  <c r="S241" i="12"/>
  <c r="U241" i="12" s="1"/>
  <c r="W242" i="12"/>
  <c r="R252" i="12"/>
  <c r="Q252" i="12"/>
  <c r="V252" i="12" s="1"/>
  <c r="AA252" i="12" s="1"/>
  <c r="S258" i="12"/>
  <c r="U258" i="12" s="1"/>
  <c r="S261" i="12"/>
  <c r="U261" i="12" s="1"/>
  <c r="S264" i="12"/>
  <c r="U264" i="12" s="1"/>
  <c r="R266" i="12"/>
  <c r="Q266" i="12"/>
  <c r="S267" i="12"/>
  <c r="U267" i="12" s="1"/>
  <c r="Q271" i="12"/>
  <c r="V275" i="12" s="1"/>
  <c r="AA275" i="12" s="1"/>
  <c r="R271" i="12"/>
  <c r="S273" i="12"/>
  <c r="U273" i="12" s="1"/>
  <c r="S286" i="12"/>
  <c r="U286" i="12" s="1"/>
  <c r="S337" i="12"/>
  <c r="U337" i="12" s="1"/>
  <c r="S397" i="12"/>
  <c r="U397" i="12" s="1"/>
  <c r="S410" i="12"/>
  <c r="U410" i="12" s="1"/>
  <c r="S426" i="12"/>
  <c r="U426" i="12" s="1"/>
  <c r="S434" i="12"/>
  <c r="U434" i="12" s="1"/>
  <c r="R338" i="12"/>
  <c r="Q338" i="12"/>
  <c r="Q339" i="12"/>
  <c r="R339" i="12"/>
  <c r="S342" i="12"/>
  <c r="U342" i="12" s="1"/>
  <c r="S344" i="12"/>
  <c r="U344" i="12" s="1"/>
  <c r="S353" i="12"/>
  <c r="U353" i="12" s="1"/>
  <c r="R354" i="12"/>
  <c r="Q354" i="12"/>
  <c r="Q355" i="12"/>
  <c r="R355" i="12"/>
  <c r="S358" i="12"/>
  <c r="U358" i="12" s="1"/>
  <c r="S360" i="12"/>
  <c r="U360" i="12" s="1"/>
  <c r="S369" i="12"/>
  <c r="U369" i="12" s="1"/>
  <c r="R372" i="12"/>
  <c r="Q372" i="12"/>
  <c r="S373" i="12"/>
  <c r="U373" i="12" s="1"/>
  <c r="S375" i="12"/>
  <c r="U375" i="12" s="1"/>
  <c r="S377" i="12"/>
  <c r="U377" i="12" s="1"/>
  <c r="Q380" i="12"/>
  <c r="R380" i="12"/>
  <c r="S384" i="12"/>
  <c r="U384" i="12" s="1"/>
  <c r="R414" i="12"/>
  <c r="Q414" i="12"/>
  <c r="S437" i="12"/>
  <c r="U437" i="12" s="1"/>
  <c r="S471" i="12"/>
  <c r="U471" i="12" s="1"/>
  <c r="S505" i="12"/>
  <c r="U505" i="12" s="1"/>
  <c r="S506" i="12"/>
  <c r="U506" i="12" s="1"/>
  <c r="S280" i="12"/>
  <c r="U280" i="12" s="1"/>
  <c r="S281" i="12"/>
  <c r="U281" i="12" s="1"/>
  <c r="S283" i="12"/>
  <c r="U283" i="12" s="1"/>
  <c r="S285" i="12"/>
  <c r="U285" i="12" s="1"/>
  <c r="W292" i="12"/>
  <c r="S294" i="12"/>
  <c r="U294" i="12" s="1"/>
  <c r="S296" i="12"/>
  <c r="U296" i="12" s="1"/>
  <c r="S301" i="12"/>
  <c r="U301" i="12" s="1"/>
  <c r="S307" i="12"/>
  <c r="U307" i="12" s="1"/>
  <c r="S313" i="12"/>
  <c r="U313" i="12" s="1"/>
  <c r="R314" i="12"/>
  <c r="Q314" i="12"/>
  <c r="Q315" i="12"/>
  <c r="R315" i="12"/>
  <c r="S326" i="12"/>
  <c r="U326" i="12" s="1"/>
  <c r="S328" i="12"/>
  <c r="U328" i="12" s="1"/>
  <c r="S333" i="12"/>
  <c r="U333" i="12" s="1"/>
  <c r="S339" i="12"/>
  <c r="U339" i="12" s="1"/>
  <c r="S349" i="12"/>
  <c r="U349" i="12" s="1"/>
  <c r="S355" i="12"/>
  <c r="U355" i="12" s="1"/>
  <c r="S365" i="12"/>
  <c r="U365" i="12" s="1"/>
  <c r="S370" i="12"/>
  <c r="U370" i="12" s="1"/>
  <c r="Q384" i="12"/>
  <c r="R384" i="12"/>
  <c r="S388" i="12"/>
  <c r="U388" i="12" s="1"/>
  <c r="S396" i="12"/>
  <c r="U396" i="12" s="1"/>
  <c r="Q409" i="12"/>
  <c r="R409" i="12"/>
  <c r="S418" i="12"/>
  <c r="U418" i="12" s="1"/>
  <c r="S443" i="12"/>
  <c r="U443" i="12" s="1"/>
  <c r="R448" i="12"/>
  <c r="Q448" i="12"/>
  <c r="W246" i="12"/>
  <c r="W254" i="12"/>
  <c r="Q288" i="12"/>
  <c r="S289" i="12"/>
  <c r="U289" i="12" s="1"/>
  <c r="R290" i="12"/>
  <c r="Q290" i="12"/>
  <c r="V290" i="12" s="1"/>
  <c r="AA290" i="12" s="1"/>
  <c r="Q291" i="12"/>
  <c r="R291" i="12"/>
  <c r="W301" i="12"/>
  <c r="S302" i="12"/>
  <c r="U302" i="12" s="1"/>
  <c r="S304" i="12"/>
  <c r="U304" i="12" s="1"/>
  <c r="S309" i="12"/>
  <c r="U309" i="12" s="1"/>
  <c r="S315" i="12"/>
  <c r="U315" i="12" s="1"/>
  <c r="Q320" i="12"/>
  <c r="S321" i="12"/>
  <c r="U321" i="12" s="1"/>
  <c r="R322" i="12"/>
  <c r="Q322" i="12"/>
  <c r="Q323" i="12"/>
  <c r="R323" i="12"/>
  <c r="S334" i="12"/>
  <c r="U334" i="12" s="1"/>
  <c r="S336" i="12"/>
  <c r="U336" i="12" s="1"/>
  <c r="Q344" i="12"/>
  <c r="S345" i="12"/>
  <c r="U345" i="12" s="1"/>
  <c r="R346" i="12"/>
  <c r="W346" i="12" s="1"/>
  <c r="Q346" i="12"/>
  <c r="Q347" i="12"/>
  <c r="R347" i="12"/>
  <c r="W348" i="12"/>
  <c r="S350" i="12"/>
  <c r="U350" i="12" s="1"/>
  <c r="S352" i="12"/>
  <c r="U352" i="12" s="1"/>
  <c r="Q360" i="12"/>
  <c r="V357" i="12" s="1"/>
  <c r="AA357" i="12" s="1"/>
  <c r="S361" i="12"/>
  <c r="U361" i="12" s="1"/>
  <c r="R362" i="12"/>
  <c r="W373" i="12" s="1"/>
  <c r="Q362" i="12"/>
  <c r="Q363" i="12"/>
  <c r="R363" i="12"/>
  <c r="W364" i="12" s="1"/>
  <c r="S366" i="12"/>
  <c r="U366" i="12" s="1"/>
  <c r="S368" i="12"/>
  <c r="U368" i="12" s="1"/>
  <c r="S371" i="12"/>
  <c r="U371" i="12" s="1"/>
  <c r="Q388" i="12"/>
  <c r="R388" i="12"/>
  <c r="S392" i="12"/>
  <c r="U392" i="12" s="1"/>
  <c r="Q425" i="12"/>
  <c r="R425" i="12"/>
  <c r="W438" i="12" s="1"/>
  <c r="S447" i="12"/>
  <c r="U447" i="12" s="1"/>
  <c r="V251" i="12"/>
  <c r="AA251" i="12" s="1"/>
  <c r="V259" i="12"/>
  <c r="AA259" i="12" s="1"/>
  <c r="R279" i="12"/>
  <c r="W279" i="12" s="1"/>
  <c r="V281" i="12"/>
  <c r="AA281" i="12" s="1"/>
  <c r="R282" i="12"/>
  <c r="Q282" i="12"/>
  <c r="W287" i="12"/>
  <c r="S291" i="12"/>
  <c r="U291" i="12" s="1"/>
  <c r="Q296" i="12"/>
  <c r="V301" i="12" s="1"/>
  <c r="AA301" i="12" s="1"/>
  <c r="S297" i="12"/>
  <c r="U297" i="12" s="1"/>
  <c r="R298" i="12"/>
  <c r="W298" i="12" s="1"/>
  <c r="Q298" i="12"/>
  <c r="V298" i="12" s="1"/>
  <c r="AA298" i="12" s="1"/>
  <c r="Q299" i="12"/>
  <c r="R299" i="12"/>
  <c r="W308" i="12"/>
  <c r="W309" i="12"/>
  <c r="S310" i="12"/>
  <c r="U310" i="12" s="1"/>
  <c r="S312" i="12"/>
  <c r="U312" i="12" s="1"/>
  <c r="V316" i="12"/>
  <c r="AA316" i="12" s="1"/>
  <c r="S317" i="12"/>
  <c r="U317" i="12" s="1"/>
  <c r="S323" i="12"/>
  <c r="U323" i="12" s="1"/>
  <c r="Q328" i="12"/>
  <c r="V349" i="12" s="1"/>
  <c r="AA349" i="12" s="1"/>
  <c r="S329" i="12"/>
  <c r="U329" i="12" s="1"/>
  <c r="R330" i="12"/>
  <c r="W352" i="12" s="1"/>
  <c r="Q330" i="12"/>
  <c r="Q331" i="12"/>
  <c r="V331" i="12" s="1"/>
  <c r="AA331" i="12" s="1"/>
  <c r="R331" i="12"/>
  <c r="W333" i="12" s="1"/>
  <c r="S341" i="12"/>
  <c r="U341" i="12" s="1"/>
  <c r="S347" i="12"/>
  <c r="U347" i="12" s="1"/>
  <c r="V356" i="12"/>
  <c r="AA356" i="12" s="1"/>
  <c r="S357" i="12"/>
  <c r="U357" i="12" s="1"/>
  <c r="S363" i="12"/>
  <c r="U363" i="12" s="1"/>
  <c r="Q371" i="12"/>
  <c r="R371" i="12"/>
  <c r="S372" i="12"/>
  <c r="U372" i="12" s="1"/>
  <c r="S380" i="12"/>
  <c r="U380" i="12" s="1"/>
  <c r="Q392" i="12"/>
  <c r="R392" i="12"/>
  <c r="W399" i="12" s="1"/>
  <c r="R398" i="12"/>
  <c r="Q398" i="12"/>
  <c r="S402" i="12"/>
  <c r="U402" i="12" s="1"/>
  <c r="S403" i="12"/>
  <c r="U403" i="12" s="1"/>
  <c r="S407" i="12"/>
  <c r="U407" i="12" s="1"/>
  <c r="R408" i="12"/>
  <c r="Q408" i="12"/>
  <c r="S409" i="12"/>
  <c r="U409" i="12" s="1"/>
  <c r="S411" i="12"/>
  <c r="U411" i="12" s="1"/>
  <c r="S412" i="12"/>
  <c r="U412" i="12" s="1"/>
  <c r="S419" i="12"/>
  <c r="U419" i="12" s="1"/>
  <c r="S423" i="12"/>
  <c r="U423" i="12" s="1"/>
  <c r="R424" i="12"/>
  <c r="W423" i="12" s="1"/>
  <c r="Q424" i="12"/>
  <c r="S425" i="12"/>
  <c r="U425" i="12" s="1"/>
  <c r="S427" i="12"/>
  <c r="U427" i="12" s="1"/>
  <c r="S428" i="12"/>
  <c r="U428" i="12" s="1"/>
  <c r="S433" i="12"/>
  <c r="U433" i="12" s="1"/>
  <c r="S451" i="12"/>
  <c r="U451" i="12" s="1"/>
  <c r="S452" i="12"/>
  <c r="U452" i="12" s="1"/>
  <c r="R454" i="12"/>
  <c r="W476" i="12" s="1"/>
  <c r="Q454" i="12"/>
  <c r="V460" i="12" s="1"/>
  <c r="AA460" i="12" s="1"/>
  <c r="S462" i="12"/>
  <c r="U462" i="12" s="1"/>
  <c r="V287" i="12"/>
  <c r="AA287" i="12" s="1"/>
  <c r="V319" i="12"/>
  <c r="AA319" i="12" s="1"/>
  <c r="V351" i="12"/>
  <c r="AA351" i="12" s="1"/>
  <c r="R374" i="12"/>
  <c r="W385" i="12" s="1"/>
  <c r="Q374" i="12"/>
  <c r="R379" i="12"/>
  <c r="Q379" i="12"/>
  <c r="V379" i="12" s="1"/>
  <c r="AA379" i="12" s="1"/>
  <c r="R383" i="12"/>
  <c r="Q383" i="12"/>
  <c r="R387" i="12"/>
  <c r="W387" i="12" s="1"/>
  <c r="Q387" i="12"/>
  <c r="R391" i="12"/>
  <c r="Q391" i="12"/>
  <c r="V411" i="12" s="1"/>
  <c r="AA411" i="12" s="1"/>
  <c r="R395" i="12"/>
  <c r="Q395" i="12"/>
  <c r="S405" i="12"/>
  <c r="U405" i="12" s="1"/>
  <c r="Q406" i="12"/>
  <c r="S421" i="12"/>
  <c r="U421" i="12" s="1"/>
  <c r="Q422" i="12"/>
  <c r="V449" i="12" s="1"/>
  <c r="AA449" i="12" s="1"/>
  <c r="S430" i="12"/>
  <c r="U430" i="12" s="1"/>
  <c r="S439" i="12"/>
  <c r="U439" i="12" s="1"/>
  <c r="S445" i="12"/>
  <c r="U445" i="12" s="1"/>
  <c r="S449" i="12"/>
  <c r="U449" i="12" s="1"/>
  <c r="S453" i="12"/>
  <c r="U453" i="12" s="1"/>
  <c r="S456" i="12"/>
  <c r="U456" i="12" s="1"/>
  <c r="S475" i="12"/>
  <c r="U475" i="12" s="1"/>
  <c r="W278" i="12"/>
  <c r="W286" i="12"/>
  <c r="W294" i="12"/>
  <c r="W302" i="12"/>
  <c r="W310" i="12"/>
  <c r="W318" i="12"/>
  <c r="W326" i="12"/>
  <c r="W334" i="12"/>
  <c r="W342" i="12"/>
  <c r="W358" i="12"/>
  <c r="W366" i="12"/>
  <c r="V375" i="12"/>
  <c r="AA375" i="12" s="1"/>
  <c r="S379" i="12"/>
  <c r="U379" i="12" s="1"/>
  <c r="S382" i="12"/>
  <c r="U382" i="12" s="1"/>
  <c r="S383" i="12"/>
  <c r="U383" i="12" s="1"/>
  <c r="S386" i="12"/>
  <c r="U386" i="12" s="1"/>
  <c r="S387" i="12"/>
  <c r="U387" i="12" s="1"/>
  <c r="S390" i="12"/>
  <c r="U390" i="12" s="1"/>
  <c r="S391" i="12"/>
  <c r="U391" i="12" s="1"/>
  <c r="S394" i="12"/>
  <c r="U394" i="12" s="1"/>
  <c r="S395" i="12"/>
  <c r="U395" i="12" s="1"/>
  <c r="S398" i="12"/>
  <c r="U398" i="12" s="1"/>
  <c r="S401" i="12"/>
  <c r="U401" i="12" s="1"/>
  <c r="S414" i="12"/>
  <c r="U414" i="12" s="1"/>
  <c r="S417" i="12"/>
  <c r="U417" i="12" s="1"/>
  <c r="S440" i="12"/>
  <c r="U440" i="12" s="1"/>
  <c r="S446" i="12"/>
  <c r="U446" i="12" s="1"/>
  <c r="R456" i="12"/>
  <c r="Q456" i="12"/>
  <c r="V463" i="12" s="1"/>
  <c r="AA463" i="12" s="1"/>
  <c r="Q470" i="12"/>
  <c r="R470" i="12"/>
  <c r="R475" i="12"/>
  <c r="Q475" i="12"/>
  <c r="S435" i="12"/>
  <c r="U435" i="12" s="1"/>
  <c r="S444" i="12"/>
  <c r="U444" i="12" s="1"/>
  <c r="S459" i="12"/>
  <c r="U459" i="12" s="1"/>
  <c r="S461" i="12"/>
  <c r="U461" i="12" s="1"/>
  <c r="S468" i="12"/>
  <c r="U468" i="12" s="1"/>
  <c r="S472" i="12"/>
  <c r="U472" i="12" s="1"/>
  <c r="S478" i="12"/>
  <c r="U478" i="12" s="1"/>
  <c r="R481" i="12"/>
  <c r="Q481" i="12"/>
  <c r="S496" i="12"/>
  <c r="U496" i="12" s="1"/>
  <c r="S381" i="12"/>
  <c r="U381" i="12" s="1"/>
  <c r="S385" i="12"/>
  <c r="U385" i="12" s="1"/>
  <c r="S389" i="12"/>
  <c r="U389" i="12" s="1"/>
  <c r="S393" i="12"/>
  <c r="U393" i="12" s="1"/>
  <c r="S399" i="12"/>
  <c r="U399" i="12" s="1"/>
  <c r="R400" i="12"/>
  <c r="W400" i="12" s="1"/>
  <c r="Q400" i="12"/>
  <c r="Q401" i="12"/>
  <c r="R401" i="12"/>
  <c r="W402" i="12"/>
  <c r="S404" i="12"/>
  <c r="U404" i="12" s="1"/>
  <c r="S406" i="12"/>
  <c r="U406" i="12" s="1"/>
  <c r="V407" i="12"/>
  <c r="AA407" i="12" s="1"/>
  <c r="S415" i="12"/>
  <c r="U415" i="12" s="1"/>
  <c r="R416" i="12"/>
  <c r="Q416" i="12"/>
  <c r="Q417" i="12"/>
  <c r="V417" i="12" s="1"/>
  <c r="AA417" i="12" s="1"/>
  <c r="R417" i="12"/>
  <c r="W417" i="12" s="1"/>
  <c r="S420" i="12"/>
  <c r="U420" i="12" s="1"/>
  <c r="S422" i="12"/>
  <c r="U422" i="12" s="1"/>
  <c r="Q430" i="12"/>
  <c r="S431" i="12"/>
  <c r="U431" i="12" s="1"/>
  <c r="R432" i="12"/>
  <c r="W426" i="12" s="1"/>
  <c r="Q432" i="12"/>
  <c r="V443" i="12" s="1"/>
  <c r="AA443" i="12" s="1"/>
  <c r="Q433" i="12"/>
  <c r="R433" i="12"/>
  <c r="S436" i="12"/>
  <c r="U436" i="12" s="1"/>
  <c r="S438" i="12"/>
  <c r="U438" i="12" s="1"/>
  <c r="S441" i="12"/>
  <c r="U441" i="12" s="1"/>
  <c r="W445" i="12"/>
  <c r="Q447" i="12"/>
  <c r="R447" i="12"/>
  <c r="R467" i="12"/>
  <c r="Q467" i="12"/>
  <c r="S476" i="12"/>
  <c r="U476" i="12" s="1"/>
  <c r="S479" i="12"/>
  <c r="U479" i="12" s="1"/>
  <c r="V397" i="12"/>
  <c r="AA397" i="12" s="1"/>
  <c r="V405" i="12"/>
  <c r="AA405" i="12" s="1"/>
  <c r="Q451" i="12"/>
  <c r="R451" i="12"/>
  <c r="S454" i="12"/>
  <c r="U454" i="12" s="1"/>
  <c r="S457" i="12"/>
  <c r="U457" i="12" s="1"/>
  <c r="S460" i="12"/>
  <c r="U460" i="12" s="1"/>
  <c r="Q462" i="12"/>
  <c r="V462" i="12" s="1"/>
  <c r="AA462" i="12" s="1"/>
  <c r="R462" i="12"/>
  <c r="S466" i="12"/>
  <c r="U466" i="12" s="1"/>
  <c r="R473" i="12"/>
  <c r="W473" i="12" s="1"/>
  <c r="Q473" i="12"/>
  <c r="S480" i="12"/>
  <c r="U480" i="12" s="1"/>
  <c r="S481" i="12"/>
  <c r="U481" i="12" s="1"/>
  <c r="S493" i="12"/>
  <c r="U493" i="12" s="1"/>
  <c r="S494" i="12"/>
  <c r="U494" i="12" s="1"/>
  <c r="W404" i="12"/>
  <c r="W428" i="12"/>
  <c r="W436" i="12"/>
  <c r="R446" i="12"/>
  <c r="W446" i="12" s="1"/>
  <c r="Q446" i="12"/>
  <c r="V446" i="12" s="1"/>
  <c r="AA446" i="12" s="1"/>
  <c r="S463" i="12"/>
  <c r="U463" i="12" s="1"/>
  <c r="S465" i="12"/>
  <c r="U465" i="12" s="1"/>
  <c r="S470" i="12"/>
  <c r="U470" i="12" s="1"/>
  <c r="S473" i="12"/>
  <c r="U473" i="12" s="1"/>
  <c r="S486" i="12"/>
  <c r="U486" i="12" s="1"/>
  <c r="S492" i="12"/>
  <c r="U492" i="12" s="1"/>
  <c r="W442" i="12"/>
  <c r="R459" i="12"/>
  <c r="Q459" i="12"/>
  <c r="V465" i="12" s="1"/>
  <c r="AA465" i="12" s="1"/>
  <c r="W460" i="12"/>
  <c r="S464" i="12"/>
  <c r="U464" i="12" s="1"/>
  <c r="V483" i="12"/>
  <c r="AA483" i="12" s="1"/>
  <c r="Q484" i="12"/>
  <c r="R484" i="12"/>
  <c r="S487" i="12"/>
  <c r="U487" i="12" s="1"/>
  <c r="Q488" i="12"/>
  <c r="V485" i="12" s="1"/>
  <c r="AA485" i="12" s="1"/>
  <c r="R488" i="12"/>
  <c r="S482" i="12"/>
  <c r="U482" i="12" s="1"/>
  <c r="S497" i="12"/>
  <c r="U497" i="12" s="1"/>
  <c r="S498" i="12"/>
  <c r="U498" i="12" s="1"/>
  <c r="S504" i="12"/>
  <c r="U504" i="12" s="1"/>
  <c r="S500" i="12"/>
  <c r="U500" i="12" s="1"/>
  <c r="S501" i="12"/>
  <c r="U501" i="12" s="1"/>
  <c r="S513" i="12"/>
  <c r="U513" i="12" s="1"/>
  <c r="S514" i="12"/>
  <c r="U514" i="12" s="1"/>
  <c r="W477" i="12"/>
  <c r="S489" i="12"/>
  <c r="U489" i="12" s="1"/>
  <c r="S490" i="12"/>
  <c r="U490" i="12" s="1"/>
  <c r="S512" i="12"/>
  <c r="U512" i="12" s="1"/>
  <c r="V474" i="12"/>
  <c r="AA474" i="12" s="1"/>
  <c r="R478" i="12"/>
  <c r="R487" i="12"/>
  <c r="W509" i="12" s="1"/>
  <c r="Q487" i="12"/>
  <c r="V506" i="12" s="1"/>
  <c r="AA506" i="12" s="1"/>
  <c r="S495" i="12"/>
  <c r="U495" i="12" s="1"/>
  <c r="Q496" i="12"/>
  <c r="R496" i="12"/>
  <c r="S503" i="12"/>
  <c r="U503" i="12" s="1"/>
  <c r="Q504" i="12"/>
  <c r="R504" i="12"/>
  <c r="S511" i="12"/>
  <c r="U511" i="12" s="1"/>
  <c r="Q512" i="12"/>
  <c r="R512" i="12"/>
  <c r="S502" i="12"/>
  <c r="U502" i="12" s="1"/>
  <c r="S508" i="12"/>
  <c r="U508" i="12" s="1"/>
  <c r="S509" i="12"/>
  <c r="U509" i="12" s="1"/>
  <c r="S510" i="12"/>
  <c r="U510" i="12" s="1"/>
  <c r="S484" i="12"/>
  <c r="U484" i="12" s="1"/>
  <c r="S488" i="12"/>
  <c r="U488" i="12" s="1"/>
  <c r="S491" i="12"/>
  <c r="U491" i="12" s="1"/>
  <c r="Q492" i="12"/>
  <c r="R492" i="12"/>
  <c r="W492" i="12" s="1"/>
  <c r="S499" i="12"/>
  <c r="U499" i="12" s="1"/>
  <c r="Q500" i="12"/>
  <c r="R500" i="12"/>
  <c r="W500" i="12" s="1"/>
  <c r="S507" i="12"/>
  <c r="U507" i="12" s="1"/>
  <c r="Q508" i="12"/>
  <c r="R508" i="12"/>
  <c r="W508" i="12" s="1"/>
  <c r="S515" i="12"/>
  <c r="U515" i="12" s="1"/>
  <c r="S485" i="12"/>
  <c r="U485" i="12" s="1"/>
  <c r="W515" i="12"/>
  <c r="S516" i="12"/>
  <c r="U516" i="12" s="1"/>
  <c r="R516" i="12"/>
  <c r="Q491" i="12"/>
  <c r="V491" i="12" s="1"/>
  <c r="AA491" i="12" s="1"/>
  <c r="Q495" i="12"/>
  <c r="Q499" i="12"/>
  <c r="Q503" i="12"/>
  <c r="Q507" i="12"/>
  <c r="V507" i="12" s="1"/>
  <c r="AA507" i="12" s="1"/>
  <c r="Q511" i="12"/>
  <c r="Q515" i="12"/>
  <c r="Y385" i="12" l="1"/>
  <c r="Y272" i="12"/>
  <c r="M117" i="9"/>
  <c r="Y352" i="12"/>
  <c r="Y373" i="12"/>
  <c r="Y186" i="12"/>
  <c r="Y172" i="12"/>
  <c r="Y135" i="12"/>
  <c r="Y69" i="12"/>
  <c r="Y46" i="12"/>
  <c r="Y10" i="12"/>
  <c r="M193" i="9"/>
  <c r="M121" i="9"/>
  <c r="Y426" i="12"/>
  <c r="Y423" i="12"/>
  <c r="Y438" i="12"/>
  <c r="M201" i="9"/>
  <c r="P134" i="9"/>
  <c r="Y509" i="12"/>
  <c r="Y476" i="12"/>
  <c r="Y333" i="12"/>
  <c r="Y364" i="12"/>
  <c r="Y145" i="12"/>
  <c r="Y399" i="12"/>
  <c r="Y117" i="12"/>
  <c r="M76" i="9"/>
  <c r="Y515" i="12"/>
  <c r="V504" i="12"/>
  <c r="AA504" i="12" s="1"/>
  <c r="Y477" i="12"/>
  <c r="W485" i="12"/>
  <c r="Y460" i="12"/>
  <c r="Z460" i="12"/>
  <c r="Y473" i="12"/>
  <c r="Y445" i="12"/>
  <c r="Z417" i="12"/>
  <c r="Y417" i="12"/>
  <c r="V492" i="12"/>
  <c r="AA492" i="12" s="1"/>
  <c r="V505" i="12"/>
  <c r="AA505" i="12" s="1"/>
  <c r="W469" i="12"/>
  <c r="W499" i="12"/>
  <c r="W472" i="12"/>
  <c r="Y446" i="12"/>
  <c r="Z446" i="12"/>
  <c r="W451" i="12"/>
  <c r="V501" i="12"/>
  <c r="AA501" i="12" s="1"/>
  <c r="V434" i="12"/>
  <c r="AA434" i="12" s="1"/>
  <c r="W456" i="12"/>
  <c r="W403" i="12"/>
  <c r="V406" i="12"/>
  <c r="AA406" i="12" s="1"/>
  <c r="V395" i="12"/>
  <c r="AA395" i="12" s="1"/>
  <c r="W391" i="12"/>
  <c r="W386" i="12"/>
  <c r="V373" i="12"/>
  <c r="AA373" i="12" s="1"/>
  <c r="V343" i="12"/>
  <c r="AA343" i="12" s="1"/>
  <c r="V311" i="12"/>
  <c r="AA311" i="12" s="1"/>
  <c r="W422" i="12"/>
  <c r="V392" i="12"/>
  <c r="AA392" i="12" s="1"/>
  <c r="W349" i="12"/>
  <c r="V340" i="12"/>
  <c r="AA340" i="12" s="1"/>
  <c r="V330" i="12"/>
  <c r="AA330" i="12" s="1"/>
  <c r="V313" i="12"/>
  <c r="AA313" i="12" s="1"/>
  <c r="Y308" i="12"/>
  <c r="Y298" i="12"/>
  <c r="Z298" i="12"/>
  <c r="Z287" i="12"/>
  <c r="Y287" i="12"/>
  <c r="Y279" i="12"/>
  <c r="V425" i="12"/>
  <c r="AA425" i="12" s="1"/>
  <c r="W388" i="12"/>
  <c r="W376" i="12"/>
  <c r="V362" i="12"/>
  <c r="AA362" i="12" s="1"/>
  <c r="V353" i="12"/>
  <c r="AA353" i="12" s="1"/>
  <c r="W347" i="12"/>
  <c r="V322" i="12"/>
  <c r="AA322" i="12" s="1"/>
  <c r="V305" i="12"/>
  <c r="AA305" i="12" s="1"/>
  <c r="W300" i="12"/>
  <c r="W290" i="12"/>
  <c r="W270" i="12"/>
  <c r="V476" i="12"/>
  <c r="AA476" i="12" s="1"/>
  <c r="V420" i="12"/>
  <c r="AA420" i="12" s="1"/>
  <c r="W407" i="12"/>
  <c r="W393" i="12"/>
  <c r="V381" i="12"/>
  <c r="AA381" i="12" s="1"/>
  <c r="W367" i="12"/>
  <c r="W341" i="12"/>
  <c r="V332" i="12"/>
  <c r="AA332" i="12" s="1"/>
  <c r="W325" i="12"/>
  <c r="V314" i="12"/>
  <c r="AA314" i="12" s="1"/>
  <c r="W303" i="12"/>
  <c r="V444" i="12"/>
  <c r="AA444" i="12" s="1"/>
  <c r="V404" i="12"/>
  <c r="AA404" i="12" s="1"/>
  <c r="W380" i="12"/>
  <c r="V361" i="12"/>
  <c r="AA361" i="12" s="1"/>
  <c r="W355" i="12"/>
  <c r="W340" i="12"/>
  <c r="W338" i="12"/>
  <c r="V358" i="12"/>
  <c r="AA358" i="12" s="1"/>
  <c r="W313" i="12"/>
  <c r="W280" i="12"/>
  <c r="W252" i="12"/>
  <c r="W231" i="12"/>
  <c r="V216" i="12"/>
  <c r="AA216" i="12" s="1"/>
  <c r="Y199" i="12"/>
  <c r="Z199" i="12"/>
  <c r="V377" i="12"/>
  <c r="AA377" i="12" s="1"/>
  <c r="V342" i="12"/>
  <c r="AA342" i="12" s="1"/>
  <c r="V312" i="12"/>
  <c r="AA312" i="12" s="1"/>
  <c r="W297" i="12"/>
  <c r="V284" i="12"/>
  <c r="AA284" i="12" s="1"/>
  <c r="W273" i="12"/>
  <c r="V263" i="12"/>
  <c r="AA263" i="12" s="1"/>
  <c r="W307" i="12"/>
  <c r="W289" i="12"/>
  <c r="W268" i="12"/>
  <c r="W255" i="12"/>
  <c r="W250" i="12"/>
  <c r="V240" i="12"/>
  <c r="AA240" i="12" s="1"/>
  <c r="W223" i="12"/>
  <c r="V208" i="12"/>
  <c r="AA208" i="12" s="1"/>
  <c r="Y191" i="12"/>
  <c r="Z191" i="12"/>
  <c r="V172" i="12"/>
  <c r="AA172" i="12" s="1"/>
  <c r="W306" i="12"/>
  <c r="W281" i="12"/>
  <c r="V260" i="12"/>
  <c r="AA260" i="12" s="1"/>
  <c r="V241" i="12"/>
  <c r="AA241" i="12" s="1"/>
  <c r="V233" i="12"/>
  <c r="AA233" i="12" s="1"/>
  <c r="V226" i="12"/>
  <c r="AA226" i="12" s="1"/>
  <c r="V209" i="12"/>
  <c r="AA209" i="12" s="1"/>
  <c r="V201" i="12"/>
  <c r="AA201" i="12" s="1"/>
  <c r="V194" i="12"/>
  <c r="AA194" i="12" s="1"/>
  <c r="V169" i="12"/>
  <c r="AA169" i="12" s="1"/>
  <c r="V261" i="12"/>
  <c r="AA261" i="12" s="1"/>
  <c r="V247" i="12"/>
  <c r="AA247" i="12" s="1"/>
  <c r="W236" i="12"/>
  <c r="W229" i="12"/>
  <c r="W244" i="12"/>
  <c r="W227" i="12"/>
  <c r="V212" i="12"/>
  <c r="AA212" i="12" s="1"/>
  <c r="W195" i="12"/>
  <c r="W179" i="12"/>
  <c r="W264" i="12"/>
  <c r="W248" i="12"/>
  <c r="V220" i="12"/>
  <c r="AA220" i="12" s="1"/>
  <c r="V203" i="12"/>
  <c r="AA203" i="12" s="1"/>
  <c r="W187" i="12"/>
  <c r="W175" i="12"/>
  <c r="W151" i="12"/>
  <c r="W233" i="12"/>
  <c r="V189" i="12"/>
  <c r="AA189" i="12" s="1"/>
  <c r="V183" i="12"/>
  <c r="AA183" i="12" s="1"/>
  <c r="V176" i="12"/>
  <c r="AA176" i="12" s="1"/>
  <c r="W168" i="12"/>
  <c r="V135" i="12"/>
  <c r="AA135" i="12" s="1"/>
  <c r="V129" i="12"/>
  <c r="AA129" i="12" s="1"/>
  <c r="Y119" i="12"/>
  <c r="Z119" i="12"/>
  <c r="V109" i="12"/>
  <c r="AA109" i="12" s="1"/>
  <c r="V130" i="12"/>
  <c r="AA130" i="12" s="1"/>
  <c r="V162" i="12"/>
  <c r="AA162" i="12" s="1"/>
  <c r="W189" i="12"/>
  <c r="W240" i="12"/>
  <c r="W269" i="12"/>
  <c r="W305" i="12"/>
  <c r="W237" i="12"/>
  <c r="W337" i="12"/>
  <c r="V350" i="12"/>
  <c r="AA350" i="12" s="1"/>
  <c r="V382" i="12"/>
  <c r="AA382" i="12" s="1"/>
  <c r="V278" i="12"/>
  <c r="AA278" i="12" s="1"/>
  <c r="V249" i="12"/>
  <c r="AA249" i="12" s="1"/>
  <c r="V317" i="12"/>
  <c r="AA317" i="12" s="1"/>
  <c r="V378" i="12"/>
  <c r="AA378" i="12" s="1"/>
  <c r="V442" i="12"/>
  <c r="AA442" i="12" s="1"/>
  <c r="V468" i="12"/>
  <c r="AA468" i="12" s="1"/>
  <c r="W452" i="12"/>
  <c r="W471" i="12"/>
  <c r="V490" i="12"/>
  <c r="AA490" i="12" s="1"/>
  <c r="V510" i="12"/>
  <c r="AA510" i="12" s="1"/>
  <c r="V486" i="12"/>
  <c r="AA486" i="12" s="1"/>
  <c r="W501" i="12"/>
  <c r="V245" i="12"/>
  <c r="AA245" i="12" s="1"/>
  <c r="V213" i="12"/>
  <c r="AA213" i="12" s="1"/>
  <c r="W201" i="12"/>
  <c r="W174" i="12"/>
  <c r="V158" i="12"/>
  <c r="AA158" i="12" s="1"/>
  <c r="W156" i="12"/>
  <c r="W134" i="12"/>
  <c r="V125" i="12"/>
  <c r="AA125" i="12" s="1"/>
  <c r="V115" i="12"/>
  <c r="AA115" i="12" s="1"/>
  <c r="W99" i="12"/>
  <c r="W91" i="12"/>
  <c r="W83" i="12"/>
  <c r="W75" i="12"/>
  <c r="W67" i="12"/>
  <c r="V57" i="12"/>
  <c r="AA57" i="12" s="1"/>
  <c r="V49" i="12"/>
  <c r="AA49" i="12" s="1"/>
  <c r="V41" i="12"/>
  <c r="AA41" i="12" s="1"/>
  <c r="D10" i="5" s="1"/>
  <c r="V28" i="12"/>
  <c r="AA28" i="12" s="1"/>
  <c r="V12" i="12"/>
  <c r="AA12" i="12" s="1"/>
  <c r="V206" i="12"/>
  <c r="AA206" i="12" s="1"/>
  <c r="W158" i="12"/>
  <c r="V149" i="12"/>
  <c r="AA149" i="12" s="1"/>
  <c r="V145" i="12"/>
  <c r="AA145" i="12" s="1"/>
  <c r="W136" i="12"/>
  <c r="V131" i="12"/>
  <c r="AA131" i="12" s="1"/>
  <c r="V119" i="12"/>
  <c r="AA119" i="12" s="1"/>
  <c r="W112" i="12"/>
  <c r="V104" i="12"/>
  <c r="AA104" i="12" s="1"/>
  <c r="V92" i="12"/>
  <c r="AA92" i="12" s="1"/>
  <c r="V76" i="12"/>
  <c r="AA76" i="12" s="1"/>
  <c r="V60" i="12"/>
  <c r="AA60" i="12" s="1"/>
  <c r="V44" i="12"/>
  <c r="AA44" i="12" s="1"/>
  <c r="W178" i="12"/>
  <c r="V155" i="12"/>
  <c r="AA155" i="12" s="1"/>
  <c r="W138" i="12"/>
  <c r="W33" i="12"/>
  <c r="W17" i="12"/>
  <c r="W153" i="12"/>
  <c r="W124" i="12"/>
  <c r="W101" i="12"/>
  <c r="V69" i="12"/>
  <c r="AA69" i="12" s="1"/>
  <c r="W27" i="12"/>
  <c r="W14" i="12"/>
  <c r="R30" i="10"/>
  <c r="I30" i="10"/>
  <c r="R36" i="10"/>
  <c r="I36" i="10"/>
  <c r="X256" i="9"/>
  <c r="T252" i="9"/>
  <c r="N248" i="9"/>
  <c r="X240" i="9"/>
  <c r="T236" i="9"/>
  <c r="N232" i="9"/>
  <c r="X224" i="9"/>
  <c r="T220" i="9"/>
  <c r="N216" i="9"/>
  <c r="X208" i="9"/>
  <c r="W88" i="12"/>
  <c r="W82" i="12"/>
  <c r="V74" i="12"/>
  <c r="AA74" i="12" s="1"/>
  <c r="V66" i="12"/>
  <c r="AA66" i="12" s="1"/>
  <c r="W48" i="12"/>
  <c r="W42" i="12"/>
  <c r="W36" i="12"/>
  <c r="V29" i="12"/>
  <c r="AA29" i="12" s="1"/>
  <c r="V22" i="12"/>
  <c r="AA22" i="12" s="1"/>
  <c r="V11" i="12"/>
  <c r="AA11" i="12" s="1"/>
  <c r="I33" i="10"/>
  <c r="R33" i="10"/>
  <c r="N21" i="10"/>
  <c r="P21" i="10" s="1"/>
  <c r="V91" i="12"/>
  <c r="AA91" i="12" s="1"/>
  <c r="I27" i="10"/>
  <c r="R27" i="10"/>
  <c r="N19" i="10"/>
  <c r="P19" i="10" s="1"/>
  <c r="R14" i="10"/>
  <c r="I14" i="10"/>
  <c r="R24" i="10"/>
  <c r="I24" i="10"/>
  <c r="N27" i="10"/>
  <c r="P27" i="10" s="1"/>
  <c r="R19" i="10"/>
  <c r="I19" i="10"/>
  <c r="R5" i="10"/>
  <c r="I5" i="10"/>
  <c r="T203" i="9"/>
  <c r="N199" i="9"/>
  <c r="X191" i="9"/>
  <c r="T187" i="9"/>
  <c r="N183" i="9"/>
  <c r="X175" i="9"/>
  <c r="T171" i="9"/>
  <c r="N167" i="9"/>
  <c r="X159" i="9"/>
  <c r="T155" i="9"/>
  <c r="N151" i="9"/>
  <c r="X143" i="9"/>
  <c r="T139" i="9"/>
  <c r="N135" i="9"/>
  <c r="X127" i="9"/>
  <c r="T123" i="9"/>
  <c r="N119" i="9"/>
  <c r="X111" i="9"/>
  <c r="T107" i="9"/>
  <c r="W109" i="12"/>
  <c r="W89" i="12"/>
  <c r="W73" i="12"/>
  <c r="V59" i="12"/>
  <c r="AA59" i="12" s="1"/>
  <c r="V39" i="12"/>
  <c r="AA39" i="12" s="1"/>
  <c r="W32" i="12"/>
  <c r="V25" i="12"/>
  <c r="AA25" i="12" s="1"/>
  <c r="R18" i="10"/>
  <c r="N5" i="10"/>
  <c r="N30" i="10"/>
  <c r="P30" i="10" s="1"/>
  <c r="T259" i="9"/>
  <c r="K259" i="9"/>
  <c r="X249" i="9"/>
  <c r="T243" i="9"/>
  <c r="AB230" i="9"/>
  <c r="T221" i="9"/>
  <c r="M215" i="9"/>
  <c r="AB211" i="9"/>
  <c r="N120" i="9"/>
  <c r="N101" i="9"/>
  <c r="X93" i="9"/>
  <c r="T89" i="9"/>
  <c r="N85" i="9"/>
  <c r="X77" i="9"/>
  <c r="T73" i="9"/>
  <c r="N69" i="9"/>
  <c r="K258" i="9"/>
  <c r="AB250" i="9"/>
  <c r="W41" i="12"/>
  <c r="W26" i="12"/>
  <c r="W7" i="12"/>
  <c r="R26" i="10"/>
  <c r="R12" i="10"/>
  <c r="T257" i="9"/>
  <c r="N239" i="9"/>
  <c r="AB233" i="9"/>
  <c r="AB229" i="9"/>
  <c r="K225" i="9"/>
  <c r="K209" i="9"/>
  <c r="X204" i="9"/>
  <c r="T198" i="9"/>
  <c r="U198" i="9" s="1"/>
  <c r="K216" i="9"/>
  <c r="T185" i="9"/>
  <c r="N178" i="9"/>
  <c r="X172" i="9"/>
  <c r="X194" i="9"/>
  <c r="Y194" i="9" s="1"/>
  <c r="X166" i="9"/>
  <c r="N161" i="9"/>
  <c r="O144" i="9"/>
  <c r="M144" i="9"/>
  <c r="AB136" i="9"/>
  <c r="K163" i="9"/>
  <c r="K159" i="9"/>
  <c r="K134" i="9"/>
  <c r="N117" i="9"/>
  <c r="M112" i="9"/>
  <c r="AB104" i="9"/>
  <c r="M101" i="9"/>
  <c r="AB93" i="9"/>
  <c r="N82" i="9"/>
  <c r="N72" i="9"/>
  <c r="X60" i="9"/>
  <c r="T56" i="9"/>
  <c r="N52" i="9"/>
  <c r="X44" i="9"/>
  <c r="T40" i="9"/>
  <c r="N36" i="9"/>
  <c r="X28" i="9"/>
  <c r="T24" i="9"/>
  <c r="N20" i="9"/>
  <c r="X12" i="9"/>
  <c r="T8" i="9"/>
  <c r="W16" i="12"/>
  <c r="X255" i="9"/>
  <c r="AB252" i="9"/>
  <c r="K246" i="9"/>
  <c r="N245" i="9"/>
  <c r="T234" i="9"/>
  <c r="AB232" i="9"/>
  <c r="N215" i="9"/>
  <c r="N206" i="9"/>
  <c r="N202" i="9"/>
  <c r="X196" i="9"/>
  <c r="T190" i="9"/>
  <c r="T188" i="9"/>
  <c r="AB177" i="9"/>
  <c r="K172" i="9"/>
  <c r="N164" i="9"/>
  <c r="AB160" i="9"/>
  <c r="K158" i="9"/>
  <c r="AB141" i="9"/>
  <c r="K136" i="9"/>
  <c r="M130" i="9"/>
  <c r="AB126" i="9"/>
  <c r="AB113" i="9"/>
  <c r="M108" i="9"/>
  <c r="M98" i="9"/>
  <c r="M66" i="9"/>
  <c r="X53" i="9"/>
  <c r="T49" i="9"/>
  <c r="N45" i="9"/>
  <c r="X37" i="9"/>
  <c r="T33" i="9"/>
  <c r="N29" i="9"/>
  <c r="X21" i="9"/>
  <c r="T17" i="9"/>
  <c r="N15" i="10"/>
  <c r="P15" i="10" s="1"/>
  <c r="K255" i="9"/>
  <c r="X242" i="9"/>
  <c r="K238" i="9"/>
  <c r="K235" i="9"/>
  <c r="X229" i="9"/>
  <c r="N223" i="9"/>
  <c r="K212" i="9"/>
  <c r="AB210" i="9"/>
  <c r="AB220" i="9"/>
  <c r="AB214" i="9"/>
  <c r="AB202" i="9"/>
  <c r="AB197" i="9"/>
  <c r="AB216" i="9"/>
  <c r="AB207" i="9"/>
  <c r="N188" i="9"/>
  <c r="K185" i="9"/>
  <c r="T182" i="9"/>
  <c r="K181" i="9"/>
  <c r="AB169" i="9"/>
  <c r="K164" i="9"/>
  <c r="X156" i="9"/>
  <c r="AB152" i="9"/>
  <c r="X150" i="9"/>
  <c r="T148" i="9"/>
  <c r="N136" i="9"/>
  <c r="N130" i="9"/>
  <c r="X124" i="9"/>
  <c r="AB120" i="9"/>
  <c r="K118" i="9"/>
  <c r="AB260" i="9"/>
  <c r="T251" i="9"/>
  <c r="X247" i="9"/>
  <c r="T241" i="9"/>
  <c r="X237" i="9"/>
  <c r="N253" i="9"/>
  <c r="N229" i="9"/>
  <c r="X227" i="9"/>
  <c r="T222" i="9"/>
  <c r="K219" i="9"/>
  <c r="X214" i="9"/>
  <c r="T209" i="9"/>
  <c r="X206" i="9"/>
  <c r="K205" i="9"/>
  <c r="X197" i="9"/>
  <c r="T193" i="9"/>
  <c r="K188" i="9"/>
  <c r="X180" i="9"/>
  <c r="K177" i="9"/>
  <c r="X174" i="9"/>
  <c r="K173" i="9"/>
  <c r="X165" i="9"/>
  <c r="T161" i="9"/>
  <c r="K156" i="9"/>
  <c r="X148" i="9"/>
  <c r="K145" i="9"/>
  <c r="X142" i="9"/>
  <c r="K141" i="9"/>
  <c r="X133" i="9"/>
  <c r="T129" i="9"/>
  <c r="K124" i="9"/>
  <c r="X116" i="9"/>
  <c r="AB112" i="9"/>
  <c r="X110" i="9"/>
  <c r="T108" i="9"/>
  <c r="T100" i="9"/>
  <c r="T92" i="9"/>
  <c r="T84" i="9"/>
  <c r="T76" i="9"/>
  <c r="T68" i="9"/>
  <c r="T59" i="9"/>
  <c r="T55" i="9"/>
  <c r="T51" i="9"/>
  <c r="T47" i="9"/>
  <c r="T43" i="9"/>
  <c r="T39" i="9"/>
  <c r="T35" i="9"/>
  <c r="T31" i="9"/>
  <c r="T27" i="9"/>
  <c r="T23" i="9"/>
  <c r="T19" i="9"/>
  <c r="T15" i="9"/>
  <c r="T11" i="9"/>
  <c r="T7" i="9"/>
  <c r="AB224" i="9"/>
  <c r="T215" i="9"/>
  <c r="AB188" i="9"/>
  <c r="X169" i="9"/>
  <c r="K157" i="9"/>
  <c r="AB139" i="9"/>
  <c r="X129" i="9"/>
  <c r="AB119" i="9"/>
  <c r="K103" i="9"/>
  <c r="M93" i="9"/>
  <c r="X87" i="9"/>
  <c r="M84" i="9"/>
  <c r="M83" i="9"/>
  <c r="AB72" i="9"/>
  <c r="N70" i="9"/>
  <c r="N58" i="9"/>
  <c r="AB52" i="9"/>
  <c r="M45" i="9"/>
  <c r="AB37" i="9"/>
  <c r="X30" i="9"/>
  <c r="T22" i="9"/>
  <c r="M16" i="9"/>
  <c r="X10" i="9"/>
  <c r="N6" i="9"/>
  <c r="AB249" i="9"/>
  <c r="AB178" i="9"/>
  <c r="K171" i="9"/>
  <c r="N154" i="9"/>
  <c r="T138" i="9"/>
  <c r="N126" i="9"/>
  <c r="X106" i="9"/>
  <c r="T105" i="9"/>
  <c r="X96" i="9"/>
  <c r="T94" i="9"/>
  <c r="T91" i="9"/>
  <c r="AB80" i="9"/>
  <c r="N78" i="9"/>
  <c r="X67" i="9"/>
  <c r="M62" i="9"/>
  <c r="T58" i="9"/>
  <c r="K52" i="9"/>
  <c r="AB42" i="9"/>
  <c r="K38" i="9"/>
  <c r="N30" i="9"/>
  <c r="AB24" i="9"/>
  <c r="M17" i="9"/>
  <c r="X9" i="9"/>
  <c r="K228" i="9"/>
  <c r="T205" i="9"/>
  <c r="X181" i="9"/>
  <c r="K169" i="9"/>
  <c r="N152" i="9"/>
  <c r="AB140" i="9"/>
  <c r="N122" i="9"/>
  <c r="T109" i="9"/>
  <c r="X102" i="9"/>
  <c r="AB99" i="9"/>
  <c r="AB94" i="9"/>
  <c r="K88" i="9"/>
  <c r="AB79" i="9"/>
  <c r="X72" i="9"/>
  <c r="T70" i="9"/>
  <c r="T67" i="9"/>
  <c r="AB60" i="9"/>
  <c r="X54" i="9"/>
  <c r="K42" i="9"/>
  <c r="N34" i="9"/>
  <c r="M21" i="9"/>
  <c r="H193" i="9"/>
  <c r="O193" i="9" s="1"/>
  <c r="H189" i="9"/>
  <c r="H185" i="9"/>
  <c r="H181" i="9"/>
  <c r="H177" i="9"/>
  <c r="H173" i="9"/>
  <c r="H169" i="9"/>
  <c r="H165" i="9"/>
  <c r="H190" i="9"/>
  <c r="H182" i="9"/>
  <c r="H174" i="9"/>
  <c r="H166" i="9"/>
  <c r="H192" i="9"/>
  <c r="H188" i="9"/>
  <c r="H187" i="9"/>
  <c r="H186" i="9"/>
  <c r="H183" i="9"/>
  <c r="H184" i="9"/>
  <c r="H180" i="9"/>
  <c r="H179" i="9"/>
  <c r="H178" i="9"/>
  <c r="H175" i="9"/>
  <c r="H176" i="9"/>
  <c r="H172" i="9"/>
  <c r="H171" i="9"/>
  <c r="H170" i="9"/>
  <c r="H167" i="9"/>
  <c r="H196" i="9"/>
  <c r="H195" i="9"/>
  <c r="H194" i="9"/>
  <c r="P194" i="9" s="1"/>
  <c r="H191" i="9"/>
  <c r="H168" i="9"/>
  <c r="AB236" i="9"/>
  <c r="K222" i="9"/>
  <c r="T210" i="9"/>
  <c r="AB195" i="9"/>
  <c r="T181" i="9"/>
  <c r="T165" i="9"/>
  <c r="N158" i="9"/>
  <c r="K143" i="9"/>
  <c r="X117" i="9"/>
  <c r="N103" i="9"/>
  <c r="K96" i="9"/>
  <c r="AB87" i="9"/>
  <c r="X80" i="9"/>
  <c r="T78" i="9"/>
  <c r="T75" i="9"/>
  <c r="AB64" i="9"/>
  <c r="N62" i="9"/>
  <c r="N54" i="9"/>
  <c r="AB48" i="9"/>
  <c r="X42" i="9"/>
  <c r="T34" i="9"/>
  <c r="M28" i="9"/>
  <c r="AB18" i="9"/>
  <c r="T14" i="9"/>
  <c r="AB12" i="9"/>
  <c r="N9" i="9"/>
  <c r="T5" i="9"/>
  <c r="B21" i="6"/>
  <c r="B22" i="6"/>
  <c r="B20" i="6"/>
  <c r="AB65" i="9"/>
  <c r="AB89" i="9"/>
  <c r="M10" i="9"/>
  <c r="M27" i="9"/>
  <c r="K65" i="9"/>
  <c r="K55" i="9"/>
  <c r="Z492" i="12"/>
  <c r="Y492" i="12"/>
  <c r="V512" i="12"/>
  <c r="AA512" i="12" s="1"/>
  <c r="V437" i="12"/>
  <c r="AA437" i="12" s="1"/>
  <c r="W457" i="12"/>
  <c r="V423" i="12"/>
  <c r="AA423" i="12" s="1"/>
  <c r="Y400" i="12"/>
  <c r="W516" i="12"/>
  <c r="V500" i="12"/>
  <c r="AA500" i="12" s="1"/>
  <c r="V466" i="12"/>
  <c r="AA466" i="12" s="1"/>
  <c r="V459" i="12"/>
  <c r="AA459" i="12" s="1"/>
  <c r="W396" i="12"/>
  <c r="V429" i="12"/>
  <c r="AA429" i="12" s="1"/>
  <c r="V467" i="12"/>
  <c r="AA467" i="12" s="1"/>
  <c r="W449" i="12"/>
  <c r="W434" i="12"/>
  <c r="W432" i="12"/>
  <c r="W401" i="12"/>
  <c r="W481" i="12"/>
  <c r="V457" i="12"/>
  <c r="AA457" i="12" s="1"/>
  <c r="W470" i="12"/>
  <c r="W397" i="12"/>
  <c r="Z358" i="12"/>
  <c r="Y358" i="12"/>
  <c r="Y326" i="12"/>
  <c r="Y294" i="12"/>
  <c r="V515" i="12"/>
  <c r="AA515" i="12" s="1"/>
  <c r="V499" i="12"/>
  <c r="AA499" i="12" s="1"/>
  <c r="V516" i="12"/>
  <c r="AA516" i="12" s="1"/>
  <c r="W510" i="12"/>
  <c r="W502" i="12"/>
  <c r="W494" i="12"/>
  <c r="V482" i="12"/>
  <c r="AA482" i="12" s="1"/>
  <c r="V458" i="12"/>
  <c r="AA458" i="12" s="1"/>
  <c r="W461" i="12"/>
  <c r="V509" i="12"/>
  <c r="AA509" i="12" s="1"/>
  <c r="V493" i="12"/>
  <c r="AA493" i="12" s="1"/>
  <c r="W495" i="12"/>
  <c r="W484" i="12"/>
  <c r="V469" i="12"/>
  <c r="AA469" i="12" s="1"/>
  <c r="W459" i="12"/>
  <c r="W453" i="12"/>
  <c r="V445" i="12"/>
  <c r="AA445" i="12" s="1"/>
  <c r="W420" i="12"/>
  <c r="V477" i="12"/>
  <c r="AA477" i="12" s="1"/>
  <c r="W465" i="12"/>
  <c r="V451" i="12"/>
  <c r="AA451" i="12" s="1"/>
  <c r="V421" i="12"/>
  <c r="AA421" i="12" s="1"/>
  <c r="W483" i="12"/>
  <c r="W467" i="12"/>
  <c r="W447" i="12"/>
  <c r="V439" i="12"/>
  <c r="AA439" i="12" s="1"/>
  <c r="W433" i="12"/>
  <c r="V416" i="12"/>
  <c r="AA416" i="12" s="1"/>
  <c r="V401" i="12"/>
  <c r="AA401" i="12" s="1"/>
  <c r="W378" i="12"/>
  <c r="V461" i="12"/>
  <c r="AA461" i="12" s="1"/>
  <c r="W427" i="12"/>
  <c r="V470" i="12"/>
  <c r="AA470" i="12" s="1"/>
  <c r="W419" i="12"/>
  <c r="W413" i="12"/>
  <c r="W350" i="12"/>
  <c r="Y318" i="12"/>
  <c r="Z286" i="12"/>
  <c r="Y286" i="12"/>
  <c r="W440" i="12"/>
  <c r="V428" i="12"/>
  <c r="AA428" i="12" s="1"/>
  <c r="V415" i="12"/>
  <c r="AA415" i="12" s="1"/>
  <c r="W395" i="12"/>
  <c r="W390" i="12"/>
  <c r="V383" i="12"/>
  <c r="AA383" i="12" s="1"/>
  <c r="W379" i="12"/>
  <c r="V367" i="12"/>
  <c r="AA367" i="12" s="1"/>
  <c r="V335" i="12"/>
  <c r="AA335" i="12" s="1"/>
  <c r="V303" i="12"/>
  <c r="AA303" i="12" s="1"/>
  <c r="V431" i="12"/>
  <c r="AA431" i="12" s="1"/>
  <c r="V424" i="12"/>
  <c r="AA424" i="12" s="1"/>
  <c r="W406" i="12"/>
  <c r="V398" i="12"/>
  <c r="AA398" i="12" s="1"/>
  <c r="V389" i="12"/>
  <c r="AA389" i="12" s="1"/>
  <c r="W371" i="12"/>
  <c r="W359" i="12"/>
  <c r="W330" i="12"/>
  <c r="W319" i="12"/>
  <c r="W299" i="12"/>
  <c r="V282" i="12"/>
  <c r="AA282" i="12" s="1"/>
  <c r="V388" i="12"/>
  <c r="AA388" i="12" s="1"/>
  <c r="W362" i="12"/>
  <c r="V347" i="12"/>
  <c r="AA347" i="12" s="1"/>
  <c r="V344" i="12"/>
  <c r="AA344" i="12" s="1"/>
  <c r="W332" i="12"/>
  <c r="W322" i="12"/>
  <c r="W311" i="12"/>
  <c r="W291" i="12"/>
  <c r="W262" i="12"/>
  <c r="V448" i="12"/>
  <c r="AA448" i="12" s="1"/>
  <c r="W405" i="12"/>
  <c r="V376" i="12"/>
  <c r="AA376" i="12" s="1"/>
  <c r="W351" i="12"/>
  <c r="V329" i="12"/>
  <c r="AA329" i="12" s="1"/>
  <c r="W324" i="12"/>
  <c r="W314" i="12"/>
  <c r="V393" i="12"/>
  <c r="AA393" i="12" s="1"/>
  <c r="V380" i="12"/>
  <c r="AA380" i="12" s="1"/>
  <c r="V372" i="12"/>
  <c r="AA372" i="12" s="1"/>
  <c r="V355" i="12"/>
  <c r="AA355" i="12" s="1"/>
  <c r="V345" i="12"/>
  <c r="AA345" i="12" s="1"/>
  <c r="W339" i="12"/>
  <c r="V390" i="12"/>
  <c r="AA390" i="12" s="1"/>
  <c r="V304" i="12"/>
  <c r="AA304" i="12" s="1"/>
  <c r="V266" i="12"/>
  <c r="AA266" i="12" s="1"/>
  <c r="W249" i="12"/>
  <c r="W226" i="12"/>
  <c r="V215" i="12"/>
  <c r="AA215" i="12" s="1"/>
  <c r="W194" i="12"/>
  <c r="V321" i="12"/>
  <c r="AA321" i="12" s="1"/>
  <c r="W312" i="12"/>
  <c r="V292" i="12"/>
  <c r="AA292" i="12" s="1"/>
  <c r="V280" i="12"/>
  <c r="AA280" i="12" s="1"/>
  <c r="V272" i="12"/>
  <c r="AA272" i="12" s="1"/>
  <c r="V336" i="12"/>
  <c r="AA336" i="12" s="1"/>
  <c r="V307" i="12"/>
  <c r="AA307" i="12" s="1"/>
  <c r="W283" i="12"/>
  <c r="W265" i="12"/>
  <c r="V255" i="12"/>
  <c r="AA255" i="12" s="1"/>
  <c r="V239" i="12"/>
  <c r="AA239" i="12" s="1"/>
  <c r="W218" i="12"/>
  <c r="V207" i="12"/>
  <c r="AA207" i="12" s="1"/>
  <c r="V289" i="12"/>
  <c r="AA289" i="12" s="1"/>
  <c r="W260" i="12"/>
  <c r="W245" i="12"/>
  <c r="W222" i="12"/>
  <c r="W188" i="12"/>
  <c r="W261" i="12"/>
  <c r="V246" i="12"/>
  <c r="AA246" i="12" s="1"/>
  <c r="V236" i="12"/>
  <c r="AA236" i="12" s="1"/>
  <c r="V242" i="12"/>
  <c r="AA242" i="12" s="1"/>
  <c r="V225" i="12"/>
  <c r="AA225" i="12" s="1"/>
  <c r="V217" i="12"/>
  <c r="AA217" i="12" s="1"/>
  <c r="V210" i="12"/>
  <c r="AA210" i="12" s="1"/>
  <c r="V193" i="12"/>
  <c r="AA193" i="12" s="1"/>
  <c r="W171" i="12"/>
  <c r="V140" i="12"/>
  <c r="AA140" i="12" s="1"/>
  <c r="V108" i="12"/>
  <c r="AA108" i="12" s="1"/>
  <c r="V235" i="12"/>
  <c r="AA235" i="12" s="1"/>
  <c r="V218" i="12"/>
  <c r="AA218" i="12" s="1"/>
  <c r="W203" i="12"/>
  <c r="W190" i="12"/>
  <c r="V173" i="12"/>
  <c r="AA173" i="12" s="1"/>
  <c r="W143" i="12"/>
  <c r="W224" i="12"/>
  <c r="W209" i="12"/>
  <c r="W177" i="12"/>
  <c r="V175" i="12"/>
  <c r="AA175" i="12" s="1"/>
  <c r="V168" i="12"/>
  <c r="AA168" i="12" s="1"/>
  <c r="V165" i="12"/>
  <c r="AA165" i="12" s="1"/>
  <c r="W142" i="12"/>
  <c r="V133" i="12"/>
  <c r="AA133" i="12" s="1"/>
  <c r="V117" i="12"/>
  <c r="AA117" i="12" s="1"/>
  <c r="V106" i="12"/>
  <c r="AA106" i="12" s="1"/>
  <c r="W92" i="12"/>
  <c r="W76" i="12"/>
  <c r="W60" i="12"/>
  <c r="W44" i="12"/>
  <c r="V138" i="12"/>
  <c r="AA138" i="12" s="1"/>
  <c r="V170" i="12"/>
  <c r="AA170" i="12" s="1"/>
  <c r="V166" i="12"/>
  <c r="AA166" i="12" s="1"/>
  <c r="W288" i="12"/>
  <c r="V325" i="12"/>
  <c r="AA325" i="12" s="1"/>
  <c r="W275" i="12"/>
  <c r="W320" i="12"/>
  <c r="W353" i="12"/>
  <c r="V366" i="12"/>
  <c r="AA366" i="12" s="1"/>
  <c r="V427" i="12"/>
  <c r="AA427" i="12" s="1"/>
  <c r="V285" i="12"/>
  <c r="AA285" i="12" s="1"/>
  <c r="V333" i="12"/>
  <c r="AA333" i="12" s="1"/>
  <c r="V257" i="12"/>
  <c r="AA257" i="12" s="1"/>
  <c r="W304" i="12"/>
  <c r="W336" i="12"/>
  <c r="V341" i="12"/>
  <c r="AA341" i="12" s="1"/>
  <c r="V419" i="12"/>
  <c r="AA419" i="12" s="1"/>
  <c r="W474" i="12"/>
  <c r="W466" i="12"/>
  <c r="W482" i="12"/>
  <c r="W513" i="12"/>
  <c r="W489" i="12"/>
  <c r="W232" i="12"/>
  <c r="W208" i="12"/>
  <c r="W197" i="12"/>
  <c r="V171" i="12"/>
  <c r="AA171" i="12" s="1"/>
  <c r="W161" i="12"/>
  <c r="W154" i="12"/>
  <c r="W144" i="12"/>
  <c r="V139" i="12"/>
  <c r="AA139" i="12" s="1"/>
  <c r="W125" i="12"/>
  <c r="V113" i="12"/>
  <c r="AA113" i="12" s="1"/>
  <c r="V97" i="12"/>
  <c r="AA97" i="12" s="1"/>
  <c r="V89" i="12"/>
  <c r="AA89" i="12" s="1"/>
  <c r="V81" i="12"/>
  <c r="AA81" i="12" s="1"/>
  <c r="V73" i="12"/>
  <c r="AA73" i="12" s="1"/>
  <c r="V65" i="12"/>
  <c r="AA65" i="12" s="1"/>
  <c r="V55" i="12"/>
  <c r="AA55" i="12" s="1"/>
  <c r="V47" i="12"/>
  <c r="AA47" i="12" s="1"/>
  <c r="W39" i="12"/>
  <c r="V24" i="12"/>
  <c r="AA24" i="12" s="1"/>
  <c r="V8" i="12"/>
  <c r="AA8" i="12" s="1"/>
  <c r="W149" i="12"/>
  <c r="V136" i="12"/>
  <c r="AA136" i="12" s="1"/>
  <c r="W131" i="12"/>
  <c r="W126" i="12"/>
  <c r="W116" i="12"/>
  <c r="V112" i="12"/>
  <c r="AA112" i="12" s="1"/>
  <c r="W106" i="12"/>
  <c r="V103" i="12"/>
  <c r="AA103" i="12" s="1"/>
  <c r="W204" i="12"/>
  <c r="V190" i="12"/>
  <c r="AA190" i="12" s="1"/>
  <c r="W162" i="12"/>
  <c r="W155" i="12"/>
  <c r="V143" i="12"/>
  <c r="AA143" i="12" s="1"/>
  <c r="V137" i="12"/>
  <c r="AA137" i="12" s="1"/>
  <c r="W128" i="12"/>
  <c r="V123" i="12"/>
  <c r="AA123" i="12" s="1"/>
  <c r="W95" i="12"/>
  <c r="W79" i="12"/>
  <c r="W63" i="12"/>
  <c r="W47" i="12"/>
  <c r="W29" i="12"/>
  <c r="W13" i="12"/>
  <c r="W118" i="12"/>
  <c r="W150" i="12"/>
  <c r="V118" i="12"/>
  <c r="AA118" i="12" s="1"/>
  <c r="V93" i="12"/>
  <c r="AA93" i="12" s="1"/>
  <c r="V61" i="12"/>
  <c r="AA61" i="12" s="1"/>
  <c r="W38" i="12"/>
  <c r="W19" i="12"/>
  <c r="W6" i="12"/>
  <c r="N29" i="10"/>
  <c r="P29" i="10" s="1"/>
  <c r="X260" i="9"/>
  <c r="T256" i="9"/>
  <c r="N252" i="9"/>
  <c r="X244" i="9"/>
  <c r="T240" i="9"/>
  <c r="N236" i="9"/>
  <c r="X228" i="9"/>
  <c r="T224" i="9"/>
  <c r="N220" i="9"/>
  <c r="X212" i="9"/>
  <c r="T208" i="9"/>
  <c r="W110" i="12"/>
  <c r="V98" i="12"/>
  <c r="AA98" i="12" s="1"/>
  <c r="W80" i="12"/>
  <c r="W74" i="12"/>
  <c r="W66" i="12"/>
  <c r="V58" i="12"/>
  <c r="AA58" i="12" s="1"/>
  <c r="W40" i="12"/>
  <c r="V35" i="12"/>
  <c r="AA35" i="12" s="1"/>
  <c r="W28" i="12"/>
  <c r="V21" i="12"/>
  <c r="AA21" i="12" s="1"/>
  <c r="V14" i="12"/>
  <c r="AA14" i="12" s="1"/>
  <c r="N31" i="10"/>
  <c r="P31" i="10" s="1"/>
  <c r="W102" i="12"/>
  <c r="W85" i="12"/>
  <c r="N24" i="10"/>
  <c r="P24" i="10" s="1"/>
  <c r="N18" i="10"/>
  <c r="P18" i="10" s="1"/>
  <c r="R11" i="10"/>
  <c r="I11" i="10"/>
  <c r="R32" i="10"/>
  <c r="I32" i="10"/>
  <c r="N25" i="10"/>
  <c r="P25" i="10" s="1"/>
  <c r="R17" i="10"/>
  <c r="I17" i="10"/>
  <c r="N203" i="9"/>
  <c r="X195" i="9"/>
  <c r="T191" i="9"/>
  <c r="N187" i="9"/>
  <c r="X179" i="9"/>
  <c r="T175" i="9"/>
  <c r="N171" i="9"/>
  <c r="X163" i="9"/>
  <c r="T159" i="9"/>
  <c r="N155" i="9"/>
  <c r="X147" i="9"/>
  <c r="T143" i="9"/>
  <c r="N139" i="9"/>
  <c r="X131" i="9"/>
  <c r="T127" i="9"/>
  <c r="N123" i="9"/>
  <c r="X115" i="9"/>
  <c r="T111" i="9"/>
  <c r="N107" i="9"/>
  <c r="W86" i="12"/>
  <c r="W70" i="12"/>
  <c r="W62" i="12"/>
  <c r="V67" i="12"/>
  <c r="AA67" i="12" s="1"/>
  <c r="W45" i="12"/>
  <c r="V31" i="12"/>
  <c r="AA31" i="12" s="1"/>
  <c r="W24" i="12"/>
  <c r="N12" i="10"/>
  <c r="P12" i="10" s="1"/>
  <c r="N35" i="10"/>
  <c r="P35" i="10" s="1"/>
  <c r="N32" i="10"/>
  <c r="P32" i="10" s="1"/>
  <c r="X259" i="9"/>
  <c r="T253" i="9"/>
  <c r="K247" i="9"/>
  <c r="X243" i="9"/>
  <c r="T230" i="9"/>
  <c r="M221" i="9"/>
  <c r="AB212" i="9"/>
  <c r="M211" i="9"/>
  <c r="X97" i="9"/>
  <c r="T93" i="9"/>
  <c r="N89" i="9"/>
  <c r="X81" i="9"/>
  <c r="T77" i="9"/>
  <c r="N73" i="9"/>
  <c r="R16" i="10"/>
  <c r="AB254" i="9"/>
  <c r="K249" i="9"/>
  <c r="W54" i="12"/>
  <c r="W31" i="12"/>
  <c r="W18" i="12"/>
  <c r="N11" i="10"/>
  <c r="P11" i="10" s="1"/>
  <c r="K257" i="9"/>
  <c r="T255" i="9"/>
  <c r="N243" i="9"/>
  <c r="N238" i="9"/>
  <c r="X233" i="9"/>
  <c r="T229" i="9"/>
  <c r="X225" i="9"/>
  <c r="T217" i="9"/>
  <c r="T207" i="9"/>
  <c r="K203" i="9"/>
  <c r="X207" i="9"/>
  <c r="X198" i="9"/>
  <c r="Y198" i="9" s="1"/>
  <c r="T196" i="9"/>
  <c r="N181" i="9"/>
  <c r="T176" i="9"/>
  <c r="K170" i="9"/>
  <c r="AB166" i="9"/>
  <c r="AB153" i="9"/>
  <c r="K148" i="9"/>
  <c r="N140" i="9"/>
  <c r="T134" i="9"/>
  <c r="U134" i="9" s="1"/>
  <c r="T132" i="9"/>
  <c r="AB121" i="9"/>
  <c r="AB117" i="9"/>
  <c r="N108" i="9"/>
  <c r="T103" i="9"/>
  <c r="AB101" i="9"/>
  <c r="AB115" i="9"/>
  <c r="AB130" i="9"/>
  <c r="AB107" i="9"/>
  <c r="N90" i="9"/>
  <c r="N80" i="9"/>
  <c r="AB69" i="9"/>
  <c r="T60" i="9"/>
  <c r="N56" i="9"/>
  <c r="X48" i="9"/>
  <c r="T44" i="9"/>
  <c r="N40" i="9"/>
  <c r="X32" i="9"/>
  <c r="T28" i="9"/>
  <c r="N24" i="9"/>
  <c r="X16" i="9"/>
  <c r="T12" i="9"/>
  <c r="N8" i="9"/>
  <c r="V15" i="12"/>
  <c r="AA15" i="12" s="1"/>
  <c r="W8" i="12"/>
  <c r="N255" i="9"/>
  <c r="X250" i="9"/>
  <c r="X246" i="9"/>
  <c r="AB237" i="9"/>
  <c r="N234" i="9"/>
  <c r="N231" i="9"/>
  <c r="N219" i="9"/>
  <c r="N214" i="9"/>
  <c r="N205" i="9"/>
  <c r="T200" i="9"/>
  <c r="K194" i="9"/>
  <c r="X190" i="9"/>
  <c r="N185" i="9"/>
  <c r="N174" i="9"/>
  <c r="N170" i="9"/>
  <c r="X164" i="9"/>
  <c r="T158" i="9"/>
  <c r="T156" i="9"/>
  <c r="AB145" i="9"/>
  <c r="K140" i="9"/>
  <c r="N132" i="9"/>
  <c r="AB128" i="9"/>
  <c r="M126" i="9"/>
  <c r="T113" i="9"/>
  <c r="N106" i="9"/>
  <c r="M90" i="9"/>
  <c r="N61" i="9"/>
  <c r="X57" i="9"/>
  <c r="T53" i="9"/>
  <c r="N49" i="9"/>
  <c r="X41" i="9"/>
  <c r="T37" i="9"/>
  <c r="T63" i="9"/>
  <c r="N33" i="9"/>
  <c r="X25" i="9"/>
  <c r="T21" i="9"/>
  <c r="N17" i="9"/>
  <c r="R7" i="10"/>
  <c r="T249" i="9"/>
  <c r="N242" i="9"/>
  <c r="T235" i="9"/>
  <c r="K233" i="9"/>
  <c r="AB228" i="9"/>
  <c r="X222" i="9"/>
  <c r="K210" i="9"/>
  <c r="AB201" i="9"/>
  <c r="K196" i="9"/>
  <c r="X188" i="9"/>
  <c r="AB184" i="9"/>
  <c r="X182" i="9"/>
  <c r="T180" i="9"/>
  <c r="N168" i="9"/>
  <c r="T160" i="9"/>
  <c r="K155" i="9"/>
  <c r="K151" i="9"/>
  <c r="AB150" i="9"/>
  <c r="N145" i="9"/>
  <c r="N133" i="9"/>
  <c r="T128" i="9"/>
  <c r="K123" i="9"/>
  <c r="T118" i="9"/>
  <c r="T116" i="9"/>
  <c r="T258" i="9"/>
  <c r="X251" i="9"/>
  <c r="N247" i="9"/>
  <c r="X241" i="9"/>
  <c r="K237" i="9"/>
  <c r="K229" i="9"/>
  <c r="K256" i="9"/>
  <c r="K248" i="9"/>
  <c r="K260" i="9"/>
  <c r="K236" i="9"/>
  <c r="K240" i="9"/>
  <c r="K252" i="9"/>
  <c r="K232" i="9"/>
  <c r="AB227" i="9"/>
  <c r="T219" i="9"/>
  <c r="N218" i="9"/>
  <c r="T214" i="9"/>
  <c r="X209" i="9"/>
  <c r="AB206" i="9"/>
  <c r="T204" i="9"/>
  <c r="K197" i="9"/>
  <c r="N192" i="9"/>
  <c r="T184" i="9"/>
  <c r="K179" i="9"/>
  <c r="AB176" i="9"/>
  <c r="AB174" i="9"/>
  <c r="T172" i="9"/>
  <c r="K165" i="9"/>
  <c r="N160" i="9"/>
  <c r="T152" i="9"/>
  <c r="K147" i="9"/>
  <c r="AB144" i="9"/>
  <c r="AB142" i="9"/>
  <c r="T140" i="9"/>
  <c r="K133" i="9"/>
  <c r="N128" i="9"/>
  <c r="T120" i="9"/>
  <c r="K115" i="9"/>
  <c r="K111" i="9"/>
  <c r="AB110" i="9"/>
  <c r="X104" i="9"/>
  <c r="X98" i="9"/>
  <c r="X90" i="9"/>
  <c r="X82" i="9"/>
  <c r="X74" i="9"/>
  <c r="X66" i="9"/>
  <c r="N59" i="9"/>
  <c r="N55" i="9"/>
  <c r="N51" i="9"/>
  <c r="N47" i="9"/>
  <c r="N43" i="9"/>
  <c r="N39" i="9"/>
  <c r="N35" i="9"/>
  <c r="N31" i="9"/>
  <c r="N27" i="9"/>
  <c r="N23" i="9"/>
  <c r="N19" i="9"/>
  <c r="N15" i="9"/>
  <c r="N11" i="9"/>
  <c r="N7" i="9"/>
  <c r="AB204" i="9"/>
  <c r="T194" i="9"/>
  <c r="U194" i="9" s="1"/>
  <c r="AB186" i="9"/>
  <c r="T169" i="9"/>
  <c r="X153" i="9"/>
  <c r="K135" i="9"/>
  <c r="AB127" i="9"/>
  <c r="X113" i="9"/>
  <c r="N102" i="9"/>
  <c r="X91" i="9"/>
  <c r="K86" i="9"/>
  <c r="N83" i="9"/>
  <c r="N79" i="9"/>
  <c r="T72" i="9"/>
  <c r="M50" i="9"/>
  <c r="N42" i="9"/>
  <c r="M29" i="9"/>
  <c r="AB21" i="9"/>
  <c r="X14" i="9"/>
  <c r="N10" i="9"/>
  <c r="AB238" i="9"/>
  <c r="X202" i="9"/>
  <c r="T173" i="9"/>
  <c r="N162" i="9"/>
  <c r="X149" i="9"/>
  <c r="K137" i="9"/>
  <c r="T125" i="9"/>
  <c r="AB114" i="9"/>
  <c r="N105" i="9"/>
  <c r="K107" i="9"/>
  <c r="X95" i="9"/>
  <c r="K92" i="9"/>
  <c r="K91" i="9"/>
  <c r="T80" i="9"/>
  <c r="N76" i="9"/>
  <c r="AB66" i="9"/>
  <c r="X62" i="9"/>
  <c r="AB57" i="9"/>
  <c r="X50" i="9"/>
  <c r="T42" i="9"/>
  <c r="M36" i="9"/>
  <c r="AB26" i="9"/>
  <c r="M22" i="9"/>
  <c r="AB14" i="9"/>
  <c r="AB6" i="9"/>
  <c r="K250" i="9"/>
  <c r="T225" i="9"/>
  <c r="AB203" i="9"/>
  <c r="X192" i="9"/>
  <c r="T177" i="9"/>
  <c r="X186" i="9"/>
  <c r="N150" i="9"/>
  <c r="X120" i="9"/>
  <c r="AB105" i="9"/>
  <c r="T102" i="9"/>
  <c r="T99" i="9"/>
  <c r="T90" i="9"/>
  <c r="K87" i="9"/>
  <c r="K77" i="9"/>
  <c r="X71" i="9"/>
  <c r="K68" i="9"/>
  <c r="K67" i="9"/>
  <c r="K59" i="9"/>
  <c r="K53" i="9"/>
  <c r="AB45" i="9"/>
  <c r="K40" i="9"/>
  <c r="AB30" i="9"/>
  <c r="M26" i="9"/>
  <c r="N18" i="9"/>
  <c r="T233" i="9"/>
  <c r="K218" i="9"/>
  <c r="T202" i="9"/>
  <c r="AB191" i="9"/>
  <c r="X178" i="9"/>
  <c r="T178" i="9"/>
  <c r="T157" i="9"/>
  <c r="K129" i="9"/>
  <c r="K95" i="9"/>
  <c r="K85" i="9"/>
  <c r="K75" i="9"/>
  <c r="T64" i="9"/>
  <c r="K60" i="9"/>
  <c r="AB50" i="9"/>
  <c r="K47" i="9"/>
  <c r="K41" i="9"/>
  <c r="AB33" i="9"/>
  <c r="X26" i="9"/>
  <c r="T18" i="9"/>
  <c r="AB13" i="9"/>
  <c r="T10" i="9"/>
  <c r="AB8" i="9"/>
  <c r="N5" i="9"/>
  <c r="K51" i="9"/>
  <c r="AB70" i="9"/>
  <c r="M7" i="9"/>
  <c r="M5" i="9"/>
  <c r="M19" i="9"/>
  <c r="K39" i="9"/>
  <c r="Y508" i="12"/>
  <c r="V513" i="12"/>
  <c r="AA513" i="12" s="1"/>
  <c r="V496" i="12"/>
  <c r="AA496" i="12" s="1"/>
  <c r="V497" i="12"/>
  <c r="AA497" i="12" s="1"/>
  <c r="Z442" i="12"/>
  <c r="Y442" i="12"/>
  <c r="Z436" i="12"/>
  <c r="Y436" i="12"/>
  <c r="V503" i="12"/>
  <c r="AA503" i="12" s="1"/>
  <c r="V508" i="12"/>
  <c r="AA508" i="12" s="1"/>
  <c r="W486" i="12"/>
  <c r="V471" i="12"/>
  <c r="AA471" i="12" s="1"/>
  <c r="Z428" i="12"/>
  <c r="Y428" i="12"/>
  <c r="V511" i="12"/>
  <c r="AA511" i="12" s="1"/>
  <c r="V495" i="12"/>
  <c r="AA495" i="12" s="1"/>
  <c r="W514" i="12"/>
  <c r="W506" i="12"/>
  <c r="W498" i="12"/>
  <c r="W490" i="12"/>
  <c r="V478" i="12"/>
  <c r="AA478" i="12" s="1"/>
  <c r="W512" i="12"/>
  <c r="W504" i="12"/>
  <c r="W496" i="12"/>
  <c r="V487" i="12"/>
  <c r="AA487" i="12" s="1"/>
  <c r="W478" i="12"/>
  <c r="W480" i="12"/>
  <c r="V455" i="12"/>
  <c r="AA455" i="12" s="1"/>
  <c r="W503" i="12"/>
  <c r="V489" i="12"/>
  <c r="AA489" i="12" s="1"/>
  <c r="W488" i="12"/>
  <c r="V484" i="12"/>
  <c r="AA484" i="12" s="1"/>
  <c r="W450" i="12"/>
  <c r="V479" i="12"/>
  <c r="AA479" i="12" s="1"/>
  <c r="W468" i="12"/>
  <c r="V450" i="12"/>
  <c r="AA450" i="12" s="1"/>
  <c r="W443" i="12"/>
  <c r="W412" i="12"/>
  <c r="V473" i="12"/>
  <c r="AA473" i="12" s="1"/>
  <c r="W462" i="12"/>
  <c r="V413" i="12"/>
  <c r="AA413" i="12" s="1"/>
  <c r="W464" i="12"/>
  <c r="V447" i="12"/>
  <c r="AA447" i="12" s="1"/>
  <c r="V433" i="12"/>
  <c r="AA433" i="12" s="1"/>
  <c r="V430" i="12"/>
  <c r="AA430" i="12" s="1"/>
  <c r="W418" i="12"/>
  <c r="W416" i="12"/>
  <c r="V400" i="12"/>
  <c r="AA400" i="12" s="1"/>
  <c r="W370" i="12"/>
  <c r="W491" i="12"/>
  <c r="W437" i="12"/>
  <c r="V475" i="12"/>
  <c r="AA475" i="12" s="1"/>
  <c r="V441" i="12"/>
  <c r="AA441" i="12" s="1"/>
  <c r="W435" i="12"/>
  <c r="W411" i="12"/>
  <c r="Z342" i="12"/>
  <c r="Y342" i="12"/>
  <c r="Z310" i="12"/>
  <c r="Y310" i="12"/>
  <c r="Z278" i="12"/>
  <c r="Y278" i="12"/>
  <c r="V426" i="12"/>
  <c r="AA426" i="12" s="1"/>
  <c r="V412" i="12"/>
  <c r="AA412" i="12" s="1"/>
  <c r="V399" i="12"/>
  <c r="AA399" i="12" s="1"/>
  <c r="W394" i="12"/>
  <c r="V387" i="12"/>
  <c r="AA387" i="12" s="1"/>
  <c r="W383" i="12"/>
  <c r="V374" i="12"/>
  <c r="AA374" i="12" s="1"/>
  <c r="V359" i="12"/>
  <c r="AA359" i="12" s="1"/>
  <c r="V327" i="12"/>
  <c r="AA327" i="12" s="1"/>
  <c r="V295" i="12"/>
  <c r="AA295" i="12" s="1"/>
  <c r="V454" i="12"/>
  <c r="AA454" i="12" s="1"/>
  <c r="V440" i="12"/>
  <c r="AA440" i="12" s="1"/>
  <c r="W424" i="12"/>
  <c r="V418" i="12"/>
  <c r="AA418" i="12" s="1"/>
  <c r="V408" i="12"/>
  <c r="AA408" i="12" s="1"/>
  <c r="W398" i="12"/>
  <c r="V371" i="12"/>
  <c r="AA371" i="12" s="1"/>
  <c r="W343" i="12"/>
  <c r="W331" i="12"/>
  <c r="V299" i="12"/>
  <c r="AA299" i="12" s="1"/>
  <c r="V296" i="12"/>
  <c r="AA296" i="12" s="1"/>
  <c r="W282" i="12"/>
  <c r="V267" i="12"/>
  <c r="AA267" i="12" s="1"/>
  <c r="V436" i="12"/>
  <c r="AA436" i="12" s="1"/>
  <c r="W421" i="12"/>
  <c r="V385" i="12"/>
  <c r="AA385" i="12" s="1"/>
  <c r="V369" i="12"/>
  <c r="AA369" i="12" s="1"/>
  <c r="W363" i="12"/>
  <c r="V346" i="12"/>
  <c r="AA346" i="12" s="1"/>
  <c r="V337" i="12"/>
  <c r="AA337" i="12" s="1"/>
  <c r="W323" i="12"/>
  <c r="V291" i="12"/>
  <c r="AA291" i="12" s="1"/>
  <c r="V288" i="12"/>
  <c r="AA288" i="12" s="1"/>
  <c r="Z254" i="12"/>
  <c r="Y254" i="12"/>
  <c r="W448" i="12"/>
  <c r="W409" i="12"/>
  <c r="V402" i="12"/>
  <c r="AA402" i="12" s="1"/>
  <c r="W384" i="12"/>
  <c r="W375" i="12"/>
  <c r="V364" i="12"/>
  <c r="AA364" i="12" s="1"/>
  <c r="W335" i="12"/>
  <c r="W315" i="12"/>
  <c r="V300" i="12"/>
  <c r="AA300" i="12" s="1"/>
  <c r="W293" i="12"/>
  <c r="V414" i="12"/>
  <c r="AA414" i="12" s="1"/>
  <c r="W389" i="12"/>
  <c r="W372" i="12"/>
  <c r="V354" i="12"/>
  <c r="AA354" i="12" s="1"/>
  <c r="V339" i="12"/>
  <c r="AA339" i="12" s="1"/>
  <c r="V368" i="12"/>
  <c r="AA368" i="12" s="1"/>
  <c r="W327" i="12"/>
  <c r="W271" i="12"/>
  <c r="W266" i="12"/>
  <c r="V254" i="12"/>
  <c r="AA254" i="12" s="1"/>
  <c r="V248" i="12"/>
  <c r="AA248" i="12" s="1"/>
  <c r="V232" i="12"/>
  <c r="AA232" i="12" s="1"/>
  <c r="W215" i="12"/>
  <c r="V200" i="12"/>
  <c r="AA200" i="12" s="1"/>
  <c r="V352" i="12"/>
  <c r="AA352" i="12" s="1"/>
  <c r="V326" i="12"/>
  <c r="AA326" i="12" s="1"/>
  <c r="W317" i="12"/>
  <c r="V310" i="12"/>
  <c r="AA310" i="12" s="1"/>
  <c r="V276" i="12"/>
  <c r="AA276" i="12" s="1"/>
  <c r="V258" i="12"/>
  <c r="AA258" i="12" s="1"/>
  <c r="V318" i="12"/>
  <c r="AA318" i="12" s="1"/>
  <c r="V283" i="12"/>
  <c r="AA283" i="12" s="1"/>
  <c r="V270" i="12"/>
  <c r="AA270" i="12" s="1"/>
  <c r="V264" i="12"/>
  <c r="AA264" i="12" s="1"/>
  <c r="W239" i="12"/>
  <c r="V224" i="12"/>
  <c r="AA224" i="12" s="1"/>
  <c r="W207" i="12"/>
  <c r="V192" i="12"/>
  <c r="AA192" i="12" s="1"/>
  <c r="V394" i="12"/>
  <c r="AA394" i="12" s="1"/>
  <c r="W329" i="12"/>
  <c r="V294" i="12"/>
  <c r="AA294" i="12" s="1"/>
  <c r="W285" i="12"/>
  <c r="V274" i="12"/>
  <c r="AA274" i="12" s="1"/>
  <c r="W257" i="12"/>
  <c r="V243" i="12"/>
  <c r="AA243" i="12" s="1"/>
  <c r="W228" i="12"/>
  <c r="V211" i="12"/>
  <c r="AA211" i="12" s="1"/>
  <c r="W196" i="12"/>
  <c r="V188" i="12"/>
  <c r="AA188" i="12" s="1"/>
  <c r="W277" i="12"/>
  <c r="W251" i="12"/>
  <c r="V234" i="12"/>
  <c r="AA234" i="12" s="1"/>
  <c r="W238" i="12"/>
  <c r="W206" i="12"/>
  <c r="W163" i="12"/>
  <c r="V132" i="12"/>
  <c r="AA132" i="12" s="1"/>
  <c r="W235" i="12"/>
  <c r="W214" i="12"/>
  <c r="W183" i="12"/>
  <c r="W167" i="12"/>
  <c r="V221" i="12"/>
  <c r="AA221" i="12" s="1"/>
  <c r="V202" i="12"/>
  <c r="AA202" i="12" s="1"/>
  <c r="W184" i="12"/>
  <c r="W169" i="12"/>
  <c r="V167" i="12"/>
  <c r="AA167" i="12" s="1"/>
  <c r="W165" i="12"/>
  <c r="V147" i="12"/>
  <c r="AA147" i="12" s="1"/>
  <c r="W133" i="12"/>
  <c r="Y120" i="12"/>
  <c r="Z120" i="12"/>
  <c r="V114" i="12"/>
  <c r="AA114" i="12" s="1"/>
  <c r="W103" i="12"/>
  <c r="V146" i="12"/>
  <c r="AA146" i="12" s="1"/>
  <c r="V178" i="12"/>
  <c r="AA178" i="12" s="1"/>
  <c r="V222" i="12"/>
  <c r="AA222" i="12" s="1"/>
  <c r="V214" i="12"/>
  <c r="AA214" i="12" s="1"/>
  <c r="V237" i="12"/>
  <c r="AA237" i="12" s="1"/>
  <c r="V174" i="12"/>
  <c r="AA174" i="12" s="1"/>
  <c r="V197" i="12"/>
  <c r="AA197" i="12" s="1"/>
  <c r="W253" i="12"/>
  <c r="W205" i="12"/>
  <c r="W344" i="12"/>
  <c r="W369" i="12"/>
  <c r="V265" i="12"/>
  <c r="AA265" i="12" s="1"/>
  <c r="W430" i="12"/>
  <c r="V480" i="12"/>
  <c r="AA480" i="12" s="1"/>
  <c r="W493" i="12"/>
  <c r="V453" i="12"/>
  <c r="AA453" i="12" s="1"/>
  <c r="V494" i="12"/>
  <c r="AA494" i="12" s="1"/>
  <c r="V464" i="12"/>
  <c r="AA464" i="12" s="1"/>
  <c r="V498" i="12"/>
  <c r="AA498" i="12" s="1"/>
  <c r="V219" i="12"/>
  <c r="AA219" i="12" s="1"/>
  <c r="V205" i="12"/>
  <c r="AA205" i="12" s="1"/>
  <c r="W182" i="12"/>
  <c r="W166" i="12"/>
  <c r="V157" i="12"/>
  <c r="AA157" i="12" s="1"/>
  <c r="V153" i="12"/>
  <c r="AA153" i="12" s="1"/>
  <c r="V144" i="12"/>
  <c r="AA144" i="12" s="1"/>
  <c r="W139" i="12"/>
  <c r="W122" i="12"/>
  <c r="V107" i="12"/>
  <c r="AA107" i="12" s="1"/>
  <c r="V87" i="12"/>
  <c r="AA87" i="12" s="1"/>
  <c r="V79" i="12"/>
  <c r="AA79" i="12" s="1"/>
  <c r="V71" i="12"/>
  <c r="AA71" i="12" s="1"/>
  <c r="V54" i="12"/>
  <c r="AA54" i="12" s="1"/>
  <c r="V46" i="12"/>
  <c r="AA46" i="12" s="1"/>
  <c r="V36" i="12"/>
  <c r="AA36" i="12" s="1"/>
  <c r="V20" i="12"/>
  <c r="AA20" i="12" s="1"/>
  <c r="W225" i="12"/>
  <c r="W200" i="12"/>
  <c r="W180" i="12"/>
  <c r="W160" i="12"/>
  <c r="W148" i="12"/>
  <c r="V134" i="12"/>
  <c r="AA134" i="12" s="1"/>
  <c r="W129" i="12"/>
  <c r="W105" i="12"/>
  <c r="W100" i="12"/>
  <c r="V84" i="12"/>
  <c r="AA84" i="12" s="1"/>
  <c r="V68" i="12"/>
  <c r="AA68" i="12" s="1"/>
  <c r="V52" i="12"/>
  <c r="AA52" i="12" s="1"/>
  <c r="W241" i="12"/>
  <c r="V204" i="12"/>
  <c r="AA204" i="12" s="1"/>
  <c r="W185" i="12"/>
  <c r="W173" i="12"/>
  <c r="V161" i="12"/>
  <c r="AA161" i="12" s="1"/>
  <c r="V141" i="12"/>
  <c r="AA141" i="12" s="1"/>
  <c r="V128" i="12"/>
  <c r="AA128" i="12" s="1"/>
  <c r="W123" i="12"/>
  <c r="W115" i="12"/>
  <c r="W25" i="12"/>
  <c r="W9" i="12"/>
  <c r="W140" i="12"/>
  <c r="V85" i="12"/>
  <c r="AA85" i="12" s="1"/>
  <c r="V53" i="12"/>
  <c r="AA53" i="12" s="1"/>
  <c r="W30" i="12"/>
  <c r="W11" i="12"/>
  <c r="V62" i="12"/>
  <c r="AA62" i="12" s="1"/>
  <c r="R13" i="10"/>
  <c r="I13" i="10"/>
  <c r="T260" i="9"/>
  <c r="N256" i="9"/>
  <c r="X248" i="9"/>
  <c r="T244" i="9"/>
  <c r="N240" i="9"/>
  <c r="X232" i="9"/>
  <c r="X239" i="9"/>
  <c r="X231" i="9"/>
  <c r="T228" i="9"/>
  <c r="N224" i="9"/>
  <c r="X216" i="9"/>
  <c r="T212" i="9"/>
  <c r="N208" i="9"/>
  <c r="W98" i="12"/>
  <c r="V90" i="12"/>
  <c r="AA90" i="12" s="1"/>
  <c r="W72" i="12"/>
  <c r="W64" i="12"/>
  <c r="W58" i="12"/>
  <c r="V50" i="12"/>
  <c r="AA50" i="12" s="1"/>
  <c r="V38" i="12"/>
  <c r="AA38" i="12" s="1"/>
  <c r="V27" i="12"/>
  <c r="AA27" i="12" s="1"/>
  <c r="W20" i="12"/>
  <c r="V13" i="12"/>
  <c r="AA13" i="12" s="1"/>
  <c r="V6" i="12"/>
  <c r="AA6" i="12" s="1"/>
  <c r="I25" i="10"/>
  <c r="R25" i="10"/>
  <c r="W137" i="12"/>
  <c r="V99" i="12"/>
  <c r="AA99" i="12" s="1"/>
  <c r="I35" i="10"/>
  <c r="R35" i="10"/>
  <c r="R23" i="10"/>
  <c r="I23" i="10"/>
  <c r="N17" i="10"/>
  <c r="P17" i="10" s="1"/>
  <c r="R8" i="10"/>
  <c r="I8" i="10"/>
  <c r="K10" i="10" s="1"/>
  <c r="I6" i="10"/>
  <c r="K34" i="10" s="1"/>
  <c r="R6" i="10"/>
  <c r="N22" i="10"/>
  <c r="P22" i="10" s="1"/>
  <c r="R15" i="10"/>
  <c r="I15" i="10"/>
  <c r="N258" i="9"/>
  <c r="X199" i="9"/>
  <c r="T195" i="9"/>
  <c r="N191" i="9"/>
  <c r="X183" i="9"/>
  <c r="T179" i="9"/>
  <c r="N175" i="9"/>
  <c r="X167" i="9"/>
  <c r="T163" i="9"/>
  <c r="N159" i="9"/>
  <c r="X151" i="9"/>
  <c r="T147" i="9"/>
  <c r="N143" i="9"/>
  <c r="X135" i="9"/>
  <c r="T131" i="9"/>
  <c r="N127" i="9"/>
  <c r="X119" i="9"/>
  <c r="T115" i="9"/>
  <c r="N111" i="9"/>
  <c r="W97" i="12"/>
  <c r="W81" i="12"/>
  <c r="W65" i="12"/>
  <c r="W77" i="12"/>
  <c r="W53" i="12"/>
  <c r="V43" i="12"/>
  <c r="AA43" i="12" s="1"/>
  <c r="V34" i="12"/>
  <c r="AA34" i="12" s="1"/>
  <c r="V23" i="12"/>
  <c r="AA23" i="12" s="1"/>
  <c r="N26" i="10"/>
  <c r="P26" i="10" s="1"/>
  <c r="N34" i="10"/>
  <c r="P34" i="10" s="1"/>
  <c r="AB259" i="9"/>
  <c r="M253" i="9"/>
  <c r="AB245" i="9"/>
  <c r="AB243" i="9"/>
  <c r="N226" i="9"/>
  <c r="N217" i="9"/>
  <c r="T211" i="9"/>
  <c r="X122" i="9"/>
  <c r="X101" i="9"/>
  <c r="T81" i="9"/>
  <c r="N77" i="9"/>
  <c r="X69" i="9"/>
  <c r="N13" i="10"/>
  <c r="P13" i="10" s="1"/>
  <c r="T254" i="9"/>
  <c r="T245" i="9"/>
  <c r="W23" i="12"/>
  <c r="R34" i="10"/>
  <c r="N10" i="10"/>
  <c r="P10" i="10" s="1"/>
  <c r="AB257" i="9"/>
  <c r="X254" i="9"/>
  <c r="K241" i="9"/>
  <c r="T238" i="9"/>
  <c r="T231" i="9"/>
  <c r="K226" i="9"/>
  <c r="AB222" i="9"/>
  <c r="AB213" i="9"/>
  <c r="N207" i="9"/>
  <c r="K202" i="9"/>
  <c r="AB198" i="9"/>
  <c r="AC198" i="9" s="1"/>
  <c r="N193" i="9"/>
  <c r="AB181" i="9"/>
  <c r="O176" i="9"/>
  <c r="M176" i="9"/>
  <c r="AB168" i="9"/>
  <c r="K195" i="9"/>
  <c r="K191" i="9"/>
  <c r="K166" i="9"/>
  <c r="T153" i="9"/>
  <c r="N146" i="9"/>
  <c r="X140" i="9"/>
  <c r="X162" i="9"/>
  <c r="X134" i="9"/>
  <c r="Y134" i="9" s="1"/>
  <c r="N129" i="9"/>
  <c r="T121" i="9"/>
  <c r="M116" i="9"/>
  <c r="X108" i="9"/>
  <c r="X103" i="9"/>
  <c r="N98" i="9"/>
  <c r="N88" i="9"/>
  <c r="N66" i="9"/>
  <c r="N60" i="9"/>
  <c r="X52" i="9"/>
  <c r="T48" i="9"/>
  <c r="N44" i="9"/>
  <c r="X20" i="9"/>
  <c r="T16" i="9"/>
  <c r="N12" i="9"/>
  <c r="V18" i="12"/>
  <c r="AA18" i="12" s="1"/>
  <c r="V7" i="12"/>
  <c r="AA7" i="12" s="1"/>
  <c r="R28" i="10"/>
  <c r="K254" i="9"/>
  <c r="AB247" i="9"/>
  <c r="T246" i="9"/>
  <c r="T237" i="9"/>
  <c r="AB234" i="9"/>
  <c r="T226" i="9"/>
  <c r="X218" i="9"/>
  <c r="T213" i="9"/>
  <c r="AB205" i="9"/>
  <c r="K200" i="9"/>
  <c r="X193" i="9"/>
  <c r="AB190" i="9"/>
  <c r="X184" i="9"/>
  <c r="N173" i="9"/>
  <c r="T168" i="9"/>
  <c r="K162" i="9"/>
  <c r="X158" i="9"/>
  <c r="N153" i="9"/>
  <c r="N142" i="9"/>
  <c r="N138" i="9"/>
  <c r="X132" i="9"/>
  <c r="T126" i="9"/>
  <c r="T124" i="9"/>
  <c r="N109" i="9"/>
  <c r="T104" i="9"/>
  <c r="M82" i="9"/>
  <c r="T61" i="9"/>
  <c r="T57" i="9"/>
  <c r="N53" i="9"/>
  <c r="X45" i="9"/>
  <c r="T41" i="9"/>
  <c r="N37" i="9"/>
  <c r="X29" i="9"/>
  <c r="T25" i="9"/>
  <c r="N21" i="9"/>
  <c r="K244" i="9"/>
  <c r="AB242" i="9"/>
  <c r="X235" i="9"/>
  <c r="AB231" i="9"/>
  <c r="X226" i="9"/>
  <c r="K220" i="9"/>
  <c r="X210" i="9"/>
  <c r="N200" i="9"/>
  <c r="T192" i="9"/>
  <c r="K187" i="9"/>
  <c r="K183" i="9"/>
  <c r="AB182" i="9"/>
  <c r="N177" i="9"/>
  <c r="N165" i="9"/>
  <c r="K160" i="9"/>
  <c r="K154" i="9"/>
  <c r="AB151" i="9"/>
  <c r="K150" i="9"/>
  <c r="X144" i="9"/>
  <c r="AB155" i="9"/>
  <c r="AB147" i="9"/>
  <c r="AB138" i="9"/>
  <c r="AB133" i="9"/>
  <c r="AB162" i="9"/>
  <c r="K128" i="9"/>
  <c r="K122" i="9"/>
  <c r="X118" i="9"/>
  <c r="N14" i="10"/>
  <c r="P14" i="10" s="1"/>
  <c r="AB255" i="9"/>
  <c r="AB251" i="9"/>
  <c r="AB241" i="9"/>
  <c r="K239" i="9"/>
  <c r="K231" i="9"/>
  <c r="N227" i="9"/>
  <c r="K227" i="9"/>
  <c r="X219" i="9"/>
  <c r="AB218" i="9"/>
  <c r="AB209" i="9"/>
  <c r="K207" i="9"/>
  <c r="K206" i="9"/>
  <c r="N201" i="9"/>
  <c r="AB196" i="9"/>
  <c r="N189" i="9"/>
  <c r="K184" i="9"/>
  <c r="K178" i="9"/>
  <c r="AB175" i="9"/>
  <c r="K174" i="9"/>
  <c r="N169" i="9"/>
  <c r="AB164" i="9"/>
  <c r="N157" i="9"/>
  <c r="K152" i="9"/>
  <c r="K146" i="9"/>
  <c r="AB143" i="9"/>
  <c r="K142" i="9"/>
  <c r="N137" i="9"/>
  <c r="AB132" i="9"/>
  <c r="N125" i="9"/>
  <c r="K120" i="9"/>
  <c r="K114" i="9"/>
  <c r="AB111" i="9"/>
  <c r="K110" i="9"/>
  <c r="AB100" i="9"/>
  <c r="AB92" i="9"/>
  <c r="AB84" i="9"/>
  <c r="AB76" i="9"/>
  <c r="AB68" i="9"/>
  <c r="AB59" i="9"/>
  <c r="AB55" i="9"/>
  <c r="AB51" i="9"/>
  <c r="AB47" i="9"/>
  <c r="AB43" i="9"/>
  <c r="AB39" i="9"/>
  <c r="AB31" i="9"/>
  <c r="AB27" i="9"/>
  <c r="AB23" i="9"/>
  <c r="AB19" i="9"/>
  <c r="AB15" i="9"/>
  <c r="AB11" i="9"/>
  <c r="AB7" i="9"/>
  <c r="N257" i="9"/>
  <c r="AB199" i="9"/>
  <c r="N190" i="9"/>
  <c r="K175" i="9"/>
  <c r="N166" i="9"/>
  <c r="AB146" i="9"/>
  <c r="K139" i="9"/>
  <c r="AB122" i="9"/>
  <c r="X112" i="9"/>
  <c r="N100" i="9"/>
  <c r="AB90" i="9"/>
  <c r="X86" i="9"/>
  <c r="AB83" i="9"/>
  <c r="AB78" i="9"/>
  <c r="K72" i="9"/>
  <c r="AB63" i="9"/>
  <c r="T54" i="9"/>
  <c r="M48" i="9"/>
  <c r="AB38" i="9"/>
  <c r="M34" i="9"/>
  <c r="N26" i="9"/>
  <c r="AB20" i="9"/>
  <c r="N14" i="9"/>
  <c r="M8" i="9"/>
  <c r="T223" i="9"/>
  <c r="X201" i="9"/>
  <c r="K189" i="9"/>
  <c r="AB171" i="9"/>
  <c r="X160" i="9"/>
  <c r="T145" i="9"/>
  <c r="X154" i="9"/>
  <c r="N114" i="9"/>
  <c r="K105" i="9"/>
  <c r="X99" i="9"/>
  <c r="K94" i="9"/>
  <c r="N91" i="9"/>
  <c r="N87" i="9"/>
  <c r="K80" i="9"/>
  <c r="AB71" i="9"/>
  <c r="X64" i="9"/>
  <c r="T62" i="9"/>
  <c r="AB56" i="9"/>
  <c r="K49" i="9"/>
  <c r="AB41" i="9"/>
  <c r="X34" i="9"/>
  <c r="T26" i="9"/>
  <c r="M20" i="9"/>
  <c r="X13" i="9"/>
  <c r="X5" i="9"/>
  <c r="N246" i="9"/>
  <c r="AB217" i="9"/>
  <c r="K199" i="9"/>
  <c r="X189" i="9"/>
  <c r="N176" i="9"/>
  <c r="AB163" i="9"/>
  <c r="T149" i="9"/>
  <c r="T133" i="9"/>
  <c r="K127" i="9"/>
  <c r="N104" i="9"/>
  <c r="K100" i="9"/>
  <c r="K99" i="9"/>
  <c r="AB88" i="9"/>
  <c r="N86" i="9"/>
  <c r="X75" i="9"/>
  <c r="K70" i="9"/>
  <c r="K73" i="9"/>
  <c r="K81" i="9"/>
  <c r="K89" i="9"/>
  <c r="K97" i="9"/>
  <c r="N67" i="9"/>
  <c r="N63" i="9"/>
  <c r="K58" i="9"/>
  <c r="N50" i="9"/>
  <c r="AB44" i="9"/>
  <c r="X38" i="9"/>
  <c r="T30" i="9"/>
  <c r="M24" i="9"/>
  <c r="H258" i="9"/>
  <c r="H254" i="9"/>
  <c r="H250" i="9"/>
  <c r="H246" i="9"/>
  <c r="H242" i="9"/>
  <c r="H238" i="9"/>
  <c r="H234" i="9"/>
  <c r="H230" i="9"/>
  <c r="H260" i="9"/>
  <c r="H257" i="9"/>
  <c r="H259" i="9"/>
  <c r="H251" i="9"/>
  <c r="H243" i="9"/>
  <c r="H235" i="9"/>
  <c r="H237" i="9"/>
  <c r="H233" i="9"/>
  <c r="H232" i="9"/>
  <c r="H231" i="9"/>
  <c r="H256" i="9"/>
  <c r="H255" i="9"/>
  <c r="H252" i="9"/>
  <c r="H253" i="9"/>
  <c r="O253" i="9" s="1"/>
  <c r="H241" i="9"/>
  <c r="H239" i="9"/>
  <c r="H229" i="9"/>
  <c r="H248" i="9"/>
  <c r="H247" i="9"/>
  <c r="H245" i="9"/>
  <c r="H236" i="9"/>
  <c r="H249" i="9"/>
  <c r="H244" i="9"/>
  <c r="H240" i="9"/>
  <c r="AB240" i="9"/>
  <c r="AB248" i="9"/>
  <c r="AB215" i="9"/>
  <c r="N184" i="9"/>
  <c r="AB156" i="9"/>
  <c r="X137" i="9"/>
  <c r="X125" i="9"/>
  <c r="AB108" i="9"/>
  <c r="AB96" i="9"/>
  <c r="N94" i="9"/>
  <c r="X83" i="9"/>
  <c r="K78" i="9"/>
  <c r="N75" i="9"/>
  <c r="N71" i="9"/>
  <c r="K64" i="9"/>
  <c r="X58" i="9"/>
  <c r="T50" i="9"/>
  <c r="K46" i="9"/>
  <c r="N38" i="9"/>
  <c r="AB32" i="9"/>
  <c r="M25" i="9"/>
  <c r="T13" i="9"/>
  <c r="AB9" i="9"/>
  <c r="T6" i="9"/>
  <c r="H37" i="7"/>
  <c r="X109" i="9"/>
  <c r="M35" i="9"/>
  <c r="M9" i="9"/>
  <c r="AB102" i="9"/>
  <c r="Z500" i="12"/>
  <c r="Y500" i="12"/>
  <c r="W507" i="12"/>
  <c r="W487" i="12"/>
  <c r="V488" i="12"/>
  <c r="AA488" i="12" s="1"/>
  <c r="Z404" i="12"/>
  <c r="Y404" i="12"/>
  <c r="V452" i="12"/>
  <c r="AA452" i="12" s="1"/>
  <c r="V432" i="12"/>
  <c r="AA432" i="12" s="1"/>
  <c r="Z402" i="12"/>
  <c r="Y402" i="12"/>
  <c r="W511" i="12"/>
  <c r="V481" i="12"/>
  <c r="AA481" i="12" s="1"/>
  <c r="W475" i="12"/>
  <c r="V456" i="12"/>
  <c r="AA456" i="12" s="1"/>
  <c r="W441" i="12"/>
  <c r="W429" i="12"/>
  <c r="W415" i="12"/>
  <c r="W410" i="12"/>
  <c r="Z366" i="12"/>
  <c r="Y366" i="12"/>
  <c r="Y334" i="12"/>
  <c r="Y302" i="12"/>
  <c r="W431" i="12"/>
  <c r="V422" i="12"/>
  <c r="AA422" i="12" s="1"/>
  <c r="V410" i="12"/>
  <c r="AA410" i="12" s="1"/>
  <c r="V396" i="12"/>
  <c r="AA396" i="12" s="1"/>
  <c r="V391" i="12"/>
  <c r="AA391" i="12" s="1"/>
  <c r="Z387" i="12"/>
  <c r="Y387" i="12"/>
  <c r="W382" i="12"/>
  <c r="W374" i="12"/>
  <c r="W454" i="12"/>
  <c r="W439" i="12"/>
  <c r="W408" i="12"/>
  <c r="V438" i="12"/>
  <c r="AA438" i="12" s="1"/>
  <c r="W392" i="12"/>
  <c r="W365" i="12"/>
  <c r="V328" i="12"/>
  <c r="AA328" i="12" s="1"/>
  <c r="Y309" i="12"/>
  <c r="W425" i="12"/>
  <c r="W381" i="12"/>
  <c r="V363" i="12"/>
  <c r="AA363" i="12" s="1"/>
  <c r="V360" i="12"/>
  <c r="AA360" i="12" s="1"/>
  <c r="Z348" i="12"/>
  <c r="Y348" i="12"/>
  <c r="Y346" i="12"/>
  <c r="Z346" i="12"/>
  <c r="V323" i="12"/>
  <c r="AA323" i="12" s="1"/>
  <c r="V320" i="12"/>
  <c r="AA320" i="12" s="1"/>
  <c r="V308" i="12"/>
  <c r="AA308" i="12" s="1"/>
  <c r="Y301" i="12"/>
  <c r="Z301" i="12"/>
  <c r="V279" i="12"/>
  <c r="AA279" i="12" s="1"/>
  <c r="Z246" i="12"/>
  <c r="Y246" i="12"/>
  <c r="V409" i="12"/>
  <c r="AA409" i="12" s="1"/>
  <c r="V384" i="12"/>
  <c r="AA384" i="12" s="1"/>
  <c r="W357" i="12"/>
  <c r="V348" i="12"/>
  <c r="AA348" i="12" s="1"/>
  <c r="V315" i="12"/>
  <c r="AA315" i="12" s="1"/>
  <c r="V297" i="12"/>
  <c r="AA297" i="12" s="1"/>
  <c r="Z292" i="12"/>
  <c r="Y292" i="12"/>
  <c r="W444" i="12"/>
  <c r="W414" i="12"/>
  <c r="W356" i="12"/>
  <c r="W354" i="12"/>
  <c r="V338" i="12"/>
  <c r="AA338" i="12" s="1"/>
  <c r="W361" i="12"/>
  <c r="W321" i="12"/>
  <c r="V271" i="12"/>
  <c r="AA271" i="12" s="1"/>
  <c r="Y242" i="12"/>
  <c r="Z242" i="12"/>
  <c r="V231" i="12"/>
  <c r="AA231" i="12" s="1"/>
  <c r="Y210" i="12"/>
  <c r="Z210" i="12"/>
  <c r="V386" i="12"/>
  <c r="AA386" i="12" s="1"/>
  <c r="W345" i="12"/>
  <c r="W284" i="12"/>
  <c r="W276" i="12"/>
  <c r="W263" i="12"/>
  <c r="Z258" i="12"/>
  <c r="Y258" i="12"/>
  <c r="W316" i="12"/>
  <c r="W295" i="12"/>
  <c r="V268" i="12"/>
  <c r="AA268" i="12" s="1"/>
  <c r="V250" i="12"/>
  <c r="AA250" i="12" s="1"/>
  <c r="W234" i="12"/>
  <c r="V223" i="12"/>
  <c r="AA223" i="12" s="1"/>
  <c r="Y202" i="12"/>
  <c r="Z202" i="12"/>
  <c r="V180" i="12"/>
  <c r="AA180" i="12" s="1"/>
  <c r="V324" i="12"/>
  <c r="AA324" i="12" s="1"/>
  <c r="V306" i="12"/>
  <c r="AA306" i="12" s="1"/>
  <c r="W274" i="12"/>
  <c r="V262" i="12"/>
  <c r="AA262" i="12" s="1"/>
  <c r="V256" i="12"/>
  <c r="AA256" i="12" s="1"/>
  <c r="W243" i="12"/>
  <c r="V228" i="12"/>
  <c r="AA228" i="12" s="1"/>
  <c r="W211" i="12"/>
  <c r="V196" i="12"/>
  <c r="AA196" i="12" s="1"/>
  <c r="V177" i="12"/>
  <c r="AA177" i="12" s="1"/>
  <c r="W267" i="12"/>
  <c r="W247" i="12"/>
  <c r="W230" i="12"/>
  <c r="V244" i="12"/>
  <c r="AA244" i="12" s="1"/>
  <c r="V227" i="12"/>
  <c r="AA227" i="12" s="1"/>
  <c r="W212" i="12"/>
  <c r="V195" i="12"/>
  <c r="AA195" i="12" s="1"/>
  <c r="V253" i="12"/>
  <c r="AA253" i="12" s="1"/>
  <c r="W220" i="12"/>
  <c r="W213" i="12"/>
  <c r="V187" i="12"/>
  <c r="AA187" i="12" s="1"/>
  <c r="V181" i="12"/>
  <c r="AA181" i="12" s="1"/>
  <c r="Y159" i="12"/>
  <c r="Z159" i="12"/>
  <c r="Y127" i="12"/>
  <c r="W216" i="12"/>
  <c r="W193" i="12"/>
  <c r="V184" i="12"/>
  <c r="AA184" i="12" s="1"/>
  <c r="W176" i="12"/>
  <c r="Z164" i="12"/>
  <c r="Y164" i="12"/>
  <c r="Y152" i="12"/>
  <c r="Z152" i="12"/>
  <c r="W147" i="12"/>
  <c r="Y130" i="12"/>
  <c r="Z130" i="12"/>
  <c r="Z111" i="12"/>
  <c r="Y111" i="12"/>
  <c r="V101" i="12"/>
  <c r="AA101" i="12" s="1"/>
  <c r="Y84" i="12"/>
  <c r="Z84" i="12"/>
  <c r="Y68" i="12"/>
  <c r="Z68" i="12"/>
  <c r="W52" i="12"/>
  <c r="V122" i="12"/>
  <c r="AA122" i="12" s="1"/>
  <c r="V186" i="12"/>
  <c r="AA186" i="12" s="1"/>
  <c r="V238" i="12"/>
  <c r="AA238" i="12" s="1"/>
  <c r="V182" i="12"/>
  <c r="AA182" i="12" s="1"/>
  <c r="V198" i="12"/>
  <c r="AA198" i="12" s="1"/>
  <c r="V230" i="12"/>
  <c r="AA230" i="12" s="1"/>
  <c r="W259" i="12"/>
  <c r="V277" i="12"/>
  <c r="AA277" i="12" s="1"/>
  <c r="V334" i="12"/>
  <c r="AA334" i="12" s="1"/>
  <c r="W256" i="12"/>
  <c r="V302" i="12"/>
  <c r="AA302" i="12" s="1"/>
  <c r="W221" i="12"/>
  <c r="V269" i="12"/>
  <c r="AA269" i="12" s="1"/>
  <c r="V293" i="12"/>
  <c r="AA293" i="12" s="1"/>
  <c r="W360" i="12"/>
  <c r="W377" i="12"/>
  <c r="W505" i="12"/>
  <c r="W296" i="12"/>
  <c r="W328" i="12"/>
  <c r="V365" i="12"/>
  <c r="AA365" i="12" s="1"/>
  <c r="V273" i="12"/>
  <c r="AA273" i="12" s="1"/>
  <c r="V309" i="12"/>
  <c r="AA309" i="12" s="1"/>
  <c r="W368" i="12"/>
  <c r="V370" i="12"/>
  <c r="AA370" i="12" s="1"/>
  <c r="V403" i="12"/>
  <c r="AA403" i="12" s="1"/>
  <c r="V435" i="12"/>
  <c r="AA435" i="12" s="1"/>
  <c r="W455" i="12"/>
  <c r="W479" i="12"/>
  <c r="W463" i="12"/>
  <c r="W458" i="12"/>
  <c r="W497" i="12"/>
  <c r="V472" i="12"/>
  <c r="AA472" i="12" s="1"/>
  <c r="V502" i="12"/>
  <c r="AA502" i="12" s="1"/>
  <c r="V514" i="12"/>
  <c r="AA514" i="12" s="1"/>
  <c r="W219" i="12"/>
  <c r="V179" i="12"/>
  <c r="AA179" i="12" s="1"/>
  <c r="W157" i="12"/>
  <c r="V142" i="12"/>
  <c r="AA142" i="12" s="1"/>
  <c r="V127" i="12"/>
  <c r="AA127" i="12" s="1"/>
  <c r="V121" i="12"/>
  <c r="AA121" i="12" s="1"/>
  <c r="V105" i="12"/>
  <c r="AA105" i="12" s="1"/>
  <c r="W59" i="12"/>
  <c r="W51" i="12"/>
  <c r="W43" i="12"/>
  <c r="V16" i="12"/>
  <c r="AA16" i="12" s="1"/>
  <c r="D17" i="5" s="1"/>
  <c r="W192" i="12"/>
  <c r="V160" i="12"/>
  <c r="AA160" i="12" s="1"/>
  <c r="D33" i="5" s="1"/>
  <c r="V151" i="12"/>
  <c r="AA151" i="12" s="1"/>
  <c r="W146" i="12"/>
  <c r="W114" i="12"/>
  <c r="W108" i="12"/>
  <c r="W104" i="12"/>
  <c r="W217" i="12"/>
  <c r="W198" i="12"/>
  <c r="W181" i="12"/>
  <c r="W170" i="12"/>
  <c r="W141" i="12"/>
  <c r="V126" i="12"/>
  <c r="AA126" i="12" s="1"/>
  <c r="W121" i="12"/>
  <c r="W107" i="12"/>
  <c r="W87" i="12"/>
  <c r="W71" i="12"/>
  <c r="W55" i="12"/>
  <c r="W37" i="12"/>
  <c r="Z21" i="12"/>
  <c r="Y21" i="12"/>
  <c r="W5" i="12"/>
  <c r="W132" i="12"/>
  <c r="V102" i="12"/>
  <c r="AA102" i="12" s="1"/>
  <c r="W35" i="12"/>
  <c r="W22" i="12"/>
  <c r="R31" i="10"/>
  <c r="I31" i="10"/>
  <c r="I9" i="10"/>
  <c r="K26" i="10" s="1"/>
  <c r="R9" i="10"/>
  <c r="Y260" i="9"/>
  <c r="AC260" i="9"/>
  <c r="P260" i="9"/>
  <c r="U260" i="9"/>
  <c r="N244" i="9"/>
  <c r="X236" i="9"/>
  <c r="T232" i="9"/>
  <c r="N212" i="9"/>
  <c r="W96" i="12"/>
  <c r="W90" i="12"/>
  <c r="V82" i="12"/>
  <c r="AA82" i="12" s="1"/>
  <c r="W56" i="12"/>
  <c r="W50" i="12"/>
  <c r="V42" i="12"/>
  <c r="AA42" i="12" s="1"/>
  <c r="V37" i="12"/>
  <c r="AA37" i="12" s="1"/>
  <c r="V30" i="12"/>
  <c r="AA30" i="12" s="1"/>
  <c r="V19" i="12"/>
  <c r="AA19" i="12" s="1"/>
  <c r="W12" i="12"/>
  <c r="V5" i="12"/>
  <c r="AA5" i="12" s="1"/>
  <c r="D6" i="5" s="1"/>
  <c r="W93" i="12"/>
  <c r="R29" i="10"/>
  <c r="I29" i="10"/>
  <c r="N20" i="10"/>
  <c r="P20" i="10" s="1"/>
  <c r="N16" i="10"/>
  <c r="P16" i="10" s="1"/>
  <c r="R22" i="10"/>
  <c r="I22" i="10"/>
  <c r="K22" i="10" s="1"/>
  <c r="N33" i="10"/>
  <c r="P33" i="10" s="1"/>
  <c r="R21" i="10"/>
  <c r="I21" i="10"/>
  <c r="N8" i="10"/>
  <c r="P8" i="10" s="1"/>
  <c r="X203" i="9"/>
  <c r="T199" i="9"/>
  <c r="U195" i="9"/>
  <c r="P195" i="9"/>
  <c r="Y195" i="9"/>
  <c r="AC195" i="9"/>
  <c r="N179" i="9"/>
  <c r="X171" i="9"/>
  <c r="T167" i="9"/>
  <c r="U163" i="9"/>
  <c r="P163" i="9"/>
  <c r="Y163" i="9"/>
  <c r="AC163" i="9"/>
  <c r="N147" i="9"/>
  <c r="X139" i="9"/>
  <c r="T135" i="9"/>
  <c r="N115" i="9"/>
  <c r="X107" i="9"/>
  <c r="V110" i="12"/>
  <c r="AA110" i="12" s="1"/>
  <c r="W94" i="12"/>
  <c r="W78" i="12"/>
  <c r="W57" i="12"/>
  <c r="V75" i="12"/>
  <c r="AA75" i="12" s="1"/>
  <c r="W61" i="12"/>
  <c r="V51" i="12"/>
  <c r="AA51" i="12" s="1"/>
  <c r="V33" i="12"/>
  <c r="AA33" i="12" s="1"/>
  <c r="D34" i="5" s="1"/>
  <c r="V26" i="12"/>
  <c r="AA26" i="12" s="1"/>
  <c r="K18" i="10"/>
  <c r="N28" i="10"/>
  <c r="P28" i="10" s="1"/>
  <c r="N36" i="10"/>
  <c r="P36" i="10" s="1"/>
  <c r="N259" i="9"/>
  <c r="N249" i="9"/>
  <c r="AB244" i="9"/>
  <c r="O243" i="9"/>
  <c r="M243" i="9"/>
  <c r="X217" i="9"/>
  <c r="X211" i="9"/>
  <c r="T106" i="9"/>
  <c r="T114" i="9"/>
  <c r="T101" i="9"/>
  <c r="T85" i="9"/>
  <c r="N81" i="9"/>
  <c r="X73" i="9"/>
  <c r="T79" i="9"/>
  <c r="T87" i="9"/>
  <c r="T95" i="9"/>
  <c r="T69" i="9"/>
  <c r="T71" i="9"/>
  <c r="N7" i="10"/>
  <c r="P7" i="10" s="1"/>
  <c r="N250" i="9"/>
  <c r="K245" i="9"/>
  <c r="W49" i="12"/>
  <c r="W34" i="12"/>
  <c r="W15" i="12"/>
  <c r="K12" i="10"/>
  <c r="X257" i="9"/>
  <c r="N254" i="9"/>
  <c r="T239" i="9"/>
  <c r="N235" i="9"/>
  <c r="K230" i="9"/>
  <c r="AB225" i="9"/>
  <c r="N222" i="9"/>
  <c r="K213" i="9"/>
  <c r="N204" i="9"/>
  <c r="AB200" i="9"/>
  <c r="K208" i="9"/>
  <c r="K198" i="9"/>
  <c r="M180" i="9"/>
  <c r="O180" i="9"/>
  <c r="N172" i="9"/>
  <c r="T166" i="9"/>
  <c r="T164" i="9"/>
  <c r="N149" i="9"/>
  <c r="T144" i="9"/>
  <c r="K138" i="9"/>
  <c r="AB134" i="9"/>
  <c r="AC134" i="9" s="1"/>
  <c r="X128" i="9"/>
  <c r="N118" i="9"/>
  <c r="T112" i="9"/>
  <c r="M106" i="9"/>
  <c r="AB103" i="9"/>
  <c r="N96" i="9"/>
  <c r="AB85" i="9"/>
  <c r="N74" i="9"/>
  <c r="N64" i="9"/>
  <c r="X56" i="9"/>
  <c r="T52" i="9"/>
  <c r="N48" i="9"/>
  <c r="X40" i="9"/>
  <c r="T36" i="9"/>
  <c r="N32" i="9"/>
  <c r="X24" i="9"/>
  <c r="T20" i="9"/>
  <c r="N16" i="9"/>
  <c r="X8" i="9"/>
  <c r="V17" i="12"/>
  <c r="AA17" i="12" s="1"/>
  <c r="D18" i="5" s="1"/>
  <c r="V10" i="12"/>
  <c r="AA10" i="12" s="1"/>
  <c r="D11" i="5" s="1"/>
  <c r="W113" i="12"/>
  <c r="N9" i="10"/>
  <c r="P9" i="10" s="1"/>
  <c r="AB253" i="9"/>
  <c r="AB246" i="9"/>
  <c r="X245" i="9"/>
  <c r="X234" i="9"/>
  <c r="N233" i="9"/>
  <c r="N225" i="9"/>
  <c r="K217" i="9"/>
  <c r="N213" i="9"/>
  <c r="K204" i="9"/>
  <c r="N196" i="9"/>
  <c r="AB192" i="9"/>
  <c r="K190" i="9"/>
  <c r="AB180" i="9"/>
  <c r="AB173" i="9"/>
  <c r="K168" i="9"/>
  <c r="X161" i="9"/>
  <c r="AB158" i="9"/>
  <c r="X152" i="9"/>
  <c r="N141" i="9"/>
  <c r="T136" i="9"/>
  <c r="M131" i="9"/>
  <c r="X126" i="9"/>
  <c r="N121" i="9"/>
  <c r="AB109" i="9"/>
  <c r="M104" i="9"/>
  <c r="M74" i="9"/>
  <c r="X61" i="9"/>
  <c r="N57" i="9"/>
  <c r="X49" i="9"/>
  <c r="T45" i="9"/>
  <c r="N41" i="9"/>
  <c r="X33" i="9"/>
  <c r="T29" i="9"/>
  <c r="N25" i="9"/>
  <c r="X17" i="9"/>
  <c r="R20" i="10"/>
  <c r="AB256" i="9"/>
  <c r="K242" i="9"/>
  <c r="AB239" i="9"/>
  <c r="AB235" i="9"/>
  <c r="X230" i="9"/>
  <c r="AB223" i="9"/>
  <c r="X215" i="9"/>
  <c r="N210" i="9"/>
  <c r="N221" i="9"/>
  <c r="N197" i="9"/>
  <c r="K192" i="9"/>
  <c r="K186" i="9"/>
  <c r="AB183" i="9"/>
  <c r="K182" i="9"/>
  <c r="X176" i="9"/>
  <c r="AB187" i="9"/>
  <c r="AB179" i="9"/>
  <c r="AB170" i="9"/>
  <c r="AB165" i="9"/>
  <c r="AB194" i="9"/>
  <c r="AC194" i="9" s="1"/>
  <c r="N156" i="9"/>
  <c r="K153" i="9"/>
  <c r="T150" i="9"/>
  <c r="K149" i="9"/>
  <c r="AB137" i="9"/>
  <c r="K132" i="9"/>
  <c r="N124" i="9"/>
  <c r="X121" i="9"/>
  <c r="AB118" i="9"/>
  <c r="N6" i="10"/>
  <c r="P6" i="10" s="1"/>
  <c r="N251" i="9"/>
  <c r="K251" i="9"/>
  <c r="N241" i="9"/>
  <c r="X238" i="9"/>
  <c r="N230" i="9"/>
  <c r="T227" i="9"/>
  <c r="K223" i="9"/>
  <c r="AB219" i="9"/>
  <c r="K214" i="9"/>
  <c r="N209" i="9"/>
  <c r="T206" i="9"/>
  <c r="X205" i="9"/>
  <c r="X200" i="9"/>
  <c r="AB193" i="9"/>
  <c r="AB189" i="9"/>
  <c r="N180" i="9"/>
  <c r="X177" i="9"/>
  <c r="T174" i="9"/>
  <c r="X173" i="9"/>
  <c r="X168" i="9"/>
  <c r="AB161" i="9"/>
  <c r="AB157" i="9"/>
  <c r="N148" i="9"/>
  <c r="X145" i="9"/>
  <c r="T142" i="9"/>
  <c r="X141" i="9"/>
  <c r="X136" i="9"/>
  <c r="AB129" i="9"/>
  <c r="AB125" i="9"/>
  <c r="N116" i="9"/>
  <c r="K113" i="9"/>
  <c r="T110" i="9"/>
  <c r="K109" i="9"/>
  <c r="X100" i="9"/>
  <c r="X92" i="9"/>
  <c r="X84" i="9"/>
  <c r="X76" i="9"/>
  <c r="X68" i="9"/>
  <c r="X59" i="9"/>
  <c r="X55" i="9"/>
  <c r="X51" i="9"/>
  <c r="X47" i="9"/>
  <c r="X43" i="9"/>
  <c r="X39" i="9"/>
  <c r="X35" i="9"/>
  <c r="X31" i="9"/>
  <c r="X27" i="9"/>
  <c r="X23" i="9"/>
  <c r="X19" i="9"/>
  <c r="X15" i="9"/>
  <c r="X11" i="9"/>
  <c r="X7" i="9"/>
  <c r="T242" i="9"/>
  <c r="T197" i="9"/>
  <c r="T189" i="9"/>
  <c r="X170" i="9"/>
  <c r="K161" i="9"/>
  <c r="T141" i="9"/>
  <c r="X130" i="9"/>
  <c r="T122" i="9"/>
  <c r="N112" i="9"/>
  <c r="AB95" i="9"/>
  <c r="X88" i="9"/>
  <c r="T86" i="9"/>
  <c r="T83" i="9"/>
  <c r="T74" i="9"/>
  <c r="M71" i="9"/>
  <c r="M61" i="9"/>
  <c r="AB53" i="9"/>
  <c r="X46" i="9"/>
  <c r="T38" i="9"/>
  <c r="M32" i="9"/>
  <c r="M18" i="9"/>
  <c r="M12" i="9"/>
  <c r="X6" i="9"/>
  <c r="X253" i="9"/>
  <c r="T218" i="9"/>
  <c r="T201" i="9"/>
  <c r="X185" i="9"/>
  <c r="K167" i="9"/>
  <c r="X157" i="9"/>
  <c r="N144" i="9"/>
  <c r="AB131" i="9"/>
  <c r="T117" i="9"/>
  <c r="N110" i="9"/>
  <c r="X105" i="9"/>
  <c r="AB98" i="9"/>
  <c r="X94" i="9"/>
  <c r="AB91" i="9"/>
  <c r="T82" i="9"/>
  <c r="K79" i="9"/>
  <c r="K69" i="9"/>
  <c r="X63" i="9"/>
  <c r="AB58" i="9"/>
  <c r="M54" i="9"/>
  <c r="N46" i="9"/>
  <c r="AB40" i="9"/>
  <c r="M33" i="9"/>
  <c r="AB25" i="9"/>
  <c r="X18" i="9"/>
  <c r="AB10" i="9"/>
  <c r="K234" i="9"/>
  <c r="AB208" i="9"/>
  <c r="K224" i="9"/>
  <c r="N186" i="9"/>
  <c r="T170" i="9"/>
  <c r="AB159" i="9"/>
  <c r="X146" i="9"/>
  <c r="T146" i="9"/>
  <c r="K125" i="9"/>
  <c r="N113" i="9"/>
  <c r="K102" i="9"/>
  <c r="K119" i="9"/>
  <c r="N99" i="9"/>
  <c r="N95" i="9"/>
  <c r="T88" i="9"/>
  <c r="N84" i="9"/>
  <c r="AB74" i="9"/>
  <c r="X70" i="9"/>
  <c r="AB67" i="9"/>
  <c r="AB62" i="9"/>
  <c r="K56" i="9"/>
  <c r="AB46" i="9"/>
  <c r="K43" i="9"/>
  <c r="K37" i="9"/>
  <c r="AB29" i="9"/>
  <c r="X22" i="9"/>
  <c r="H226" i="9"/>
  <c r="H222" i="9"/>
  <c r="H218" i="9"/>
  <c r="H214" i="9"/>
  <c r="H210" i="9"/>
  <c r="H227" i="9"/>
  <c r="H219" i="9"/>
  <c r="H211" i="9"/>
  <c r="O211" i="9" s="1"/>
  <c r="H205" i="9"/>
  <c r="H201" i="9"/>
  <c r="O201" i="9" s="1"/>
  <c r="H197" i="9"/>
  <c r="H228" i="9"/>
  <c r="Y228" i="9" s="1"/>
  <c r="H206" i="9"/>
  <c r="H198" i="9"/>
  <c r="P198" i="9" s="1"/>
  <c r="H220" i="9"/>
  <c r="H216" i="9"/>
  <c r="H223" i="9"/>
  <c r="H209" i="9"/>
  <c r="H207" i="9"/>
  <c r="H225" i="9"/>
  <c r="H221" i="9"/>
  <c r="O221" i="9" s="1"/>
  <c r="H217" i="9"/>
  <c r="H215" i="9"/>
  <c r="O215" i="9" s="1"/>
  <c r="H213" i="9"/>
  <c r="H204" i="9"/>
  <c r="H203" i="9"/>
  <c r="H202" i="9"/>
  <c r="H199" i="9"/>
  <c r="H224" i="9"/>
  <c r="H212" i="9"/>
  <c r="H208" i="9"/>
  <c r="H200" i="9"/>
  <c r="N237" i="9"/>
  <c r="T247" i="9"/>
  <c r="N211" i="9"/>
  <c r="X223" i="9"/>
  <c r="N182" i="9"/>
  <c r="AB167" i="9"/>
  <c r="T162" i="9"/>
  <c r="AB154" i="9"/>
  <c r="T137" i="9"/>
  <c r="AB123" i="9"/>
  <c r="AB106" i="9"/>
  <c r="T96" i="9"/>
  <c r="N92" i="9"/>
  <c r="AB82" i="9"/>
  <c r="X78" i="9"/>
  <c r="AB75" i="9"/>
  <c r="T66" i="9"/>
  <c r="K63" i="9"/>
  <c r="K57" i="9"/>
  <c r="AB49" i="9"/>
  <c r="K44" i="9"/>
  <c r="AB34" i="9"/>
  <c r="M30" i="9"/>
  <c r="N22" i="9"/>
  <c r="AB16" i="9"/>
  <c r="N13" i="9"/>
  <c r="T9" i="9"/>
  <c r="AB5" i="9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B23" i="6"/>
  <c r="AB73" i="9"/>
  <c r="M13" i="9"/>
  <c r="M31" i="9"/>
  <c r="AB97" i="9"/>
  <c r="M6" i="9"/>
  <c r="AB86" i="9"/>
  <c r="M26" i="10" l="1"/>
  <c r="O26" i="10"/>
  <c r="M26" i="7" s="1"/>
  <c r="M34" i="10"/>
  <c r="O34" i="10"/>
  <c r="M34" i="7" s="1"/>
  <c r="G8" i="2"/>
  <c r="M10" i="10"/>
  <c r="O10" i="10"/>
  <c r="M10" i="7" s="1"/>
  <c r="M57" i="9"/>
  <c r="Y211" i="9"/>
  <c r="AC211" i="9"/>
  <c r="P211" i="9"/>
  <c r="Q211" i="9" s="1"/>
  <c r="U211" i="9"/>
  <c r="M56" i="9"/>
  <c r="M125" i="9"/>
  <c r="M234" i="9"/>
  <c r="O234" i="9"/>
  <c r="M69" i="9"/>
  <c r="O167" i="9"/>
  <c r="M167" i="9"/>
  <c r="M161" i="9"/>
  <c r="O161" i="9"/>
  <c r="M109" i="9"/>
  <c r="M214" i="9"/>
  <c r="O214" i="9"/>
  <c r="AC230" i="9"/>
  <c r="Y230" i="9"/>
  <c r="U230" i="9"/>
  <c r="P230" i="9"/>
  <c r="AC251" i="9"/>
  <c r="P251" i="9"/>
  <c r="U251" i="9"/>
  <c r="Y251" i="9"/>
  <c r="O192" i="9"/>
  <c r="M192" i="9"/>
  <c r="P196" i="9"/>
  <c r="AC196" i="9"/>
  <c r="Y196" i="9"/>
  <c r="U196" i="9"/>
  <c r="P225" i="9"/>
  <c r="AC225" i="9"/>
  <c r="U225" i="9"/>
  <c r="Y225" i="9"/>
  <c r="P172" i="9"/>
  <c r="AC172" i="9"/>
  <c r="Y172" i="9"/>
  <c r="U172" i="9"/>
  <c r="O208" i="9"/>
  <c r="M208" i="9"/>
  <c r="AC222" i="9"/>
  <c r="Y222" i="9"/>
  <c r="U222" i="9"/>
  <c r="P222" i="9"/>
  <c r="O245" i="9"/>
  <c r="M245" i="9"/>
  <c r="P259" i="9"/>
  <c r="Y259" i="9"/>
  <c r="AC259" i="9"/>
  <c r="U259" i="9"/>
  <c r="D27" i="5"/>
  <c r="U179" i="9"/>
  <c r="P179" i="9"/>
  <c r="AC179" i="9"/>
  <c r="Y179" i="9"/>
  <c r="K21" i="10"/>
  <c r="Z12" i="12"/>
  <c r="Y12" i="12"/>
  <c r="Y90" i="12"/>
  <c r="Z90" i="12"/>
  <c r="P228" i="9"/>
  <c r="K31" i="10"/>
  <c r="Z87" i="12"/>
  <c r="Y87" i="12"/>
  <c r="Z141" i="12"/>
  <c r="Y141" i="12"/>
  <c r="Z217" i="12"/>
  <c r="Y217" i="12"/>
  <c r="Y146" i="12"/>
  <c r="Z146" i="12"/>
  <c r="Z59" i="12"/>
  <c r="Y59" i="12"/>
  <c r="Z458" i="12"/>
  <c r="Y458" i="12"/>
  <c r="Z296" i="12"/>
  <c r="Y296" i="12"/>
  <c r="Z256" i="12"/>
  <c r="Y256" i="12"/>
  <c r="Z147" i="12"/>
  <c r="Y147" i="12"/>
  <c r="Z216" i="12"/>
  <c r="Y216" i="12"/>
  <c r="Z220" i="12"/>
  <c r="Y220" i="12"/>
  <c r="Z267" i="12"/>
  <c r="Y267" i="12"/>
  <c r="Z274" i="12"/>
  <c r="Y274" i="12"/>
  <c r="Z284" i="12"/>
  <c r="Y284" i="12"/>
  <c r="Y354" i="12"/>
  <c r="Z354" i="12"/>
  <c r="Z309" i="12"/>
  <c r="Z392" i="12"/>
  <c r="Y392" i="12"/>
  <c r="Z454" i="12"/>
  <c r="Y454" i="12"/>
  <c r="Z410" i="12"/>
  <c r="Y410" i="12"/>
  <c r="Y507" i="12"/>
  <c r="Z507" i="12"/>
  <c r="M64" i="9"/>
  <c r="M97" i="9"/>
  <c r="M70" i="9"/>
  <c r="M99" i="9"/>
  <c r="M80" i="9"/>
  <c r="Y166" i="9"/>
  <c r="AC166" i="9"/>
  <c r="U166" i="9"/>
  <c r="P166" i="9"/>
  <c r="P257" i="9"/>
  <c r="Y257" i="9"/>
  <c r="AC257" i="9"/>
  <c r="U257" i="9"/>
  <c r="O146" i="9"/>
  <c r="M146" i="9"/>
  <c r="AC169" i="9"/>
  <c r="Y169" i="9"/>
  <c r="U169" i="9"/>
  <c r="P169" i="9"/>
  <c r="O184" i="9"/>
  <c r="M184" i="9"/>
  <c r="O206" i="9"/>
  <c r="M206" i="9"/>
  <c r="O239" i="9"/>
  <c r="M239" i="9"/>
  <c r="O154" i="9"/>
  <c r="M154" i="9"/>
  <c r="P200" i="9"/>
  <c r="U200" i="9"/>
  <c r="Y200" i="9"/>
  <c r="AC200" i="9"/>
  <c r="K7" i="10"/>
  <c r="AC153" i="9"/>
  <c r="Y153" i="9"/>
  <c r="U153" i="9"/>
  <c r="P153" i="9"/>
  <c r="AC173" i="9"/>
  <c r="Y173" i="9"/>
  <c r="U173" i="9"/>
  <c r="P173" i="9"/>
  <c r="O200" i="9"/>
  <c r="M200" i="9"/>
  <c r="D19" i="5"/>
  <c r="AC146" i="9"/>
  <c r="Y146" i="9"/>
  <c r="U146" i="9"/>
  <c r="P146" i="9"/>
  <c r="Q146" i="9" s="1"/>
  <c r="O195" i="9"/>
  <c r="M195" i="9"/>
  <c r="AC207" i="9"/>
  <c r="Y207" i="9"/>
  <c r="U207" i="9"/>
  <c r="P207" i="9"/>
  <c r="Q34" i="10"/>
  <c r="D35" i="5"/>
  <c r="Z65" i="12"/>
  <c r="Y65" i="12"/>
  <c r="AC159" i="9"/>
  <c r="Y159" i="9"/>
  <c r="U159" i="9"/>
  <c r="P159" i="9"/>
  <c r="Z20" i="12"/>
  <c r="Y20" i="12"/>
  <c r="Y58" i="12"/>
  <c r="Z58" i="12"/>
  <c r="Y98" i="12"/>
  <c r="Z98" i="12"/>
  <c r="U224" i="9"/>
  <c r="P224" i="9"/>
  <c r="AC224" i="9"/>
  <c r="Y224" i="9"/>
  <c r="U256" i="9"/>
  <c r="P256" i="9"/>
  <c r="Y256" i="9"/>
  <c r="AC256" i="9"/>
  <c r="Z115" i="12"/>
  <c r="Y115" i="12"/>
  <c r="Z241" i="12"/>
  <c r="Y241" i="12"/>
  <c r="Z100" i="12"/>
  <c r="Y100" i="12"/>
  <c r="Z148" i="12"/>
  <c r="Y148" i="12"/>
  <c r="Z225" i="12"/>
  <c r="Y225" i="12"/>
  <c r="Z430" i="12"/>
  <c r="Y430" i="12"/>
  <c r="Z205" i="12"/>
  <c r="Y205" i="12"/>
  <c r="Z235" i="12"/>
  <c r="Y235" i="12"/>
  <c r="Y238" i="12"/>
  <c r="Z238" i="12"/>
  <c r="Y207" i="12"/>
  <c r="Z207" i="12"/>
  <c r="Z327" i="12"/>
  <c r="Y327" i="12"/>
  <c r="Z372" i="12"/>
  <c r="Y372" i="12"/>
  <c r="Z375" i="12"/>
  <c r="Y375" i="12"/>
  <c r="Z448" i="12"/>
  <c r="Y448" i="12"/>
  <c r="Z363" i="12"/>
  <c r="Y363" i="12"/>
  <c r="Z398" i="12"/>
  <c r="Y398" i="12"/>
  <c r="Y394" i="12"/>
  <c r="Z394" i="12"/>
  <c r="Z370" i="12"/>
  <c r="Y370" i="12"/>
  <c r="Z443" i="12"/>
  <c r="Y443" i="12"/>
  <c r="Z450" i="12"/>
  <c r="Y450" i="12"/>
  <c r="Y503" i="12"/>
  <c r="Z503" i="12"/>
  <c r="Y514" i="12"/>
  <c r="Z514" i="12"/>
  <c r="O85" i="9"/>
  <c r="M85" i="9"/>
  <c r="M218" i="9"/>
  <c r="O218" i="9"/>
  <c r="M53" i="9"/>
  <c r="U150" i="9"/>
  <c r="P150" i="9"/>
  <c r="Y150" i="9"/>
  <c r="AC150" i="9"/>
  <c r="O107" i="9"/>
  <c r="M107" i="9"/>
  <c r="M137" i="9"/>
  <c r="O137" i="9"/>
  <c r="AC83" i="9"/>
  <c r="U83" i="9"/>
  <c r="P83" i="9"/>
  <c r="Q83" i="9" s="1"/>
  <c r="P128" i="9"/>
  <c r="AC128" i="9"/>
  <c r="M165" i="9"/>
  <c r="O165" i="9"/>
  <c r="O179" i="9"/>
  <c r="M179" i="9"/>
  <c r="AC218" i="9"/>
  <c r="Y218" i="9"/>
  <c r="U218" i="9"/>
  <c r="P218" i="9"/>
  <c r="Q218" i="9" s="1"/>
  <c r="O252" i="9"/>
  <c r="M252" i="9"/>
  <c r="O248" i="9"/>
  <c r="M248" i="9"/>
  <c r="AC133" i="9"/>
  <c r="Y133" i="9"/>
  <c r="U133" i="9"/>
  <c r="P133" i="9"/>
  <c r="O155" i="9"/>
  <c r="M155" i="9"/>
  <c r="M233" i="9"/>
  <c r="O233" i="9"/>
  <c r="M140" i="9"/>
  <c r="O140" i="9"/>
  <c r="AC214" i="9"/>
  <c r="Y214" i="9"/>
  <c r="U214" i="9"/>
  <c r="P214" i="9"/>
  <c r="K28" i="10"/>
  <c r="P90" i="9"/>
  <c r="Q90" i="9" s="1"/>
  <c r="U90" i="9"/>
  <c r="Y90" i="9"/>
  <c r="M148" i="9"/>
  <c r="O148" i="9"/>
  <c r="Y243" i="9"/>
  <c r="AC243" i="9"/>
  <c r="P243" i="9"/>
  <c r="Q243" i="9" s="1"/>
  <c r="U243" i="9"/>
  <c r="M249" i="9"/>
  <c r="O249" i="9"/>
  <c r="M247" i="9"/>
  <c r="O247" i="9"/>
  <c r="Z45" i="12"/>
  <c r="Y45" i="12"/>
  <c r="Y86" i="12"/>
  <c r="Z86" i="12"/>
  <c r="U123" i="9"/>
  <c r="P123" i="9"/>
  <c r="Y123" i="9"/>
  <c r="F29" i="2" s="1"/>
  <c r="U187" i="9"/>
  <c r="P187" i="9"/>
  <c r="Y187" i="9"/>
  <c r="AC187" i="9"/>
  <c r="K17" i="10"/>
  <c r="D15" i="5"/>
  <c r="Z40" i="12"/>
  <c r="Y40" i="12"/>
  <c r="Z80" i="12"/>
  <c r="Y80" i="12"/>
  <c r="AC236" i="9"/>
  <c r="U236" i="9"/>
  <c r="Y236" i="9"/>
  <c r="P236" i="9"/>
  <c r="Y19" i="12"/>
  <c r="Z19" i="12"/>
  <c r="Z29" i="12"/>
  <c r="Y29" i="12"/>
  <c r="Z95" i="12"/>
  <c r="Y95" i="12"/>
  <c r="Z204" i="12"/>
  <c r="Y204" i="12"/>
  <c r="Z116" i="12"/>
  <c r="Y116" i="12"/>
  <c r="Z149" i="12"/>
  <c r="Y149" i="12"/>
  <c r="Z125" i="12"/>
  <c r="Y125" i="12"/>
  <c r="Z161" i="12"/>
  <c r="Y161" i="12"/>
  <c r="Z232" i="12"/>
  <c r="Y232" i="12"/>
  <c r="Z466" i="12"/>
  <c r="Y466" i="12"/>
  <c r="Z336" i="12"/>
  <c r="Y336" i="12"/>
  <c r="Z320" i="12"/>
  <c r="Y320" i="12"/>
  <c r="Y60" i="12"/>
  <c r="Z60" i="12"/>
  <c r="Z224" i="12"/>
  <c r="Y224" i="12"/>
  <c r="Z203" i="12"/>
  <c r="Y203" i="12"/>
  <c r="Y245" i="12"/>
  <c r="Z245" i="12"/>
  <c r="Y218" i="12"/>
  <c r="Z218" i="12"/>
  <c r="Z283" i="12"/>
  <c r="Y283" i="12"/>
  <c r="Y194" i="12"/>
  <c r="Z194" i="12"/>
  <c r="Y351" i="12"/>
  <c r="Z351" i="12"/>
  <c r="Z262" i="12"/>
  <c r="Y262" i="12"/>
  <c r="Z332" i="12"/>
  <c r="Y332" i="12"/>
  <c r="Y330" i="12"/>
  <c r="Z330" i="12"/>
  <c r="Y419" i="12"/>
  <c r="Z419" i="12"/>
  <c r="Y378" i="12"/>
  <c r="Z378" i="12"/>
  <c r="Z420" i="12"/>
  <c r="Y420" i="12"/>
  <c r="Y494" i="12"/>
  <c r="Z494" i="12"/>
  <c r="Z397" i="12"/>
  <c r="Y397" i="12"/>
  <c r="Z401" i="12"/>
  <c r="Y401" i="12"/>
  <c r="M65" i="9"/>
  <c r="H99" i="9"/>
  <c r="U99" i="9" s="1"/>
  <c r="H95" i="9"/>
  <c r="O95" i="9" s="1"/>
  <c r="H91" i="9"/>
  <c r="H87" i="9"/>
  <c r="AC87" i="9" s="1"/>
  <c r="H83" i="9"/>
  <c r="O83" i="9" s="1"/>
  <c r="H79" i="9"/>
  <c r="H75" i="9"/>
  <c r="H71" i="9"/>
  <c r="O71" i="9" s="1"/>
  <c r="H97" i="9"/>
  <c r="AC97" i="9" s="1"/>
  <c r="H94" i="9"/>
  <c r="AC94" i="9" s="1"/>
  <c r="H89" i="9"/>
  <c r="H86" i="9"/>
  <c r="O86" i="9" s="1"/>
  <c r="H81" i="9"/>
  <c r="H78" i="9"/>
  <c r="H73" i="9"/>
  <c r="H70" i="9"/>
  <c r="O70" i="9" s="1"/>
  <c r="H96" i="9"/>
  <c r="H88" i="9"/>
  <c r="O88" i="9" s="1"/>
  <c r="H80" i="9"/>
  <c r="O80" i="9" s="1"/>
  <c r="H72" i="9"/>
  <c r="H100" i="9"/>
  <c r="H92" i="9"/>
  <c r="H84" i="9"/>
  <c r="O84" i="9" s="1"/>
  <c r="H76" i="9"/>
  <c r="O76" i="9" s="1"/>
  <c r="H85" i="9"/>
  <c r="H74" i="9"/>
  <c r="O74" i="9" s="1"/>
  <c r="H93" i="9"/>
  <c r="H82" i="9"/>
  <c r="O82" i="9" s="1"/>
  <c r="H90" i="9"/>
  <c r="O90" i="9" s="1"/>
  <c r="H69" i="9"/>
  <c r="Y69" i="9" s="1"/>
  <c r="H98" i="9"/>
  <c r="O98" i="9" s="1"/>
  <c r="H77" i="9"/>
  <c r="AC77" i="9" s="1"/>
  <c r="P54" i="9"/>
  <c r="Q54" i="9" s="1"/>
  <c r="M222" i="9"/>
  <c r="O222" i="9"/>
  <c r="M88" i="9"/>
  <c r="M169" i="9"/>
  <c r="O169" i="9"/>
  <c r="M38" i="9"/>
  <c r="O38" i="9"/>
  <c r="AC154" i="9"/>
  <c r="Y154" i="9"/>
  <c r="U154" i="9"/>
  <c r="P154" i="9"/>
  <c r="Q154" i="9" s="1"/>
  <c r="M103" i="9"/>
  <c r="M157" i="9"/>
  <c r="O157" i="9"/>
  <c r="M124" i="9"/>
  <c r="M177" i="9"/>
  <c r="O177" i="9"/>
  <c r="P229" i="9"/>
  <c r="U229" i="9"/>
  <c r="Y229" i="9"/>
  <c r="AC229" i="9"/>
  <c r="M164" i="9"/>
  <c r="O164" i="9"/>
  <c r="M185" i="9"/>
  <c r="O185" i="9"/>
  <c r="O235" i="9"/>
  <c r="M235" i="9"/>
  <c r="M172" i="9"/>
  <c r="O172" i="9"/>
  <c r="O159" i="9"/>
  <c r="M159" i="9"/>
  <c r="Z41" i="12"/>
  <c r="Y41" i="12"/>
  <c r="U69" i="9"/>
  <c r="AC69" i="9"/>
  <c r="D26" i="5"/>
  <c r="Z73" i="12"/>
  <c r="Y73" i="12"/>
  <c r="AC135" i="9"/>
  <c r="Y135" i="9"/>
  <c r="U135" i="9"/>
  <c r="P135" i="9"/>
  <c r="AC199" i="9"/>
  <c r="Y199" i="9"/>
  <c r="U199" i="9"/>
  <c r="P199" i="9"/>
  <c r="Q199" i="9" s="1"/>
  <c r="K19" i="10"/>
  <c r="D30" i="5"/>
  <c r="U232" i="9"/>
  <c r="P232" i="9"/>
  <c r="AC232" i="9"/>
  <c r="Y232" i="9"/>
  <c r="K30" i="10"/>
  <c r="Z17" i="12"/>
  <c r="Y17" i="12"/>
  <c r="Y178" i="12"/>
  <c r="Z178" i="12"/>
  <c r="Y158" i="12"/>
  <c r="Z158" i="12"/>
  <c r="Z75" i="12"/>
  <c r="Y75" i="12"/>
  <c r="Z237" i="12"/>
  <c r="Y237" i="12"/>
  <c r="Z189" i="12"/>
  <c r="Y189" i="12"/>
  <c r="Y168" i="12"/>
  <c r="Z168" i="12"/>
  <c r="Z233" i="12"/>
  <c r="Y233" i="12"/>
  <c r="Z179" i="12"/>
  <c r="Y179" i="12"/>
  <c r="Z244" i="12"/>
  <c r="Y244" i="12"/>
  <c r="Y289" i="12"/>
  <c r="Z289" i="12"/>
  <c r="Y231" i="12"/>
  <c r="Z231" i="12"/>
  <c r="Y303" i="12"/>
  <c r="Z303" i="12"/>
  <c r="Y341" i="12"/>
  <c r="Z341" i="12"/>
  <c r="Y407" i="12"/>
  <c r="Z407" i="12"/>
  <c r="Y290" i="12"/>
  <c r="Z290" i="12"/>
  <c r="Z347" i="12"/>
  <c r="Y347" i="12"/>
  <c r="Z388" i="12"/>
  <c r="Y388" i="12"/>
  <c r="Z391" i="12"/>
  <c r="Y391" i="12"/>
  <c r="Z456" i="12"/>
  <c r="Y456" i="12"/>
  <c r="Z469" i="12"/>
  <c r="Y469" i="12"/>
  <c r="Z473" i="12"/>
  <c r="Z117" i="12"/>
  <c r="Z145" i="12"/>
  <c r="Z509" i="12"/>
  <c r="Z46" i="12"/>
  <c r="Z186" i="12"/>
  <c r="AC110" i="9"/>
  <c r="P110" i="9"/>
  <c r="U110" i="9"/>
  <c r="H129" i="9"/>
  <c r="AC129" i="9" s="1"/>
  <c r="H125" i="9"/>
  <c r="O125" i="9" s="1"/>
  <c r="H121" i="9"/>
  <c r="O121" i="9" s="1"/>
  <c r="H117" i="9"/>
  <c r="O117" i="9" s="1"/>
  <c r="H113" i="9"/>
  <c r="AC113" i="9" s="1"/>
  <c r="H109" i="9"/>
  <c r="O109" i="9" s="1"/>
  <c r="H105" i="9"/>
  <c r="P105" i="9" s="1"/>
  <c r="Q105" i="9" s="1"/>
  <c r="H126" i="9"/>
  <c r="O126" i="9" s="1"/>
  <c r="H118" i="9"/>
  <c r="Y118" i="9" s="1"/>
  <c r="F24" i="2" s="1"/>
  <c r="H110" i="9"/>
  <c r="Y110" i="9" s="1"/>
  <c r="F16" i="2" s="1"/>
  <c r="H103" i="9"/>
  <c r="AC103" i="9" s="1"/>
  <c r="H128" i="9"/>
  <c r="U128" i="9" s="1"/>
  <c r="H124" i="9"/>
  <c r="P124" i="9" s="1"/>
  <c r="H123" i="9"/>
  <c r="AC123" i="9" s="1"/>
  <c r="H122" i="9"/>
  <c r="P122" i="9" s="1"/>
  <c r="Q122" i="9" s="1"/>
  <c r="H119" i="9"/>
  <c r="O119" i="9" s="1"/>
  <c r="H102" i="9"/>
  <c r="H120" i="9"/>
  <c r="H116" i="9"/>
  <c r="O116" i="9" s="1"/>
  <c r="H115" i="9"/>
  <c r="H114" i="9"/>
  <c r="H111" i="9"/>
  <c r="H132" i="9"/>
  <c r="O132" i="9" s="1"/>
  <c r="H131" i="9"/>
  <c r="H130" i="9"/>
  <c r="O130" i="9" s="1"/>
  <c r="H127" i="9"/>
  <c r="H104" i="9"/>
  <c r="O104" i="9" s="1"/>
  <c r="H107" i="9"/>
  <c r="H112" i="9"/>
  <c r="O112" i="9" s="1"/>
  <c r="H101" i="9"/>
  <c r="O101" i="9" s="1"/>
  <c r="H108" i="9"/>
  <c r="O108" i="9" s="1"/>
  <c r="H106" i="9"/>
  <c r="O106" i="9" s="1"/>
  <c r="M63" i="9"/>
  <c r="O63" i="9"/>
  <c r="M37" i="9"/>
  <c r="Y84" i="9"/>
  <c r="U84" i="9"/>
  <c r="P84" i="9"/>
  <c r="Q84" i="9" s="1"/>
  <c r="M119" i="9"/>
  <c r="AC186" i="9"/>
  <c r="Y186" i="9"/>
  <c r="U186" i="9"/>
  <c r="P186" i="9"/>
  <c r="M79" i="9"/>
  <c r="O79" i="9"/>
  <c r="P180" i="9"/>
  <c r="Q180" i="9" s="1"/>
  <c r="AC180" i="9"/>
  <c r="U180" i="9"/>
  <c r="Y180" i="9"/>
  <c r="M132" i="9"/>
  <c r="M153" i="9"/>
  <c r="O153" i="9"/>
  <c r="O182" i="9"/>
  <c r="M182" i="9"/>
  <c r="AC197" i="9"/>
  <c r="Y197" i="9"/>
  <c r="U197" i="9"/>
  <c r="P197" i="9"/>
  <c r="M242" i="9"/>
  <c r="O242" i="9"/>
  <c r="M204" i="9"/>
  <c r="O204" i="9"/>
  <c r="P233" i="9"/>
  <c r="Q233" i="9" s="1"/>
  <c r="AC233" i="9"/>
  <c r="U233" i="9"/>
  <c r="Y233" i="9"/>
  <c r="P48" i="9"/>
  <c r="Q48" i="9" s="1"/>
  <c r="U48" i="9"/>
  <c r="P74" i="9"/>
  <c r="Q74" i="9" s="1"/>
  <c r="AC74" i="9"/>
  <c r="AC149" i="9"/>
  <c r="Y149" i="9"/>
  <c r="U149" i="9"/>
  <c r="P149" i="9"/>
  <c r="AC254" i="9"/>
  <c r="Y254" i="9"/>
  <c r="U254" i="9"/>
  <c r="P254" i="9"/>
  <c r="Y15" i="12"/>
  <c r="Z15" i="12"/>
  <c r="AC250" i="9"/>
  <c r="Y250" i="9"/>
  <c r="U250" i="9"/>
  <c r="P250" i="9"/>
  <c r="Y81" i="9"/>
  <c r="AC81" i="9"/>
  <c r="U81" i="9"/>
  <c r="P81" i="9"/>
  <c r="Z57" i="12"/>
  <c r="Y57" i="12"/>
  <c r="U147" i="9"/>
  <c r="P147" i="9"/>
  <c r="AC147" i="9"/>
  <c r="Y147" i="9"/>
  <c r="G21" i="2" s="1"/>
  <c r="Z93" i="12"/>
  <c r="Y93" i="12"/>
  <c r="D20" i="5"/>
  <c r="Y50" i="12"/>
  <c r="Z50" i="12"/>
  <c r="Z96" i="12"/>
  <c r="Y96" i="12"/>
  <c r="U228" i="9"/>
  <c r="AC244" i="9"/>
  <c r="Y244" i="9"/>
  <c r="U244" i="9"/>
  <c r="P244" i="9"/>
  <c r="Z132" i="12"/>
  <c r="Y132" i="12"/>
  <c r="Z37" i="12"/>
  <c r="Y37" i="12"/>
  <c r="Z107" i="12"/>
  <c r="Y107" i="12"/>
  <c r="Y170" i="12"/>
  <c r="Z170" i="12"/>
  <c r="Y104" i="12"/>
  <c r="Z104" i="12"/>
  <c r="Z157" i="12"/>
  <c r="Y157" i="12"/>
  <c r="Z463" i="12"/>
  <c r="Y463" i="12"/>
  <c r="Z505" i="12"/>
  <c r="Y505" i="12"/>
  <c r="Y176" i="12"/>
  <c r="Z176" i="12"/>
  <c r="Z243" i="12"/>
  <c r="Y243" i="12"/>
  <c r="Y345" i="12"/>
  <c r="Z345" i="12"/>
  <c r="Y321" i="12"/>
  <c r="Z321" i="12"/>
  <c r="Z356" i="12"/>
  <c r="Y356" i="12"/>
  <c r="Y357" i="12"/>
  <c r="Z357" i="12"/>
  <c r="Y374" i="12"/>
  <c r="Z374" i="12"/>
  <c r="Y431" i="12"/>
  <c r="Z431" i="12"/>
  <c r="Z334" i="12"/>
  <c r="Y415" i="12"/>
  <c r="Z415" i="12"/>
  <c r="Z475" i="12"/>
  <c r="Y475" i="12"/>
  <c r="M46" i="9"/>
  <c r="O46" i="9"/>
  <c r="Y71" i="9"/>
  <c r="P71" i="9"/>
  <c r="Q71" i="9" s="1"/>
  <c r="P94" i="9"/>
  <c r="Y94" i="9"/>
  <c r="U94" i="9"/>
  <c r="M58" i="9"/>
  <c r="O89" i="9"/>
  <c r="M89" i="9"/>
  <c r="M100" i="9"/>
  <c r="O100" i="9"/>
  <c r="O199" i="9"/>
  <c r="M199" i="9"/>
  <c r="Y87" i="9"/>
  <c r="P87" i="9"/>
  <c r="M105" i="9"/>
  <c r="O105" i="9"/>
  <c r="O175" i="9"/>
  <c r="M175" i="9"/>
  <c r="M114" i="9"/>
  <c r="O114" i="9"/>
  <c r="AC137" i="9"/>
  <c r="Y137" i="9"/>
  <c r="U137" i="9"/>
  <c r="P137" i="9"/>
  <c r="Q137" i="9" s="1"/>
  <c r="O152" i="9"/>
  <c r="M152" i="9"/>
  <c r="O174" i="9"/>
  <c r="M174" i="9"/>
  <c r="AC189" i="9"/>
  <c r="Y189" i="9"/>
  <c r="U189" i="9"/>
  <c r="P189" i="9"/>
  <c r="O207" i="9"/>
  <c r="M207" i="9"/>
  <c r="O227" i="9"/>
  <c r="M227" i="9"/>
  <c r="O160" i="9"/>
  <c r="M160" i="9"/>
  <c r="O183" i="9"/>
  <c r="M183" i="9"/>
  <c r="K20" i="10"/>
  <c r="M254" i="9"/>
  <c r="O254" i="9"/>
  <c r="P88" i="9"/>
  <c r="Y88" i="9"/>
  <c r="U88" i="9"/>
  <c r="AC193" i="9"/>
  <c r="Y193" i="9"/>
  <c r="U193" i="9"/>
  <c r="P193" i="9"/>
  <c r="Q193" i="9" s="1"/>
  <c r="Q10" i="10"/>
  <c r="P217" i="9"/>
  <c r="AC217" i="9"/>
  <c r="Y217" i="9"/>
  <c r="U217" i="9"/>
  <c r="Q26" i="10"/>
  <c r="Z81" i="12"/>
  <c r="Y81" i="12"/>
  <c r="AC143" i="9"/>
  <c r="U143" i="9"/>
  <c r="P143" i="9"/>
  <c r="Y143" i="9"/>
  <c r="AC258" i="9"/>
  <c r="Y258" i="9"/>
  <c r="U258" i="9"/>
  <c r="P258" i="9"/>
  <c r="K35" i="10"/>
  <c r="K25" i="10"/>
  <c r="D28" i="5"/>
  <c r="Z64" i="12"/>
  <c r="Y64" i="12"/>
  <c r="U208" i="9"/>
  <c r="P208" i="9"/>
  <c r="Q208" i="9" s="1"/>
  <c r="AC208" i="9"/>
  <c r="Y208" i="9"/>
  <c r="U240" i="9"/>
  <c r="P240" i="9"/>
  <c r="AC240" i="9"/>
  <c r="Y240" i="9"/>
  <c r="Y11" i="12"/>
  <c r="Z11" i="12"/>
  <c r="Z140" i="12"/>
  <c r="Y140" i="12"/>
  <c r="Z123" i="12"/>
  <c r="Y123" i="12"/>
  <c r="Z173" i="12"/>
  <c r="Y173" i="12"/>
  <c r="Z105" i="12"/>
  <c r="Y105" i="12"/>
  <c r="Y160" i="12"/>
  <c r="Z160" i="12"/>
  <c r="D21" i="5"/>
  <c r="Y122" i="12"/>
  <c r="Z122" i="12"/>
  <c r="Y253" i="12"/>
  <c r="Z253" i="12"/>
  <c r="Z103" i="12"/>
  <c r="Y103" i="12"/>
  <c r="Z133" i="12"/>
  <c r="Y133" i="12"/>
  <c r="Z169" i="12"/>
  <c r="Y169" i="12"/>
  <c r="Y167" i="12"/>
  <c r="Z167" i="12"/>
  <c r="Z196" i="12"/>
  <c r="Y196" i="12"/>
  <c r="Y257" i="12"/>
  <c r="Z257" i="12"/>
  <c r="Y329" i="12"/>
  <c r="Z329" i="12"/>
  <c r="Z389" i="12"/>
  <c r="Y389" i="12"/>
  <c r="Z315" i="12"/>
  <c r="Y315" i="12"/>
  <c r="Z384" i="12"/>
  <c r="Y384" i="12"/>
  <c r="Z323" i="12"/>
  <c r="Y323" i="12"/>
  <c r="Z331" i="12"/>
  <c r="Y331" i="12"/>
  <c r="Y462" i="12"/>
  <c r="Z462" i="12"/>
  <c r="Z496" i="12"/>
  <c r="Y496" i="12"/>
  <c r="Y490" i="12"/>
  <c r="Z490" i="12"/>
  <c r="Z508" i="12"/>
  <c r="O60" i="9"/>
  <c r="M60" i="9"/>
  <c r="M95" i="9"/>
  <c r="M59" i="9"/>
  <c r="O77" i="9"/>
  <c r="M77" i="9"/>
  <c r="M91" i="9"/>
  <c r="O91" i="9"/>
  <c r="AC105" i="9"/>
  <c r="U105" i="9"/>
  <c r="M86" i="9"/>
  <c r="AC43" i="9"/>
  <c r="U43" i="9"/>
  <c r="AC59" i="9"/>
  <c r="U59" i="9"/>
  <c r="O111" i="9"/>
  <c r="M111" i="9"/>
  <c r="M133" i="9"/>
  <c r="O133" i="9"/>
  <c r="O147" i="9"/>
  <c r="M147" i="9"/>
  <c r="O240" i="9"/>
  <c r="M240" i="9"/>
  <c r="O256" i="9"/>
  <c r="M256" i="9"/>
  <c r="AC247" i="9"/>
  <c r="Y247" i="9"/>
  <c r="U247" i="9"/>
  <c r="P247" i="9"/>
  <c r="Q247" i="9" s="1"/>
  <c r="AC145" i="9"/>
  <c r="Y145" i="9"/>
  <c r="U145" i="9"/>
  <c r="P145" i="9"/>
  <c r="M210" i="9"/>
  <c r="O210" i="9"/>
  <c r="AC170" i="9"/>
  <c r="Y170" i="9"/>
  <c r="U170" i="9"/>
  <c r="P170" i="9"/>
  <c r="O194" i="9"/>
  <c r="Q194" i="9" s="1"/>
  <c r="M194" i="9"/>
  <c r="AC219" i="9"/>
  <c r="Y219" i="9"/>
  <c r="U219" i="9"/>
  <c r="P219" i="9"/>
  <c r="Z8" i="12"/>
  <c r="Y8" i="12"/>
  <c r="P40" i="9"/>
  <c r="AC40" i="9"/>
  <c r="AC181" i="9"/>
  <c r="Y181" i="9"/>
  <c r="U181" i="9"/>
  <c r="P181" i="9"/>
  <c r="O203" i="9"/>
  <c r="M203" i="9"/>
  <c r="Z18" i="12"/>
  <c r="Y18" i="12"/>
  <c r="U107" i="9"/>
  <c r="P107" i="9"/>
  <c r="Q107" i="9" s="1"/>
  <c r="Y107" i="9"/>
  <c r="F13" i="2" s="1"/>
  <c r="AC107" i="9"/>
  <c r="U171" i="9"/>
  <c r="P171" i="9"/>
  <c r="Y171" i="9"/>
  <c r="AC171" i="9"/>
  <c r="K11" i="10"/>
  <c r="Z85" i="12"/>
  <c r="Y85" i="12"/>
  <c r="D22" i="5"/>
  <c r="AC220" i="9"/>
  <c r="P220" i="9"/>
  <c r="Q220" i="9" s="1"/>
  <c r="U220" i="9"/>
  <c r="Y220" i="9"/>
  <c r="Z38" i="12"/>
  <c r="Y38" i="12"/>
  <c r="Y150" i="12"/>
  <c r="Z150" i="12"/>
  <c r="Z47" i="12"/>
  <c r="Y47" i="12"/>
  <c r="Z155" i="12"/>
  <c r="Y155" i="12"/>
  <c r="Y126" i="12"/>
  <c r="Z126" i="12"/>
  <c r="D9" i="5"/>
  <c r="Z489" i="12"/>
  <c r="Y489" i="12"/>
  <c r="Z474" i="12"/>
  <c r="Y474" i="12"/>
  <c r="Z304" i="12"/>
  <c r="Y304" i="12"/>
  <c r="Z275" i="12"/>
  <c r="Y275" i="12"/>
  <c r="Y76" i="12"/>
  <c r="Z76" i="12"/>
  <c r="Z143" i="12"/>
  <c r="Y143" i="12"/>
  <c r="Z171" i="12"/>
  <c r="Y171" i="12"/>
  <c r="Y261" i="12"/>
  <c r="Z261" i="12"/>
  <c r="Z260" i="12"/>
  <c r="Y260" i="12"/>
  <c r="Y314" i="12"/>
  <c r="Z314" i="12"/>
  <c r="Z291" i="12"/>
  <c r="Y291" i="12"/>
  <c r="Z359" i="12"/>
  <c r="Y359" i="12"/>
  <c r="Z406" i="12"/>
  <c r="Y406" i="12"/>
  <c r="Y390" i="12"/>
  <c r="Z390" i="12"/>
  <c r="Z440" i="12"/>
  <c r="Y440" i="12"/>
  <c r="Z318" i="12"/>
  <c r="Z447" i="12"/>
  <c r="Y447" i="12"/>
  <c r="Z484" i="12"/>
  <c r="Y484" i="12"/>
  <c r="Z461" i="12"/>
  <c r="Y461" i="12"/>
  <c r="Y502" i="12"/>
  <c r="Z502" i="12"/>
  <c r="Z326" i="12"/>
  <c r="Y470" i="12"/>
  <c r="Z470" i="12"/>
  <c r="Y432" i="12"/>
  <c r="Z432" i="12"/>
  <c r="H67" i="9"/>
  <c r="O67" i="9" s="1"/>
  <c r="H63" i="9"/>
  <c r="H65" i="9"/>
  <c r="O65" i="9" s="1"/>
  <c r="H62" i="9"/>
  <c r="O62" i="9" s="1"/>
  <c r="H58" i="9"/>
  <c r="O58" i="9" s="1"/>
  <c r="H54" i="9"/>
  <c r="O54" i="9" s="1"/>
  <c r="H50" i="9"/>
  <c r="O50" i="9" s="1"/>
  <c r="H46" i="9"/>
  <c r="U46" i="9" s="1"/>
  <c r="H42" i="9"/>
  <c r="O42" i="9" s="1"/>
  <c r="H38" i="9"/>
  <c r="Y38" i="9" s="1"/>
  <c r="H64" i="9"/>
  <c r="Y64" i="9" s="1"/>
  <c r="H59" i="9"/>
  <c r="O59" i="9" s="1"/>
  <c r="H55" i="9"/>
  <c r="Y55" i="9" s="1"/>
  <c r="H51" i="9"/>
  <c r="H47" i="9"/>
  <c r="H43" i="9"/>
  <c r="Y43" i="9" s="1"/>
  <c r="H39" i="9"/>
  <c r="Y39" i="9" s="1"/>
  <c r="H68" i="9"/>
  <c r="P68" i="9" s="1"/>
  <c r="H61" i="9"/>
  <c r="O61" i="9" s="1"/>
  <c r="H57" i="9"/>
  <c r="O57" i="9" s="1"/>
  <c r="H53" i="9"/>
  <c r="U53" i="9" s="1"/>
  <c r="H49" i="9"/>
  <c r="AC49" i="9" s="1"/>
  <c r="H45" i="9"/>
  <c r="O45" i="9" s="1"/>
  <c r="H41" i="9"/>
  <c r="Y41" i="9" s="1"/>
  <c r="H37" i="9"/>
  <c r="AC37" i="9" s="1"/>
  <c r="H60" i="9"/>
  <c r="H44" i="9"/>
  <c r="P44" i="9" s="1"/>
  <c r="Q44" i="9" s="1"/>
  <c r="H48" i="9"/>
  <c r="O48" i="9" s="1"/>
  <c r="H52" i="9"/>
  <c r="H66" i="9"/>
  <c r="O66" i="9" s="1"/>
  <c r="H56" i="9"/>
  <c r="O56" i="9" s="1"/>
  <c r="H40" i="9"/>
  <c r="Y40" i="9" s="1"/>
  <c r="P62" i="9"/>
  <c r="Q62" i="9" s="1"/>
  <c r="AC62" i="9"/>
  <c r="U62" i="9"/>
  <c r="M42" i="9"/>
  <c r="AC122" i="9"/>
  <c r="U122" i="9"/>
  <c r="O171" i="9"/>
  <c r="M171" i="9"/>
  <c r="M145" i="9"/>
  <c r="O145" i="9"/>
  <c r="M205" i="9"/>
  <c r="O205" i="9"/>
  <c r="O219" i="9"/>
  <c r="M219" i="9"/>
  <c r="P253" i="9"/>
  <c r="Q253" i="9" s="1"/>
  <c r="U253" i="9"/>
  <c r="Y253" i="9"/>
  <c r="AC253" i="9"/>
  <c r="P188" i="9"/>
  <c r="AC188" i="9"/>
  <c r="U188" i="9"/>
  <c r="Y188" i="9"/>
  <c r="O212" i="9"/>
  <c r="M212" i="9"/>
  <c r="M238" i="9"/>
  <c r="O238" i="9"/>
  <c r="O158" i="9"/>
  <c r="M158" i="9"/>
  <c r="AC202" i="9"/>
  <c r="Y202" i="9"/>
  <c r="U202" i="9"/>
  <c r="P202" i="9"/>
  <c r="O163" i="9"/>
  <c r="Q163" i="9" s="1"/>
  <c r="M163" i="9"/>
  <c r="AC161" i="9"/>
  <c r="Y161" i="9"/>
  <c r="G35" i="2" s="1"/>
  <c r="U161" i="9"/>
  <c r="P161" i="9"/>
  <c r="Q161" i="9" s="1"/>
  <c r="AC178" i="9"/>
  <c r="Y178" i="9"/>
  <c r="U178" i="9"/>
  <c r="P178" i="9"/>
  <c r="Z32" i="12"/>
  <c r="Y32" i="12"/>
  <c r="Z89" i="12"/>
  <c r="Y89" i="12"/>
  <c r="AC119" i="9"/>
  <c r="U119" i="9"/>
  <c r="P119" i="9"/>
  <c r="Y119" i="9"/>
  <c r="F25" i="2" s="1"/>
  <c r="AC183" i="9"/>
  <c r="U183" i="9"/>
  <c r="P183" i="9"/>
  <c r="Q183" i="9" s="1"/>
  <c r="Y183" i="9"/>
  <c r="K14" i="10"/>
  <c r="K27" i="10"/>
  <c r="K33" i="10"/>
  <c r="Z36" i="12"/>
  <c r="Y36" i="12"/>
  <c r="U216" i="9"/>
  <c r="P216" i="9"/>
  <c r="Y216" i="9"/>
  <c r="AC216" i="9"/>
  <c r="Z101" i="12"/>
  <c r="Y101" i="12"/>
  <c r="Z33" i="12"/>
  <c r="Y33" i="12"/>
  <c r="Y136" i="12"/>
  <c r="Z136" i="12"/>
  <c r="Z83" i="12"/>
  <c r="Y83" i="12"/>
  <c r="Y174" i="12"/>
  <c r="Z174" i="12"/>
  <c r="Z501" i="12"/>
  <c r="Y501" i="12"/>
  <c r="Z471" i="12"/>
  <c r="Y471" i="12"/>
  <c r="Y305" i="12"/>
  <c r="Z305" i="12"/>
  <c r="Y151" i="12"/>
  <c r="Z151" i="12"/>
  <c r="Z195" i="12"/>
  <c r="Y195" i="12"/>
  <c r="Z229" i="12"/>
  <c r="Y229" i="12"/>
  <c r="Y281" i="12"/>
  <c r="Z281" i="12"/>
  <c r="Z250" i="12"/>
  <c r="Y250" i="12"/>
  <c r="Z307" i="12"/>
  <c r="Y307" i="12"/>
  <c r="Y297" i="12"/>
  <c r="Z297" i="12"/>
  <c r="Z252" i="12"/>
  <c r="Y252" i="12"/>
  <c r="Y338" i="12"/>
  <c r="Z338" i="12"/>
  <c r="Z380" i="12"/>
  <c r="Y380" i="12"/>
  <c r="Y367" i="12"/>
  <c r="Z367" i="12"/>
  <c r="Z300" i="12"/>
  <c r="Y300" i="12"/>
  <c r="Z308" i="12"/>
  <c r="Y349" i="12"/>
  <c r="Z349" i="12"/>
  <c r="Z445" i="12"/>
  <c r="Z477" i="12"/>
  <c r="Z399" i="12"/>
  <c r="Z476" i="12"/>
  <c r="Z438" i="12"/>
  <c r="Z426" i="12"/>
  <c r="Z135" i="12"/>
  <c r="Z352" i="12"/>
  <c r="Z272" i="12"/>
  <c r="Y113" i="9"/>
  <c r="F19" i="2" s="1"/>
  <c r="U113" i="9"/>
  <c r="P113" i="9"/>
  <c r="Q113" i="9" s="1"/>
  <c r="J37" i="7"/>
  <c r="O44" i="9"/>
  <c r="M44" i="9"/>
  <c r="AC92" i="9"/>
  <c r="Y92" i="9"/>
  <c r="U92" i="9"/>
  <c r="P92" i="9"/>
  <c r="U182" i="9"/>
  <c r="P182" i="9"/>
  <c r="Y182" i="9"/>
  <c r="AC182" i="9"/>
  <c r="P237" i="9"/>
  <c r="U237" i="9"/>
  <c r="AC237" i="9"/>
  <c r="Y237" i="9"/>
  <c r="M43" i="9"/>
  <c r="M102" i="9"/>
  <c r="O102" i="9"/>
  <c r="O224" i="9"/>
  <c r="M224" i="9"/>
  <c r="P144" i="9"/>
  <c r="Q144" i="9" s="1"/>
  <c r="U144" i="9"/>
  <c r="Y144" i="9"/>
  <c r="AC144" i="9"/>
  <c r="M113" i="9"/>
  <c r="O113" i="9"/>
  <c r="P148" i="9"/>
  <c r="Q148" i="9" s="1"/>
  <c r="AC148" i="9"/>
  <c r="U148" i="9"/>
  <c r="Y148" i="9"/>
  <c r="M223" i="9"/>
  <c r="O223" i="9"/>
  <c r="P241" i="9"/>
  <c r="AC241" i="9"/>
  <c r="Y241" i="9"/>
  <c r="U241" i="9"/>
  <c r="P156" i="9"/>
  <c r="AC156" i="9"/>
  <c r="U156" i="9"/>
  <c r="Y156" i="9"/>
  <c r="P221" i="9"/>
  <c r="Q221" i="9" s="1"/>
  <c r="U221" i="9"/>
  <c r="AC221" i="9"/>
  <c r="Y221" i="9"/>
  <c r="AC121" i="9"/>
  <c r="Y121" i="9"/>
  <c r="F27" i="2" s="1"/>
  <c r="U121" i="9"/>
  <c r="P121" i="9"/>
  <c r="Q121" i="9" s="1"/>
  <c r="O190" i="9"/>
  <c r="M190" i="9"/>
  <c r="P213" i="9"/>
  <c r="U213" i="9"/>
  <c r="AC213" i="9"/>
  <c r="Y213" i="9"/>
  <c r="P204" i="9"/>
  <c r="Q204" i="9" s="1"/>
  <c r="AC204" i="9"/>
  <c r="Y204" i="9"/>
  <c r="U204" i="9"/>
  <c r="M230" i="9"/>
  <c r="O230" i="9"/>
  <c r="Z34" i="12"/>
  <c r="Y34" i="12"/>
  <c r="Y78" i="12"/>
  <c r="Z78" i="12"/>
  <c r="U115" i="9"/>
  <c r="P115" i="9"/>
  <c r="AC115" i="9"/>
  <c r="Y115" i="9"/>
  <c r="F21" i="2" s="1"/>
  <c r="D31" i="5"/>
  <c r="Z56" i="12"/>
  <c r="Y56" i="12"/>
  <c r="AC212" i="9"/>
  <c r="Y212" i="9"/>
  <c r="U212" i="9"/>
  <c r="P212" i="9"/>
  <c r="AC228" i="9"/>
  <c r="Z22" i="12"/>
  <c r="Y22" i="12"/>
  <c r="Z5" i="12"/>
  <c r="Y5" i="12"/>
  <c r="Z55" i="12"/>
  <c r="Y55" i="12"/>
  <c r="Z121" i="12"/>
  <c r="Y121" i="12"/>
  <c r="Z181" i="12"/>
  <c r="Y181" i="12"/>
  <c r="Z108" i="12"/>
  <c r="Y108" i="12"/>
  <c r="Z43" i="12"/>
  <c r="Y43" i="12"/>
  <c r="Z479" i="12"/>
  <c r="Y479" i="12"/>
  <c r="Y377" i="12"/>
  <c r="Z377" i="12"/>
  <c r="Z221" i="12"/>
  <c r="Y221" i="12"/>
  <c r="Y52" i="12"/>
  <c r="Z52" i="12"/>
  <c r="Z127" i="12"/>
  <c r="Y230" i="12"/>
  <c r="Z230" i="12"/>
  <c r="Z295" i="12"/>
  <c r="Y295" i="12"/>
  <c r="Y263" i="12"/>
  <c r="Z263" i="12"/>
  <c r="Y361" i="12"/>
  <c r="Z361" i="12"/>
  <c r="Z414" i="12"/>
  <c r="Y414" i="12"/>
  <c r="Z381" i="12"/>
  <c r="Y381" i="12"/>
  <c r="Y408" i="12"/>
  <c r="Z408" i="12"/>
  <c r="Y382" i="12"/>
  <c r="Z382" i="12"/>
  <c r="Z429" i="12"/>
  <c r="Y429" i="12"/>
  <c r="AC75" i="9"/>
  <c r="Y75" i="9"/>
  <c r="U75" i="9"/>
  <c r="P75" i="9"/>
  <c r="AC63" i="9"/>
  <c r="Y63" i="9"/>
  <c r="U63" i="9"/>
  <c r="P63" i="9"/>
  <c r="Q63" i="9" s="1"/>
  <c r="O81" i="9"/>
  <c r="M81" i="9"/>
  <c r="P86" i="9"/>
  <c r="Y86" i="9"/>
  <c r="AC86" i="9"/>
  <c r="U86" i="9"/>
  <c r="P104" i="9"/>
  <c r="Q104" i="9" s="1"/>
  <c r="U104" i="9"/>
  <c r="AC104" i="9"/>
  <c r="Y104" i="9"/>
  <c r="F10" i="2" s="1"/>
  <c r="AC91" i="9"/>
  <c r="Y91" i="9"/>
  <c r="U91" i="9"/>
  <c r="P91" i="9"/>
  <c r="Q91" i="9" s="1"/>
  <c r="AC114" i="9"/>
  <c r="Y114" i="9"/>
  <c r="F20" i="2" s="1"/>
  <c r="U114" i="9"/>
  <c r="P114" i="9"/>
  <c r="Q114" i="9" s="1"/>
  <c r="O72" i="9"/>
  <c r="M72" i="9"/>
  <c r="O139" i="9"/>
  <c r="M139" i="9"/>
  <c r="U190" i="9"/>
  <c r="P190" i="9"/>
  <c r="Q190" i="9" s="1"/>
  <c r="Y190" i="9"/>
  <c r="AC190" i="9"/>
  <c r="O120" i="9"/>
  <c r="M120" i="9"/>
  <c r="O142" i="9"/>
  <c r="M142" i="9"/>
  <c r="AC157" i="9"/>
  <c r="Y157" i="9"/>
  <c r="G31" i="2" s="1"/>
  <c r="U157" i="9"/>
  <c r="P157" i="9"/>
  <c r="Q157" i="9" s="1"/>
  <c r="U227" i="9"/>
  <c r="Y227" i="9"/>
  <c r="G37" i="2" s="1"/>
  <c r="AC227" i="9"/>
  <c r="P227" i="9"/>
  <c r="Q227" i="9" s="1"/>
  <c r="O122" i="9"/>
  <c r="M122" i="9"/>
  <c r="O150" i="9"/>
  <c r="M150" i="9"/>
  <c r="AC165" i="9"/>
  <c r="Y165" i="9"/>
  <c r="U165" i="9"/>
  <c r="P165" i="9"/>
  <c r="Q165" i="9" s="1"/>
  <c r="O187" i="9"/>
  <c r="M187" i="9"/>
  <c r="O220" i="9"/>
  <c r="M220" i="9"/>
  <c r="AC109" i="9"/>
  <c r="Y109" i="9"/>
  <c r="F15" i="2" s="1"/>
  <c r="U109" i="9"/>
  <c r="P109" i="9"/>
  <c r="AC138" i="9"/>
  <c r="Y138" i="9"/>
  <c r="G12" i="2" s="1"/>
  <c r="U138" i="9"/>
  <c r="P138" i="9"/>
  <c r="O162" i="9"/>
  <c r="M162" i="9"/>
  <c r="P98" i="9"/>
  <c r="Q98" i="9" s="1"/>
  <c r="U98" i="9"/>
  <c r="AC98" i="9"/>
  <c r="Y98" i="9"/>
  <c r="O166" i="9"/>
  <c r="M166" i="9"/>
  <c r="M241" i="9"/>
  <c r="O241" i="9"/>
  <c r="AC226" i="9"/>
  <c r="Y226" i="9"/>
  <c r="U226" i="9"/>
  <c r="P226" i="9"/>
  <c r="Z53" i="12"/>
  <c r="C22" i="5" s="1"/>
  <c r="E22" i="5" s="1"/>
  <c r="Y53" i="12"/>
  <c r="Z97" i="12"/>
  <c r="Y97" i="12"/>
  <c r="AC127" i="9"/>
  <c r="Y127" i="9"/>
  <c r="F33" i="2" s="1"/>
  <c r="U127" i="9"/>
  <c r="P127" i="9"/>
  <c r="AC191" i="9"/>
  <c r="Y191" i="9"/>
  <c r="U191" i="9"/>
  <c r="P191" i="9"/>
  <c r="K15" i="10"/>
  <c r="K6" i="10"/>
  <c r="K23" i="10"/>
  <c r="D7" i="5"/>
  <c r="Z72" i="12"/>
  <c r="Y72" i="12"/>
  <c r="K13" i="10"/>
  <c r="Z30" i="12"/>
  <c r="Y30" i="12"/>
  <c r="Z9" i="12"/>
  <c r="Y9" i="12"/>
  <c r="Z185" i="12"/>
  <c r="Y185" i="12"/>
  <c r="Z129" i="12"/>
  <c r="Y129" i="12"/>
  <c r="Y180" i="12"/>
  <c r="Z180" i="12"/>
  <c r="D37" i="5"/>
  <c r="Z139" i="12"/>
  <c r="Y139" i="12"/>
  <c r="Y166" i="12"/>
  <c r="Z166" i="12"/>
  <c r="Z493" i="12"/>
  <c r="Y493" i="12"/>
  <c r="Y369" i="12"/>
  <c r="Z369" i="12"/>
  <c r="Z184" i="12"/>
  <c r="Y184" i="12"/>
  <c r="Y183" i="12"/>
  <c r="Z183" i="12"/>
  <c r="Z163" i="12"/>
  <c r="Y163" i="12"/>
  <c r="Z251" i="12"/>
  <c r="Y251" i="12"/>
  <c r="Y239" i="12"/>
  <c r="Z239" i="12"/>
  <c r="Y317" i="12"/>
  <c r="Z317" i="12"/>
  <c r="Y215" i="12"/>
  <c r="Z215" i="12"/>
  <c r="Z266" i="12"/>
  <c r="Y266" i="12"/>
  <c r="Y335" i="12"/>
  <c r="Z335" i="12"/>
  <c r="Y282" i="12"/>
  <c r="Z282" i="12"/>
  <c r="Z343" i="12"/>
  <c r="Y343" i="12"/>
  <c r="Z383" i="12"/>
  <c r="Y383" i="12"/>
  <c r="Y411" i="12"/>
  <c r="Z411" i="12"/>
  <c r="Y437" i="12"/>
  <c r="Z437" i="12"/>
  <c r="Y416" i="12"/>
  <c r="Z416" i="12"/>
  <c r="Y468" i="12"/>
  <c r="Z468" i="12"/>
  <c r="Z488" i="12"/>
  <c r="Y488" i="12"/>
  <c r="Y480" i="12"/>
  <c r="Z480" i="12"/>
  <c r="Z504" i="12"/>
  <c r="Y504" i="12"/>
  <c r="Y498" i="12"/>
  <c r="Z498" i="12"/>
  <c r="Y486" i="12"/>
  <c r="Z486" i="12"/>
  <c r="M39" i="9"/>
  <c r="O39" i="9"/>
  <c r="M51" i="9"/>
  <c r="O51" i="9"/>
  <c r="O41" i="9"/>
  <c r="M41" i="9"/>
  <c r="M129" i="9"/>
  <c r="O129" i="9"/>
  <c r="O40" i="9"/>
  <c r="M40" i="9"/>
  <c r="M67" i="9"/>
  <c r="M87" i="9"/>
  <c r="O87" i="9"/>
  <c r="M250" i="9"/>
  <c r="O250" i="9"/>
  <c r="M92" i="9"/>
  <c r="O92" i="9"/>
  <c r="AC162" i="9"/>
  <c r="Y162" i="9"/>
  <c r="U162" i="9"/>
  <c r="P162" i="9"/>
  <c r="Q162" i="9" s="1"/>
  <c r="AC10" i="9"/>
  <c r="E10" i="4" s="1"/>
  <c r="O135" i="9"/>
  <c r="M135" i="9"/>
  <c r="U15" i="9"/>
  <c r="U31" i="9"/>
  <c r="AC47" i="9"/>
  <c r="Y47" i="9"/>
  <c r="U47" i="9"/>
  <c r="P47" i="9"/>
  <c r="O115" i="9"/>
  <c r="M115" i="9"/>
  <c r="P192" i="9"/>
  <c r="Q192" i="9" s="1"/>
  <c r="U192" i="9"/>
  <c r="AC192" i="9"/>
  <c r="Y192" i="9"/>
  <c r="O236" i="9"/>
  <c r="M236" i="9"/>
  <c r="O229" i="9"/>
  <c r="M229" i="9"/>
  <c r="O123" i="9"/>
  <c r="M123" i="9"/>
  <c r="P168" i="9"/>
  <c r="U168" i="9"/>
  <c r="Y168" i="9"/>
  <c r="AC168" i="9"/>
  <c r="AC242" i="9"/>
  <c r="Y242" i="9"/>
  <c r="U242" i="9"/>
  <c r="P242" i="9"/>
  <c r="Q242" i="9" s="1"/>
  <c r="AC106" i="9"/>
  <c r="Y106" i="9"/>
  <c r="F12" i="2" s="1"/>
  <c r="U106" i="9"/>
  <c r="P106" i="9"/>
  <c r="Q106" i="9" s="1"/>
  <c r="AC174" i="9"/>
  <c r="U174" i="9"/>
  <c r="P174" i="9"/>
  <c r="Q174" i="9" s="1"/>
  <c r="Y174" i="9"/>
  <c r="AC231" i="9"/>
  <c r="Y231" i="9"/>
  <c r="U231" i="9"/>
  <c r="P231" i="9"/>
  <c r="D16" i="5"/>
  <c r="P108" i="9"/>
  <c r="Q108" i="9" s="1"/>
  <c r="AC108" i="9"/>
  <c r="Y108" i="9"/>
  <c r="F14" i="2" s="1"/>
  <c r="U108" i="9"/>
  <c r="M257" i="9"/>
  <c r="O257" i="9"/>
  <c r="Y31" i="12"/>
  <c r="Z31" i="12"/>
  <c r="Y89" i="9"/>
  <c r="AC89" i="9"/>
  <c r="U89" i="9"/>
  <c r="P89" i="9"/>
  <c r="Q89" i="9" s="1"/>
  <c r="Z24" i="12"/>
  <c r="Y24" i="12"/>
  <c r="Y62" i="12"/>
  <c r="Z62" i="12"/>
  <c r="U155" i="9"/>
  <c r="P155" i="9"/>
  <c r="Q155" i="9" s="1"/>
  <c r="Y155" i="9"/>
  <c r="G29" i="2" s="1"/>
  <c r="AC155" i="9"/>
  <c r="Y102" i="12"/>
  <c r="Z102" i="12"/>
  <c r="Z28" i="12"/>
  <c r="Y28" i="12"/>
  <c r="Y66" i="12"/>
  <c r="Z66" i="12"/>
  <c r="Y110" i="12"/>
  <c r="Z110" i="12"/>
  <c r="Y118" i="12"/>
  <c r="Z118" i="12"/>
  <c r="Z63" i="12"/>
  <c r="Y63" i="12"/>
  <c r="Y128" i="12"/>
  <c r="Z128" i="12"/>
  <c r="Y162" i="12"/>
  <c r="Z162" i="12"/>
  <c r="Y106" i="12"/>
  <c r="Z106" i="12"/>
  <c r="Z131" i="12"/>
  <c r="Y131" i="12"/>
  <c r="D25" i="5"/>
  <c r="Y144" i="12"/>
  <c r="Z144" i="12"/>
  <c r="Z197" i="12"/>
  <c r="Y197" i="12"/>
  <c r="Z513" i="12"/>
  <c r="Y513" i="12"/>
  <c r="Y92" i="12"/>
  <c r="Z92" i="12"/>
  <c r="Y142" i="12"/>
  <c r="Z142" i="12"/>
  <c r="Z177" i="12"/>
  <c r="Y177" i="12"/>
  <c r="Z188" i="12"/>
  <c r="Y188" i="12"/>
  <c r="Z312" i="12"/>
  <c r="Y312" i="12"/>
  <c r="Y226" i="12"/>
  <c r="Z226" i="12"/>
  <c r="Z324" i="12"/>
  <c r="Y324" i="12"/>
  <c r="Z405" i="12"/>
  <c r="Y405" i="12"/>
  <c r="Z311" i="12"/>
  <c r="Y311" i="12"/>
  <c r="Z299" i="12"/>
  <c r="Y299" i="12"/>
  <c r="Z371" i="12"/>
  <c r="Y371" i="12"/>
  <c r="Y395" i="12"/>
  <c r="Z395" i="12"/>
  <c r="Z350" i="12"/>
  <c r="Y350" i="12"/>
  <c r="Y427" i="12"/>
  <c r="Z427" i="12"/>
  <c r="Z467" i="12"/>
  <c r="Y467" i="12"/>
  <c r="Z465" i="12"/>
  <c r="Y465" i="12"/>
  <c r="Y453" i="12"/>
  <c r="Z453" i="12"/>
  <c r="Y495" i="12"/>
  <c r="Z495" i="12"/>
  <c r="Y510" i="12"/>
  <c r="Z510" i="12"/>
  <c r="Z434" i="12"/>
  <c r="Y434" i="12"/>
  <c r="Z396" i="12"/>
  <c r="Y396" i="12"/>
  <c r="Z516" i="12"/>
  <c r="Y516" i="12"/>
  <c r="Z457" i="12"/>
  <c r="Y457" i="12"/>
  <c r="O143" i="9"/>
  <c r="M143" i="9"/>
  <c r="O52" i="9"/>
  <c r="M52" i="9"/>
  <c r="U126" i="9"/>
  <c r="P126" i="9"/>
  <c r="Q126" i="9" s="1"/>
  <c r="Y126" i="9"/>
  <c r="F32" i="2" s="1"/>
  <c r="AC126" i="9"/>
  <c r="AC58" i="9"/>
  <c r="Y58" i="9"/>
  <c r="U58" i="9"/>
  <c r="P58" i="9"/>
  <c r="M173" i="9"/>
  <c r="O173" i="9"/>
  <c r="M188" i="9"/>
  <c r="O188" i="9"/>
  <c r="AC130" i="9"/>
  <c r="Y130" i="9"/>
  <c r="F36" i="2" s="1"/>
  <c r="U130" i="9"/>
  <c r="P130" i="9"/>
  <c r="Q130" i="9" s="1"/>
  <c r="M181" i="9"/>
  <c r="O181" i="9"/>
  <c r="AC223" i="9"/>
  <c r="Y223" i="9"/>
  <c r="U223" i="9"/>
  <c r="P223" i="9"/>
  <c r="Q223" i="9" s="1"/>
  <c r="P45" i="9"/>
  <c r="Q45" i="9" s="1"/>
  <c r="AC45" i="9"/>
  <c r="Y45" i="9"/>
  <c r="U45" i="9"/>
  <c r="AC206" i="9"/>
  <c r="U206" i="9"/>
  <c r="P206" i="9"/>
  <c r="Q206" i="9" s="1"/>
  <c r="Y206" i="9"/>
  <c r="P245" i="9"/>
  <c r="Q245" i="9" s="1"/>
  <c r="U245" i="9"/>
  <c r="Y245" i="9"/>
  <c r="AC245" i="9"/>
  <c r="Z16" i="12"/>
  <c r="Y16" i="12"/>
  <c r="P72" i="9"/>
  <c r="Q72" i="9" s="1"/>
  <c r="AC72" i="9"/>
  <c r="Y72" i="9"/>
  <c r="U72" i="9"/>
  <c r="AC117" i="9"/>
  <c r="Y117" i="9"/>
  <c r="F23" i="2" s="1"/>
  <c r="U117" i="9"/>
  <c r="P117" i="9"/>
  <c r="Q117" i="9" s="1"/>
  <c r="M209" i="9"/>
  <c r="O209" i="9"/>
  <c r="AC239" i="9"/>
  <c r="Y239" i="9"/>
  <c r="U239" i="9"/>
  <c r="P239" i="9"/>
  <c r="Q239" i="9" s="1"/>
  <c r="Y7" i="12"/>
  <c r="Z7" i="12"/>
  <c r="M258" i="9"/>
  <c r="O258" i="9"/>
  <c r="U101" i="9"/>
  <c r="P101" i="9"/>
  <c r="Q101" i="9" s="1"/>
  <c r="AC101" i="9"/>
  <c r="Y101" i="9"/>
  <c r="F7" i="2" s="1"/>
  <c r="N37" i="10"/>
  <c r="P5" i="10"/>
  <c r="Z109" i="12"/>
  <c r="Y109" i="12"/>
  <c r="AC167" i="9"/>
  <c r="Y167" i="9"/>
  <c r="U167" i="9"/>
  <c r="P167" i="9"/>
  <c r="Q167" i="9" s="1"/>
  <c r="K5" i="10"/>
  <c r="D12" i="5"/>
  <c r="Y42" i="12"/>
  <c r="Z42" i="12"/>
  <c r="Y82" i="12"/>
  <c r="Z82" i="12"/>
  <c r="K36" i="10"/>
  <c r="Z14" i="12"/>
  <c r="Y14" i="12"/>
  <c r="Z124" i="12"/>
  <c r="Y124" i="12"/>
  <c r="Y138" i="12"/>
  <c r="Z138" i="12"/>
  <c r="Y112" i="12"/>
  <c r="Z112" i="12"/>
  <c r="D13" i="5"/>
  <c r="D38" i="5" s="1"/>
  <c r="Z91" i="12"/>
  <c r="Y91" i="12"/>
  <c r="Y134" i="12"/>
  <c r="Z134" i="12"/>
  <c r="Z201" i="12"/>
  <c r="Y201" i="12"/>
  <c r="Z452" i="12"/>
  <c r="Y452" i="12"/>
  <c r="Y269" i="12"/>
  <c r="Z269" i="12"/>
  <c r="Y175" i="12"/>
  <c r="Z175" i="12"/>
  <c r="Z248" i="12"/>
  <c r="Y248" i="12"/>
  <c r="Z236" i="12"/>
  <c r="Y236" i="12"/>
  <c r="Y306" i="12"/>
  <c r="Z306" i="12"/>
  <c r="Y255" i="12"/>
  <c r="Z255" i="12"/>
  <c r="Z280" i="12"/>
  <c r="Y280" i="12"/>
  <c r="Z340" i="12"/>
  <c r="Y340" i="12"/>
  <c r="Y325" i="12"/>
  <c r="Z325" i="12"/>
  <c r="Y472" i="12"/>
  <c r="Z472" i="12"/>
  <c r="Z364" i="12"/>
  <c r="Z423" i="12"/>
  <c r="Z172" i="12"/>
  <c r="Z373" i="12"/>
  <c r="AC95" i="9"/>
  <c r="Y95" i="9"/>
  <c r="U95" i="9"/>
  <c r="P95" i="9"/>
  <c r="P209" i="9"/>
  <c r="AC209" i="9"/>
  <c r="Y209" i="9"/>
  <c r="U209" i="9"/>
  <c r="O251" i="9"/>
  <c r="M251" i="9"/>
  <c r="M149" i="9"/>
  <c r="O149" i="9"/>
  <c r="O186" i="9"/>
  <c r="M186" i="9"/>
  <c r="AC210" i="9"/>
  <c r="Y210" i="9"/>
  <c r="U210" i="9"/>
  <c r="P210" i="9"/>
  <c r="Q210" i="9" s="1"/>
  <c r="P57" i="9"/>
  <c r="AC57" i="9"/>
  <c r="Y57" i="9"/>
  <c r="U57" i="9"/>
  <c r="AC141" i="9"/>
  <c r="Y141" i="9"/>
  <c r="G15" i="2" s="1"/>
  <c r="U141" i="9"/>
  <c r="P141" i="9"/>
  <c r="O168" i="9"/>
  <c r="M168" i="9"/>
  <c r="M217" i="9"/>
  <c r="O217" i="9"/>
  <c r="Z113" i="12"/>
  <c r="Y113" i="12"/>
  <c r="P96" i="9"/>
  <c r="AC96" i="9"/>
  <c r="Y96" i="9"/>
  <c r="U96" i="9"/>
  <c r="M138" i="9"/>
  <c r="O138" i="9"/>
  <c r="O198" i="9"/>
  <c r="Q198" i="9" s="1"/>
  <c r="M198" i="9"/>
  <c r="O213" i="9"/>
  <c r="M213" i="9"/>
  <c r="U235" i="9"/>
  <c r="P235" i="9"/>
  <c r="Q235" i="9" s="1"/>
  <c r="Y235" i="9"/>
  <c r="AC235" i="9"/>
  <c r="O12" i="10"/>
  <c r="M12" i="7" s="1"/>
  <c r="M12" i="10"/>
  <c r="Z49" i="12"/>
  <c r="Y49" i="12"/>
  <c r="P249" i="9"/>
  <c r="Q249" i="9" s="1"/>
  <c r="AC249" i="9"/>
  <c r="Y249" i="9"/>
  <c r="U249" i="9"/>
  <c r="O18" i="10"/>
  <c r="M18" i="7" s="1"/>
  <c r="M18" i="10"/>
  <c r="Z61" i="12"/>
  <c r="Y61" i="12"/>
  <c r="Y94" i="12"/>
  <c r="Z94" i="12"/>
  <c r="Q195" i="9"/>
  <c r="O22" i="10"/>
  <c r="M22" i="7" s="1"/>
  <c r="M22" i="10"/>
  <c r="K29" i="10"/>
  <c r="Q260" i="9"/>
  <c r="K9" i="10"/>
  <c r="Y35" i="12"/>
  <c r="Z35" i="12"/>
  <c r="Z71" i="12"/>
  <c r="Y71" i="12"/>
  <c r="Y198" i="12"/>
  <c r="Z198" i="12"/>
  <c r="Y114" i="12"/>
  <c r="Z114" i="12"/>
  <c r="Z192" i="12"/>
  <c r="Y192" i="12"/>
  <c r="Z51" i="12"/>
  <c r="Y51" i="12"/>
  <c r="Z219" i="12"/>
  <c r="Y219" i="12"/>
  <c r="Z497" i="12"/>
  <c r="Y497" i="12"/>
  <c r="Z455" i="12"/>
  <c r="Y455" i="12"/>
  <c r="Z368" i="12"/>
  <c r="Y368" i="12"/>
  <c r="Z328" i="12"/>
  <c r="Y328" i="12"/>
  <c r="Z360" i="12"/>
  <c r="Y360" i="12"/>
  <c r="Z259" i="12"/>
  <c r="Y259" i="12"/>
  <c r="Z193" i="12"/>
  <c r="Y193" i="12"/>
  <c r="Z213" i="12"/>
  <c r="Y213" i="12"/>
  <c r="Z212" i="12"/>
  <c r="Y212" i="12"/>
  <c r="Y247" i="12"/>
  <c r="Z247" i="12"/>
  <c r="Z211" i="12"/>
  <c r="Y211" i="12"/>
  <c r="Y234" i="12"/>
  <c r="Z234" i="12"/>
  <c r="Z316" i="12"/>
  <c r="Y316" i="12"/>
  <c r="Z276" i="12"/>
  <c r="Y276" i="12"/>
  <c r="Z444" i="12"/>
  <c r="Y444" i="12"/>
  <c r="Z425" i="12"/>
  <c r="Y425" i="12"/>
  <c r="Y365" i="12"/>
  <c r="Z365" i="12"/>
  <c r="Z439" i="12"/>
  <c r="Y439" i="12"/>
  <c r="Z302" i="12"/>
  <c r="Y441" i="12"/>
  <c r="Z441" i="12"/>
  <c r="Y511" i="12"/>
  <c r="Z511" i="12"/>
  <c r="Z487" i="12"/>
  <c r="Y487" i="12"/>
  <c r="M78" i="9"/>
  <c r="O78" i="9"/>
  <c r="P184" i="9"/>
  <c r="Q184" i="9" s="1"/>
  <c r="U184" i="9"/>
  <c r="Y184" i="9"/>
  <c r="AC184" i="9"/>
  <c r="AC67" i="9"/>
  <c r="Y67" i="9"/>
  <c r="U67" i="9"/>
  <c r="P67" i="9"/>
  <c r="O73" i="9"/>
  <c r="M73" i="9"/>
  <c r="O127" i="9"/>
  <c r="M127" i="9"/>
  <c r="P176" i="9"/>
  <c r="Q176" i="9" s="1"/>
  <c r="U176" i="9"/>
  <c r="Y176" i="9"/>
  <c r="AC176" i="9"/>
  <c r="AC246" i="9"/>
  <c r="Y246" i="9"/>
  <c r="U246" i="9"/>
  <c r="P246" i="9"/>
  <c r="O49" i="9"/>
  <c r="M49" i="9"/>
  <c r="M94" i="9"/>
  <c r="O94" i="9"/>
  <c r="M189" i="9"/>
  <c r="O189" i="9"/>
  <c r="AC100" i="9"/>
  <c r="Y100" i="9"/>
  <c r="U100" i="9"/>
  <c r="P100" i="9"/>
  <c r="Q100" i="9" s="1"/>
  <c r="O110" i="9"/>
  <c r="M110" i="9"/>
  <c r="AC125" i="9"/>
  <c r="Y125" i="9"/>
  <c r="F31" i="2" s="1"/>
  <c r="U125" i="9"/>
  <c r="P125" i="9"/>
  <c r="O178" i="9"/>
  <c r="M178" i="9"/>
  <c r="AC201" i="9"/>
  <c r="Y201" i="9"/>
  <c r="U201" i="9"/>
  <c r="P201" i="9"/>
  <c r="Q201" i="9" s="1"/>
  <c r="M231" i="9"/>
  <c r="O231" i="9"/>
  <c r="O128" i="9"/>
  <c r="M128" i="9"/>
  <c r="AC177" i="9"/>
  <c r="Y177" i="9"/>
  <c r="U177" i="9"/>
  <c r="P177" i="9"/>
  <c r="Q177" i="9" s="1"/>
  <c r="O244" i="9"/>
  <c r="M244" i="9"/>
  <c r="AC142" i="9"/>
  <c r="U142" i="9"/>
  <c r="P142" i="9"/>
  <c r="Q142" i="9" s="1"/>
  <c r="Y142" i="9"/>
  <c r="G16" i="2" s="1"/>
  <c r="D8" i="5"/>
  <c r="P60" i="9"/>
  <c r="Q60" i="9" s="1"/>
  <c r="Y60" i="9"/>
  <c r="AC60" i="9"/>
  <c r="U60" i="9"/>
  <c r="O191" i="9"/>
  <c r="M191" i="9"/>
  <c r="M202" i="9"/>
  <c r="O202" i="9"/>
  <c r="M226" i="9"/>
  <c r="O226" i="9"/>
  <c r="Y23" i="12"/>
  <c r="Z23" i="12"/>
  <c r="D24" i="5"/>
  <c r="Z77" i="12"/>
  <c r="Y77" i="12"/>
  <c r="AC111" i="9"/>
  <c r="U111" i="9"/>
  <c r="P111" i="9"/>
  <c r="Q111" i="9" s="1"/>
  <c r="Y111" i="9"/>
  <c r="F17" i="2" s="1"/>
  <c r="AC175" i="9"/>
  <c r="U175" i="9"/>
  <c r="P175" i="9"/>
  <c r="Q175" i="9" s="1"/>
  <c r="Y175" i="9"/>
  <c r="K8" i="10"/>
  <c r="Z137" i="12"/>
  <c r="Y137" i="12"/>
  <c r="D14" i="5"/>
  <c r="Z25" i="12"/>
  <c r="Y25" i="12"/>
  <c r="Z200" i="12"/>
  <c r="Y200" i="12"/>
  <c r="Y182" i="12"/>
  <c r="Z182" i="12"/>
  <c r="Z344" i="12"/>
  <c r="Y344" i="12"/>
  <c r="Z165" i="12"/>
  <c r="Y165" i="12"/>
  <c r="Y214" i="12"/>
  <c r="Z214" i="12"/>
  <c r="Y206" i="12"/>
  <c r="Z206" i="12"/>
  <c r="Y277" i="12"/>
  <c r="Z277" i="12"/>
  <c r="Z228" i="12"/>
  <c r="Y228" i="12"/>
  <c r="Y285" i="12"/>
  <c r="Z285" i="12"/>
  <c r="Y271" i="12"/>
  <c r="Z271" i="12"/>
  <c r="Y293" i="12"/>
  <c r="Z293" i="12"/>
  <c r="Z409" i="12"/>
  <c r="Y409" i="12"/>
  <c r="Z421" i="12"/>
  <c r="Y421" i="12"/>
  <c r="Y424" i="12"/>
  <c r="Z424" i="12"/>
  <c r="Y435" i="12"/>
  <c r="Z435" i="12"/>
  <c r="Y491" i="12"/>
  <c r="Z491" i="12"/>
  <c r="Z418" i="12"/>
  <c r="Y418" i="12"/>
  <c r="Y464" i="12"/>
  <c r="Z464" i="12"/>
  <c r="Z412" i="12"/>
  <c r="Y412" i="12"/>
  <c r="Y478" i="12"/>
  <c r="Z478" i="12"/>
  <c r="Z512" i="12"/>
  <c r="Y512" i="12"/>
  <c r="Y506" i="12"/>
  <c r="Z506" i="12"/>
  <c r="P5" i="9"/>
  <c r="Q5" i="9" s="1"/>
  <c r="AC5" i="9"/>
  <c r="M47" i="9"/>
  <c r="O47" i="9"/>
  <c r="M75" i="9"/>
  <c r="O75" i="9"/>
  <c r="M68" i="9"/>
  <c r="O68" i="9"/>
  <c r="AC76" i="9"/>
  <c r="Y76" i="9"/>
  <c r="U76" i="9"/>
  <c r="P76" i="9"/>
  <c r="Q76" i="9" s="1"/>
  <c r="AC42" i="9"/>
  <c r="Y42" i="9"/>
  <c r="U42" i="9"/>
  <c r="P42" i="9"/>
  <c r="AC79" i="9"/>
  <c r="Y79" i="9"/>
  <c r="U79" i="9"/>
  <c r="P79" i="9"/>
  <c r="Q79" i="9" s="1"/>
  <c r="P102" i="9"/>
  <c r="Q102" i="9" s="1"/>
  <c r="Y102" i="9"/>
  <c r="F8" i="2" s="1"/>
  <c r="AC102" i="9"/>
  <c r="U102" i="9"/>
  <c r="Y19" i="9"/>
  <c r="U19" i="9"/>
  <c r="P19" i="9"/>
  <c r="Q19" i="9" s="1"/>
  <c r="Y35" i="9"/>
  <c r="U35" i="9"/>
  <c r="P35" i="9"/>
  <c r="Q35" i="9" s="1"/>
  <c r="AC51" i="9"/>
  <c r="Y51" i="9"/>
  <c r="U51" i="9"/>
  <c r="P51" i="9"/>
  <c r="Q51" i="9" s="1"/>
  <c r="P160" i="9"/>
  <c r="Q160" i="9" s="1"/>
  <c r="U160" i="9"/>
  <c r="AC160" i="9"/>
  <c r="Y160" i="9"/>
  <c r="G34" i="2" s="1"/>
  <c r="M197" i="9"/>
  <c r="O197" i="9"/>
  <c r="O232" i="9"/>
  <c r="M232" i="9"/>
  <c r="O260" i="9"/>
  <c r="M260" i="9"/>
  <c r="O237" i="9"/>
  <c r="M237" i="9"/>
  <c r="O151" i="9"/>
  <c r="M151" i="9"/>
  <c r="M196" i="9"/>
  <c r="O196" i="9"/>
  <c r="U61" i="9"/>
  <c r="P61" i="9"/>
  <c r="Q61" i="9" s="1"/>
  <c r="AC61" i="9"/>
  <c r="Y61" i="9"/>
  <c r="P132" i="9"/>
  <c r="AC132" i="9"/>
  <c r="Y132" i="9"/>
  <c r="F38" i="2" s="1"/>
  <c r="U132" i="9"/>
  <c r="AC185" i="9"/>
  <c r="Y185" i="9"/>
  <c r="U185" i="9"/>
  <c r="P185" i="9"/>
  <c r="Q185" i="9" s="1"/>
  <c r="AC205" i="9"/>
  <c r="Y205" i="9"/>
  <c r="U205" i="9"/>
  <c r="P205" i="9"/>
  <c r="Q205" i="9" s="1"/>
  <c r="AC234" i="9"/>
  <c r="Y234" i="9"/>
  <c r="U234" i="9"/>
  <c r="P234" i="9"/>
  <c r="Q234" i="9" s="1"/>
  <c r="AC255" i="9"/>
  <c r="Y255" i="9"/>
  <c r="U255" i="9"/>
  <c r="P255" i="9"/>
  <c r="P80" i="9"/>
  <c r="AC80" i="9"/>
  <c r="Y80" i="9"/>
  <c r="U80" i="9"/>
  <c r="P140" i="9"/>
  <c r="Q140" i="9" s="1"/>
  <c r="AC140" i="9"/>
  <c r="Y140" i="9"/>
  <c r="G14" i="2" s="1"/>
  <c r="U140" i="9"/>
  <c r="M170" i="9"/>
  <c r="O170" i="9"/>
  <c r="AC238" i="9"/>
  <c r="Y238" i="9"/>
  <c r="U238" i="9"/>
  <c r="P238" i="9"/>
  <c r="Q238" i="9" s="1"/>
  <c r="Y54" i="12"/>
  <c r="Z54" i="12"/>
  <c r="Y73" i="9"/>
  <c r="AC73" i="9"/>
  <c r="U73" i="9"/>
  <c r="P73" i="9"/>
  <c r="Q73" i="9" s="1"/>
  <c r="D32" i="5"/>
  <c r="Y70" i="12"/>
  <c r="Z70" i="12"/>
  <c r="U139" i="9"/>
  <c r="P139" i="9"/>
  <c r="Q139" i="9" s="1"/>
  <c r="Y139" i="9"/>
  <c r="G13" i="2" s="1"/>
  <c r="AC139" i="9"/>
  <c r="U203" i="9"/>
  <c r="P203" i="9"/>
  <c r="Q203" i="9" s="1"/>
  <c r="Y203" i="9"/>
  <c r="AC203" i="9"/>
  <c r="K32" i="10"/>
  <c r="Q18" i="10"/>
  <c r="D36" i="5"/>
  <c r="Y74" i="12"/>
  <c r="Z74" i="12"/>
  <c r="AC252" i="9"/>
  <c r="U252" i="9"/>
  <c r="P252" i="9"/>
  <c r="Q252" i="9" s="1"/>
  <c r="Y252" i="9"/>
  <c r="Z6" i="12"/>
  <c r="Y6" i="12"/>
  <c r="Z13" i="12"/>
  <c r="Y13" i="12"/>
  <c r="Z79" i="12"/>
  <c r="Y79" i="12"/>
  <c r="Z39" i="12"/>
  <c r="Y39" i="12"/>
  <c r="Y154" i="12"/>
  <c r="Z154" i="12"/>
  <c r="Z208" i="12"/>
  <c r="Y208" i="12"/>
  <c r="Y482" i="12"/>
  <c r="Z482" i="12"/>
  <c r="Y353" i="12"/>
  <c r="Z353" i="12"/>
  <c r="Z288" i="12"/>
  <c r="Y288" i="12"/>
  <c r="Y44" i="12"/>
  <c r="Z44" i="12"/>
  <c r="Z209" i="12"/>
  <c r="Y209" i="12"/>
  <c r="Y190" i="12"/>
  <c r="Z190" i="12"/>
  <c r="Y222" i="12"/>
  <c r="Z222" i="12"/>
  <c r="Y265" i="12"/>
  <c r="Z265" i="12"/>
  <c r="Y249" i="12"/>
  <c r="Z249" i="12"/>
  <c r="Z339" i="12"/>
  <c r="Y339" i="12"/>
  <c r="Y322" i="12"/>
  <c r="Z322" i="12"/>
  <c r="Y362" i="12"/>
  <c r="Z362" i="12"/>
  <c r="Z319" i="12"/>
  <c r="Y319" i="12"/>
  <c r="Z379" i="12"/>
  <c r="Y379" i="12"/>
  <c r="Z413" i="12"/>
  <c r="Y413" i="12"/>
  <c r="Z433" i="12"/>
  <c r="Y433" i="12"/>
  <c r="Z483" i="12"/>
  <c r="Y483" i="12"/>
  <c r="Z459" i="12"/>
  <c r="Y459" i="12"/>
  <c r="Z294" i="12"/>
  <c r="Z481" i="12"/>
  <c r="Y481" i="12"/>
  <c r="Y449" i="12"/>
  <c r="Z449" i="12"/>
  <c r="Z400" i="12"/>
  <c r="M55" i="9"/>
  <c r="O55" i="9"/>
  <c r="H34" i="9"/>
  <c r="O34" i="9" s="1"/>
  <c r="L34" i="7" s="1"/>
  <c r="N34" i="7" s="1"/>
  <c r="H120" i="1" s="1"/>
  <c r="H30" i="9"/>
  <c r="O30" i="9" s="1"/>
  <c r="H26" i="9"/>
  <c r="O26" i="9" s="1"/>
  <c r="H22" i="9"/>
  <c r="O22" i="9" s="1"/>
  <c r="H18" i="9"/>
  <c r="O18" i="9" s="1"/>
  <c r="L18" i="7" s="1"/>
  <c r="N18" i="7" s="1"/>
  <c r="H104" i="1" s="1"/>
  <c r="H14" i="9"/>
  <c r="O14" i="9" s="1"/>
  <c r="H10" i="9"/>
  <c r="O10" i="9" s="1"/>
  <c r="H6" i="9"/>
  <c r="O6" i="9" s="1"/>
  <c r="B29" i="6"/>
  <c r="H35" i="9"/>
  <c r="O35" i="9" s="1"/>
  <c r="H31" i="9"/>
  <c r="O31" i="9" s="1"/>
  <c r="H27" i="9"/>
  <c r="O27" i="9" s="1"/>
  <c r="H23" i="9"/>
  <c r="O23" i="9" s="1"/>
  <c r="H19" i="9"/>
  <c r="O19" i="9" s="1"/>
  <c r="L19" i="7" s="1"/>
  <c r="H33" i="9"/>
  <c r="O33" i="9" s="1"/>
  <c r="H29" i="9"/>
  <c r="O29" i="9" s="1"/>
  <c r="H25" i="9"/>
  <c r="O25" i="9" s="1"/>
  <c r="H21" i="9"/>
  <c r="O21" i="9" s="1"/>
  <c r="H17" i="9"/>
  <c r="O17" i="9" s="1"/>
  <c r="L17" i="7" s="1"/>
  <c r="H13" i="9"/>
  <c r="O13" i="9" s="1"/>
  <c r="H9" i="9"/>
  <c r="O9" i="9" s="1"/>
  <c r="L9" i="7" s="1"/>
  <c r="H5" i="9"/>
  <c r="O5" i="9" s="1"/>
  <c r="H28" i="9"/>
  <c r="H32" i="9"/>
  <c r="O32" i="9" s="1"/>
  <c r="H16" i="9"/>
  <c r="O16" i="9" s="1"/>
  <c r="H15" i="9"/>
  <c r="O15" i="9" s="1"/>
  <c r="H12" i="9"/>
  <c r="O12" i="9" s="1"/>
  <c r="L12" i="7" s="1"/>
  <c r="N12" i="7" s="1"/>
  <c r="H98" i="1" s="1"/>
  <c r="H11" i="9"/>
  <c r="O11" i="9" s="1"/>
  <c r="H8" i="9"/>
  <c r="O8" i="9" s="1"/>
  <c r="L8" i="7" s="1"/>
  <c r="H7" i="9"/>
  <c r="O7" i="9" s="1"/>
  <c r="H36" i="9"/>
  <c r="O36" i="9" s="1"/>
  <c r="H20" i="9"/>
  <c r="O20" i="9" s="1"/>
  <c r="L20" i="7" s="1"/>
  <c r="H24" i="9"/>
  <c r="O24" i="9" s="1"/>
  <c r="U9" i="9"/>
  <c r="O96" i="9"/>
  <c r="M96" i="9"/>
  <c r="U158" i="9"/>
  <c r="P158" i="9"/>
  <c r="Q158" i="9" s="1"/>
  <c r="Y158" i="9"/>
  <c r="G32" i="2" s="1"/>
  <c r="AC158" i="9"/>
  <c r="P152" i="9"/>
  <c r="Q152" i="9" s="1"/>
  <c r="U152" i="9"/>
  <c r="Y152" i="9"/>
  <c r="AC152" i="9"/>
  <c r="O228" i="9"/>
  <c r="M228" i="9"/>
  <c r="AC30" i="9"/>
  <c r="Y30" i="9"/>
  <c r="U30" i="9"/>
  <c r="B30" i="4" s="1"/>
  <c r="P30" i="9"/>
  <c r="Q30" i="9" s="1"/>
  <c r="P78" i="9"/>
  <c r="Y78" i="9"/>
  <c r="AC78" i="9"/>
  <c r="U78" i="9"/>
  <c r="P70" i="9"/>
  <c r="Y70" i="9"/>
  <c r="AC70" i="9"/>
  <c r="U70" i="9"/>
  <c r="M141" i="9"/>
  <c r="O141" i="9"/>
  <c r="M156" i="9"/>
  <c r="O156" i="9"/>
  <c r="O118" i="9"/>
  <c r="M118" i="9"/>
  <c r="P136" i="9"/>
  <c r="Q136" i="9" s="1"/>
  <c r="U136" i="9"/>
  <c r="Y136" i="9"/>
  <c r="G10" i="2" s="1"/>
  <c r="AC136" i="9"/>
  <c r="M255" i="9"/>
  <c r="O255" i="9"/>
  <c r="Y29" i="9"/>
  <c r="U29" i="9"/>
  <c r="O136" i="9"/>
  <c r="M136" i="9"/>
  <c r="P164" i="9"/>
  <c r="Q164" i="9" s="1"/>
  <c r="AC164" i="9"/>
  <c r="Y164" i="9"/>
  <c r="G38" i="2" s="1"/>
  <c r="U164" i="9"/>
  <c r="AC215" i="9"/>
  <c r="Y215" i="9"/>
  <c r="U215" i="9"/>
  <c r="P215" i="9"/>
  <c r="Q215" i="9" s="1"/>
  <c r="M246" i="9"/>
  <c r="O246" i="9"/>
  <c r="P52" i="9"/>
  <c r="Q52" i="9" s="1"/>
  <c r="AC52" i="9"/>
  <c r="U52" i="9"/>
  <c r="Y52" i="9"/>
  <c r="P82" i="9"/>
  <c r="Q82" i="9" s="1"/>
  <c r="U82" i="9"/>
  <c r="AC82" i="9"/>
  <c r="Y82" i="9"/>
  <c r="O134" i="9"/>
  <c r="Q134" i="9" s="1"/>
  <c r="M134" i="9"/>
  <c r="O216" i="9"/>
  <c r="M216" i="9"/>
  <c r="M225" i="9"/>
  <c r="O225" i="9"/>
  <c r="Z26" i="12"/>
  <c r="C27" i="5" s="1"/>
  <c r="E27" i="5" s="1"/>
  <c r="Y26" i="12"/>
  <c r="K16" i="10"/>
  <c r="U85" i="9"/>
  <c r="P85" i="9"/>
  <c r="Q85" i="9" s="1"/>
  <c r="AC85" i="9"/>
  <c r="Y85" i="9"/>
  <c r="P120" i="9"/>
  <c r="Q120" i="9" s="1"/>
  <c r="U120" i="9"/>
  <c r="Y120" i="9"/>
  <c r="F26" i="2" s="1"/>
  <c r="AC120" i="9"/>
  <c r="O259" i="9"/>
  <c r="M259" i="9"/>
  <c r="AC151" i="9"/>
  <c r="U151" i="9"/>
  <c r="P151" i="9"/>
  <c r="Q151" i="9" s="1"/>
  <c r="Y151" i="9"/>
  <c r="K24" i="10"/>
  <c r="D23" i="5"/>
  <c r="Z48" i="12"/>
  <c r="Y48" i="12"/>
  <c r="Z88" i="12"/>
  <c r="Y88" i="12"/>
  <c r="U248" i="9"/>
  <c r="P248" i="9"/>
  <c r="Q248" i="9" s="1"/>
  <c r="Y248" i="9"/>
  <c r="AC248" i="9"/>
  <c r="Y27" i="12"/>
  <c r="Z27" i="12"/>
  <c r="Z153" i="12"/>
  <c r="Y153" i="12"/>
  <c r="D29" i="5"/>
  <c r="Z67" i="12"/>
  <c r="Y67" i="12"/>
  <c r="Z99" i="12"/>
  <c r="Y99" i="12"/>
  <c r="Z156" i="12"/>
  <c r="Y156" i="12"/>
  <c r="Y337" i="12"/>
  <c r="Z337" i="12"/>
  <c r="Z240" i="12"/>
  <c r="Y240" i="12"/>
  <c r="Z187" i="12"/>
  <c r="Y187" i="12"/>
  <c r="Z264" i="12"/>
  <c r="Y264" i="12"/>
  <c r="Z227" i="12"/>
  <c r="Y227" i="12"/>
  <c r="Y223" i="12"/>
  <c r="Z223" i="12"/>
  <c r="Z268" i="12"/>
  <c r="Y268" i="12"/>
  <c r="Y273" i="12"/>
  <c r="Z273" i="12"/>
  <c r="Y313" i="12"/>
  <c r="Z313" i="12"/>
  <c r="Z355" i="12"/>
  <c r="Y355" i="12"/>
  <c r="Z393" i="12"/>
  <c r="Y393" i="12"/>
  <c r="Y270" i="12"/>
  <c r="Z270" i="12"/>
  <c r="Z376" i="12"/>
  <c r="Y376" i="12"/>
  <c r="Z279" i="12"/>
  <c r="Z422" i="12"/>
  <c r="Y422" i="12"/>
  <c r="Y386" i="12"/>
  <c r="Z386" i="12"/>
  <c r="Y403" i="12"/>
  <c r="Z403" i="12"/>
  <c r="Y451" i="12"/>
  <c r="Z451" i="12"/>
  <c r="Y499" i="12"/>
  <c r="Z499" i="12"/>
  <c r="Z485" i="12"/>
  <c r="Y485" i="12"/>
  <c r="Z515" i="12"/>
  <c r="Z333" i="12"/>
  <c r="Z10" i="12"/>
  <c r="C11" i="5" s="1"/>
  <c r="E11" i="5" s="1"/>
  <c r="Z69" i="12"/>
  <c r="Z385" i="12"/>
  <c r="F28" i="3" l="1"/>
  <c r="D112" i="1"/>
  <c r="F11" i="3"/>
  <c r="D95" i="1"/>
  <c r="C7" i="5"/>
  <c r="E7" i="5" s="1"/>
  <c r="Q125" i="9"/>
  <c r="Q246" i="9"/>
  <c r="Q67" i="9"/>
  <c r="Y16" i="9"/>
  <c r="Q95" i="9"/>
  <c r="C15" i="5"/>
  <c r="E15" i="5" s="1"/>
  <c r="K37" i="10"/>
  <c r="O5" i="10"/>
  <c r="M5" i="10"/>
  <c r="C17" i="5"/>
  <c r="E17" i="5" s="1"/>
  <c r="Y24" i="9"/>
  <c r="B31" i="4"/>
  <c r="B15" i="4"/>
  <c r="U18" i="9"/>
  <c r="B18" i="4" s="1"/>
  <c r="O13" i="10"/>
  <c r="M13" i="10"/>
  <c r="M23" i="10"/>
  <c r="O23" i="10"/>
  <c r="AC21" i="9"/>
  <c r="Y26" i="9"/>
  <c r="Q75" i="9"/>
  <c r="Y32" i="9"/>
  <c r="Q213" i="9"/>
  <c r="G18" i="2"/>
  <c r="Q237" i="9"/>
  <c r="U22" i="9"/>
  <c r="F19" i="3"/>
  <c r="D103" i="1"/>
  <c r="O27" i="10"/>
  <c r="M27" i="10"/>
  <c r="P20" i="9"/>
  <c r="Q20" i="9" s="1"/>
  <c r="Q12" i="10"/>
  <c r="Q40" i="9"/>
  <c r="P17" i="9"/>
  <c r="Q17" i="9" s="1"/>
  <c r="AC27" i="9"/>
  <c r="E27" i="4" s="1"/>
  <c r="AC11" i="9"/>
  <c r="E11" i="4" s="1"/>
  <c r="O25" i="10"/>
  <c r="M25" i="10"/>
  <c r="Q143" i="9"/>
  <c r="AC12" i="9"/>
  <c r="P37" i="9"/>
  <c r="G11" i="2"/>
  <c r="Q87" i="9"/>
  <c r="Y25" i="9"/>
  <c r="C18" i="5"/>
  <c r="E18" i="5" s="1"/>
  <c r="Q232" i="9"/>
  <c r="Q135" i="9"/>
  <c r="U36" i="9"/>
  <c r="P6" i="9"/>
  <c r="Q6" i="9" s="1"/>
  <c r="Y34" i="9"/>
  <c r="P103" i="9"/>
  <c r="Q236" i="9"/>
  <c r="Y56" i="9"/>
  <c r="P49" i="9"/>
  <c r="Q49" i="9" s="1"/>
  <c r="P33" i="9"/>
  <c r="Q33" i="9" s="1"/>
  <c r="Q128" i="9"/>
  <c r="AC55" i="9"/>
  <c r="AC39" i="9"/>
  <c r="AC23" i="9"/>
  <c r="AC7" i="9"/>
  <c r="C21" i="5"/>
  <c r="E21" i="5" s="1"/>
  <c r="G33" i="2"/>
  <c r="P77" i="9"/>
  <c r="Q77" i="9" s="1"/>
  <c r="P129" i="9"/>
  <c r="Q129" i="9" s="1"/>
  <c r="Y66" i="9"/>
  <c r="U44" i="9"/>
  <c r="Y53" i="9"/>
  <c r="U14" i="9"/>
  <c r="B14" i="4" s="1"/>
  <c r="U50" i="9"/>
  <c r="O64" i="9"/>
  <c r="AC38" i="9"/>
  <c r="Q222" i="9"/>
  <c r="E116" i="1" s="1"/>
  <c r="P118" i="9"/>
  <c r="Q118" i="9" s="1"/>
  <c r="AC64" i="9"/>
  <c r="AC41" i="9"/>
  <c r="Y124" i="9"/>
  <c r="F30" i="2" s="1"/>
  <c r="Q230" i="9"/>
  <c r="U112" i="9"/>
  <c r="Y99" i="9"/>
  <c r="AC13" i="9"/>
  <c r="E13" i="4" s="1"/>
  <c r="AC116" i="9"/>
  <c r="Y46" i="9"/>
  <c r="AC68" i="9"/>
  <c r="M24" i="10"/>
  <c r="O24" i="10"/>
  <c r="L24" i="7"/>
  <c r="Y9" i="9"/>
  <c r="L13" i="7"/>
  <c r="L27" i="7"/>
  <c r="AC8" i="9"/>
  <c r="E8" i="4" s="1"/>
  <c r="B19" i="4"/>
  <c r="F17" i="3"/>
  <c r="D101" i="1"/>
  <c r="E100" i="1"/>
  <c r="G16" i="3"/>
  <c r="C36" i="5"/>
  <c r="E36" i="5" s="1"/>
  <c r="U16" i="9"/>
  <c r="Q57" i="9"/>
  <c r="M36" i="10"/>
  <c r="O36" i="10"/>
  <c r="F32" i="3"/>
  <c r="D116" i="1"/>
  <c r="C25" i="5"/>
  <c r="E25" i="5" s="1"/>
  <c r="D98" i="1"/>
  <c r="F14" i="3"/>
  <c r="P24" i="9"/>
  <c r="Q24" i="9" s="1"/>
  <c r="Y31" i="9"/>
  <c r="Y15" i="9"/>
  <c r="P10" i="9"/>
  <c r="Q10" i="9" s="1"/>
  <c r="Y18" i="9"/>
  <c r="C10" i="5"/>
  <c r="E10" i="5" s="1"/>
  <c r="O6" i="10"/>
  <c r="M6" i="10"/>
  <c r="P21" i="9"/>
  <c r="Q21" i="9" s="1"/>
  <c r="AC26" i="9"/>
  <c r="D94" i="1"/>
  <c r="F10" i="3"/>
  <c r="Q86" i="9"/>
  <c r="C23" i="5"/>
  <c r="E23" i="5" s="1"/>
  <c r="C35" i="5"/>
  <c r="E35" i="5" s="1"/>
  <c r="U32" i="9"/>
  <c r="G22" i="2"/>
  <c r="Q92" i="9"/>
  <c r="Y22" i="9"/>
  <c r="O14" i="10"/>
  <c r="M14" i="10"/>
  <c r="C33" i="5"/>
  <c r="E33" i="5" s="1"/>
  <c r="Y20" i="9"/>
  <c r="Q202" i="9"/>
  <c r="Y122" i="9"/>
  <c r="F28" i="2" s="1"/>
  <c r="Q181" i="9"/>
  <c r="U40" i="9"/>
  <c r="Q170" i="9"/>
  <c r="U17" i="9"/>
  <c r="G19" i="2"/>
  <c r="P59" i="9"/>
  <c r="Q59" i="9" s="1"/>
  <c r="P43" i="9"/>
  <c r="P27" i="9"/>
  <c r="Q27" i="9" s="1"/>
  <c r="Y11" i="9"/>
  <c r="Y105" i="9"/>
  <c r="F11" i="2" s="1"/>
  <c r="O35" i="10"/>
  <c r="M35" i="10"/>
  <c r="F112" i="1"/>
  <c r="J28" i="3"/>
  <c r="J28" i="2"/>
  <c r="Q217" i="9"/>
  <c r="AC88" i="9"/>
  <c r="Y12" i="9"/>
  <c r="U37" i="9"/>
  <c r="O20" i="10"/>
  <c r="M20" i="10"/>
  <c r="U87" i="9"/>
  <c r="U71" i="9"/>
  <c r="Q254" i="9"/>
  <c r="Q149" i="9"/>
  <c r="Y74" i="9"/>
  <c r="Y48" i="9"/>
  <c r="AC25" i="9"/>
  <c r="E25" i="4" s="1"/>
  <c r="Q197" i="9"/>
  <c r="O37" i="9"/>
  <c r="U131" i="9"/>
  <c r="B35" i="4" s="1"/>
  <c r="P131" i="9"/>
  <c r="O131" i="9"/>
  <c r="Y131" i="9"/>
  <c r="F37" i="2" s="1"/>
  <c r="M30" i="10"/>
  <c r="O30" i="10"/>
  <c r="P69" i="9"/>
  <c r="Q69" i="9" s="1"/>
  <c r="AC36" i="9"/>
  <c r="E36" i="4" s="1"/>
  <c r="U6" i="9"/>
  <c r="AC34" i="9"/>
  <c r="U103" i="9"/>
  <c r="U54" i="9"/>
  <c r="O93" i="9"/>
  <c r="AC93" i="9"/>
  <c r="Y93" i="9"/>
  <c r="U93" i="9"/>
  <c r="B29" i="4" s="1"/>
  <c r="P93" i="9"/>
  <c r="Q93" i="9" s="1"/>
  <c r="C30" i="5"/>
  <c r="E30" i="5" s="1"/>
  <c r="Q187" i="9"/>
  <c r="G29" i="3" s="1"/>
  <c r="Q123" i="9"/>
  <c r="P56" i="9"/>
  <c r="Q56" i="9" s="1"/>
  <c r="U49" i="9"/>
  <c r="U33" i="9"/>
  <c r="Q133" i="9"/>
  <c r="Y128" i="9"/>
  <c r="F34" i="2" s="1"/>
  <c r="P55" i="9"/>
  <c r="Q55" i="9" s="1"/>
  <c r="P39" i="9"/>
  <c r="Q39" i="9" s="1"/>
  <c r="P23" i="9"/>
  <c r="Q23" i="9" s="1"/>
  <c r="Y7" i="9"/>
  <c r="Q256" i="9"/>
  <c r="Q224" i="9"/>
  <c r="Q22" i="10"/>
  <c r="J36" i="3"/>
  <c r="J36" i="2"/>
  <c r="F120" i="1"/>
  <c r="U77" i="9"/>
  <c r="U129" i="9"/>
  <c r="AC66" i="9"/>
  <c r="AC44" i="9"/>
  <c r="G27" i="2"/>
  <c r="AC53" i="9"/>
  <c r="Q169" i="9"/>
  <c r="Y14" i="9"/>
  <c r="O99" i="9"/>
  <c r="Y50" i="9"/>
  <c r="P38" i="9"/>
  <c r="Q38" i="9" s="1"/>
  <c r="O31" i="10"/>
  <c r="M31" i="10"/>
  <c r="Q259" i="9"/>
  <c r="G37" i="3" s="1"/>
  <c r="Q172" i="9"/>
  <c r="U118" i="9"/>
  <c r="P64" i="9"/>
  <c r="Q64" i="9" s="1"/>
  <c r="Q225" i="9"/>
  <c r="Q196" i="9"/>
  <c r="P41" i="9"/>
  <c r="Q41" i="9" s="1"/>
  <c r="U124" i="9"/>
  <c r="P112" i="9"/>
  <c r="Q112" i="9" s="1"/>
  <c r="O69" i="9"/>
  <c r="AC99" i="9"/>
  <c r="P13" i="9"/>
  <c r="Q13" i="9" s="1"/>
  <c r="P116" i="9"/>
  <c r="Q116" i="9" s="1"/>
  <c r="AC46" i="9"/>
  <c r="U68" i="9"/>
  <c r="Y68" i="9"/>
  <c r="L16" i="7"/>
  <c r="L23" i="7"/>
  <c r="E21" i="3"/>
  <c r="C105" i="1"/>
  <c r="Q42" i="9"/>
  <c r="E5" i="4"/>
  <c r="L32" i="7"/>
  <c r="L29" i="7"/>
  <c r="L6" i="7"/>
  <c r="L22" i="7"/>
  <c r="N22" i="7" s="1"/>
  <c r="H108" i="1" s="1"/>
  <c r="J20" i="3"/>
  <c r="F104" i="1"/>
  <c r="J20" i="2"/>
  <c r="G25" i="3"/>
  <c r="E109" i="1"/>
  <c r="D110" i="1"/>
  <c r="F26" i="3"/>
  <c r="AC29" i="9"/>
  <c r="E29" i="4" s="1"/>
  <c r="AC9" i="9"/>
  <c r="E9" i="4" s="1"/>
  <c r="L36" i="7"/>
  <c r="P28" i="9"/>
  <c r="Y28" i="9"/>
  <c r="AC28" i="9"/>
  <c r="O28" i="9"/>
  <c r="U28" i="9"/>
  <c r="L31" i="7"/>
  <c r="L10" i="7"/>
  <c r="N10" i="7" s="1"/>
  <c r="H96" i="1" s="1"/>
  <c r="L26" i="7"/>
  <c r="N26" i="7" s="1"/>
  <c r="H112" i="1" s="1"/>
  <c r="C14" i="5"/>
  <c r="E14" i="5" s="1"/>
  <c r="M32" i="10"/>
  <c r="O32" i="10"/>
  <c r="Y8" i="9"/>
  <c r="C35" i="4"/>
  <c r="E37" i="2"/>
  <c r="H37" i="2" s="1"/>
  <c r="U5" i="9"/>
  <c r="B5" i="4" s="1"/>
  <c r="O29" i="10"/>
  <c r="M29" i="10"/>
  <c r="AC16" i="9"/>
  <c r="Q141" i="9"/>
  <c r="C29" i="5"/>
  <c r="E29" i="5" s="1"/>
  <c r="C32" i="5"/>
  <c r="E32" i="5" s="1"/>
  <c r="U24" i="9"/>
  <c r="Q168" i="9"/>
  <c r="AC31" i="9"/>
  <c r="E31" i="4" s="1"/>
  <c r="AC15" i="9"/>
  <c r="E15" i="4" s="1"/>
  <c r="U10" i="9"/>
  <c r="AC18" i="9"/>
  <c r="M15" i="10"/>
  <c r="O15" i="10"/>
  <c r="Q138" i="9"/>
  <c r="Q109" i="9"/>
  <c r="U21" i="9"/>
  <c r="B21" i="4" s="1"/>
  <c r="E115" i="1"/>
  <c r="P26" i="9"/>
  <c r="Q26" i="9" s="1"/>
  <c r="F20" i="3"/>
  <c r="D104" i="1"/>
  <c r="Q115" i="9"/>
  <c r="AC32" i="9"/>
  <c r="E32" i="4" s="1"/>
  <c r="Q156" i="9"/>
  <c r="Q241" i="9"/>
  <c r="AC22" i="9"/>
  <c r="C34" i="5"/>
  <c r="E34" i="5" s="1"/>
  <c r="C37" i="5"/>
  <c r="E37" i="5" s="1"/>
  <c r="U20" i="9"/>
  <c r="Q188" i="9"/>
  <c r="P65" i="9"/>
  <c r="Q65" i="9" s="1"/>
  <c r="Y65" i="9"/>
  <c r="AC65" i="9"/>
  <c r="U65" i="9"/>
  <c r="Q171" i="9"/>
  <c r="E97" i="1" s="1"/>
  <c r="F13" i="3"/>
  <c r="D97" i="1"/>
  <c r="C19" i="5"/>
  <c r="E19" i="5" s="1"/>
  <c r="C9" i="5"/>
  <c r="E9" i="5" s="1"/>
  <c r="Y17" i="9"/>
  <c r="U27" i="9"/>
  <c r="B27" i="4" s="1"/>
  <c r="P11" i="9"/>
  <c r="Q11" i="9" s="1"/>
  <c r="J12" i="3"/>
  <c r="J12" i="2"/>
  <c r="F96" i="1"/>
  <c r="Q88" i="9"/>
  <c r="P12" i="9"/>
  <c r="Q12" i="9" s="1"/>
  <c r="Y37" i="9"/>
  <c r="Q189" i="9"/>
  <c r="G31" i="3" s="1"/>
  <c r="G11" i="3"/>
  <c r="E95" i="1"/>
  <c r="Q147" i="9"/>
  <c r="P25" i="9"/>
  <c r="Q25" i="9" s="1"/>
  <c r="Q186" i="9"/>
  <c r="E112" i="1" s="1"/>
  <c r="Q110" i="9"/>
  <c r="G9" i="2"/>
  <c r="P36" i="9"/>
  <c r="Q36" i="9" s="1"/>
  <c r="O124" i="9"/>
  <c r="Q124" i="9" s="1"/>
  <c r="Y6" i="9"/>
  <c r="G28" i="2"/>
  <c r="P34" i="9"/>
  <c r="Q34" i="9" s="1"/>
  <c r="Y103" i="9"/>
  <c r="F9" i="2" s="1"/>
  <c r="F39" i="2" s="1"/>
  <c r="Y54" i="9"/>
  <c r="C20" i="5"/>
  <c r="E20" i="5" s="1"/>
  <c r="M17" i="10"/>
  <c r="O17" i="10"/>
  <c r="U56" i="9"/>
  <c r="M28" i="10"/>
  <c r="O28" i="10"/>
  <c r="Y49" i="9"/>
  <c r="Y33" i="9"/>
  <c r="U55" i="9"/>
  <c r="U39" i="9"/>
  <c r="U23" i="9"/>
  <c r="B23" i="4" s="1"/>
  <c r="P7" i="9"/>
  <c r="Q7" i="9" s="1"/>
  <c r="G24" i="2"/>
  <c r="O53" i="9"/>
  <c r="Q159" i="9"/>
  <c r="Y77" i="9"/>
  <c r="Q207" i="9"/>
  <c r="G20" i="2"/>
  <c r="Y129" i="9"/>
  <c r="F35" i="2" s="1"/>
  <c r="U66" i="9"/>
  <c r="Y44" i="9"/>
  <c r="P53" i="9"/>
  <c r="Q53" i="9" s="1"/>
  <c r="Q257" i="9"/>
  <c r="AC14" i="9"/>
  <c r="E14" i="4" s="1"/>
  <c r="O97" i="9"/>
  <c r="L33" i="7" s="1"/>
  <c r="AC50" i="9"/>
  <c r="U38" i="9"/>
  <c r="Q228" i="9"/>
  <c r="E122" i="1" s="1"/>
  <c r="C13" i="5"/>
  <c r="E13" i="5" s="1"/>
  <c r="Q179" i="9"/>
  <c r="D19" i="4" s="1"/>
  <c r="AC118" i="9"/>
  <c r="U64" i="9"/>
  <c r="U41" i="9"/>
  <c r="B9" i="4" s="1"/>
  <c r="AC124" i="9"/>
  <c r="Q251" i="9"/>
  <c r="AC112" i="9"/>
  <c r="P99" i="9"/>
  <c r="Q99" i="9" s="1"/>
  <c r="C121" i="1" s="1"/>
  <c r="U13" i="9"/>
  <c r="B13" i="4" s="1"/>
  <c r="Y116" i="9"/>
  <c r="F22" i="2" s="1"/>
  <c r="P46" i="9"/>
  <c r="Q46" i="9" s="1"/>
  <c r="AC131" i="9"/>
  <c r="L25" i="7"/>
  <c r="U8" i="9"/>
  <c r="B8" i="4" s="1"/>
  <c r="Q255" i="9"/>
  <c r="G25" i="2"/>
  <c r="G38" i="3"/>
  <c r="C29" i="4"/>
  <c r="E31" i="2"/>
  <c r="H31" i="2" s="1"/>
  <c r="C28" i="5"/>
  <c r="E28" i="5" s="1"/>
  <c r="O16" i="10"/>
  <c r="M16" i="10"/>
  <c r="P29" i="9"/>
  <c r="Q29" i="9" s="1"/>
  <c r="Q70" i="9"/>
  <c r="Q78" i="9"/>
  <c r="E30" i="4"/>
  <c r="G26" i="2"/>
  <c r="P9" i="9"/>
  <c r="Q9" i="9" s="1"/>
  <c r="L15" i="7"/>
  <c r="L5" i="7"/>
  <c r="L21" i="7"/>
  <c r="L35" i="7"/>
  <c r="L14" i="7"/>
  <c r="L30" i="7"/>
  <c r="E98" i="1"/>
  <c r="G14" i="3"/>
  <c r="Q80" i="9"/>
  <c r="P8" i="9"/>
  <c r="Q8" i="9" s="1"/>
  <c r="Q132" i="9"/>
  <c r="E118" i="1"/>
  <c r="G34" i="3"/>
  <c r="AC35" i="9"/>
  <c r="E35" i="4" s="1"/>
  <c r="AC19" i="9"/>
  <c r="E19" i="4" s="1"/>
  <c r="F8" i="3"/>
  <c r="D92" i="1"/>
  <c r="Y5" i="9"/>
  <c r="C26" i="5"/>
  <c r="E26" i="5" s="1"/>
  <c r="O8" i="10"/>
  <c r="M8" i="10"/>
  <c r="C24" i="5"/>
  <c r="E24" i="5" s="1"/>
  <c r="M9" i="10"/>
  <c r="O9" i="10"/>
  <c r="Q96" i="9"/>
  <c r="P16" i="9"/>
  <c r="Q16" i="9" s="1"/>
  <c r="Q209" i="9"/>
  <c r="P37" i="10"/>
  <c r="Q5" i="10"/>
  <c r="F7" i="3"/>
  <c r="D91" i="1"/>
  <c r="C8" i="5"/>
  <c r="E8" i="5" s="1"/>
  <c r="F23" i="3"/>
  <c r="D107" i="1"/>
  <c r="F36" i="3"/>
  <c r="D120" i="1"/>
  <c r="Q58" i="9"/>
  <c r="AC24" i="9"/>
  <c r="Q231" i="9"/>
  <c r="F12" i="3"/>
  <c r="D96" i="1"/>
  <c r="Q47" i="9"/>
  <c r="P31" i="9"/>
  <c r="Q31" i="9" s="1"/>
  <c r="P15" i="9"/>
  <c r="Q15" i="9" s="1"/>
  <c r="Y10" i="9"/>
  <c r="G36" i="2"/>
  <c r="P18" i="9"/>
  <c r="Q18" i="9" s="1"/>
  <c r="C31" i="5"/>
  <c r="E31" i="5" s="1"/>
  <c r="Q191" i="9"/>
  <c r="Q127" i="9"/>
  <c r="Q226" i="9"/>
  <c r="G36" i="3" s="1"/>
  <c r="Y21" i="9"/>
  <c r="U26" i="9"/>
  <c r="B26" i="4" s="1"/>
  <c r="C6" i="5"/>
  <c r="Q212" i="9"/>
  <c r="G22" i="3" s="1"/>
  <c r="P32" i="9"/>
  <c r="Q32" i="9" s="1"/>
  <c r="F27" i="3"/>
  <c r="D111" i="1"/>
  <c r="G30" i="2"/>
  <c r="O43" i="9"/>
  <c r="L11" i="7" s="1"/>
  <c r="Q182" i="9"/>
  <c r="P22" i="9"/>
  <c r="Q22" i="9" s="1"/>
  <c r="Q216" i="9"/>
  <c r="E110" i="1" s="1"/>
  <c r="O33" i="10"/>
  <c r="M33" i="10"/>
  <c r="Q119" i="9"/>
  <c r="Q178" i="9"/>
  <c r="E104" i="1" s="1"/>
  <c r="G35" i="3"/>
  <c r="E119" i="1"/>
  <c r="AC20" i="9"/>
  <c r="E20" i="4" s="1"/>
  <c r="Y62" i="9"/>
  <c r="E32" i="2" s="1"/>
  <c r="H32" i="2" s="1"/>
  <c r="Q68" i="9"/>
  <c r="M11" i="10"/>
  <c r="O11" i="10"/>
  <c r="Q219" i="9"/>
  <c r="AC17" i="9"/>
  <c r="E17" i="4" s="1"/>
  <c r="Q145" i="9"/>
  <c r="Y59" i="9"/>
  <c r="Y27" i="9"/>
  <c r="U11" i="9"/>
  <c r="B11" i="4" s="1"/>
  <c r="C12" i="5"/>
  <c r="E12" i="5" s="1"/>
  <c r="Q240" i="9"/>
  <c r="E102" i="1" s="1"/>
  <c r="Q258" i="9"/>
  <c r="G17" i="2"/>
  <c r="U12" i="9"/>
  <c r="B12" i="4" s="1"/>
  <c r="Q94" i="9"/>
  <c r="D30" i="4" s="1"/>
  <c r="AC71" i="9"/>
  <c r="Q244" i="9"/>
  <c r="Q81" i="9"/>
  <c r="Q250" i="9"/>
  <c r="C16" i="5"/>
  <c r="E16" i="5" s="1"/>
  <c r="G23" i="2"/>
  <c r="U74" i="9"/>
  <c r="AC48" i="9"/>
  <c r="U25" i="9"/>
  <c r="B25" i="4" s="1"/>
  <c r="AC84" i="9"/>
  <c r="M19" i="10"/>
  <c r="O19" i="10"/>
  <c r="Y36" i="9"/>
  <c r="Q229" i="9"/>
  <c r="O103" i="9"/>
  <c r="L7" i="7" s="1"/>
  <c r="AC6" i="9"/>
  <c r="E6" i="4" s="1"/>
  <c r="U34" i="9"/>
  <c r="B34" i="4" s="1"/>
  <c r="AC54" i="9"/>
  <c r="P97" i="9"/>
  <c r="Q97" i="9" s="1"/>
  <c r="Y97" i="9"/>
  <c r="U97" i="9"/>
  <c r="AC90" i="9"/>
  <c r="AC56" i="9"/>
  <c r="Q214" i="9"/>
  <c r="AC33" i="9"/>
  <c r="E33" i="4" s="1"/>
  <c r="G7" i="2"/>
  <c r="Y23" i="9"/>
  <c r="U7" i="9"/>
  <c r="B7" i="4" s="1"/>
  <c r="Y83" i="9"/>
  <c r="C19" i="4" s="1"/>
  <c r="Q150" i="9"/>
  <c r="P66" i="9"/>
  <c r="Q66" i="9" s="1"/>
  <c r="Q173" i="9"/>
  <c r="Q153" i="9"/>
  <c r="M7" i="10"/>
  <c r="O7" i="10"/>
  <c r="Q200" i="9"/>
  <c r="G10" i="3" s="1"/>
  <c r="Q166" i="9"/>
  <c r="G8" i="3" s="1"/>
  <c r="P14" i="9"/>
  <c r="Q14" i="9" s="1"/>
  <c r="P50" i="9"/>
  <c r="Q50" i="9" s="1"/>
  <c r="M21" i="10"/>
  <c r="O21" i="10"/>
  <c r="Y112" i="9"/>
  <c r="F18" i="2" s="1"/>
  <c r="Y13" i="9"/>
  <c r="U116" i="9"/>
  <c r="F30" i="3" l="1"/>
  <c r="D114" i="1"/>
  <c r="E12" i="2"/>
  <c r="H12" i="2" s="1"/>
  <c r="C10" i="4"/>
  <c r="D14" i="4"/>
  <c r="C100" i="1"/>
  <c r="E16" i="3"/>
  <c r="G24" i="3"/>
  <c r="E108" i="1"/>
  <c r="M33" i="7"/>
  <c r="N33" i="7" s="1"/>
  <c r="H119" i="1" s="1"/>
  <c r="Q33" i="10"/>
  <c r="C118" i="1"/>
  <c r="D32" i="4"/>
  <c r="E34" i="3"/>
  <c r="C21" i="4"/>
  <c r="E23" i="2"/>
  <c r="H23" i="2" s="1"/>
  <c r="M9" i="7"/>
  <c r="N9" i="7" s="1"/>
  <c r="H95" i="1" s="1"/>
  <c r="Q9" i="10"/>
  <c r="M8" i="7"/>
  <c r="N8" i="7" s="1"/>
  <c r="H94" i="1" s="1"/>
  <c r="Q8" i="10"/>
  <c r="E94" i="1"/>
  <c r="M28" i="7"/>
  <c r="Q28" i="10"/>
  <c r="D34" i="4"/>
  <c r="C120" i="1"/>
  <c r="E36" i="3"/>
  <c r="H36" i="3" s="1"/>
  <c r="D36" i="4"/>
  <c r="E38" i="3"/>
  <c r="C122" i="1"/>
  <c r="D25" i="4"/>
  <c r="E27" i="3"/>
  <c r="C111" i="1"/>
  <c r="B20" i="4"/>
  <c r="G18" i="3"/>
  <c r="D26" i="4"/>
  <c r="C112" i="1"/>
  <c r="G112" i="1" s="1"/>
  <c r="I112" i="1" s="1"/>
  <c r="E28" i="3"/>
  <c r="F15" i="3"/>
  <c r="D99" i="1"/>
  <c r="E18" i="4"/>
  <c r="E99" i="1"/>
  <c r="G15" i="3"/>
  <c r="E30" i="2"/>
  <c r="H30" i="2" s="1"/>
  <c r="C28" i="4"/>
  <c r="C30" i="4"/>
  <c r="G13" i="3"/>
  <c r="M31" i="7"/>
  <c r="Q31" i="10"/>
  <c r="E16" i="2"/>
  <c r="H16" i="2" s="1"/>
  <c r="C14" i="4"/>
  <c r="B33" i="4"/>
  <c r="G23" i="3"/>
  <c r="E107" i="1"/>
  <c r="C11" i="4"/>
  <c r="F11" i="4" s="1"/>
  <c r="E13" i="2"/>
  <c r="H13" i="2" s="1"/>
  <c r="E26" i="4"/>
  <c r="D10" i="4"/>
  <c r="C96" i="1"/>
  <c r="E12" i="3"/>
  <c r="E11" i="2"/>
  <c r="H11" i="2" s="1"/>
  <c r="C9" i="4"/>
  <c r="F9" i="4" s="1"/>
  <c r="G32" i="3"/>
  <c r="G20" i="3"/>
  <c r="E7" i="4"/>
  <c r="E37" i="4" s="1"/>
  <c r="D118" i="1"/>
  <c r="F34" i="3"/>
  <c r="G28" i="3"/>
  <c r="D17" i="4"/>
  <c r="E19" i="3"/>
  <c r="C103" i="1"/>
  <c r="B22" i="4"/>
  <c r="E106" i="1"/>
  <c r="E28" i="2"/>
  <c r="H28" i="2" s="1"/>
  <c r="C26" i="4"/>
  <c r="G26" i="4" s="1"/>
  <c r="E103" i="1"/>
  <c r="G19" i="3"/>
  <c r="G39" i="2"/>
  <c r="C101" i="1"/>
  <c r="E17" i="3"/>
  <c r="D15" i="4"/>
  <c r="M21" i="7"/>
  <c r="Q21" i="10"/>
  <c r="E111" i="1"/>
  <c r="G27" i="3"/>
  <c r="E38" i="2"/>
  <c r="H38" i="2" s="1"/>
  <c r="C36" i="4"/>
  <c r="C27" i="4"/>
  <c r="F27" i="4" s="1"/>
  <c r="E29" i="2"/>
  <c r="H29" i="2" s="1"/>
  <c r="D18" i="4"/>
  <c r="C104" i="1"/>
  <c r="G104" i="1" s="1"/>
  <c r="I104" i="1" s="1"/>
  <c r="E20" i="3"/>
  <c r="H20" i="3" s="1"/>
  <c r="E33" i="3"/>
  <c r="C117" i="1"/>
  <c r="D31" i="4"/>
  <c r="D122" i="1"/>
  <c r="F38" i="3"/>
  <c r="M16" i="7"/>
  <c r="Q16" i="10"/>
  <c r="G21" i="3"/>
  <c r="E105" i="1"/>
  <c r="E19" i="2"/>
  <c r="H19" i="2" s="1"/>
  <c r="C17" i="4"/>
  <c r="F21" i="3"/>
  <c r="H21" i="3" s="1"/>
  <c r="D105" i="1"/>
  <c r="G12" i="3"/>
  <c r="E96" i="1"/>
  <c r="B10" i="4"/>
  <c r="B24" i="4"/>
  <c r="E16" i="4"/>
  <c r="E21" i="2"/>
  <c r="H21" i="2" s="1"/>
  <c r="E10" i="2"/>
  <c r="H10" i="2" s="1"/>
  <c r="C8" i="4"/>
  <c r="B28" i="4"/>
  <c r="Q28" i="9"/>
  <c r="N16" i="7"/>
  <c r="H102" i="1" s="1"/>
  <c r="E34" i="4"/>
  <c r="M30" i="7"/>
  <c r="Q30" i="10"/>
  <c r="Q131" i="9"/>
  <c r="D35" i="4" s="1"/>
  <c r="M20" i="7"/>
  <c r="N20" i="7" s="1"/>
  <c r="H106" i="1" s="1"/>
  <c r="Q20" i="10"/>
  <c r="C113" i="1"/>
  <c r="E29" i="3"/>
  <c r="D27" i="4"/>
  <c r="B17" i="4"/>
  <c r="D21" i="4"/>
  <c r="E23" i="3"/>
  <c r="H23" i="3" s="1"/>
  <c r="C107" i="1"/>
  <c r="E20" i="2"/>
  <c r="H20" i="2" s="1"/>
  <c r="C18" i="4"/>
  <c r="C15" i="4"/>
  <c r="E17" i="2"/>
  <c r="H17" i="2" s="1"/>
  <c r="B16" i="4"/>
  <c r="G26" i="3"/>
  <c r="E32" i="3"/>
  <c r="H32" i="3" s="1"/>
  <c r="M24" i="7"/>
  <c r="Q24" i="10"/>
  <c r="F24" i="3"/>
  <c r="D108" i="1"/>
  <c r="E23" i="4"/>
  <c r="D33" i="4"/>
  <c r="E35" i="3"/>
  <c r="C119" i="1"/>
  <c r="Q103" i="9"/>
  <c r="D6" i="4"/>
  <c r="C92" i="1"/>
  <c r="E8" i="3"/>
  <c r="H8" i="3" s="1"/>
  <c r="Q37" i="9"/>
  <c r="M25" i="7"/>
  <c r="N25" i="7" s="1"/>
  <c r="H111" i="1" s="1"/>
  <c r="Q25" i="10"/>
  <c r="M27" i="7"/>
  <c r="N27" i="7" s="1"/>
  <c r="H113" i="1" s="1"/>
  <c r="Q27" i="10"/>
  <c r="E21" i="4"/>
  <c r="M13" i="7"/>
  <c r="Q13" i="10"/>
  <c r="E26" i="2"/>
  <c r="H26" i="2" s="1"/>
  <c r="C24" i="4"/>
  <c r="F31" i="3"/>
  <c r="D115" i="1"/>
  <c r="E92" i="1"/>
  <c r="M19" i="7"/>
  <c r="N19" i="7" s="1"/>
  <c r="H105" i="1" s="1"/>
  <c r="Q19" i="10"/>
  <c r="M11" i="7"/>
  <c r="N11" i="7" s="1"/>
  <c r="H97" i="1" s="1"/>
  <c r="Q11" i="10"/>
  <c r="F25" i="3"/>
  <c r="D109" i="1"/>
  <c r="D22" i="4"/>
  <c r="C108" i="1"/>
  <c r="E24" i="3"/>
  <c r="H24" i="3" s="1"/>
  <c r="C39" i="5"/>
  <c r="B77" i="1" s="1"/>
  <c r="C38" i="5"/>
  <c r="E6" i="5"/>
  <c r="E38" i="5" s="1"/>
  <c r="F33" i="3"/>
  <c r="D117" i="1"/>
  <c r="E24" i="4"/>
  <c r="C102" i="1"/>
  <c r="D16" i="4"/>
  <c r="E18" i="3"/>
  <c r="C5" i="4"/>
  <c r="E7" i="2"/>
  <c r="D8" i="4"/>
  <c r="C94" i="1"/>
  <c r="E10" i="3"/>
  <c r="H10" i="3" s="1"/>
  <c r="N30" i="7"/>
  <c r="H116" i="1" s="1"/>
  <c r="N21" i="7"/>
  <c r="H107" i="1" s="1"/>
  <c r="D9" i="4"/>
  <c r="E11" i="3"/>
  <c r="H11" i="3" s="1"/>
  <c r="C95" i="1"/>
  <c r="E9" i="3"/>
  <c r="C93" i="1"/>
  <c r="D7" i="4"/>
  <c r="C33" i="4"/>
  <c r="E35" i="2"/>
  <c r="H35" i="2" s="1"/>
  <c r="E8" i="2"/>
  <c r="H8" i="2" s="1"/>
  <c r="C6" i="4"/>
  <c r="F16" i="3"/>
  <c r="D100" i="1"/>
  <c r="C98" i="1"/>
  <c r="D12" i="4"/>
  <c r="E14" i="3"/>
  <c r="H14" i="3" s="1"/>
  <c r="M15" i="7"/>
  <c r="N15" i="7" s="1"/>
  <c r="H101" i="1" s="1"/>
  <c r="Q15" i="10"/>
  <c r="M32" i="7"/>
  <c r="Q32" i="10"/>
  <c r="L28" i="7"/>
  <c r="N28" i="7" s="1"/>
  <c r="H114" i="1" s="1"/>
  <c r="E37" i="3"/>
  <c r="D106" i="1"/>
  <c r="F22" i="3"/>
  <c r="F18" i="3"/>
  <c r="D102" i="1"/>
  <c r="C7" i="4"/>
  <c r="E9" i="2"/>
  <c r="H9" i="2" s="1"/>
  <c r="B6" i="4"/>
  <c r="M35" i="7"/>
  <c r="N35" i="7" s="1"/>
  <c r="Q35" i="10"/>
  <c r="Q43" i="9"/>
  <c r="M14" i="7"/>
  <c r="Q14" i="10"/>
  <c r="B32" i="4"/>
  <c r="E120" i="1"/>
  <c r="C31" i="4"/>
  <c r="F31" i="4" s="1"/>
  <c r="E33" i="2"/>
  <c r="H33" i="2" s="1"/>
  <c r="M36" i="7"/>
  <c r="N36" i="7" s="1"/>
  <c r="H122" i="1" s="1"/>
  <c r="Q36" i="10"/>
  <c r="G19" i="4"/>
  <c r="F19" i="4"/>
  <c r="I19" i="4"/>
  <c r="N13" i="7"/>
  <c r="H99" i="1" s="1"/>
  <c r="N24" i="7"/>
  <c r="H110" i="1" s="1"/>
  <c r="C116" i="1"/>
  <c r="G14" i="4"/>
  <c r="F14" i="4"/>
  <c r="I14" i="4"/>
  <c r="F35" i="3"/>
  <c r="D119" i="1"/>
  <c r="E36" i="2"/>
  <c r="H36" i="2" s="1"/>
  <c r="C34" i="4"/>
  <c r="F34" i="4" s="1"/>
  <c r="B36" i="4"/>
  <c r="E27" i="2"/>
  <c r="H27" i="2" s="1"/>
  <c r="C25" i="4"/>
  <c r="I25" i="4" s="1"/>
  <c r="E12" i="4"/>
  <c r="J14" i="2"/>
  <c r="F98" i="1"/>
  <c r="J14" i="3"/>
  <c r="E34" i="2"/>
  <c r="H34" i="2" s="1"/>
  <c r="C32" i="4"/>
  <c r="M23" i="7"/>
  <c r="N23" i="7" s="1"/>
  <c r="H109" i="1" s="1"/>
  <c r="Q23" i="10"/>
  <c r="G18" i="4"/>
  <c r="F18" i="4"/>
  <c r="I18" i="4"/>
  <c r="E113" i="1"/>
  <c r="O37" i="10"/>
  <c r="M5" i="7"/>
  <c r="E18" i="2"/>
  <c r="H18" i="2" s="1"/>
  <c r="C16" i="4"/>
  <c r="E121" i="1"/>
  <c r="G7" i="4"/>
  <c r="F7" i="4"/>
  <c r="I7" i="4"/>
  <c r="C13" i="4"/>
  <c r="I13" i="4" s="1"/>
  <c r="E15" i="2"/>
  <c r="H15" i="2" s="1"/>
  <c r="M7" i="7"/>
  <c r="N7" i="7" s="1"/>
  <c r="H93" i="1" s="1"/>
  <c r="Q7" i="10"/>
  <c r="C23" i="4"/>
  <c r="E25" i="2"/>
  <c r="H25" i="2" s="1"/>
  <c r="J7" i="3"/>
  <c r="F91" i="1"/>
  <c r="J7" i="2"/>
  <c r="N14" i="7"/>
  <c r="H100" i="1" s="1"/>
  <c r="L37" i="7"/>
  <c r="N5" i="7"/>
  <c r="D29" i="4"/>
  <c r="F29" i="4" s="1"/>
  <c r="E31" i="3"/>
  <c r="H31" i="3" s="1"/>
  <c r="C115" i="1"/>
  <c r="F8" i="4"/>
  <c r="I8" i="4"/>
  <c r="G8" i="4"/>
  <c r="G33" i="3"/>
  <c r="E117" i="1"/>
  <c r="I23" i="4"/>
  <c r="M17" i="7"/>
  <c r="N17" i="7" s="1"/>
  <c r="H103" i="1" s="1"/>
  <c r="Q17" i="10"/>
  <c r="E13" i="3"/>
  <c r="H13" i="3" s="1"/>
  <c r="D11" i="4"/>
  <c r="C97" i="1"/>
  <c r="E22" i="4"/>
  <c r="E114" i="1"/>
  <c r="G30" i="3"/>
  <c r="I21" i="4"/>
  <c r="G21" i="4"/>
  <c r="F21" i="4"/>
  <c r="M29" i="7"/>
  <c r="N29" i="7" s="1"/>
  <c r="Q29" i="10"/>
  <c r="N31" i="7"/>
  <c r="H117" i="1" s="1"/>
  <c r="E28" i="4"/>
  <c r="N32" i="7"/>
  <c r="H118" i="1" s="1"/>
  <c r="D13" i="4"/>
  <c r="E15" i="3"/>
  <c r="H15" i="3" s="1"/>
  <c r="C99" i="1"/>
  <c r="J24" i="3"/>
  <c r="J24" i="2"/>
  <c r="F108" i="1"/>
  <c r="E25" i="3"/>
  <c r="H25" i="3" s="1"/>
  <c r="D23" i="4"/>
  <c r="F23" i="4" s="1"/>
  <c r="C109" i="1"/>
  <c r="E91" i="1"/>
  <c r="G7" i="3"/>
  <c r="F29" i="3"/>
  <c r="D113" i="1"/>
  <c r="E14" i="2"/>
  <c r="H14" i="2" s="1"/>
  <c r="C12" i="4"/>
  <c r="G12" i="4" s="1"/>
  <c r="E22" i="2"/>
  <c r="H22" i="2" s="1"/>
  <c r="C20" i="4"/>
  <c r="E24" i="2"/>
  <c r="H24" i="2" s="1"/>
  <c r="C22" i="4"/>
  <c r="M6" i="7"/>
  <c r="N6" i="7" s="1"/>
  <c r="H92" i="1" s="1"/>
  <c r="Q6" i="10"/>
  <c r="C110" i="1"/>
  <c r="D24" i="4"/>
  <c r="E26" i="3"/>
  <c r="H26" i="3" s="1"/>
  <c r="G9" i="3"/>
  <c r="E93" i="1"/>
  <c r="G17" i="3"/>
  <c r="E101" i="1"/>
  <c r="C106" i="1"/>
  <c r="D20" i="4"/>
  <c r="E22" i="3"/>
  <c r="H22" i="3" s="1"/>
  <c r="G15" i="4"/>
  <c r="F15" i="4"/>
  <c r="I15" i="4"/>
  <c r="J12" i="4" l="1"/>
  <c r="I35" i="4"/>
  <c r="G35" i="4"/>
  <c r="F35" i="4"/>
  <c r="I21" i="3"/>
  <c r="H121" i="1"/>
  <c r="I37" i="2"/>
  <c r="H115" i="1"/>
  <c r="I31" i="2"/>
  <c r="I22" i="3"/>
  <c r="G39" i="3"/>
  <c r="I25" i="3"/>
  <c r="H21" i="4"/>
  <c r="J21" i="4"/>
  <c r="J19" i="3"/>
  <c r="F103" i="1"/>
  <c r="J19" i="2"/>
  <c r="G23" i="4"/>
  <c r="I25" i="2"/>
  <c r="I15" i="2"/>
  <c r="J7" i="4"/>
  <c r="H7" i="4"/>
  <c r="M37" i="7"/>
  <c r="F36" i="4"/>
  <c r="I36" i="4"/>
  <c r="G36" i="4"/>
  <c r="G116" i="1"/>
  <c r="I116" i="1" s="1"/>
  <c r="I33" i="2"/>
  <c r="F100" i="1"/>
  <c r="G100" i="1" s="1"/>
  <c r="I100" i="1" s="1"/>
  <c r="J16" i="3"/>
  <c r="J16" i="2"/>
  <c r="J34" i="3"/>
  <c r="J34" i="2"/>
  <c r="F118" i="1"/>
  <c r="K14" i="3"/>
  <c r="I14" i="3"/>
  <c r="H7" i="2"/>
  <c r="E39" i="2"/>
  <c r="G102" i="1"/>
  <c r="I102" i="1" s="1"/>
  <c r="K24" i="3"/>
  <c r="I24" i="3"/>
  <c r="J26" i="3"/>
  <c r="J26" i="2"/>
  <c r="F110" i="1"/>
  <c r="G110" i="1" s="1"/>
  <c r="I110" i="1" s="1"/>
  <c r="F116" i="1"/>
  <c r="J32" i="3"/>
  <c r="J32" i="2"/>
  <c r="K32" i="2" s="1"/>
  <c r="F24" i="4"/>
  <c r="I24" i="4"/>
  <c r="G24" i="4"/>
  <c r="J18" i="3"/>
  <c r="J18" i="2"/>
  <c r="F102" i="1"/>
  <c r="K20" i="3"/>
  <c r="I20" i="3"/>
  <c r="G34" i="4"/>
  <c r="I12" i="4"/>
  <c r="G31" i="4"/>
  <c r="G22" i="4"/>
  <c r="F22" i="4"/>
  <c r="I22" i="4"/>
  <c r="H12" i="3"/>
  <c r="I13" i="2"/>
  <c r="I33" i="4"/>
  <c r="G33" i="4"/>
  <c r="F33" i="4"/>
  <c r="G27" i="4"/>
  <c r="G120" i="1"/>
  <c r="I120" i="1" s="1"/>
  <c r="F13" i="4"/>
  <c r="J35" i="3"/>
  <c r="F119" i="1"/>
  <c r="J35" i="2"/>
  <c r="G11" i="4"/>
  <c r="I26" i="4"/>
  <c r="G29" i="4"/>
  <c r="G9" i="4"/>
  <c r="I24" i="2"/>
  <c r="K24" i="2"/>
  <c r="I14" i="2"/>
  <c r="K14" i="2"/>
  <c r="E123" i="1"/>
  <c r="I15" i="3"/>
  <c r="J31" i="3"/>
  <c r="F115" i="1"/>
  <c r="J31" i="2"/>
  <c r="K31" i="2" s="1"/>
  <c r="N37" i="7"/>
  <c r="N38" i="7" s="1"/>
  <c r="H91" i="1"/>
  <c r="H123" i="1" s="1"/>
  <c r="H18" i="4"/>
  <c r="J18" i="4"/>
  <c r="I34" i="2"/>
  <c r="K34" i="2"/>
  <c r="J19" i="4"/>
  <c r="H19" i="4"/>
  <c r="G6" i="4"/>
  <c r="F6" i="4"/>
  <c r="I6" i="4"/>
  <c r="I11" i="3"/>
  <c r="I10" i="3"/>
  <c r="C37" i="4"/>
  <c r="G108" i="1"/>
  <c r="I108" i="1" s="1"/>
  <c r="J13" i="3"/>
  <c r="J13" i="2"/>
  <c r="K13" i="2" s="1"/>
  <c r="F97" i="1"/>
  <c r="G97" i="1" s="1"/>
  <c r="I97" i="1" s="1"/>
  <c r="I26" i="2"/>
  <c r="K26" i="2"/>
  <c r="J29" i="3"/>
  <c r="J29" i="2"/>
  <c r="F113" i="1"/>
  <c r="G113" i="1" s="1"/>
  <c r="I113" i="1" s="1"/>
  <c r="C91" i="1"/>
  <c r="E7" i="3"/>
  <c r="D5" i="4"/>
  <c r="F9" i="3"/>
  <c r="D93" i="1"/>
  <c r="D123" i="1" s="1"/>
  <c r="F16" i="4"/>
  <c r="I16" i="4"/>
  <c r="G16" i="4"/>
  <c r="I20" i="2"/>
  <c r="K20" i="2"/>
  <c r="I17" i="4"/>
  <c r="G17" i="4"/>
  <c r="F17" i="4"/>
  <c r="J22" i="2"/>
  <c r="F106" i="1"/>
  <c r="G106" i="1" s="1"/>
  <c r="I106" i="1" s="1"/>
  <c r="J22" i="3"/>
  <c r="K22" i="3" s="1"/>
  <c r="I10" i="2"/>
  <c r="G10" i="4"/>
  <c r="F10" i="4"/>
  <c r="I10" i="4"/>
  <c r="F25" i="4"/>
  <c r="I38" i="2"/>
  <c r="F12" i="4"/>
  <c r="H12" i="4" s="1"/>
  <c r="G103" i="1"/>
  <c r="I103" i="1" s="1"/>
  <c r="G96" i="1"/>
  <c r="I96" i="1" s="1"/>
  <c r="I30" i="4"/>
  <c r="G30" i="4"/>
  <c r="F30" i="4"/>
  <c r="B37" i="4"/>
  <c r="H28" i="3"/>
  <c r="F20" i="4"/>
  <c r="I20" i="4"/>
  <c r="G20" i="4"/>
  <c r="H38" i="3"/>
  <c r="G13" i="4"/>
  <c r="J11" i="3"/>
  <c r="K11" i="3" s="1"/>
  <c r="F95" i="1"/>
  <c r="G95" i="1" s="1"/>
  <c r="I95" i="1" s="1"/>
  <c r="J11" i="2"/>
  <c r="H34" i="3"/>
  <c r="F26" i="4"/>
  <c r="H26" i="4" s="1"/>
  <c r="I29" i="4"/>
  <c r="I32" i="2"/>
  <c r="I9" i="4"/>
  <c r="G115" i="1"/>
  <c r="I115" i="1" s="1"/>
  <c r="J9" i="3"/>
  <c r="J9" i="2"/>
  <c r="K9" i="2" s="1"/>
  <c r="F93" i="1"/>
  <c r="J25" i="3"/>
  <c r="K25" i="3" s="1"/>
  <c r="J25" i="2"/>
  <c r="K25" i="2" s="1"/>
  <c r="F109" i="1"/>
  <c r="I36" i="2"/>
  <c r="K36" i="2"/>
  <c r="J38" i="3"/>
  <c r="J38" i="2"/>
  <c r="K38" i="2" s="1"/>
  <c r="F122" i="1"/>
  <c r="G122" i="1" s="1"/>
  <c r="I122" i="1" s="1"/>
  <c r="I9" i="2"/>
  <c r="J17" i="3"/>
  <c r="J17" i="2"/>
  <c r="F101" i="1"/>
  <c r="G98" i="1"/>
  <c r="I98" i="1" s="1"/>
  <c r="I8" i="2"/>
  <c r="H18" i="3"/>
  <c r="J15" i="3"/>
  <c r="K15" i="3" s="1"/>
  <c r="F99" i="1"/>
  <c r="G99" i="1" s="1"/>
  <c r="I99" i="1" s="1"/>
  <c r="J15" i="2"/>
  <c r="K15" i="2" s="1"/>
  <c r="I8" i="3"/>
  <c r="G119" i="1"/>
  <c r="I119" i="1" s="1"/>
  <c r="K32" i="3"/>
  <c r="I32" i="3"/>
  <c r="K17" i="2"/>
  <c r="I17" i="2"/>
  <c r="G107" i="1"/>
  <c r="I107" i="1" s="1"/>
  <c r="D28" i="4"/>
  <c r="E30" i="3"/>
  <c r="H30" i="3" s="1"/>
  <c r="C114" i="1"/>
  <c r="I21" i="2"/>
  <c r="G25" i="4"/>
  <c r="I34" i="4"/>
  <c r="H17" i="3"/>
  <c r="I31" i="4"/>
  <c r="I28" i="2"/>
  <c r="K28" i="2"/>
  <c r="H19" i="3"/>
  <c r="I16" i="2"/>
  <c r="K16" i="2"/>
  <c r="G5" i="4"/>
  <c r="I27" i="4"/>
  <c r="H27" i="3"/>
  <c r="J30" i="3"/>
  <c r="J30" i="2"/>
  <c r="K30" i="2" s="1"/>
  <c r="F114" i="1"/>
  <c r="I11" i="4"/>
  <c r="F92" i="1"/>
  <c r="F123" i="1" s="1"/>
  <c r="J8" i="3"/>
  <c r="J39" i="3" s="1"/>
  <c r="J8" i="2"/>
  <c r="J39" i="2" s="1"/>
  <c r="G109" i="1"/>
  <c r="I109" i="1" s="1"/>
  <c r="J15" i="4"/>
  <c r="H15" i="4"/>
  <c r="K26" i="3"/>
  <c r="I26" i="3"/>
  <c r="I22" i="2"/>
  <c r="K22" i="2"/>
  <c r="I13" i="3"/>
  <c r="K13" i="3"/>
  <c r="J8" i="4"/>
  <c r="H8" i="4"/>
  <c r="I31" i="3"/>
  <c r="K31" i="3"/>
  <c r="Q37" i="10"/>
  <c r="I18" i="2"/>
  <c r="K18" i="2"/>
  <c r="I27" i="2"/>
  <c r="H14" i="4"/>
  <c r="J14" i="4"/>
  <c r="F32" i="4"/>
  <c r="I32" i="4"/>
  <c r="G32" i="4"/>
  <c r="J37" i="3"/>
  <c r="J37" i="2"/>
  <c r="K37" i="2" s="1"/>
  <c r="F121" i="1"/>
  <c r="K35" i="2"/>
  <c r="I35" i="2"/>
  <c r="H9" i="3"/>
  <c r="J21" i="3"/>
  <c r="K21" i="3" s="1"/>
  <c r="J21" i="2"/>
  <c r="K21" i="2" s="1"/>
  <c r="F105" i="1"/>
  <c r="G105" i="1" s="1"/>
  <c r="I105" i="1" s="1"/>
  <c r="J27" i="3"/>
  <c r="F111" i="1"/>
  <c r="G111" i="1" s="1"/>
  <c r="I111" i="1" s="1"/>
  <c r="J27" i="2"/>
  <c r="K27" i="2" s="1"/>
  <c r="G92" i="1"/>
  <c r="I92" i="1" s="1"/>
  <c r="H35" i="3"/>
  <c r="I23" i="3"/>
  <c r="H29" i="3"/>
  <c r="F37" i="3"/>
  <c r="H37" i="3" s="1"/>
  <c r="D121" i="1"/>
  <c r="G121" i="1" s="1"/>
  <c r="I121" i="1" s="1"/>
  <c r="F28" i="4"/>
  <c r="I28" i="4"/>
  <c r="G28" i="4"/>
  <c r="K19" i="2"/>
  <c r="I19" i="2"/>
  <c r="H33" i="3"/>
  <c r="K29" i="2"/>
  <c r="I29" i="2"/>
  <c r="J23" i="3"/>
  <c r="K23" i="3" s="1"/>
  <c r="F107" i="1"/>
  <c r="J23" i="2"/>
  <c r="K23" i="2" s="1"/>
  <c r="G101" i="1"/>
  <c r="I101" i="1" s="1"/>
  <c r="K11" i="2"/>
  <c r="I11" i="2"/>
  <c r="J33" i="3"/>
  <c r="J33" i="2"/>
  <c r="K33" i="2" s="1"/>
  <c r="F117" i="1"/>
  <c r="G117" i="1" s="1"/>
  <c r="I117" i="1" s="1"/>
  <c r="I30" i="2"/>
  <c r="I5" i="4"/>
  <c r="K36" i="3"/>
  <c r="I36" i="3"/>
  <c r="J10" i="3"/>
  <c r="K10" i="3" s="1"/>
  <c r="J10" i="2"/>
  <c r="K10" i="2" s="1"/>
  <c r="F94" i="1"/>
  <c r="G94" i="1" s="1"/>
  <c r="I94" i="1" s="1"/>
  <c r="I23" i="2"/>
  <c r="G118" i="1"/>
  <c r="I118" i="1" s="1"/>
  <c r="H16" i="3"/>
  <c r="I12" i="2"/>
  <c r="K12" i="2"/>
  <c r="I37" i="3" l="1"/>
  <c r="K37" i="3"/>
  <c r="I35" i="3"/>
  <c r="K35" i="3"/>
  <c r="I9" i="3"/>
  <c r="K9" i="3"/>
  <c r="I27" i="3"/>
  <c r="K27" i="3"/>
  <c r="K30" i="3"/>
  <c r="I30" i="3"/>
  <c r="K8" i="2"/>
  <c r="J20" i="4"/>
  <c r="H20" i="4"/>
  <c r="H10" i="4"/>
  <c r="J10" i="4"/>
  <c r="D37" i="4"/>
  <c r="J27" i="4"/>
  <c r="H27" i="4"/>
  <c r="H34" i="4"/>
  <c r="J34" i="4"/>
  <c r="K7" i="2"/>
  <c r="D4" i="2"/>
  <c r="A4" i="2"/>
  <c r="H39" i="2"/>
  <c r="G4" i="2"/>
  <c r="I7" i="2"/>
  <c r="I4" i="2" s="1"/>
  <c r="J26" i="4"/>
  <c r="K16" i="3"/>
  <c r="I16" i="3"/>
  <c r="J28" i="4"/>
  <c r="H28" i="4"/>
  <c r="I33" i="3"/>
  <c r="K33" i="3"/>
  <c r="I29" i="3"/>
  <c r="K29" i="3"/>
  <c r="I19" i="3"/>
  <c r="K19" i="3"/>
  <c r="I17" i="3"/>
  <c r="K17" i="3"/>
  <c r="K8" i="3"/>
  <c r="K18" i="3"/>
  <c r="I18" i="3"/>
  <c r="K34" i="3"/>
  <c r="I34" i="3"/>
  <c r="H13" i="4"/>
  <c r="J13" i="4"/>
  <c r="E39" i="3"/>
  <c r="H7" i="3"/>
  <c r="H9" i="4"/>
  <c r="J9" i="4"/>
  <c r="J11" i="4"/>
  <c r="H11" i="4"/>
  <c r="H22" i="4"/>
  <c r="J22" i="4"/>
  <c r="J23" i="4"/>
  <c r="H23" i="4"/>
  <c r="J32" i="4"/>
  <c r="H32" i="4"/>
  <c r="C123" i="1"/>
  <c r="G91" i="1"/>
  <c r="H29" i="4"/>
  <c r="J29" i="4"/>
  <c r="H33" i="4"/>
  <c r="J33" i="4"/>
  <c r="K12" i="3"/>
  <c r="I12" i="3"/>
  <c r="J31" i="4"/>
  <c r="H31" i="4"/>
  <c r="J24" i="4"/>
  <c r="H24" i="4"/>
  <c r="J36" i="4"/>
  <c r="H36" i="4"/>
  <c r="K38" i="3"/>
  <c r="I38" i="3"/>
  <c r="H30" i="4"/>
  <c r="J30" i="4"/>
  <c r="H25" i="4"/>
  <c r="J25" i="4"/>
  <c r="G114" i="1"/>
  <c r="I114" i="1" s="1"/>
  <c r="G93" i="1"/>
  <c r="I93" i="1" s="1"/>
  <c r="K28" i="3"/>
  <c r="I28" i="3"/>
  <c r="H17" i="4"/>
  <c r="J17" i="4"/>
  <c r="J16" i="4"/>
  <c r="H16" i="4"/>
  <c r="F39" i="3"/>
  <c r="H6" i="4"/>
  <c r="J6" i="4"/>
  <c r="J35" i="4"/>
  <c r="H35" i="4"/>
  <c r="F5" i="4"/>
  <c r="H5" i="4" s="1"/>
  <c r="J5" i="4" l="1"/>
  <c r="A4" i="3"/>
  <c r="I7" i="3"/>
  <c r="I4" i="3" s="1"/>
  <c r="H39" i="3"/>
  <c r="K7" i="3"/>
  <c r="K39" i="3" s="1"/>
  <c r="D4" i="3"/>
  <c r="G4" i="3"/>
  <c r="I20" i="1"/>
  <c r="C20" i="1"/>
  <c r="D19" i="1"/>
  <c r="G18" i="1"/>
  <c r="H17" i="1"/>
  <c r="B17" i="1"/>
  <c r="I16" i="1"/>
  <c r="C16" i="1"/>
  <c r="H20" i="1"/>
  <c r="B20" i="1"/>
  <c r="I19" i="1"/>
  <c r="C19" i="1"/>
  <c r="D18" i="1"/>
  <c r="G17" i="1"/>
  <c r="H16" i="1"/>
  <c r="B16" i="1"/>
  <c r="B10" i="1"/>
  <c r="I91" i="1"/>
  <c r="D10" i="1"/>
  <c r="G20" i="1"/>
  <c r="H19" i="1"/>
  <c r="B19" i="1"/>
  <c r="C18" i="1"/>
  <c r="G123" i="1"/>
  <c r="D20" i="1"/>
  <c r="G19" i="1"/>
  <c r="H18" i="1"/>
  <c r="B18" i="1"/>
  <c r="I17" i="1"/>
  <c r="C17" i="1"/>
  <c r="D16" i="1"/>
  <c r="H10" i="1"/>
  <c r="A5" i="1"/>
  <c r="I18" i="1"/>
  <c r="D17" i="1"/>
  <c r="G16" i="1"/>
  <c r="D11" i="1"/>
  <c r="K39" i="2"/>
  <c r="H70" i="1" l="1"/>
  <c r="G68" i="1"/>
  <c r="F66" i="1"/>
  <c r="H72" i="1"/>
  <c r="G70" i="1"/>
  <c r="F68" i="1"/>
  <c r="G72" i="1"/>
  <c r="F70" i="1"/>
  <c r="H66" i="1"/>
  <c r="F72" i="1"/>
  <c r="H68" i="1"/>
  <c r="G66" i="1"/>
  <c r="R45" i="1"/>
  <c r="Q44" i="1"/>
  <c r="P43" i="1"/>
  <c r="R41" i="1"/>
  <c r="Q40" i="1"/>
  <c r="P39" i="1"/>
  <c r="R37" i="1"/>
  <c r="Q36" i="1"/>
  <c r="P35" i="1"/>
  <c r="R33" i="1"/>
  <c r="Q32" i="1"/>
  <c r="P31" i="1"/>
  <c r="R29" i="1"/>
  <c r="Q28" i="1"/>
  <c r="G28" i="1"/>
  <c r="R27" i="1"/>
  <c r="H27" i="1"/>
  <c r="B27" i="1"/>
  <c r="I26" i="1"/>
  <c r="C26" i="1"/>
  <c r="P25" i="1"/>
  <c r="D25" i="1"/>
  <c r="Q24" i="1"/>
  <c r="G24" i="1"/>
  <c r="R23" i="1"/>
  <c r="Q22" i="1"/>
  <c r="P21" i="1"/>
  <c r="P19" i="1"/>
  <c r="Q18" i="1"/>
  <c r="R17" i="1"/>
  <c r="P15" i="1"/>
  <c r="F10" i="1"/>
  <c r="R46" i="1"/>
  <c r="Q45" i="1"/>
  <c r="P44" i="1"/>
  <c r="R42" i="1"/>
  <c r="Q41" i="1"/>
  <c r="P40" i="1"/>
  <c r="R38" i="1"/>
  <c r="Q37" i="1"/>
  <c r="P36" i="1"/>
  <c r="R34" i="1"/>
  <c r="Q33" i="1"/>
  <c r="P32" i="1"/>
  <c r="R30" i="1"/>
  <c r="Q29" i="1"/>
  <c r="P28" i="1"/>
  <c r="D28" i="1"/>
  <c r="Q27" i="1"/>
  <c r="G27" i="1"/>
  <c r="R26" i="1"/>
  <c r="H26" i="1"/>
  <c r="B26" i="1"/>
  <c r="I25" i="1"/>
  <c r="C25" i="1"/>
  <c r="P24" i="1"/>
  <c r="D24" i="1"/>
  <c r="Q23" i="1"/>
  <c r="P22" i="1"/>
  <c r="R20" i="1"/>
  <c r="P18" i="1"/>
  <c r="Q17" i="1"/>
  <c r="R16" i="1"/>
  <c r="F11" i="1"/>
  <c r="Q46" i="1"/>
  <c r="P45" i="1"/>
  <c r="R43" i="1"/>
  <c r="Q42" i="1"/>
  <c r="P41" i="1"/>
  <c r="R39" i="1"/>
  <c r="Q38" i="1"/>
  <c r="P37" i="1"/>
  <c r="R35" i="1"/>
  <c r="Q34" i="1"/>
  <c r="P33" i="1"/>
  <c r="R31" i="1"/>
  <c r="Q30" i="1"/>
  <c r="P29" i="1"/>
  <c r="I28" i="1"/>
  <c r="C28" i="1"/>
  <c r="P27" i="1"/>
  <c r="D27" i="1"/>
  <c r="Q26" i="1"/>
  <c r="G26" i="1"/>
  <c r="R25" i="1"/>
  <c r="H25" i="1"/>
  <c r="B25" i="1"/>
  <c r="I24" i="1"/>
  <c r="C24" i="1"/>
  <c r="P23" i="1"/>
  <c r="R21" i="1"/>
  <c r="Q20" i="1"/>
  <c r="R19" i="1"/>
  <c r="P17" i="1"/>
  <c r="Q16" i="1"/>
  <c r="R15" i="1"/>
  <c r="P46" i="1"/>
  <c r="R44" i="1"/>
  <c r="Q43" i="1"/>
  <c r="P42" i="1"/>
  <c r="R40" i="1"/>
  <c r="Q39" i="1"/>
  <c r="P38" i="1"/>
  <c r="R36" i="1"/>
  <c r="Q35" i="1"/>
  <c r="P34" i="1"/>
  <c r="R32" i="1"/>
  <c r="Q31" i="1"/>
  <c r="P30" i="1"/>
  <c r="R28" i="1"/>
  <c r="H28" i="1"/>
  <c r="B28" i="1"/>
  <c r="I27" i="1"/>
  <c r="C27" i="1"/>
  <c r="P26" i="1"/>
  <c r="D26" i="1"/>
  <c r="Q25" i="1"/>
  <c r="G25" i="1"/>
  <c r="R24" i="1"/>
  <c r="H24" i="1"/>
  <c r="B24" i="1"/>
  <c r="R22" i="1"/>
  <c r="Q21" i="1"/>
  <c r="P20" i="1"/>
  <c r="Q19" i="1"/>
  <c r="R18" i="1"/>
  <c r="P16" i="1"/>
  <c r="Q15" i="1"/>
</calcChain>
</file>

<file path=xl/sharedStrings.xml><?xml version="1.0" encoding="utf-8"?>
<sst xmlns="http://schemas.openxmlformats.org/spreadsheetml/2006/main" count="3634" uniqueCount="286">
  <si>
    <t>2027: qué cambiaría en las participaciones si la población de la Encuesta Intercensal 2025 sustituye a la ENOE</t>
  </si>
  <si>
    <t>Millones de pesos al año. FGP, FFM 70%, FOFIR y Fondo de Compensación; montos del PPEF 2027 y variables del DOF de agosto 2026.</t>
  </si>
  <si>
    <t>Escenario de esta hoja: ENOE 1T-2026 (la que usa hoy la SHCP). Ver también: Escenario ENOE 4T-2025 (misma fecha que la Intercensal) y Rango entre trimestres.</t>
  </si>
  <si>
    <t>En resumen</t>
  </si>
  <si>
    <t>• Las entidades afectadas podrían registrar reducciones importantes, pero por lo observado en 2021-2022 el cambio se aplicaría de forma gradual: entra con la ENOE trimestral que publique el INEGI con la nueva base, y lo ya pagado se corrige con los ajustes cuatrimestrales y el definitivo. Ver el calendario de abajo.</t>
  </si>
  <si>
    <t>• Referencia histórica: en 2021 el cambio por el Censo 2020 movió unos 7,500 millones al año y el Estado de México perdió 3.7% de sus participaciones (archivo 2021-2022). La magnitud ahora es parecida.</t>
  </si>
  <si>
    <t>Redistribución anual estimada</t>
  </si>
  <si>
    <t>Mayor pérdida en pesos</t>
  </si>
  <si>
    <t>Mayor pérdida en %</t>
  </si>
  <si>
    <t>Estados que pierden / ganan</t>
  </si>
  <si>
    <t>millones de pesos por año</t>
  </si>
  <si>
    <t>de 32 entidades</t>
  </si>
  <si>
    <t>Quiénes perderían y quiénes ganarían (efecto anual, ceteris paribus)</t>
  </si>
  <si>
    <t>Datos de la gráfica</t>
  </si>
  <si>
    <t>Más afectados: en millones de pesos</t>
  </si>
  <si>
    <t>Más beneficiados: en millones de pesos</t>
  </si>
  <si>
    <t>Estado (ordenado)</t>
  </si>
  <si>
    <t>Gana (%)</t>
  </si>
  <si>
    <t>Pierde (%)</t>
  </si>
  <si>
    <t>#</t>
  </si>
  <si>
    <t>Estado</t>
  </si>
  <si>
    <t>mdp</t>
  </si>
  <si>
    <t>% partic.</t>
  </si>
  <si>
    <t>Más afectados: en % de sus participaciones</t>
  </si>
  <si>
    <t>Más beneficiados: en % de sus participaciones</t>
  </si>
  <si>
    <t>Efecto por estado (% de sus participaciones 2027 estimadas)</t>
  </si>
  <si>
    <t>Implementación gradual: cuánto del efecto anual se reflejaría y cuándo (lección 2021-2022)</t>
  </si>
  <si>
    <t>Si el INEGI publica la ENOE con base Intercensal desde…</t>
  </si>
  <si>
    <t>En los pagos de 2027</t>
  </si>
  <si>
    <t>Con el 3er ajuste cuatrimestral (feb-2028)</t>
  </si>
  <si>
    <t>Con el ajuste definitivo (jun-2028)</t>
  </si>
  <si>
    <t>3T-2026 (publicada nov-2026): todo 2027 se paga con la nueva población</t>
  </si>
  <si>
    <t>1T-2027 (may-2027): ene-abr se corrigen en el 1er ajuste cuatrimestral (jun-2027) — así pasó en 2021</t>
  </si>
  <si>
    <t>3T-2027 (nov-2027): solo nov-dic en 2027; sep-oct en feb-2028 y el resto en el definitivo</t>
  </si>
  <si>
    <t>El INEGI no recalibra la ENOE y la SHCP no usa la Intercensal</t>
  </si>
  <si>
    <t>% del efecto anual 2027 (FGP, FFM y FOFIR) reconocido en los pagos; en mdp, monto redistribuido × %. En 2021 el INEGI recalibró la ENOE desde el 1T-2021 y la SHCP la usó a partir del informe de mayo. No está confirmado que el INEGI vaya a recalibrar la ENOE con la Intercensal.</t>
  </si>
  <si>
    <t>Fondo de Compensación: usa la ENOE del 4o trimestre de dos años antes (hoy 4T-2024) y no tiene ajustes; el cambio llegaría en 2028 o después y sería permanente (con la Intercensal, Puebla entraría al fondo e Hidalgo saldría).</t>
  </si>
  <si>
    <t>Lecciones de 2021-2022</t>
  </si>
  <si>
    <t>1. El monto anual lo fija la población con la que se cierra el año (ajuste definitivo).</t>
  </si>
  <si>
    <t>2. Lo pagado antes se corrige meses después: para los que pierden, son devoluciones futuras.</t>
  </si>
  <si>
    <t>3. El trimestre de la ENOE importa: con la 3T-2025 Coahuila casi no perdía; con la 1T-2026 es el más afectado.</t>
  </si>
  <si>
    <t>4. Un error de estimación (Edomex 2021) generó un sobrepago de ~2,400 mdp que se devolvió meses después: conviene revisar cada trimestre publicado.</t>
  </si>
  <si>
    <t>Tabla completa por estado</t>
  </si>
  <si>
    <t>FGP</t>
  </si>
  <si>
    <t>FFM 70%</t>
  </si>
  <si>
    <t>FOFIR</t>
  </si>
  <si>
    <t>Fondo de Compensación</t>
  </si>
  <si>
    <t>Total (mdp)</t>
  </si>
  <si>
    <t>Participaciones 2027 estimadas (mdp)</t>
  </si>
  <si>
    <t>% de sus participaciones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</si>
  <si>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</si>
  <si>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</si>
  <si>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</si>
  <si>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</si>
  <si>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</si>
  <si>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</si>
  <si>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</si>
  <si>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</si>
  <si>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</si>
  <si>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</si>
  <si>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</si>
  <si>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</si>
  <si>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</si>
  <si>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</si>
  <si>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</si>
  <si>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</si>
  <si>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</si>
  <si>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</si>
  <si>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</si>
  <si>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</si>
  <si>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</si>
  <si>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</si>
  <si>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</si>
  <si>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</si>
  <si>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</si>
  <si>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</si>
  <si>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</si>
  <si>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</si>
  <si>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</si>
  <si>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</si>
  <si>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</si>
  <si>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</si>
  <si>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Total</t>
  </si>
  <si>
    <t>Fuentes: PPEF 2027, Tomo IV, Ramo 28; DOF de agosto 2026 (variables) y julio 2026 (FOFIR); INEGI, Encuesta Intercensal 2025. Supuestos y detalle en las demás pestañas.</t>
  </si>
  <si>
    <t>Escenario ENOE 4T-2025: misma fecha que la Intercensal (oct-dic 2025)</t>
  </si>
  <si>
    <t>Compara la misma población medida con dos fuentes: aísla el efecto de cambiar la base de población (como la comparación 2021 del Censo). Montos PPEF 2027 y variables del DOF de agosto 2026.</t>
  </si>
  <si>
    <t>Redistribución anual (FGP+FFM+FOFIR, mdp)</t>
  </si>
  <si>
    <t>Mayor pérdida (mdp)</t>
  </si>
  <si>
    <t>Mayor pérdida (%)</t>
  </si>
  <si>
    <t>Población ENOE 4T-2025</t>
  </si>
  <si>
    <t>Población Intercensal 2025</t>
  </si>
  <si>
    <t>Cambio en población</t>
  </si>
  <si>
    <t>Total FGP+FFM+FOFIR (mdp)</t>
  </si>
  <si>
    <t>% de sus participaciones 2027</t>
  </si>
  <si>
    <t>Fondo de Compensación (mdp)</t>
  </si>
  <si>
    <t>Total con FoCo (mdp)</t>
  </si>
  <si>
    <t>Fondo de Compensación: se calcula aparte con la ENOE 4T-2024 que usa la SHCP para ese fondo; es igual en todos los escenarios. % sobre las participaciones 2027 estimadas (pestaña Base 2027).</t>
  </si>
  <si>
    <t>Escenario ENOE 1T-2026: frente al cálculo vigente de la SHCP (ene-mar 2026)</t>
  </si>
  <si>
    <t>Población que usa hoy la SHCP (DOF de agosto 2026). Mezcla fechas (oct-2025 vs. ene-mar 2026): parte de la diferencia es movimiento de la ENOE entre trimestres.</t>
  </si>
  <si>
    <t>Población ENOE 1T-2026</t>
  </si>
  <si>
    <t>Rango entre trimestres: efecto anual 2027 (FGP+FFM+FOFIR, mdp) según la ENOE que se tome como base</t>
  </si>
  <si>
    <t>Misma Intercensal, mismas variables y montos; solo cambia el trimestre de la ENOE con el que se compara. Un rango grande indica que el resultado del estado depende del trimestre (la ENOE varía entre trimestres).</t>
  </si>
  <si>
    <t>ENOE 3T-2025</t>
  </si>
  <si>
    <t>ENOE 4T-2025 (misma fecha)</t>
  </si>
  <si>
    <t>ENOE 1T-2026 (vigente SHCP)</t>
  </si>
  <si>
    <t>ENOE 2T-2026</t>
  </si>
  <si>
    <t>Mínimo</t>
  </si>
  <si>
    <t>Máximo</t>
  </si>
  <si>
    <t>Rango (máx − mín)</t>
  </si>
  <si>
    <t>Promedio</t>
  </si>
  <si>
    <t>Lectura</t>
  </si>
  <si>
    <t>Redistribución total</t>
  </si>
  <si>
    <t>Población ENOE total</t>
  </si>
  <si>
    <t>Intercensal 2025 (15-oct-2025): 130,911,314 personas.</t>
  </si>
  <si>
    <t>No incluye el Fondo de Compensación (usa la ENOE 4T-2024 y no depende de este trimestre).</t>
  </si>
  <si>
    <t>Evidencia 2026: el 1er ajuste cuatrimestral ya corrigió enero-abril con una población más reciente</t>
  </si>
  <si>
    <t>Millones de pesos. Fuente: DOF de junio 2026 (publicado 27-jul-2026), Cuadro 35, y DOF de enero a abril 2026.</t>
  </si>
  <si>
    <t>Enero y febrero 2026 se pagaron con la ENOE 3T-2025 y marzo y abril con la 4T-2025. En junio la SHCP recalculó enero-abril con la ENOE 1T-2026 y con variables de recaudación local más recientes, y pagó la diferencia en el ajuste. Aquí se separa qué parte se debió solo al cambio de población (con las variables de junio fijas) y qué parte a las variables; el resto es la recaudación federal participable observada y el IEPS.</t>
  </si>
  <si>
    <t>Diferencia total del ajuste (DOF)</t>
  </si>
  <si>
    <t>Por cambio de población (FGP y FFM 70%)</t>
  </si>
  <si>
    <t>Por cambio de variables (FGP y FFM 70%)</t>
  </si>
  <si>
    <t>Resto (recaudación federal participable, IEPS)</t>
  </si>
  <si>
    <t>Monto movido solo por población (suma de lo que pierden los que pierden):</t>
  </si>
  <si>
    <t>Montos 2027 a distribuir (PPEF 2027, Ramo 28) y partes que usan población</t>
  </si>
  <si>
    <t>Pesos. Fuente: PPEF 2027, Tomo IV, Ramo 28, Análisis Funcional Programático Económico (septiembre 2026). Azul = dato; negro = fórmula.</t>
  </si>
  <si>
    <t>Concepto</t>
  </si>
  <si>
    <t>Monto (pesos)</t>
  </si>
  <si>
    <t>Cómo se obtiene</t>
  </si>
  <si>
    <t>Fondo General de Participaciones (PPEF 2027)</t>
  </si>
  <si>
    <t>PPEF 2027, C001</t>
  </si>
  <si>
    <t>Fondo de Fomento Municipal (PPEF 2027)</t>
  </si>
  <si>
    <t>PPEF 2027, C002</t>
  </si>
  <si>
    <t>Fondo de Fiscalización y Recaudación (PPEF 2027)</t>
  </si>
  <si>
    <t>PPEF 2027, C005</t>
  </si>
  <si>
    <t>Fondo de Compensación (PPEF 2027)</t>
  </si>
  <si>
    <t>PPEF 2027, C006</t>
  </si>
  <si>
    <t>0.136% de la RFP (PPEF 2027)</t>
  </si>
  <si>
    <t>PPEF 2027, C009</t>
  </si>
  <si>
    <t>Recaudación federal participable 2027 implícita</t>
  </si>
  <si>
    <t>0.136% de la RFP / 0.00136 (cuadra con FFM = 1% de la RFP)</t>
  </si>
  <si>
    <t>FGP base 2007 (anual)</t>
  </si>
  <si>
    <t>12 × 22,152,337,833 (DOF, Cuadro 2, renglón 4)</t>
  </si>
  <si>
    <t>FFM base 2013 (anual)</t>
  </si>
  <si>
    <t>DOF, ajuste definitivo (Integración del FFM)</t>
  </si>
  <si>
    <t>FOFIR base 2013 (anual)</t>
  </si>
  <si>
    <t>2 × 13,337,194,406 (DOF jul-2026, Cuadro 26, renglón 4, semestral)</t>
  </si>
  <si>
    <t>Crecimiento FGP 2027 (20% RFP − base 2007)</t>
  </si>
  <si>
    <t>Crecimiento FFM 2027 (1% RFP − base 2013)</t>
  </si>
  <si>
    <t>Crecimiento FOFIR 2027 (1.25% RFP − base 2013)</t>
  </si>
  <si>
    <t>Partes que se reparten con población</t>
  </si>
  <si>
    <t>Parte</t>
  </si>
  <si>
    <t>Monto 2027 (pesos)</t>
  </si>
  <si>
    <t>Regla</t>
  </si>
  <si>
    <t>FGP primera parte (60%)</t>
  </si>
  <si>
    <t>60% del crecimiento: crecimiento del PIB × población</t>
  </si>
  <si>
    <t>FGP segunda parte (30%)</t>
  </si>
  <si>
    <t>30%: media móvil del crecimiento de recaudación local × población</t>
  </si>
  <si>
    <t>FGP tercera parte (10%)</t>
  </si>
  <si>
    <t>10%: recaudación local × población</t>
  </si>
  <si>
    <t>70% del crecimiento: variación de agua y predial × población</t>
  </si>
  <si>
    <t>FOFIR primera parte (30%)</t>
  </si>
  <si>
    <t>Cifras virtuales / PIB × población</t>
  </si>
  <si>
    <t>FOFIR segunda parte (10%)</t>
  </si>
  <si>
    <t>Mercancía embargada × población</t>
  </si>
  <si>
    <t>FOFIR tercera parte (30%)</t>
  </si>
  <si>
    <t>Crecimiento de recaudación local × población</t>
  </si>
  <si>
    <t>FOFIR cuarta parte (30%)</t>
  </si>
  <si>
    <t>Recaudación local / ingresos de libre disposición × población</t>
  </si>
  <si>
    <t>10 entidades con menor PIB per cápita no minero (población en el denominador)</t>
  </si>
  <si>
    <t>Total que depende de población</t>
  </si>
  <si>
    <t>No se recalculan: bases 2007 y 2013, BET, FFM 30% (población municipal del Censo 2020), IEPS, gasolinas 9/11, FEXHI, Fondo ISR, ISAN, incentivos.</t>
  </si>
  <si>
    <t>Participaciones 2027 estimadas por estado en FGP, FFM, FOFIR y FoCo (escenario base, población ENOE)</t>
  </si>
  <si>
    <t>Pesos. Partes fijas repartidas con la participación de cada estado en el último DOF (ago-2026; FOFIR jul-2026); partes que dependen de población con los coeficientes base. Se usa para expresar los efectos en %.</t>
  </si>
  <si>
    <t>Entidad</t>
  </si>
  <si>
    <t>FGP base 2007 (DOF ago-26, mensual)</t>
  </si>
  <si>
    <t>BET (DOF ago-26, mensual)</t>
  </si>
  <si>
    <t>FFM base 2013 (DOF ago-26, mensual)</t>
  </si>
  <si>
    <t>FFM 30% (DOF ago-26, mensual)</t>
  </si>
  <si>
    <t>FOFIR base 2013 (DOF jul-26, semestral)</t>
  </si>
  <si>
    <t>FGP base 2007 2027</t>
  </si>
  <si>
    <t>BET 2027</t>
  </si>
  <si>
    <t>FFM base 2013 2027</t>
  </si>
  <si>
    <t>FFM 30% 2027</t>
  </si>
  <si>
    <t>FOFIR base 2013 2027</t>
  </si>
  <si>
    <t>Partes con población (base)</t>
  </si>
  <si>
    <t>FoCo (base)</t>
  </si>
  <si>
    <t>Total estimado 2027</t>
  </si>
  <si>
    <t>Control: total estimado vs. FGP+FFM+FOFIR+FoCo del PPEF 2027</t>
  </si>
  <si>
    <t>Población por entidad: la que usa la SHCP vs. Encuesta Intercensal 2025</t>
  </si>
  <si>
    <t>Personas. ENOE 1T-2026: la que usa el DOF de agosto 2026 (FGP, FFM, FOFIR). ENOE 4T-2024: la que usa para el Fondo de Compensación. EIC 2025: INEGI, población total (viviendas particulares + colectivas).</t>
  </si>
  <si>
    <t>ENOE (INEGI, serie vigente) para escenarios</t>
  </si>
  <si>
    <t>ENOE 1T-2026
(DOF ago-2026)</t>
  </si>
  <si>
    <t>ENOE 4T-2024
(DOF, FoCo)</t>
  </si>
  <si>
    <t>EIC 2025
(total)</t>
  </si>
  <si>
    <t>Cambio EIC vs ENOE 1T-2026</t>
  </si>
  <si>
    <t>Cambio %</t>
  </si>
  <si>
    <t>Participación ENOE 1T-2026</t>
  </si>
  <si>
    <t>Participación EIC 2025</t>
  </si>
  <si>
    <t>Cambio en participación (pp)</t>
  </si>
  <si>
    <t>ENOE 3T-2025
(INEGI)</t>
  </si>
  <si>
    <t>ENOE 4T-2025
(INEGI)</t>
  </si>
  <si>
    <t>ENOE 2T-2026
(INEGI)</t>
  </si>
  <si>
    <t>Cálculo: coeficientes con población ENOE (base) vs. EIC 2025, montos 2027</t>
  </si>
  <si>
    <t>Variables del último cálculo publicado: DOF de agosto 2026 (FGP, FFM 70%) y de julio 2026 (FOFIR). Diferencia = monto con EIC − monto base (positivo = el estado ganaría).</t>
  </si>
  <si>
    <t>Fondo</t>
  </si>
  <si>
    <t>Dato DOF 1</t>
  </si>
  <si>
    <t>Dato DOF 2</t>
  </si>
  <si>
    <t>Variable del fondo</t>
  </si>
  <si>
    <t>Población ENOE (DOF)</t>
  </si>
  <si>
    <t>Población EIC 2025</t>
  </si>
  <si>
    <t>Monto 2027 de la parte</t>
  </si>
  <si>
    <t>Producto base</t>
  </si>
  <si>
    <t>Producto EIC</t>
  </si>
  <si>
    <t>Coeficiente base (%)</t>
  </si>
  <si>
    <t>Coeficiente DOF (%)</t>
  </si>
  <si>
    <t>Control</t>
  </si>
  <si>
    <t>Coeficiente EIC (%)</t>
  </si>
  <si>
    <t>Monto base 2027</t>
  </si>
  <si>
    <t>Monto EIC 2027</t>
  </si>
  <si>
    <t>Diferencia (pesos)</t>
  </si>
  <si>
    <t>Población ENOE 3T-2025</t>
  </si>
  <si>
    <t>Producto 3T-2025</t>
  </si>
  <si>
    <t>Coeficiente 3T-2025 (%)</t>
  </si>
  <si>
    <t>Diferencia vs EIC con base 3T-2025 (pesos)</t>
  </si>
  <si>
    <t>Producto 4T-2025</t>
  </si>
  <si>
    <t>Coeficiente 4T-2025 (%)</t>
  </si>
  <si>
    <t>Diferencia vs EIC con base 4T-2025 (pesos)</t>
  </si>
  <si>
    <t>Población ENOE 2T-2026</t>
  </si>
  <si>
    <t>Producto 2T-2026</t>
  </si>
  <si>
    <t>Coeficiente 2T-2026 (%)</t>
  </si>
  <si>
    <t>Diferencia vs EIC con base 2T-2026 (pesos)</t>
  </si>
  <si>
    <t>Cálculo: Fondo de Compensación 2027 con población ENOE 4T-2024 (base) vs. EIC 2025</t>
  </si>
  <si>
    <t>Reciben las 10 entidades con menor PIB per cápita no minero, en proporción al inverso. PIB no minero del DOF de agosto 2026 (Cuadro 15).</t>
  </si>
  <si>
    <t>PIB no minero (miles de pesos)</t>
  </si>
  <si>
    <t>Población ENOE 4T-2024 (DOF)</t>
  </si>
  <si>
    <t>PIB pc base</t>
  </si>
  <si>
    <t>PIB pc EIC</t>
  </si>
  <si>
    <t>Lugar base (1 = menor)</t>
  </si>
  <si>
    <t>Lugar EIC</t>
  </si>
  <si>
    <t>Inverso base</t>
  </si>
  <si>
    <t>Inverso EIC</t>
  </si>
  <si>
    <t>¿Cambia de status?</t>
  </si>
  <si>
    <t>Fuentes y notas</t>
  </si>
  <si>
    <t>Fuentes:</t>
  </si>
  <si>
    <t>• SHCP, PPEF 2027, Tomo IV, Ramo 28: Análisis Funcional Programático Económico y Estrategia Programática (ppef.hacienda.gob.mx/es/PPEF2027/tomoIV), septiembre 2026.</t>
  </si>
  <si>
    <t>• DOF, Acuerdo 140/2026, participaciones de agosto de 2026 (publicado 21-sep-2026, SIDOF nota 5799139): Cuadros 3, 4, 5, 8, 15 y 17.</t>
  </si>
  <si>
    <t>• DOF, participaciones de junio 2026 y 1er ajuste cuatrimestral 2026 (publicado 27-jul-2026, SIDOF nota 5794757, archivo .doc oficial): Cuadros 3-10 y 35; y DOF de enero a abril 2026 (notas 5780978, 5783299, 5784945, 5788832).</t>
  </si>
  <si>
    <t>• DOF, participaciones de julio de 2026 y FOFIR del 2o trimestre 2026 (publicado 17-ago-2026, SIDOF nota 5796402): Cuadros 27 a 30.</t>
  </si>
  <si>
    <t>• INEGI, Encuesta Intercensal 2025 (22-sep-2026), población total por entidad (particulares + colectivas).</t>
  </si>
  <si>
    <t>Supuestos:</t>
  </si>
  <si>
    <t>• Variables de la fórmula (PIB, recaudación local, agua y predial, cifras virtuales, etc.) iguales a las del último cálculo publicado; en 2027 la SHCP las actualizará.</t>
  </si>
  <si>
    <t>• Montos anuales 2027 del PPEF (proyecto, sujeto a aprobación y a la recaudación observada). La RFP implícita se obtiene del 0.136% (cuadra con el FFM = 1%).</t>
  </si>
  <si>
    <t>• Solo cambia la población. Se excluyen el FFM 30% (población municipal), bases fijas, BET, IEPS, gasolinas 9/11, FEXHI, Fondo ISR e incentivos, que no usan población estatal.</t>
  </si>
  <si>
    <t>• Los coeficientes base replican los del DOF (columna Control &lt; 0.000001).</t>
  </si>
  <si>
    <t>Cálculo: 1er ajuste cuatrimestral 2026 (enero-abril) separado en cambio de población y cambio de variables</t>
  </si>
  <si>
    <t>Fuente: DOF de enero a abril 2026 (pagos provisionales) y DOF de junio 2026 (DOF 27-jul-2026, coeficientes con los que se hizo el ajuste). Monto = lo que se repartió cada mes en cada parte.</t>
  </si>
  <si>
    <t>Mes</t>
  </si>
  <si>
    <t>Dato mes 1</t>
  </si>
  <si>
    <t>Dato mes 2</t>
  </si>
  <si>
    <t>Población del mes (ENOE)</t>
  </si>
  <si>
    <t>Trimestre del mes</t>
  </si>
  <si>
    <t>Dato junio 1</t>
  </si>
  <si>
    <t>Dato junio 2</t>
  </si>
  <si>
    <t>Población junio (ENOE)</t>
  </si>
  <si>
    <t>Trimestre junio</t>
  </si>
  <si>
    <t>Monto repartido en el mes</t>
  </si>
  <si>
    <t>Clave</t>
  </si>
  <si>
    <t>Variable mes</t>
  </si>
  <si>
    <t>Variable junio</t>
  </si>
  <si>
    <t>Producto mes</t>
  </si>
  <si>
    <t>Producto junio con población del mes</t>
  </si>
  <si>
    <t>Producto junio</t>
  </si>
  <si>
    <t>Coeficiente del mes (%)</t>
  </si>
  <si>
    <t>Coeficiente DOF del mes</t>
  </si>
  <si>
    <t>Coeficiente junio con población del mes (%)</t>
  </si>
  <si>
    <t>Coeficiente junio (%)</t>
  </si>
  <si>
    <t>Coeficiente DOF junio</t>
  </si>
  <si>
    <t>Efecto población (pesos)</t>
  </si>
  <si>
    <t>Efecto variables (pesos)</t>
  </si>
  <si>
    <t>2026-01</t>
  </si>
  <si>
    <t>3T2025</t>
  </si>
  <si>
    <t>1T2026</t>
  </si>
  <si>
    <t>2026-02</t>
  </si>
  <si>
    <t>2026-03</t>
  </si>
  <si>
    <t>4T2025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</si>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</sst>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;\(#,##0\);\-"/>
    <numFmt numFmtId="165" formatCode="0.0%;\-0.0%;\-"/>
    <numFmt numFmtId="166" formatCode="#,##0&quot; mdp&quot;"/>
    <numFmt numFmtId="167" formatCode="#,##0.0;\(#,##0.0\);\-"/>
    <numFmt numFmtId="168" formatCode="0.0%"/>
    <numFmt numFmtId="169" formatCode="0.00%;\-0.00%;\-"/>
    <numFmt numFmtId="170" formatCode="0.000%"/>
    <numFmt numFmtId="171" formatCode="0.000;\-0.000;\-"/>
    <numFmt numFmtId="172" formatCode="#,##0.000"/>
    <numFmt numFmtId="173" formatCode="0.000000"/>
    <numFmt numFmtId="174" formatCode="0.000000;\-0.000000;\-"/>
    <numFmt numFmtId="175" formatCode="0.0000000"/>
    <numFmt numFmtId="176" formatCode="0.000000000"/>
  </numFmts>
  <fonts count="15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b/>
      <sz val="9"/>
      <color rgb="FFC0461F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9"/>
      <color rgb="FF52514E"/>
      <name val="Arial"/>
      <charset val="1"/>
    </font>
    <font>
      <b/>
      <sz val="20"/>
      <color rgb="FF1F3864"/>
      <name val="Arial"/>
      <charset val="1"/>
    </font>
    <font>
      <i/>
      <sz val="9"/>
      <color rgb="FF52514E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4"/>
      <color rgb="FF1F3864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b/>
      <sz val="11"/>
      <color rgb="FF1F386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EEF3FB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E5E4E0"/>
      </patternFill>
    </fill>
    <fill>
      <patternFill patternType="solid">
        <fgColor rgb="FFFFF2CC"/>
        <bgColor rgb="FFEEF3FB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1" fillId="2" borderId="0" xfId="0" applyFont="1" applyFill="1" applyAlignment="1">
      <alignment horizontal="center"/>
    </xf>
    <xf numFmtId="3" fontId="11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2" fillId="0" borderId="0" xfId="0" applyFont="1" applyAlignment="1">
      <alignment vertical="top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65" fontId="7" fillId="2" borderId="0" xfId="0" applyNumberFormat="1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9" fillId="3" borderId="0" xfId="0" applyFont="1" applyFill="1" applyAlignment="1">
      <alignment horizontal="center" wrapText="1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left"/>
    </xf>
    <xf numFmtId="165" fontId="5" fillId="0" borderId="0" xfId="0" applyNumberFormat="1" applyFont="1"/>
    <xf numFmtId="1" fontId="5" fillId="0" borderId="0" xfId="0" applyNumberFormat="1" applyFont="1" applyAlignment="1">
      <alignment horizontal="center"/>
    </xf>
    <xf numFmtId="0" fontId="10" fillId="0" borderId="0" xfId="0" applyFont="1"/>
    <xf numFmtId="164" fontId="5" fillId="0" borderId="0" xfId="0" applyNumberFormat="1" applyFont="1"/>
    <xf numFmtId="0" fontId="9" fillId="3" borderId="0" xfId="0" applyFont="1" applyFill="1" applyAlignment="1">
      <alignment horizontal="center" vertical="center" wrapText="1"/>
    </xf>
    <xf numFmtId="9" fontId="10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5" fillId="0" borderId="0" xfId="0" applyFont="1"/>
    <xf numFmtId="167" fontId="5" fillId="0" borderId="0" xfId="0" applyNumberFormat="1" applyFont="1"/>
    <xf numFmtId="164" fontId="10" fillId="0" borderId="0" xfId="0" applyNumberFormat="1" applyFont="1"/>
    <xf numFmtId="3" fontId="5" fillId="0" borderId="0" xfId="0" applyNumberFormat="1" applyFont="1"/>
    <xf numFmtId="165" fontId="10" fillId="0" borderId="0" xfId="0" applyNumberFormat="1" applyFont="1"/>
    <xf numFmtId="0" fontId="10" fillId="0" borderId="1" xfId="0" applyFont="1" applyBorder="1"/>
    <xf numFmtId="164" fontId="10" fillId="4" borderId="1" xfId="0" applyNumberFormat="1" applyFont="1" applyFill="1" applyBorder="1"/>
    <xf numFmtId="0" fontId="0" fillId="0" borderId="1" xfId="0" applyBorder="1"/>
    <xf numFmtId="164" fontId="12" fillId="0" borderId="0" xfId="0" applyNumberFormat="1" applyFont="1"/>
    <xf numFmtId="164" fontId="10" fillId="4" borderId="0" xfId="0" applyNumberFormat="1" applyFont="1" applyFill="1"/>
    <xf numFmtId="168" fontId="10" fillId="4" borderId="0" xfId="0" applyNumberFormat="1" applyFont="1" applyFill="1"/>
    <xf numFmtId="167" fontId="10" fillId="4" borderId="0" xfId="0" applyNumberFormat="1" applyFont="1" applyFill="1"/>
    <xf numFmtId="167" fontId="10" fillId="0" borderId="0" xfId="0" applyNumberFormat="1" applyFont="1"/>
    <xf numFmtId="3" fontId="10" fillId="4" borderId="0" xfId="0" applyNumberFormat="1" applyFont="1" applyFill="1"/>
    <xf numFmtId="164" fontId="2" fillId="0" borderId="0" xfId="0" applyNumberFormat="1" applyFont="1"/>
    <xf numFmtId="167" fontId="13" fillId="0" borderId="0" xfId="0" applyNumberFormat="1" applyFont="1"/>
    <xf numFmtId="167" fontId="10" fillId="4" borderId="1" xfId="0" applyNumberFormat="1" applyFont="1" applyFill="1" applyBorder="1"/>
    <xf numFmtId="167" fontId="10" fillId="5" borderId="0" xfId="0" applyNumberFormat="1" applyFont="1" applyFill="1"/>
    <xf numFmtId="164" fontId="13" fillId="0" borderId="0" xfId="0" applyNumberFormat="1" applyFont="1"/>
    <xf numFmtId="0" fontId="14" fillId="0" borderId="0" xfId="0" applyFont="1"/>
    <xf numFmtId="169" fontId="5" fillId="0" borderId="0" xfId="0" applyNumberFormat="1" applyFont="1"/>
    <xf numFmtId="170" fontId="5" fillId="0" borderId="0" xfId="0" applyNumberFormat="1" applyFont="1"/>
    <xf numFmtId="171" fontId="5" fillId="0" borderId="0" xfId="0" applyNumberFormat="1" applyFont="1"/>
    <xf numFmtId="169" fontId="10" fillId="4" borderId="0" xfId="0" applyNumberFormat="1" applyFont="1" applyFill="1"/>
    <xf numFmtId="172" fontId="13" fillId="0" borderId="0" xfId="0" applyNumberFormat="1" applyFont="1"/>
    <xf numFmtId="173" fontId="5" fillId="0" borderId="0" xfId="0" applyNumberFormat="1" applyFont="1"/>
    <xf numFmtId="174" fontId="5" fillId="0" borderId="0" xfId="0" applyNumberFormat="1" applyFont="1"/>
    <xf numFmtId="174" fontId="13" fillId="0" borderId="0" xfId="0" applyNumberFormat="1" applyFont="1"/>
    <xf numFmtId="175" fontId="5" fillId="0" borderId="0" xfId="0" applyNumberFormat="1" applyFont="1"/>
    <xf numFmtId="1" fontId="5" fillId="0" borderId="0" xfId="0" applyNumberFormat="1" applyFont="1"/>
    <xf numFmtId="176" fontId="5" fillId="0" borderId="0" xfId="0" applyNumberFormat="1" applyFont="1"/>
    <xf numFmtId="174" fontId="10" fillId="4" borderId="0" xfId="0" applyNumberFormat="1" applyFont="1" applyFill="1"/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11">
    <dxf>
      <fill>
        <patternFill>
          <bgColor rgb="FFFFF2CC"/>
        </patternFill>
      </fill>
    </dxf>
    <dxf>
      <font>
        <color rgb="FFC0461F"/>
        <name val="Arial"/>
        <charset val="1"/>
      </font>
    </dxf>
    <dxf>
      <font>
        <color rgb="FF1C5CAB"/>
        <name val="Arial"/>
        <charset val="1"/>
      </font>
    </dxf>
    <dxf>
      <font>
        <color rgb="FFC0461F"/>
        <name val="Arial"/>
        <charset val="1"/>
      </font>
    </dxf>
    <dxf>
      <font>
        <color rgb="FF1C5CAB"/>
        <name val="Arial"/>
        <charset val="1"/>
      </font>
    </dxf>
    <dxf>
      <font>
        <color rgb="FFC0461F"/>
        <name val="Arial"/>
        <charset val="1"/>
      </font>
    </dxf>
    <dxf>
      <font>
        <color rgb="FF1C5CAB"/>
        <name val="Arial"/>
        <charset val="1"/>
      </font>
    </dxf>
    <dxf>
      <font>
        <color rgb="FFC0461F"/>
        <name val="Arial"/>
        <charset val="1"/>
      </font>
    </dxf>
    <dxf>
      <font>
        <color rgb="FF1C5CAB"/>
        <name val="Arial"/>
        <charset val="1"/>
      </font>
    </dxf>
    <dxf>
      <font>
        <color rgb="FFC0461F"/>
        <name val="Arial"/>
        <charset val="1"/>
      </font>
    </dxf>
    <dxf>
      <font>
        <color rgb="FF1C5CAB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EEF3FB"/>
      <rgbColor rgb="FF660066"/>
      <rgbColor rgb="FFFF8080"/>
      <rgbColor rgb="FF1C5C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5E4E0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1F3864"/>
      <rgbColor rgb="FF339966"/>
      <rgbColor rgb="FF003300"/>
      <rgbColor rgb="FF333300"/>
      <rgbColor rgb="FFC0461F"/>
      <rgbColor rgb="FF993366"/>
      <rgbColor rgb="FF333399"/>
      <rgbColor rgb="FF5251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Resumen!$Q$14</c:f>
              <c:strCache>
                <c:ptCount val="1"/>
                <c:pt idx="0">
                  <c:v>Gana (%)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Resumen!$P$15:$P$46</c:f>
              <c:strCache>
                <c:ptCount val="32"/>
                <c:pt idx="0">
                  <c:v>Coahuila</c:v>
                </c:pt>
                <c:pt idx="1">
                  <c:v>Guerrero</c:v>
                </c:pt>
                <c:pt idx="2">
                  <c:v>Chihuahua</c:v>
                </c:pt>
                <c:pt idx="3">
                  <c:v>San Luis Potosí</c:v>
                </c:pt>
                <c:pt idx="4">
                  <c:v>Hidalgo</c:v>
                </c:pt>
                <c:pt idx="5">
                  <c:v>Veracruz</c:v>
                </c:pt>
                <c:pt idx="6">
                  <c:v>Tabasco</c:v>
                </c:pt>
                <c:pt idx="7">
                  <c:v>Durango</c:v>
                </c:pt>
                <c:pt idx="8">
                  <c:v>Michoacán</c:v>
                </c:pt>
                <c:pt idx="9">
                  <c:v>Ciudad de México</c:v>
                </c:pt>
                <c:pt idx="10">
                  <c:v>México</c:v>
                </c:pt>
                <c:pt idx="11">
                  <c:v>Jalisco</c:v>
                </c:pt>
                <c:pt idx="12">
                  <c:v>Tlaxcala</c:v>
                </c:pt>
                <c:pt idx="13">
                  <c:v>Chiapas</c:v>
                </c:pt>
                <c:pt idx="14">
                  <c:v>Oaxaca</c:v>
                </c:pt>
                <c:pt idx="15">
                  <c:v>Zacatecas</c:v>
                </c:pt>
                <c:pt idx="16">
                  <c:v>Colima</c:v>
                </c:pt>
                <c:pt idx="17">
                  <c:v>Sonora</c:v>
                </c:pt>
                <c:pt idx="18">
                  <c:v>Morelos</c:v>
                </c:pt>
                <c:pt idx="19">
                  <c:v>Aguascalientes</c:v>
                </c:pt>
                <c:pt idx="20">
                  <c:v>Tamaulipas</c:v>
                </c:pt>
                <c:pt idx="21">
                  <c:v>Sinaloa</c:v>
                </c:pt>
                <c:pt idx="22">
                  <c:v>Guanajuato</c:v>
                </c:pt>
                <c:pt idx="23">
                  <c:v>Nuevo León</c:v>
                </c:pt>
                <c:pt idx="24">
                  <c:v>Nayarit</c:v>
                </c:pt>
                <c:pt idx="25">
                  <c:v>Yucatán</c:v>
                </c:pt>
                <c:pt idx="26">
                  <c:v>Querétaro</c:v>
                </c:pt>
                <c:pt idx="27">
                  <c:v>Campeche</c:v>
                </c:pt>
                <c:pt idx="28">
                  <c:v>Baja California Sur</c:v>
                </c:pt>
                <c:pt idx="29">
                  <c:v>Baja California</c:v>
                </c:pt>
                <c:pt idx="30">
                  <c:v>Puebla</c:v>
                </c:pt>
                <c:pt idx="31">
                  <c:v>Quintana Roo</c:v>
                </c:pt>
              </c:strCache>
            </c:strRef>
          </c:cat>
          <c:val>
            <c:numRef>
              <c:f>Resumen!$Q$15:$Q$46</c:f>
              <c:numCache>
                <c:formatCode>0.0%;\-0.0%;\-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7.8429921488214248E-4</c:v>
                </c:pt>
                <c:pt idx="16">
                  <c:v>1.1091833326656864E-3</c:v>
                </c:pt>
                <c:pt idx="17">
                  <c:v>4.3837336517223669E-3</c:v>
                </c:pt>
                <c:pt idx="18">
                  <c:v>4.5577784363194894E-3</c:v>
                </c:pt>
                <c:pt idx="19">
                  <c:v>4.9298768387205979E-3</c:v>
                </c:pt>
                <c:pt idx="20">
                  <c:v>5.1274122174237912E-3</c:v>
                </c:pt>
                <c:pt idx="21">
                  <c:v>5.2217819813330296E-3</c:v>
                </c:pt>
                <c:pt idx="22">
                  <c:v>6.9280255700475612E-3</c:v>
                </c:pt>
                <c:pt idx="23">
                  <c:v>8.6695966619927695E-3</c:v>
                </c:pt>
                <c:pt idx="24">
                  <c:v>1.4908909425100137E-2</c:v>
                </c:pt>
                <c:pt idx="25">
                  <c:v>1.6424824674007164E-2</c:v>
                </c:pt>
                <c:pt idx="26">
                  <c:v>2.2723623642270704E-2</c:v>
                </c:pt>
                <c:pt idx="27">
                  <c:v>2.3160480240355656E-2</c:v>
                </c:pt>
                <c:pt idx="28">
                  <c:v>2.7503349376176361E-2</c:v>
                </c:pt>
                <c:pt idx="29">
                  <c:v>3.6944667615222186E-2</c:v>
                </c:pt>
                <c:pt idx="30">
                  <c:v>3.7997453746602051E-2</c:v>
                </c:pt>
                <c:pt idx="31">
                  <c:v>5.1457275662642007E-2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2-A446-9AAD-5787724B842A}"/>
            </c:ext>
          </c:extLst>
        </c:ser>
        <c:ser>
          <c:idx val="1"/>
          <c:order val="1"/>
          <c:tx>
            <c:strRef>
              <c:f>Resumen!$R$14</c:f>
              <c:strCache>
                <c:ptCount val="1"/>
                <c:pt idx="0">
                  <c:v>Pierde (%)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Resumen!$P$15:$P$46</c:f>
              <c:strCache>
                <c:ptCount val="32"/>
                <c:pt idx="0">
                  <c:v>Coahuila</c:v>
                </c:pt>
                <c:pt idx="1">
                  <c:v>Guerrero</c:v>
                </c:pt>
                <c:pt idx="2">
                  <c:v>Chihuahua</c:v>
                </c:pt>
                <c:pt idx="3">
                  <c:v>San Luis Potosí</c:v>
                </c:pt>
                <c:pt idx="4">
                  <c:v>Hidalgo</c:v>
                </c:pt>
                <c:pt idx="5">
                  <c:v>Veracruz</c:v>
                </c:pt>
                <c:pt idx="6">
                  <c:v>Tabasco</c:v>
                </c:pt>
                <c:pt idx="7">
                  <c:v>Durango</c:v>
                </c:pt>
                <c:pt idx="8">
                  <c:v>Michoacán</c:v>
                </c:pt>
                <c:pt idx="9">
                  <c:v>Ciudad de México</c:v>
                </c:pt>
                <c:pt idx="10">
                  <c:v>México</c:v>
                </c:pt>
                <c:pt idx="11">
                  <c:v>Jalisco</c:v>
                </c:pt>
                <c:pt idx="12">
                  <c:v>Tlaxcala</c:v>
                </c:pt>
                <c:pt idx="13">
                  <c:v>Chiapas</c:v>
                </c:pt>
                <c:pt idx="14">
                  <c:v>Oaxaca</c:v>
                </c:pt>
                <c:pt idx="15">
                  <c:v>Zacatecas</c:v>
                </c:pt>
                <c:pt idx="16">
                  <c:v>Colima</c:v>
                </c:pt>
                <c:pt idx="17">
                  <c:v>Sonora</c:v>
                </c:pt>
                <c:pt idx="18">
                  <c:v>Morelos</c:v>
                </c:pt>
                <c:pt idx="19">
                  <c:v>Aguascalientes</c:v>
                </c:pt>
                <c:pt idx="20">
                  <c:v>Tamaulipas</c:v>
                </c:pt>
                <c:pt idx="21">
                  <c:v>Sinaloa</c:v>
                </c:pt>
                <c:pt idx="22">
                  <c:v>Guanajuato</c:v>
                </c:pt>
                <c:pt idx="23">
                  <c:v>Nuevo León</c:v>
                </c:pt>
                <c:pt idx="24">
                  <c:v>Nayarit</c:v>
                </c:pt>
                <c:pt idx="25">
                  <c:v>Yucatán</c:v>
                </c:pt>
                <c:pt idx="26">
                  <c:v>Querétaro</c:v>
                </c:pt>
                <c:pt idx="27">
                  <c:v>Campeche</c:v>
                </c:pt>
                <c:pt idx="28">
                  <c:v>Baja California Sur</c:v>
                </c:pt>
                <c:pt idx="29">
                  <c:v>Baja California</c:v>
                </c:pt>
                <c:pt idx="30">
                  <c:v>Puebla</c:v>
                </c:pt>
                <c:pt idx="31">
                  <c:v>Quintana Roo</c:v>
                </c:pt>
              </c:strCache>
            </c:strRef>
          </c:cat>
          <c:val>
            <c:numRef>
              <c:f>Resumen!$R$15:$R$46</c:f>
              <c:numCache>
                <c:formatCode>0.0%;\-0.0%;\-</c:formatCode>
                <c:ptCount val="32"/>
                <c:pt idx="0">
                  <c:v>-3.6144789472312588E-2</c:v>
                </c:pt>
                <c:pt idx="1">
                  <c:v>-3.1471205779874639E-2</c:v>
                </c:pt>
                <c:pt idx="2">
                  <c:v>-1.9560918625615483E-2</c:v>
                </c:pt>
                <c:pt idx="3">
                  <c:v>-1.4477142597591572E-2</c:v>
                </c:pt>
                <c:pt idx="4">
                  <c:v>-1.4267507147044736E-2</c:v>
                </c:pt>
                <c:pt idx="5">
                  <c:v>-1.2132901809711105E-2</c:v>
                </c:pt>
                <c:pt idx="6">
                  <c:v>-9.3755006932558001E-3</c:v>
                </c:pt>
                <c:pt idx="7">
                  <c:v>-8.354887453888845E-3</c:v>
                </c:pt>
                <c:pt idx="8">
                  <c:v>-7.4302306285510024E-3</c:v>
                </c:pt>
                <c:pt idx="9">
                  <c:v>-7.1077827229871814E-3</c:v>
                </c:pt>
                <c:pt idx="10">
                  <c:v>-4.5967369786265588E-3</c:v>
                </c:pt>
                <c:pt idx="11">
                  <c:v>-4.570559772536174E-3</c:v>
                </c:pt>
                <c:pt idx="12">
                  <c:v>-3.6984564278264632E-3</c:v>
                </c:pt>
                <c:pt idx="13">
                  <c:v>-2.4307091212758102E-3</c:v>
                </c:pt>
                <c:pt idx="14">
                  <c:v>-5.8329685598673762E-4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62-A446-9AAD-5787724B8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74560163"/>
        <c:axId val="50550892"/>
      </c:barChart>
      <c:catAx>
        <c:axId val="745601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50550892"/>
        <c:crosses val="autoZero"/>
        <c:auto val="1"/>
        <c:lblAlgn val="ctr"/>
        <c:lblOffset val="100"/>
        <c:noMultiLvlLbl val="0"/>
      </c:catAx>
      <c:valAx>
        <c:axId val="50550892"/>
        <c:scaling>
          <c:orientation val="minMax"/>
        </c:scaling>
        <c:delete val="0"/>
        <c:axPos val="t"/>
        <c:majorGridlines>
          <c:spPr>
            <a:ln w="9360">
              <a:solidFill>
                <a:srgbClr val="E5E4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745601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176040</xdr:rowOff>
    </xdr:from>
    <xdr:to>
      <xdr:col>5</xdr:col>
      <xdr:colOff>888480</xdr:colOff>
      <xdr:row>60</xdr:row>
      <xdr:rowOff>30240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"/>
  <sheetViews>
    <sheetView showGridLines="0" tabSelected="1" zoomScaleNormal="100" workbookViewId="0">
      <pane ySplit="3" topLeftCell="A4" activePane="bottomLeft" state="frozen"/>
      <selection pane="bottomLeft" activeCell="G4" sqref="G4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5" width="14" customWidth="1"/>
    <col min="6" max="6" width="22" customWidth="1"/>
    <col min="7" max="9" width="14" customWidth="1"/>
    <col min="10" max="15" width="13" customWidth="1"/>
    <col min="16" max="16" width="20" customWidth="1"/>
    <col min="17" max="18" width="13" customWidth="1"/>
  </cols>
  <sheetData>
    <row r="1" spans="1:18" ht="17" x14ac:dyDescent="0.2">
      <c r="A1" s="12" t="s">
        <v>0</v>
      </c>
    </row>
    <row r="2" spans="1:18" x14ac:dyDescent="0.2">
      <c r="A2" s="13" t="s">
        <v>1</v>
      </c>
    </row>
    <row r="3" spans="1:18" x14ac:dyDescent="0.2">
      <c r="A3" s="14" t="s">
        <v>2</v>
      </c>
    </row>
    <row r="4" spans="1:18" ht="16" x14ac:dyDescent="0.2">
      <c r="A4" s="15" t="s">
        <v>3</v>
      </c>
    </row>
    <row r="5" spans="1:18" ht="39.75" customHeight="1" x14ac:dyDescent="0.2">
      <c r="A5" s="11" t="str">
        <f>"• Con todo lo demás igual, la población de la Intercensal movería unos "&amp;TEXT(-SUMIF($G$91:$G$122,"&lt;0"),"#,##0")&amp;" millones al año entre estados. "&amp;COUNTIF($G$91:$G$122,"&lt;0")&amp;" estados perderían y "&amp;COUNTIF($G$91:$G$122,"&gt;0")&amp;" ganarían. La mayor pérdida sería para "&amp;INDEX($B$91:$B$122,MATCH(MIN($G$91:$G$122),$G$91:$G$122,0))&amp;" ("&amp;TEXT(MIN($G$91:$G$122),"#,##0")&amp;" millones"&amp;IF(INDEX($B$91:$B$122,MATCH(MIN($G$91:$G$122),$G$91:$G$122,0))=INDEX($B$91:$B$122,MATCH(MIN($I$91:$I$122),$I$91:$I$122,0)),", que también sería la mayor en proporción: "&amp;TEXT(MIN($I$91:$I$122),"0.0%")&amp;" de sus participaciones).",") y, en proporción, para "&amp;INDEX($B$91:$B$122,MATCH(MIN($I$91:$I$122),$I$91:$I$122,0))&amp;" ("&amp;TEXT(MIN($I$91:$I$122),"0.0%")&amp;" de sus participaciones).")</f>
        <v>• Con todo lo demás igual, la población de la Intercensal movería unos 7,672 millones al año entre estados. 15 estados perderían y 17 ganarían. La mayor pérdida sería para Coahuila (-1,171 millones, que también sería la mayor en proporción: -3.6% de sus participaciones).</v>
      </c>
      <c r="B5" s="11"/>
      <c r="C5" s="11"/>
      <c r="D5" s="11"/>
      <c r="E5" s="11"/>
      <c r="F5" s="11"/>
      <c r="G5" s="11"/>
      <c r="H5" s="11"/>
      <c r="I5" s="11"/>
    </row>
    <row r="6" spans="1:18" ht="39.75" customHeight="1" x14ac:dyDescent="0.2">
      <c r="A6" s="11" t="s">
        <v>4</v>
      </c>
      <c r="B6" s="11"/>
      <c r="C6" s="11"/>
      <c r="D6" s="11"/>
      <c r="E6" s="11"/>
      <c r="F6" s="11"/>
      <c r="G6" s="11"/>
      <c r="H6" s="11"/>
      <c r="I6" s="11"/>
    </row>
    <row r="7" spans="1:18" ht="39.75" customHeight="1" x14ac:dyDescent="0.2">
      <c r="A7" s="11" t="s">
        <v>5</v>
      </c>
      <c r="B7" s="11"/>
      <c r="C7" s="11"/>
      <c r="D7" s="11"/>
      <c r="E7" s="11"/>
      <c r="F7" s="11"/>
      <c r="G7" s="11"/>
      <c r="H7" s="11"/>
      <c r="I7" s="11"/>
    </row>
    <row r="9" spans="1:18" ht="30" customHeight="1" x14ac:dyDescent="0.2">
      <c r="B9" s="10" t="s">
        <v>6</v>
      </c>
      <c r="C9" s="10"/>
      <c r="D9" s="10" t="s">
        <v>7</v>
      </c>
      <c r="E9" s="10"/>
      <c r="F9" s="10" t="s">
        <v>8</v>
      </c>
      <c r="G9" s="10"/>
      <c r="H9" s="10" t="s">
        <v>9</v>
      </c>
      <c r="I9" s="10"/>
    </row>
    <row r="10" spans="1:18" ht="33.75" customHeight="1" x14ac:dyDescent="0.2">
      <c r="B10" s="9">
        <f>-SUMIF($G$91:$G$122,"&lt;0")</f>
        <v>7671.5525544423308</v>
      </c>
      <c r="C10" s="9"/>
      <c r="D10" s="9">
        <f>MIN($G$91:$G$122)</f>
        <v>-1170.6414397747271</v>
      </c>
      <c r="E10" s="9"/>
      <c r="F10" s="8">
        <f>MIN($I$91:$I$122)</f>
        <v>-3.6144789472312588E-2</v>
      </c>
      <c r="G10" s="8"/>
      <c r="H10" s="9" t="str">
        <f>COUNTIF($G$91:$G$122,"&lt;0")&amp;" / "&amp;COUNTIF($G$91:$G$122,"&gt;0")</f>
        <v>15 / 17</v>
      </c>
      <c r="I10" s="9"/>
    </row>
    <row r="11" spans="1:18" ht="24" customHeight="1" x14ac:dyDescent="0.2">
      <c r="B11" s="7" t="s">
        <v>10</v>
      </c>
      <c r="C11" s="7"/>
      <c r="D11" s="7" t="str">
        <f>INDEX($B$91:$B$122,MATCH(MIN($G$91:$G$122),$G$91:$G$122,0))</f>
        <v>Coahuila</v>
      </c>
      <c r="E11" s="7"/>
      <c r="F11" s="7" t="str">
        <f>INDEX($B$91:$B$122,MATCH(MIN($I$91:$I$122),$I$91:$I$122,0))</f>
        <v>Coahuila</v>
      </c>
      <c r="G11" s="7"/>
      <c r="H11" s="7" t="s">
        <v>11</v>
      </c>
      <c r="I11" s="7"/>
    </row>
    <row r="13" spans="1:18" ht="16" x14ac:dyDescent="0.2">
      <c r="A13" s="15" t="s">
        <v>12</v>
      </c>
      <c r="P13" s="15" t="s">
        <v>13</v>
      </c>
    </row>
    <row r="14" spans="1:18" x14ac:dyDescent="0.2">
      <c r="A14" s="6" t="s">
        <v>14</v>
      </c>
      <c r="B14" s="6"/>
      <c r="C14" s="6"/>
      <c r="D14" s="6"/>
      <c r="F14" s="6" t="s">
        <v>15</v>
      </c>
      <c r="G14" s="6"/>
      <c r="H14" s="6"/>
      <c r="I14" s="6"/>
      <c r="P14" s="17" t="s">
        <v>16</v>
      </c>
      <c r="Q14" s="17" t="s">
        <v>17</v>
      </c>
      <c r="R14" s="17" t="s">
        <v>18</v>
      </c>
    </row>
    <row r="15" spans="1:18" x14ac:dyDescent="0.2">
      <c r="A15" s="18" t="s">
        <v>19</v>
      </c>
      <c r="B15" s="19" t="s">
        <v>20</v>
      </c>
      <c r="C15" s="18" t="s">
        <v>21</v>
      </c>
      <c r="D15" s="18" t="s">
        <v>22</v>
      </c>
      <c r="F15" s="18" t="s">
        <v>19</v>
      </c>
      <c r="G15" s="19" t="s">
        <v>20</v>
      </c>
      <c r="H15" s="18" t="s">
        <v>21</v>
      </c>
      <c r="I15" s="18" t="s">
        <v>22</v>
      </c>
      <c r="P15" s="13" t="str">
        <f>INDEX($B$91:$B$122,MATCH(SMALL($I$91:$I$122,1),$I$91:$I$122,0))</f>
        <v>Coahuila</v>
      </c>
      <c r="Q15" s="20">
        <f>MAX(SMALL($I$91:$I$122,1),0)</f>
        <v>0</v>
      </c>
      <c r="R15" s="20">
        <f>MIN(SMALL($I$91:$I$122,1),0)</f>
        <v>-3.6144789472312588E-2</v>
      </c>
    </row>
    <row r="16" spans="1:18" x14ac:dyDescent="0.2">
      <c r="A16" s="21">
        <v>1</v>
      </c>
      <c r="B16" s="22" t="str">
        <f>INDEX($B$91:$B$122,MATCH(SMALL($G$91:$G$122,1),$G$91:$G$122,0))</f>
        <v>Coahuila</v>
      </c>
      <c r="C16" s="23">
        <f>INDEX($G$91:$G$122,MATCH(SMALL($G$91:$G$122,1),$G$91:$G$122,0))</f>
        <v>-1170.6414397747271</v>
      </c>
      <c r="D16" s="20">
        <f>INDEX($I$91:$I$122,MATCH(SMALL($G$91:$G$122,1),$G$91:$G$122,0))</f>
        <v>-3.6144789472312588E-2</v>
      </c>
      <c r="F16" s="21">
        <v>1</v>
      </c>
      <c r="G16" s="22" t="str">
        <f>INDEX($B$91:$B$122,MATCH(LARGE($G$91:$G$122,1),$G$91:$G$122,0))</f>
        <v>Puebla</v>
      </c>
      <c r="H16" s="23">
        <f>INDEX($G$91:$G$122,MATCH(LARGE($G$91:$G$122,1),$G$91:$G$122,0))</f>
        <v>2233.6538257067132</v>
      </c>
      <c r="I16" s="20">
        <f>INDEX($I$91:$I$122,MATCH(LARGE($G$91:$G$122,1),$G$91:$G$122,0))</f>
        <v>3.7997453746602051E-2</v>
      </c>
      <c r="P16" s="13" t="str">
        <f>INDEX($B$91:$B$122,MATCH(SMALL($I$91:$I$122,2),$I$91:$I$122,0))</f>
        <v>Guerrero</v>
      </c>
      <c r="Q16" s="20">
        <f>MAX(SMALL($I$91:$I$122,2),0)</f>
        <v>0</v>
      </c>
      <c r="R16" s="20">
        <f>MIN(SMALL($I$91:$I$122,2),0)</f>
        <v>-3.1471205779874639E-2</v>
      </c>
    </row>
    <row r="17" spans="1:18" x14ac:dyDescent="0.2">
      <c r="A17" s="21">
        <v>2</v>
      </c>
      <c r="B17" s="22" t="str">
        <f>INDEX($B$91:$B$122,MATCH(SMALL($G$91:$G$122,2),$G$91:$G$122,0))</f>
        <v>Guerrero</v>
      </c>
      <c r="C17" s="23">
        <f>INDEX($G$91:$G$122,MATCH(SMALL($G$91:$G$122,2),$G$91:$G$122,0))</f>
        <v>-993.99517972521801</v>
      </c>
      <c r="D17" s="20">
        <f>INDEX($I$91:$I$122,MATCH(SMALL($G$91:$G$122,2),$G$91:$G$122,0))</f>
        <v>-3.1471205779874639E-2</v>
      </c>
      <c r="F17" s="21">
        <v>2</v>
      </c>
      <c r="G17" s="22" t="str">
        <f>INDEX($B$91:$B$122,MATCH(LARGE($G$91:$G$122,2),$G$91:$G$122,0))</f>
        <v>Baja California</v>
      </c>
      <c r="H17" s="23">
        <f>INDEX($G$91:$G$122,MATCH(LARGE($G$91:$G$122,2),$G$91:$G$122,0))</f>
        <v>1384.5839994242058</v>
      </c>
      <c r="I17" s="20">
        <f>INDEX($I$91:$I$122,MATCH(LARGE($G$91:$G$122,2),$G$91:$G$122,0))</f>
        <v>3.6944667615222186E-2</v>
      </c>
      <c r="P17" s="13" t="str">
        <f>INDEX($B$91:$B$122,MATCH(SMALL($I$91:$I$122,3),$I$91:$I$122,0))</f>
        <v>Chihuahua</v>
      </c>
      <c r="Q17" s="20">
        <f>MAX(SMALL($I$91:$I$122,3),0)</f>
        <v>0</v>
      </c>
      <c r="R17" s="20">
        <f>MIN(SMALL($I$91:$I$122,3),0)</f>
        <v>-1.9560918625615483E-2</v>
      </c>
    </row>
    <row r="18" spans="1:18" x14ac:dyDescent="0.2">
      <c r="A18" s="21">
        <v>3</v>
      </c>
      <c r="B18" s="22" t="str">
        <f>INDEX($B$91:$B$122,MATCH(SMALL($G$91:$G$122,3),$G$91:$G$122,0))</f>
        <v>Veracruz</v>
      </c>
      <c r="C18" s="23">
        <f>INDEX($G$91:$G$122,MATCH(SMALL($G$91:$G$122,3),$G$91:$G$122,0))</f>
        <v>-897.07124504745207</v>
      </c>
      <c r="D18" s="20">
        <f>INDEX($I$91:$I$122,MATCH(SMALL($G$91:$G$122,3),$G$91:$G$122,0))</f>
        <v>-1.2132901809711105E-2</v>
      </c>
      <c r="F18" s="21">
        <v>3</v>
      </c>
      <c r="G18" s="22" t="str">
        <f>INDEX($B$91:$B$122,MATCH(LARGE($G$91:$G$122,3),$G$91:$G$122,0))</f>
        <v>Quintana Roo</v>
      </c>
      <c r="H18" s="23">
        <f>INDEX($G$91:$G$122,MATCH(LARGE($G$91:$G$122,3),$G$91:$G$122,0))</f>
        <v>945.95359655206664</v>
      </c>
      <c r="I18" s="20">
        <f>INDEX($I$91:$I$122,MATCH(LARGE($G$91:$G$122,3),$G$91:$G$122,0))</f>
        <v>5.1457275662642007E-2</v>
      </c>
      <c r="P18" s="13" t="str">
        <f>INDEX($B$91:$B$122,MATCH(SMALL($I$91:$I$122,4),$I$91:$I$122,0))</f>
        <v>San Luis Potosí</v>
      </c>
      <c r="Q18" s="20">
        <f>MAX(SMALL($I$91:$I$122,4),0)</f>
        <v>0</v>
      </c>
      <c r="R18" s="20">
        <f>MIN(SMALL($I$91:$I$122,4),0)</f>
        <v>-1.4477142597591572E-2</v>
      </c>
    </row>
    <row r="19" spans="1:18" x14ac:dyDescent="0.2">
      <c r="A19" s="21">
        <v>4</v>
      </c>
      <c r="B19" s="22" t="str">
        <f>INDEX($B$91:$B$122,MATCH(SMALL($G$91:$G$122,4),$G$91:$G$122,0))</f>
        <v>Ciudad de México</v>
      </c>
      <c r="C19" s="23">
        <f>INDEX($G$91:$G$122,MATCH(SMALL($G$91:$G$122,4),$G$91:$G$122,0))</f>
        <v>-884.41692063903838</v>
      </c>
      <c r="D19" s="20">
        <f>INDEX($I$91:$I$122,MATCH(SMALL($G$91:$G$122,4),$G$91:$G$122,0))</f>
        <v>-7.1077827229871814E-3</v>
      </c>
      <c r="F19" s="21">
        <v>4</v>
      </c>
      <c r="G19" s="22" t="str">
        <f>INDEX($B$91:$B$122,MATCH(LARGE($G$91:$G$122,4),$G$91:$G$122,0))</f>
        <v>Nuevo León</v>
      </c>
      <c r="H19" s="23">
        <f>INDEX($G$91:$G$122,MATCH(LARGE($G$91:$G$122,4),$G$91:$G$122,0))</f>
        <v>546.83358477718878</v>
      </c>
      <c r="I19" s="20">
        <f>INDEX($I$91:$I$122,MATCH(LARGE($G$91:$G$122,4),$G$91:$G$122,0))</f>
        <v>8.6695966619927695E-3</v>
      </c>
      <c r="P19" s="13" t="str">
        <f>INDEX($B$91:$B$122,MATCH(SMALL($I$91:$I$122,5),$I$91:$I$122,0))</f>
        <v>Hidalgo</v>
      </c>
      <c r="Q19" s="20">
        <f>MAX(SMALL($I$91:$I$122,5),0)</f>
        <v>0</v>
      </c>
      <c r="R19" s="20">
        <f>MIN(SMALL($I$91:$I$122,5),0)</f>
        <v>-1.4267507147044736E-2</v>
      </c>
    </row>
    <row r="20" spans="1:18" x14ac:dyDescent="0.2">
      <c r="A20" s="21">
        <v>5</v>
      </c>
      <c r="B20" s="22" t="str">
        <f>INDEX($B$91:$B$122,MATCH(SMALL($G$91:$G$122,5),$G$91:$G$122,0))</f>
        <v>México</v>
      </c>
      <c r="C20" s="23">
        <f>INDEX($G$91:$G$122,MATCH(SMALL($G$91:$G$122,5),$G$91:$G$122,0))</f>
        <v>-837.82080655179129</v>
      </c>
      <c r="D20" s="20">
        <f>INDEX($I$91:$I$122,MATCH(SMALL($G$91:$G$122,5),$G$91:$G$122,0))</f>
        <v>-4.5967369786265588E-3</v>
      </c>
      <c r="F20" s="21">
        <v>5</v>
      </c>
      <c r="G20" s="22" t="str">
        <f>INDEX($B$91:$B$122,MATCH(LARGE($G$91:$G$122,5),$G$91:$G$122,0))</f>
        <v>Querétaro</v>
      </c>
      <c r="H20" s="23">
        <f>INDEX($G$91:$G$122,MATCH(LARGE($G$91:$G$122,5),$G$91:$G$122,0))</f>
        <v>533.17003109366499</v>
      </c>
      <c r="I20" s="20">
        <f>INDEX($I$91:$I$122,MATCH(LARGE($G$91:$G$122,5),$G$91:$G$122,0))</f>
        <v>2.2723623642270704E-2</v>
      </c>
      <c r="P20" s="13" t="str">
        <f>INDEX($B$91:$B$122,MATCH(SMALL($I$91:$I$122,6),$I$91:$I$122,0))</f>
        <v>Veracruz</v>
      </c>
      <c r="Q20" s="20">
        <f>MAX(SMALL($I$91:$I$122,6),0)</f>
        <v>0</v>
      </c>
      <c r="R20" s="20">
        <f>MIN(SMALL($I$91:$I$122,6),0)</f>
        <v>-1.2132901809711105E-2</v>
      </c>
    </row>
    <row r="21" spans="1:18" x14ac:dyDescent="0.2">
      <c r="P21" s="13" t="str">
        <f>INDEX($B$91:$B$122,MATCH(SMALL($I$91:$I$122,7),$I$91:$I$122,0))</f>
        <v>Tabasco</v>
      </c>
      <c r="Q21" s="20">
        <f>MAX(SMALL($I$91:$I$122,7),0)</f>
        <v>0</v>
      </c>
      <c r="R21" s="20">
        <f>MIN(SMALL($I$91:$I$122,7),0)</f>
        <v>-9.3755006932558001E-3</v>
      </c>
    </row>
    <row r="22" spans="1:18" x14ac:dyDescent="0.2">
      <c r="A22" s="6" t="s">
        <v>23</v>
      </c>
      <c r="B22" s="6"/>
      <c r="C22" s="6"/>
      <c r="D22" s="6"/>
      <c r="F22" s="6" t="s">
        <v>24</v>
      </c>
      <c r="G22" s="6"/>
      <c r="H22" s="6"/>
      <c r="I22" s="6"/>
      <c r="P22" s="13" t="str">
        <f>INDEX($B$91:$B$122,MATCH(SMALL($I$91:$I$122,8),$I$91:$I$122,0))</f>
        <v>Durango</v>
      </c>
      <c r="Q22" s="20">
        <f>MAX(SMALL($I$91:$I$122,8),0)</f>
        <v>0</v>
      </c>
      <c r="R22" s="20">
        <f>MIN(SMALL($I$91:$I$122,8),0)</f>
        <v>-8.354887453888845E-3</v>
      </c>
    </row>
    <row r="23" spans="1:18" x14ac:dyDescent="0.2">
      <c r="A23" s="18" t="s">
        <v>19</v>
      </c>
      <c r="B23" s="19" t="s">
        <v>20</v>
      </c>
      <c r="C23" s="18" t="s">
        <v>21</v>
      </c>
      <c r="D23" s="18" t="s">
        <v>22</v>
      </c>
      <c r="F23" s="18" t="s">
        <v>19</v>
      </c>
      <c r="G23" s="19" t="s">
        <v>20</v>
      </c>
      <c r="H23" s="18" t="s">
        <v>21</v>
      </c>
      <c r="I23" s="18" t="s">
        <v>22</v>
      </c>
      <c r="P23" s="13" t="str">
        <f>INDEX($B$91:$B$122,MATCH(SMALL($I$91:$I$122,9),$I$91:$I$122,0))</f>
        <v>Michoacán</v>
      </c>
      <c r="Q23" s="20">
        <f>MAX(SMALL($I$91:$I$122,9),0)</f>
        <v>0</v>
      </c>
      <c r="R23" s="20">
        <f>MIN(SMALL($I$91:$I$122,9),0)</f>
        <v>-7.4302306285510024E-3</v>
      </c>
    </row>
    <row r="24" spans="1:18" x14ac:dyDescent="0.2">
      <c r="A24" s="21">
        <v>1</v>
      </c>
      <c r="B24" s="22" t="str">
        <f>INDEX($B$91:$B$122,MATCH(SMALL($I$91:$I$122,1),$I$91:$I$122,0))</f>
        <v>Coahuila</v>
      </c>
      <c r="C24" s="23">
        <f>INDEX($G$91:$G$122,MATCH(SMALL($I$91:$I$122,1),$I$91:$I$122,0))</f>
        <v>-1170.6414397747271</v>
      </c>
      <c r="D24" s="20">
        <f>INDEX($I$91:$I$122,MATCH(SMALL($I$91:$I$122,1),$I$91:$I$122,0))</f>
        <v>-3.6144789472312588E-2</v>
      </c>
      <c r="F24" s="21">
        <v>1</v>
      </c>
      <c r="G24" s="22" t="str">
        <f>INDEX($B$91:$B$122,MATCH(LARGE($I$91:$I$122,1),$I$91:$I$122,0))</f>
        <v>Quintana Roo</v>
      </c>
      <c r="H24" s="23">
        <f>INDEX($G$91:$G$122,MATCH(LARGE($I$91:$I$122,1),$I$91:$I$122,0))</f>
        <v>945.95359655206664</v>
      </c>
      <c r="I24" s="20">
        <f>INDEX($I$91:$I$122,MATCH(LARGE($I$91:$I$122,1),$I$91:$I$122,0))</f>
        <v>5.1457275662642007E-2</v>
      </c>
      <c r="P24" s="13" t="str">
        <f>INDEX($B$91:$B$122,MATCH(SMALL($I$91:$I$122,10),$I$91:$I$122,0))</f>
        <v>Ciudad de México</v>
      </c>
      <c r="Q24" s="20">
        <f>MAX(SMALL($I$91:$I$122,10),0)</f>
        <v>0</v>
      </c>
      <c r="R24" s="20">
        <f>MIN(SMALL($I$91:$I$122,10),0)</f>
        <v>-7.1077827229871814E-3</v>
      </c>
    </row>
    <row r="25" spans="1:18" x14ac:dyDescent="0.2">
      <c r="A25" s="21">
        <v>2</v>
      </c>
      <c r="B25" s="22" t="str">
        <f>INDEX($B$91:$B$122,MATCH(SMALL($I$91:$I$122,2),$I$91:$I$122,0))</f>
        <v>Guerrero</v>
      </c>
      <c r="C25" s="23">
        <f>INDEX($G$91:$G$122,MATCH(SMALL($I$91:$I$122,2),$I$91:$I$122,0))</f>
        <v>-993.99517972521801</v>
      </c>
      <c r="D25" s="20">
        <f>INDEX($I$91:$I$122,MATCH(SMALL($I$91:$I$122,2),$I$91:$I$122,0))</f>
        <v>-3.1471205779874639E-2</v>
      </c>
      <c r="F25" s="21">
        <v>2</v>
      </c>
      <c r="G25" s="22" t="str">
        <f>INDEX($B$91:$B$122,MATCH(LARGE($I$91:$I$122,2),$I$91:$I$122,0))</f>
        <v>Puebla</v>
      </c>
      <c r="H25" s="23">
        <f>INDEX($G$91:$G$122,MATCH(LARGE($I$91:$I$122,2),$I$91:$I$122,0))</f>
        <v>2233.6538257067132</v>
      </c>
      <c r="I25" s="20">
        <f>INDEX($I$91:$I$122,MATCH(LARGE($I$91:$I$122,2),$I$91:$I$122,0))</f>
        <v>3.7997453746602051E-2</v>
      </c>
      <c r="P25" s="13" t="str">
        <f>INDEX($B$91:$B$122,MATCH(SMALL($I$91:$I$122,11),$I$91:$I$122,0))</f>
        <v>México</v>
      </c>
      <c r="Q25" s="20">
        <f>MAX(SMALL($I$91:$I$122,11),0)</f>
        <v>0</v>
      </c>
      <c r="R25" s="20">
        <f>MIN(SMALL($I$91:$I$122,11),0)</f>
        <v>-4.5967369786265588E-3</v>
      </c>
    </row>
    <row r="26" spans="1:18" x14ac:dyDescent="0.2">
      <c r="A26" s="21">
        <v>3</v>
      </c>
      <c r="B26" s="22" t="str">
        <f>INDEX($B$91:$B$122,MATCH(SMALL($I$91:$I$122,3),$I$91:$I$122,0))</f>
        <v>Chihuahua</v>
      </c>
      <c r="C26" s="23">
        <f>INDEX($G$91:$G$122,MATCH(SMALL($I$91:$I$122,3),$I$91:$I$122,0))</f>
        <v>-748.0458575084873</v>
      </c>
      <c r="D26" s="20">
        <f>INDEX($I$91:$I$122,MATCH(SMALL($I$91:$I$122,3),$I$91:$I$122,0))</f>
        <v>-1.9560918625615483E-2</v>
      </c>
      <c r="F26" s="21">
        <v>3</v>
      </c>
      <c r="G26" s="22" t="str">
        <f>INDEX($B$91:$B$122,MATCH(LARGE($I$91:$I$122,3),$I$91:$I$122,0))</f>
        <v>Baja California</v>
      </c>
      <c r="H26" s="23">
        <f>INDEX($G$91:$G$122,MATCH(LARGE($I$91:$I$122,3),$I$91:$I$122,0))</f>
        <v>1384.5839994242058</v>
      </c>
      <c r="I26" s="20">
        <f>INDEX($I$91:$I$122,MATCH(LARGE($I$91:$I$122,3),$I$91:$I$122,0))</f>
        <v>3.6944667615222186E-2</v>
      </c>
      <c r="P26" s="13" t="str">
        <f>INDEX($B$91:$B$122,MATCH(SMALL($I$91:$I$122,12),$I$91:$I$122,0))</f>
        <v>Jalisco</v>
      </c>
      <c r="Q26" s="20">
        <f>MAX(SMALL($I$91:$I$122,12),0)</f>
        <v>0</v>
      </c>
      <c r="R26" s="20">
        <f>MIN(SMALL($I$91:$I$122,12),0)</f>
        <v>-4.570559772536174E-3</v>
      </c>
    </row>
    <row r="27" spans="1:18" x14ac:dyDescent="0.2">
      <c r="A27" s="21">
        <v>4</v>
      </c>
      <c r="B27" s="22" t="str">
        <f>INDEX($B$91:$B$122,MATCH(SMALL($I$91:$I$122,4),$I$91:$I$122,0))</f>
        <v>San Luis Potosí</v>
      </c>
      <c r="C27" s="23">
        <f>INDEX($G$91:$G$122,MATCH(SMALL($I$91:$I$122,4),$I$91:$I$122,0))</f>
        <v>-381.15666271090083</v>
      </c>
      <c r="D27" s="20">
        <f>INDEX($I$91:$I$122,MATCH(SMALL($I$91:$I$122,4),$I$91:$I$122,0))</f>
        <v>-1.4477142597591572E-2</v>
      </c>
      <c r="F27" s="21">
        <v>4</v>
      </c>
      <c r="G27" s="22" t="str">
        <f>INDEX($B$91:$B$122,MATCH(LARGE($I$91:$I$122,4),$I$91:$I$122,0))</f>
        <v>Baja California Sur</v>
      </c>
      <c r="H27" s="23">
        <f>INDEX($G$91:$G$122,MATCH(LARGE($I$91:$I$122,4),$I$91:$I$122,0))</f>
        <v>233.8571821057277</v>
      </c>
      <c r="I27" s="20">
        <f>INDEX($I$91:$I$122,MATCH(LARGE($I$91:$I$122,4),$I$91:$I$122,0))</f>
        <v>2.7503349376176361E-2</v>
      </c>
      <c r="P27" s="13" t="str">
        <f>INDEX($B$91:$B$122,MATCH(SMALL($I$91:$I$122,13),$I$91:$I$122,0))</f>
        <v>Tlaxcala</v>
      </c>
      <c r="Q27" s="20">
        <f>MAX(SMALL($I$91:$I$122,13),0)</f>
        <v>0</v>
      </c>
      <c r="R27" s="20">
        <f>MIN(SMALL($I$91:$I$122,13),0)</f>
        <v>-3.6984564278264632E-3</v>
      </c>
    </row>
    <row r="28" spans="1:18" x14ac:dyDescent="0.2">
      <c r="A28" s="21">
        <v>5</v>
      </c>
      <c r="B28" s="22" t="str">
        <f>INDEX($B$91:$B$122,MATCH(SMALL($I$91:$I$122,5),$I$91:$I$122,0))</f>
        <v>Hidalgo</v>
      </c>
      <c r="C28" s="23">
        <f>INDEX($G$91:$G$122,MATCH(SMALL($I$91:$I$122,5),$I$91:$I$122,0))</f>
        <v>-412.38266500377694</v>
      </c>
      <c r="D28" s="20">
        <f>INDEX($I$91:$I$122,MATCH(SMALL($I$91:$I$122,5),$I$91:$I$122,0))</f>
        <v>-1.4267507147044736E-2</v>
      </c>
      <c r="F28" s="21">
        <v>5</v>
      </c>
      <c r="G28" s="22" t="str">
        <f>INDEX($B$91:$B$122,MATCH(LARGE($I$91:$I$122,5),$I$91:$I$122,0))</f>
        <v>Campeche</v>
      </c>
      <c r="H28" s="23">
        <f>INDEX($G$91:$G$122,MATCH(LARGE($I$91:$I$122,5),$I$91:$I$122,0))</f>
        <v>196.98140889846732</v>
      </c>
      <c r="I28" s="20">
        <f>INDEX($I$91:$I$122,MATCH(LARGE($I$91:$I$122,5),$I$91:$I$122,0))</f>
        <v>2.3160480240355656E-2</v>
      </c>
      <c r="P28" s="13" t="str">
        <f>INDEX($B$91:$B$122,MATCH(SMALL($I$91:$I$122,14),$I$91:$I$122,0))</f>
        <v>Chiapas</v>
      </c>
      <c r="Q28" s="20">
        <f>MAX(SMALL($I$91:$I$122,14),0)</f>
        <v>0</v>
      </c>
      <c r="R28" s="20">
        <f>MIN(SMALL($I$91:$I$122,14),0)</f>
        <v>-2.4307091212758102E-3</v>
      </c>
    </row>
    <row r="29" spans="1:18" x14ac:dyDescent="0.2">
      <c r="P29" s="13" t="str">
        <f>INDEX($B$91:$B$122,MATCH(SMALL($I$91:$I$122,15),$I$91:$I$122,0))</f>
        <v>Oaxaca</v>
      </c>
      <c r="Q29" s="20">
        <f>MAX(SMALL($I$91:$I$122,15),0)</f>
        <v>0</v>
      </c>
      <c r="R29" s="20">
        <f>MIN(SMALL($I$91:$I$122,15),0)</f>
        <v>-5.8329685598673762E-4</v>
      </c>
    </row>
    <row r="30" spans="1:18" ht="16" x14ac:dyDescent="0.2">
      <c r="A30" s="15" t="s">
        <v>25</v>
      </c>
      <c r="P30" s="13" t="str">
        <f>INDEX($B$91:$B$122,MATCH(SMALL($I$91:$I$122,16),$I$91:$I$122,0))</f>
        <v>Zacatecas</v>
      </c>
      <c r="Q30" s="20">
        <f>MAX(SMALL($I$91:$I$122,16),0)</f>
        <v>7.8429921488214248E-4</v>
      </c>
      <c r="R30" s="20">
        <f>MIN(SMALL($I$91:$I$122,16),0)</f>
        <v>0</v>
      </c>
    </row>
    <row r="31" spans="1:18" x14ac:dyDescent="0.2">
      <c r="P31" s="13" t="str">
        <f>INDEX($B$91:$B$122,MATCH(SMALL($I$91:$I$122,17),$I$91:$I$122,0))</f>
        <v>Colima</v>
      </c>
      <c r="Q31" s="20">
        <f>MAX(SMALL($I$91:$I$122,17),0)</f>
        <v>1.1091833326656864E-3</v>
      </c>
      <c r="R31" s="20">
        <f>MIN(SMALL($I$91:$I$122,17),0)</f>
        <v>0</v>
      </c>
    </row>
    <row r="32" spans="1:18" x14ac:dyDescent="0.2">
      <c r="P32" s="13" t="str">
        <f>INDEX($B$91:$B$122,MATCH(SMALL($I$91:$I$122,18),$I$91:$I$122,0))</f>
        <v>Sonora</v>
      </c>
      <c r="Q32" s="20">
        <f>MAX(SMALL($I$91:$I$122,18),0)</f>
        <v>4.3837336517223669E-3</v>
      </c>
      <c r="R32" s="20">
        <f>MIN(SMALL($I$91:$I$122,18),0)</f>
        <v>0</v>
      </c>
    </row>
    <row r="33" spans="16:18" x14ac:dyDescent="0.2">
      <c r="P33" s="13" t="str">
        <f>INDEX($B$91:$B$122,MATCH(SMALL($I$91:$I$122,19),$I$91:$I$122,0))</f>
        <v>Morelos</v>
      </c>
      <c r="Q33" s="20">
        <f>MAX(SMALL($I$91:$I$122,19),0)</f>
        <v>4.5577784363194894E-3</v>
      </c>
      <c r="R33" s="20">
        <f>MIN(SMALL($I$91:$I$122,19),0)</f>
        <v>0</v>
      </c>
    </row>
    <row r="34" spans="16:18" x14ac:dyDescent="0.2">
      <c r="P34" s="13" t="str">
        <f>INDEX($B$91:$B$122,MATCH(SMALL($I$91:$I$122,20),$I$91:$I$122,0))</f>
        <v>Aguascalientes</v>
      </c>
      <c r="Q34" s="20">
        <f>MAX(SMALL($I$91:$I$122,20),0)</f>
        <v>4.9298768387205979E-3</v>
      </c>
      <c r="R34" s="20">
        <f>MIN(SMALL($I$91:$I$122,20),0)</f>
        <v>0</v>
      </c>
    </row>
    <row r="35" spans="16:18" x14ac:dyDescent="0.2">
      <c r="P35" s="13" t="str">
        <f>INDEX($B$91:$B$122,MATCH(SMALL($I$91:$I$122,21),$I$91:$I$122,0))</f>
        <v>Tamaulipas</v>
      </c>
      <c r="Q35" s="20">
        <f>MAX(SMALL($I$91:$I$122,21),0)</f>
        <v>5.1274122174237912E-3</v>
      </c>
      <c r="R35" s="20">
        <f>MIN(SMALL($I$91:$I$122,21),0)</f>
        <v>0</v>
      </c>
    </row>
    <row r="36" spans="16:18" x14ac:dyDescent="0.2">
      <c r="P36" s="13" t="str">
        <f>INDEX($B$91:$B$122,MATCH(SMALL($I$91:$I$122,22),$I$91:$I$122,0))</f>
        <v>Sinaloa</v>
      </c>
      <c r="Q36" s="20">
        <f>MAX(SMALL($I$91:$I$122,22),0)</f>
        <v>5.2217819813330296E-3</v>
      </c>
      <c r="R36" s="20">
        <f>MIN(SMALL($I$91:$I$122,22),0)</f>
        <v>0</v>
      </c>
    </row>
    <row r="37" spans="16:18" x14ac:dyDescent="0.2">
      <c r="P37" s="13" t="str">
        <f>INDEX($B$91:$B$122,MATCH(SMALL($I$91:$I$122,23),$I$91:$I$122,0))</f>
        <v>Guanajuato</v>
      </c>
      <c r="Q37" s="20">
        <f>MAX(SMALL($I$91:$I$122,23),0)</f>
        <v>6.9280255700475612E-3</v>
      </c>
      <c r="R37" s="20">
        <f>MIN(SMALL($I$91:$I$122,23),0)</f>
        <v>0</v>
      </c>
    </row>
    <row r="38" spans="16:18" x14ac:dyDescent="0.2">
      <c r="P38" s="13" t="str">
        <f>INDEX($B$91:$B$122,MATCH(SMALL($I$91:$I$122,24),$I$91:$I$122,0))</f>
        <v>Nuevo León</v>
      </c>
      <c r="Q38" s="20">
        <f>MAX(SMALL($I$91:$I$122,24),0)</f>
        <v>8.6695966619927695E-3</v>
      </c>
      <c r="R38" s="20">
        <f>MIN(SMALL($I$91:$I$122,24),0)</f>
        <v>0</v>
      </c>
    </row>
    <row r="39" spans="16:18" x14ac:dyDescent="0.2">
      <c r="P39" s="13" t="str">
        <f>INDEX($B$91:$B$122,MATCH(SMALL($I$91:$I$122,25),$I$91:$I$122,0))</f>
        <v>Nayarit</v>
      </c>
      <c r="Q39" s="20">
        <f>MAX(SMALL($I$91:$I$122,25),0)</f>
        <v>1.4908909425100137E-2</v>
      </c>
      <c r="R39" s="20">
        <f>MIN(SMALL($I$91:$I$122,25),0)</f>
        <v>0</v>
      </c>
    </row>
    <row r="40" spans="16:18" x14ac:dyDescent="0.2">
      <c r="P40" s="13" t="str">
        <f>INDEX($B$91:$B$122,MATCH(SMALL($I$91:$I$122,26),$I$91:$I$122,0))</f>
        <v>Yucatán</v>
      </c>
      <c r="Q40" s="20">
        <f>MAX(SMALL($I$91:$I$122,26),0)</f>
        <v>1.6424824674007164E-2</v>
      </c>
      <c r="R40" s="20">
        <f>MIN(SMALL($I$91:$I$122,26),0)</f>
        <v>0</v>
      </c>
    </row>
    <row r="41" spans="16:18" x14ac:dyDescent="0.2">
      <c r="P41" s="13" t="str">
        <f>INDEX($B$91:$B$122,MATCH(SMALL($I$91:$I$122,27),$I$91:$I$122,0))</f>
        <v>Querétaro</v>
      </c>
      <c r="Q41" s="20">
        <f>MAX(SMALL($I$91:$I$122,27),0)</f>
        <v>2.2723623642270704E-2</v>
      </c>
      <c r="R41" s="20">
        <f>MIN(SMALL($I$91:$I$122,27),0)</f>
        <v>0</v>
      </c>
    </row>
    <row r="42" spans="16:18" x14ac:dyDescent="0.2">
      <c r="P42" s="13" t="str">
        <f>INDEX($B$91:$B$122,MATCH(SMALL($I$91:$I$122,28),$I$91:$I$122,0))</f>
        <v>Campeche</v>
      </c>
      <c r="Q42" s="20">
        <f>MAX(SMALL($I$91:$I$122,28),0)</f>
        <v>2.3160480240355656E-2</v>
      </c>
      <c r="R42" s="20">
        <f>MIN(SMALL($I$91:$I$122,28),0)</f>
        <v>0</v>
      </c>
    </row>
    <row r="43" spans="16:18" x14ac:dyDescent="0.2">
      <c r="P43" s="13" t="str">
        <f>INDEX($B$91:$B$122,MATCH(SMALL($I$91:$I$122,29),$I$91:$I$122,0))</f>
        <v>Baja California Sur</v>
      </c>
      <c r="Q43" s="20">
        <f>MAX(SMALL($I$91:$I$122,29),0)</f>
        <v>2.7503349376176361E-2</v>
      </c>
      <c r="R43" s="20">
        <f>MIN(SMALL($I$91:$I$122,29),0)</f>
        <v>0</v>
      </c>
    </row>
    <row r="44" spans="16:18" x14ac:dyDescent="0.2">
      <c r="P44" s="13" t="str">
        <f>INDEX($B$91:$B$122,MATCH(SMALL($I$91:$I$122,30),$I$91:$I$122,0))</f>
        <v>Baja California</v>
      </c>
      <c r="Q44" s="20">
        <f>MAX(SMALL($I$91:$I$122,30),0)</f>
        <v>3.6944667615222186E-2</v>
      </c>
      <c r="R44" s="20">
        <f>MIN(SMALL($I$91:$I$122,30),0)</f>
        <v>0</v>
      </c>
    </row>
    <row r="45" spans="16:18" x14ac:dyDescent="0.2">
      <c r="P45" s="13" t="str">
        <f>INDEX($B$91:$B$122,MATCH(SMALL($I$91:$I$122,31),$I$91:$I$122,0))</f>
        <v>Puebla</v>
      </c>
      <c r="Q45" s="20">
        <f>MAX(SMALL($I$91:$I$122,31),0)</f>
        <v>3.7997453746602051E-2</v>
      </c>
      <c r="R45" s="20">
        <f>MIN(SMALL($I$91:$I$122,31),0)</f>
        <v>0</v>
      </c>
    </row>
    <row r="46" spans="16:18" x14ac:dyDescent="0.2">
      <c r="P46" s="13" t="str">
        <f>INDEX($B$91:$B$122,MATCH(SMALL($I$91:$I$122,32),$I$91:$I$122,0))</f>
        <v>Quintana Roo</v>
      </c>
      <c r="Q46" s="20">
        <f>MAX(SMALL($I$91:$I$122,32),0)</f>
        <v>5.1457275662642007E-2</v>
      </c>
      <c r="R46" s="20">
        <f>MIN(SMALL($I$91:$I$122,32),0)</f>
        <v>0</v>
      </c>
    </row>
    <row r="63" spans="1:8" ht="16" x14ac:dyDescent="0.2">
      <c r="A63" s="15" t="s">
        <v>26</v>
      </c>
    </row>
    <row r="64" spans="1:8" ht="45" customHeight="1" x14ac:dyDescent="0.2">
      <c r="B64" s="5" t="s">
        <v>27</v>
      </c>
      <c r="C64" s="5"/>
      <c r="D64" s="5"/>
      <c r="E64" s="5"/>
      <c r="F64" s="24" t="s">
        <v>28</v>
      </c>
      <c r="G64" s="24" t="s">
        <v>29</v>
      </c>
      <c r="H64" s="24" t="s">
        <v>30</v>
      </c>
    </row>
    <row r="65" spans="1:9" ht="15" customHeight="1" x14ac:dyDescent="0.2">
      <c r="B65" s="11" t="s">
        <v>31</v>
      </c>
      <c r="C65" s="11"/>
      <c r="D65" s="11"/>
      <c r="E65" s="11"/>
      <c r="F65" s="25">
        <v>1</v>
      </c>
      <c r="G65" s="25">
        <v>1</v>
      </c>
      <c r="H65" s="25">
        <v>1</v>
      </c>
    </row>
    <row r="66" spans="1:9" x14ac:dyDescent="0.2">
      <c r="B66" s="11"/>
      <c r="C66" s="11"/>
      <c r="D66" s="11"/>
      <c r="E66" s="11"/>
      <c r="F66" s="26">
        <f>F65*$B$10</f>
        <v>7671.5525544423308</v>
      </c>
      <c r="G66" s="26">
        <f>G65*$B$10</f>
        <v>7671.5525544423308</v>
      </c>
      <c r="H66" s="26">
        <f>H65*$B$10</f>
        <v>7671.5525544423308</v>
      </c>
    </row>
    <row r="67" spans="1:9" ht="15" customHeight="1" x14ac:dyDescent="0.2">
      <c r="B67" s="11" t="s">
        <v>32</v>
      </c>
      <c r="C67" s="11"/>
      <c r="D67" s="11"/>
      <c r="E67" s="11"/>
      <c r="F67" s="25">
        <v>1</v>
      </c>
      <c r="G67" s="25">
        <v>1</v>
      </c>
      <c r="H67" s="25">
        <v>1</v>
      </c>
    </row>
    <row r="68" spans="1:9" x14ac:dyDescent="0.2">
      <c r="B68" s="11"/>
      <c r="C68" s="11"/>
      <c r="D68" s="11"/>
      <c r="E68" s="11"/>
      <c r="F68" s="26">
        <f>F67*$B$10</f>
        <v>7671.5525544423308</v>
      </c>
      <c r="G68" s="26">
        <f>G67*$B$10</f>
        <v>7671.5525544423308</v>
      </c>
      <c r="H68" s="26">
        <f>H67*$B$10</f>
        <v>7671.5525544423308</v>
      </c>
    </row>
    <row r="69" spans="1:9" ht="15" customHeight="1" x14ac:dyDescent="0.2">
      <c r="B69" s="11" t="s">
        <v>33</v>
      </c>
      <c r="C69" s="11"/>
      <c r="D69" s="11"/>
      <c r="E69" s="11"/>
      <c r="F69" s="25">
        <v>0.16666666666666699</v>
      </c>
      <c r="G69" s="25">
        <v>0.33333333333333298</v>
      </c>
      <c r="H69" s="25">
        <v>1</v>
      </c>
    </row>
    <row r="70" spans="1:9" x14ac:dyDescent="0.2">
      <c r="B70" s="11"/>
      <c r="C70" s="11"/>
      <c r="D70" s="11"/>
      <c r="E70" s="11"/>
      <c r="F70" s="26">
        <f>F69*$B$10</f>
        <v>1278.5920924070576</v>
      </c>
      <c r="G70" s="26">
        <f>G69*$B$10</f>
        <v>2557.1841848141075</v>
      </c>
      <c r="H70" s="26">
        <f>H69*$B$10</f>
        <v>7671.5525544423308</v>
      </c>
    </row>
    <row r="71" spans="1:9" ht="15" customHeight="1" x14ac:dyDescent="0.2">
      <c r="B71" s="11" t="s">
        <v>34</v>
      </c>
      <c r="C71" s="11"/>
      <c r="D71" s="11"/>
      <c r="E71" s="11"/>
      <c r="F71" s="25">
        <v>0</v>
      </c>
      <c r="G71" s="25">
        <v>0</v>
      </c>
      <c r="H71" s="25">
        <v>0</v>
      </c>
    </row>
    <row r="72" spans="1:9" x14ac:dyDescent="0.2">
      <c r="B72" s="11"/>
      <c r="C72" s="11"/>
      <c r="D72" s="11"/>
      <c r="E72" s="11"/>
      <c r="F72" s="26">
        <f>F71*$B$10</f>
        <v>0</v>
      </c>
      <c r="G72" s="26">
        <f>G71*$B$10</f>
        <v>0</v>
      </c>
      <c r="H72" s="26">
        <f>H71*$B$10</f>
        <v>0</v>
      </c>
    </row>
    <row r="73" spans="1:9" ht="43.5" customHeight="1" x14ac:dyDescent="0.2">
      <c r="B73" s="4" t="s">
        <v>35</v>
      </c>
      <c r="C73" s="4"/>
      <c r="D73" s="4"/>
      <c r="E73" s="4"/>
      <c r="F73" s="4"/>
      <c r="G73" s="4"/>
      <c r="H73" s="4"/>
      <c r="I73" s="4"/>
    </row>
    <row r="75" spans="1:9" ht="43.5" customHeight="1" x14ac:dyDescent="0.2">
      <c r="B75" s="11" t="s">
        <v>36</v>
      </c>
      <c r="C75" s="11"/>
      <c r="D75" s="11"/>
      <c r="E75" s="11"/>
      <c r="F75" s="11"/>
      <c r="G75" s="11"/>
      <c r="H75" s="11"/>
      <c r="I75" s="11"/>
    </row>
    <row r="77" spans="1:9" ht="31.5" customHeight="1" x14ac:dyDescent="0.2">
      <c r="B77" s="11" t="str">
        <f>"Ya pasó en 2026: el 1er ajuste cuatrimestral (DOF 27-jul-2026) recalculó ene-abr con la ENOE 1T-2026 y solo por población movió "&amp;TEXT('Evidencia ajuste 2026'!C39,"#,##0")&amp;" mdp entre estados (pestaña Evidencia ajuste 2026)."</f>
        <v>Ya pasó en 2026: el 1er ajuste cuatrimestral (DOF 27-jul-2026) recalculó ene-abr con la ENOE 1T-2026 y solo por población movió 939 mdp entre estados (pestaña Evidencia ajuste 2026).</v>
      </c>
      <c r="C77" s="11"/>
      <c r="D77" s="11"/>
      <c r="E77" s="11"/>
      <c r="F77" s="11"/>
      <c r="G77" s="11"/>
      <c r="H77" s="11"/>
      <c r="I77" s="11"/>
    </row>
    <row r="79" spans="1:9" ht="16" x14ac:dyDescent="0.2">
      <c r="A79" s="15" t="s">
        <v>37</v>
      </c>
    </row>
    <row r="80" spans="1:9" ht="21.75" customHeight="1" x14ac:dyDescent="0.2">
      <c r="B80" s="11" t="s">
        <v>38</v>
      </c>
      <c r="C80" s="11"/>
      <c r="D80" s="11"/>
      <c r="E80" s="11"/>
      <c r="F80" s="11"/>
      <c r="G80" s="11"/>
      <c r="H80" s="11"/>
      <c r="I80" s="11"/>
    </row>
    <row r="81" spans="1:9" ht="21.75" customHeight="1" x14ac:dyDescent="0.2">
      <c r="B81" s="11" t="s">
        <v>39</v>
      </c>
      <c r="C81" s="11"/>
      <c r="D81" s="11"/>
      <c r="E81" s="11"/>
      <c r="F81" s="11"/>
      <c r="G81" s="11"/>
      <c r="H81" s="11"/>
      <c r="I81" s="11"/>
    </row>
    <row r="82" spans="1:9" ht="21.75" customHeight="1" x14ac:dyDescent="0.2">
      <c r="B82" s="11" t="s">
        <v>40</v>
      </c>
      <c r="C82" s="11"/>
      <c r="D82" s="11"/>
      <c r="E82" s="11"/>
      <c r="F82" s="11"/>
      <c r="G82" s="11"/>
      <c r="H82" s="11"/>
      <c r="I82" s="11"/>
    </row>
    <row r="83" spans="1:9" ht="21.75" customHeight="1" x14ac:dyDescent="0.2">
      <c r="B83" s="11" t="s">
        <v>41</v>
      </c>
      <c r="C83" s="11"/>
      <c r="D83" s="11"/>
      <c r="E83" s="11"/>
      <c r="F83" s="11"/>
      <c r="G83" s="11"/>
      <c r="H83" s="11"/>
      <c r="I83" s="11"/>
    </row>
    <row r="89" spans="1:9" ht="16" x14ac:dyDescent="0.2">
      <c r="A89" s="15" t="s">
        <v>42</v>
      </c>
    </row>
    <row r="90" spans="1:9" ht="45" customHeight="1" x14ac:dyDescent="0.2">
      <c r="B90" s="24" t="s">
        <v>20</v>
      </c>
      <c r="C90" s="24" t="s">
        <v>43</v>
      </c>
      <c r="D90" s="24" t="s">
        <v>44</v>
      </c>
      <c r="E90" s="24" t="s">
        <v>45</v>
      </c>
      <c r="F90" s="24" t="s">
        <v>46</v>
      </c>
      <c r="G90" s="24" t="s">
        <v>47</v>
      </c>
      <c r="H90" s="24" t="s">
        <v>48</v>
      </c>
      <c r="I90" s="24" t="s">
        <v>49</v>
      </c>
    </row>
    <row r="91" spans="1:9" x14ac:dyDescent="0.2">
      <c r="B91" s="27" t="s">
        <v>50</v>
      </c>
      <c r="C91" s="28">
        <f>SUMIFS('Cálculo FGP-FFM-FOFIR'!$Q$5:$Q$260,'Cálculo FGP-FFM-FOFIR'!$B$5:$B$260,$B91,'Cálculo FGP-FFM-FOFIR'!$A$5:$A$260,"FGP*")/1000000</f>
        <v>65.27070018806333</v>
      </c>
      <c r="D91" s="28">
        <f>SUMIFS('Cálculo FGP-FFM-FOFIR'!$Q$5:$Q$260,'Cálculo FGP-FFM-FOFIR'!$B$5:$B$260,$B91,'Cálculo FGP-FFM-FOFIR'!$A$5:$A$260,"FFM*")/1000000</f>
        <v>2.12105394241184</v>
      </c>
      <c r="E91" s="28">
        <f>SUMIFS('Cálculo FGP-FFM-FOFIR'!$Q$5:$Q$260,'Cálculo FGP-FFM-FOFIR'!$B$5:$B$260,$B91,'Cálculo FGP-FFM-FOFIR'!$A$5:$A$260,"FOFIR*")/1000000</f>
        <v>2.4437557718272633</v>
      </c>
      <c r="F91" s="28">
        <f>'Cálculo FoCo'!Q5/1000000</f>
        <v>0</v>
      </c>
      <c r="G91" s="29">
        <f t="shared" ref="G91:G122" si="0">SUM(C91:F91)</f>
        <v>69.835509902302434</v>
      </c>
      <c r="H91" s="30">
        <f>'Base 2027'!N5/1000000</f>
        <v>14165.771719446475</v>
      </c>
      <c r="I91" s="31">
        <f t="shared" ref="I91:I122" si="1">G91/H91</f>
        <v>4.9298768387205979E-3</v>
      </c>
    </row>
    <row r="92" spans="1:9" x14ac:dyDescent="0.2">
      <c r="B92" s="27" t="s">
        <v>51</v>
      </c>
      <c r="C92" s="28">
        <f>SUMIFS('Cálculo FGP-FFM-FOFIR'!$Q$5:$Q$260,'Cálculo FGP-FFM-FOFIR'!$B$5:$B$260,$B92,'Cálculo FGP-FFM-FOFIR'!$A$5:$A$260,"FGP*")/1000000</f>
        <v>1277.1018905571784</v>
      </c>
      <c r="D92" s="28">
        <f>SUMIFS('Cálculo FGP-FFM-FOFIR'!$Q$5:$Q$260,'Cálculo FGP-FFM-FOFIR'!$B$5:$B$260,$B92,'Cálculo FGP-FFM-FOFIR'!$A$5:$A$260,"FFM*")/1000000</f>
        <v>36.613813177757379</v>
      </c>
      <c r="E92" s="28">
        <f>SUMIFS('Cálculo FGP-FFM-FOFIR'!$Q$5:$Q$260,'Cálculo FGP-FFM-FOFIR'!$B$5:$B$260,$B92,'Cálculo FGP-FFM-FOFIR'!$A$5:$A$260,"FOFIR*")/1000000</f>
        <v>70.868295689270013</v>
      </c>
      <c r="F92" s="28">
        <f>'Cálculo FoCo'!Q6/1000000</f>
        <v>0</v>
      </c>
      <c r="G92" s="29">
        <f t="shared" si="0"/>
        <v>1384.5839994242058</v>
      </c>
      <c r="H92" s="30">
        <f>'Base 2027'!N6/1000000</f>
        <v>37477.235249335965</v>
      </c>
      <c r="I92" s="31">
        <f t="shared" si="1"/>
        <v>3.6944667615222186E-2</v>
      </c>
    </row>
    <row r="93" spans="1:9" x14ac:dyDescent="0.2">
      <c r="B93" s="27" t="s">
        <v>52</v>
      </c>
      <c r="C93" s="28">
        <f>SUMIFS('Cálculo FGP-FFM-FOFIR'!$Q$5:$Q$260,'Cálculo FGP-FFM-FOFIR'!$B$5:$B$260,$B93,'Cálculo FGP-FFM-FOFIR'!$A$5:$A$260,"FGP*")/1000000</f>
        <v>215.67343358229235</v>
      </c>
      <c r="D93" s="28">
        <f>SUMIFS('Cálculo FGP-FFM-FOFIR'!$Q$5:$Q$260,'Cálculo FGP-FFM-FOFIR'!$B$5:$B$260,$B93,'Cálculo FGP-FFM-FOFIR'!$A$5:$A$260,"FFM*")/1000000</f>
        <v>6.3239590498208109</v>
      </c>
      <c r="E93" s="28">
        <f>SUMIFS('Cálculo FGP-FFM-FOFIR'!$Q$5:$Q$260,'Cálculo FGP-FFM-FOFIR'!$B$5:$B$260,$B93,'Cálculo FGP-FFM-FOFIR'!$A$5:$A$260,"FOFIR*")/1000000</f>
        <v>11.859789473614541</v>
      </c>
      <c r="F93" s="28">
        <f>'Cálculo FoCo'!Q7/1000000</f>
        <v>0</v>
      </c>
      <c r="G93" s="29">
        <f t="shared" si="0"/>
        <v>233.8571821057277</v>
      </c>
      <c r="H93" s="30">
        <f>'Base 2027'!N7/1000000</f>
        <v>8502.8619208210621</v>
      </c>
      <c r="I93" s="31">
        <f t="shared" si="1"/>
        <v>2.7503349376176361E-2</v>
      </c>
    </row>
    <row r="94" spans="1:9" x14ac:dyDescent="0.2">
      <c r="B94" s="27" t="s">
        <v>53</v>
      </c>
      <c r="C94" s="28">
        <f>SUMIFS('Cálculo FGP-FFM-FOFIR'!$Q$5:$Q$260,'Cálculo FGP-FFM-FOFIR'!$B$5:$B$260,$B94,'Cálculo FGP-FFM-FOFIR'!$A$5:$A$260,"FGP*")/1000000</f>
        <v>184.67270175692244</v>
      </c>
      <c r="D94" s="28">
        <f>SUMIFS('Cálculo FGP-FFM-FOFIR'!$Q$5:$Q$260,'Cálculo FGP-FFM-FOFIR'!$B$5:$B$260,$B94,'Cálculo FGP-FFM-FOFIR'!$A$5:$A$260,"FFM*")/1000000</f>
        <v>6.4641101446136835</v>
      </c>
      <c r="E94" s="28">
        <f>SUMIFS('Cálculo FGP-FFM-FOFIR'!$Q$5:$Q$260,'Cálculo FGP-FFM-FOFIR'!$B$5:$B$260,$B94,'Cálculo FGP-FFM-FOFIR'!$A$5:$A$260,"FOFIR*")/1000000</f>
        <v>5.8445969969312062</v>
      </c>
      <c r="F94" s="28">
        <f>'Cálculo FoCo'!Q8/1000000</f>
        <v>0</v>
      </c>
      <c r="G94" s="29">
        <f t="shared" si="0"/>
        <v>196.98140889846732</v>
      </c>
      <c r="H94" s="30">
        <f>'Base 2027'!N8/1000000</f>
        <v>8505.0658213571842</v>
      </c>
      <c r="I94" s="31">
        <f t="shared" si="1"/>
        <v>2.3160480240355656E-2</v>
      </c>
    </row>
    <row r="95" spans="1:9" x14ac:dyDescent="0.2">
      <c r="B95" s="27" t="s">
        <v>54</v>
      </c>
      <c r="C95" s="28">
        <f>SUMIFS('Cálculo FGP-FFM-FOFIR'!$Q$5:$Q$260,'Cálculo FGP-FFM-FOFIR'!$B$5:$B$260,$B95,'Cálculo FGP-FFM-FOFIR'!$A$5:$A$260,"FGP*")/1000000</f>
        <v>-1092.5912966814199</v>
      </c>
      <c r="D95" s="28">
        <f>SUMIFS('Cálculo FGP-FFM-FOFIR'!$Q$5:$Q$260,'Cálculo FGP-FFM-FOFIR'!$B$5:$B$260,$B95,'Cálculo FGP-FFM-FOFIR'!$A$5:$A$260,"FFM*")/1000000</f>
        <v>-32.075727585224747</v>
      </c>
      <c r="E95" s="28">
        <f>SUMIFS('Cálculo FGP-FFM-FOFIR'!$Q$5:$Q$260,'Cálculo FGP-FFM-FOFIR'!$B$5:$B$260,$B95,'Cálculo FGP-FFM-FOFIR'!$A$5:$A$260,"FOFIR*")/1000000</f>
        <v>-45.974415508082416</v>
      </c>
      <c r="F95" s="28">
        <f>'Cálculo FoCo'!Q9/1000000</f>
        <v>0</v>
      </c>
      <c r="G95" s="29">
        <f t="shared" si="0"/>
        <v>-1170.6414397747271</v>
      </c>
      <c r="H95" s="30">
        <f>'Base 2027'!N9/1000000</f>
        <v>32387.557290144265</v>
      </c>
      <c r="I95" s="31">
        <f t="shared" si="1"/>
        <v>-3.6144789472312588E-2</v>
      </c>
    </row>
    <row r="96" spans="1:9" x14ac:dyDescent="0.2">
      <c r="B96" s="27" t="s">
        <v>55</v>
      </c>
      <c r="C96" s="28">
        <f>SUMIFS('Cálculo FGP-FFM-FOFIR'!$Q$5:$Q$260,'Cálculo FGP-FFM-FOFIR'!$B$5:$B$260,$B96,'Cálculo FGP-FFM-FOFIR'!$A$5:$A$260,"FGP*")/1000000</f>
        <v>7.8035346612648517</v>
      </c>
      <c r="D96" s="28">
        <f>SUMIFS('Cálculo FGP-FFM-FOFIR'!$Q$5:$Q$260,'Cálculo FGP-FFM-FOFIR'!$B$5:$B$260,$B96,'Cálculo FGP-FFM-FOFIR'!$A$5:$A$260,"FFM*")/1000000</f>
        <v>0.24478440430852771</v>
      </c>
      <c r="E96" s="28">
        <f>SUMIFS('Cálculo FGP-FFM-FOFIR'!$Q$5:$Q$260,'Cálculo FGP-FFM-FOFIR'!$B$5:$B$260,$B96,'Cálculo FGP-FFM-FOFIR'!$A$5:$A$260,"FOFIR*")/1000000</f>
        <v>8.3903961457904422E-2</v>
      </c>
      <c r="F96" s="28">
        <f>'Cálculo FoCo'!Q10/1000000</f>
        <v>0</v>
      </c>
      <c r="G96" s="29">
        <f t="shared" si="0"/>
        <v>8.1322230270312836</v>
      </c>
      <c r="H96" s="30">
        <f>'Base 2027'!N10/1000000</f>
        <v>7331.7212651286545</v>
      </c>
      <c r="I96" s="31">
        <f t="shared" si="1"/>
        <v>1.1091833326656864E-3</v>
      </c>
    </row>
    <row r="97" spans="2:9" x14ac:dyDescent="0.2">
      <c r="B97" s="27" t="s">
        <v>56</v>
      </c>
      <c r="C97" s="28">
        <f>SUMIFS('Cálculo FGP-FFM-FOFIR'!$Q$5:$Q$260,'Cálculo FGP-FFM-FOFIR'!$B$5:$B$260,$B97,'Cálculo FGP-FFM-FOFIR'!$A$5:$A$260,"FGP*")/1000000</f>
        <v>-124.78020101554775</v>
      </c>
      <c r="D97" s="28">
        <f>SUMIFS('Cálculo FGP-FFM-FOFIR'!$Q$5:$Q$260,'Cálculo FGP-FFM-FOFIR'!$B$5:$B$260,$B97,'Cálculo FGP-FFM-FOFIR'!$A$5:$A$260,"FFM*")/1000000</f>
        <v>-3.8102367325401305</v>
      </c>
      <c r="E97" s="28">
        <f>SUMIFS('Cálculo FGP-FFM-FOFIR'!$Q$5:$Q$260,'Cálculo FGP-FFM-FOFIR'!$B$5:$B$260,$B97,'Cálculo FGP-FFM-FOFIR'!$A$5:$A$260,"FOFIR*")/1000000</f>
        <v>-5.2329581925740207</v>
      </c>
      <c r="F97" s="28">
        <f>'Cálculo FoCo'!Q11/1000000</f>
        <v>-1.2837507127249241</v>
      </c>
      <c r="G97" s="29">
        <f t="shared" si="0"/>
        <v>-135.10714665338682</v>
      </c>
      <c r="H97" s="30">
        <f>'Base 2027'!N11/1000000</f>
        <v>55583.428502737886</v>
      </c>
      <c r="I97" s="31">
        <f t="shared" si="1"/>
        <v>-2.4307091212758102E-3</v>
      </c>
    </row>
    <row r="98" spans="2:9" x14ac:dyDescent="0.2">
      <c r="B98" s="27" t="s">
        <v>57</v>
      </c>
      <c r="C98" s="28">
        <f>SUMIFS('Cálculo FGP-FFM-FOFIR'!$Q$5:$Q$260,'Cálculo FGP-FFM-FOFIR'!$B$5:$B$260,$B98,'Cálculo FGP-FFM-FOFIR'!$A$5:$A$260,"FGP*")/1000000</f>
        <v>-682.49610091442582</v>
      </c>
      <c r="D98" s="28">
        <f>SUMIFS('Cálculo FGP-FFM-FOFIR'!$Q$5:$Q$260,'Cálculo FGP-FFM-FOFIR'!$B$5:$B$260,$B98,'Cálculo FGP-FFM-FOFIR'!$A$5:$A$260,"FFM*")/1000000</f>
        <v>-20.088419770489335</v>
      </c>
      <c r="E98" s="28">
        <f>SUMIFS('Cálculo FGP-FFM-FOFIR'!$Q$5:$Q$260,'Cálculo FGP-FFM-FOFIR'!$B$5:$B$260,$B98,'Cálculo FGP-FFM-FOFIR'!$A$5:$A$260,"FOFIR*")/1000000</f>
        <v>-45.461336823572175</v>
      </c>
      <c r="F98" s="28">
        <f>'Cálculo FoCo'!Q12/1000000</f>
        <v>0</v>
      </c>
      <c r="G98" s="29">
        <f t="shared" si="0"/>
        <v>-748.0458575084873</v>
      </c>
      <c r="H98" s="30">
        <f>'Base 2027'!N12/1000000</f>
        <v>38241.857237159798</v>
      </c>
      <c r="I98" s="31">
        <f t="shared" si="1"/>
        <v>-1.9560918625615483E-2</v>
      </c>
    </row>
    <row r="99" spans="2:9" x14ac:dyDescent="0.2">
      <c r="B99" s="27" t="s">
        <v>58</v>
      </c>
      <c r="C99" s="28">
        <f>SUMIFS('Cálculo FGP-FFM-FOFIR'!$Q$5:$Q$260,'Cálculo FGP-FFM-FOFIR'!$B$5:$B$260,$B99,'Cálculo FGP-FFM-FOFIR'!$A$5:$A$260,"FGP*")/1000000</f>
        <v>-825.47901512267299</v>
      </c>
      <c r="D99" s="28">
        <f>SUMIFS('Cálculo FGP-FFM-FOFIR'!$Q$5:$Q$260,'Cálculo FGP-FFM-FOFIR'!$B$5:$B$260,$B99,'Cálculo FGP-FFM-FOFIR'!$A$5:$A$260,"FFM*")/1000000</f>
        <v>-20.715112083190679</v>
      </c>
      <c r="E99" s="28">
        <f>SUMIFS('Cálculo FGP-FFM-FOFIR'!$Q$5:$Q$260,'Cálculo FGP-FFM-FOFIR'!$B$5:$B$260,$B99,'Cálculo FGP-FFM-FOFIR'!$A$5:$A$260,"FOFIR*")/1000000</f>
        <v>-38.222793433174758</v>
      </c>
      <c r="F99" s="28">
        <f>'Cálculo FoCo'!Q13/1000000</f>
        <v>0</v>
      </c>
      <c r="G99" s="29">
        <f t="shared" si="0"/>
        <v>-884.41692063903838</v>
      </c>
      <c r="H99" s="30">
        <f>'Base 2027'!N13/1000000</f>
        <v>124429.36920099681</v>
      </c>
      <c r="I99" s="31">
        <f t="shared" si="1"/>
        <v>-7.1077827229871814E-3</v>
      </c>
    </row>
    <row r="100" spans="2:9" x14ac:dyDescent="0.2">
      <c r="B100" s="27" t="s">
        <v>59</v>
      </c>
      <c r="C100" s="28">
        <f>SUMIFS('Cálculo FGP-FFM-FOFIR'!$Q$5:$Q$260,'Cálculo FGP-FFM-FOFIR'!$B$5:$B$260,$B100,'Cálculo FGP-FFM-FOFIR'!$A$5:$A$260,"FGP*")/1000000</f>
        <v>-135.92724293486808</v>
      </c>
      <c r="D100" s="28">
        <f>SUMIFS('Cálculo FGP-FFM-FOFIR'!$Q$5:$Q$260,'Cálculo FGP-FFM-FOFIR'!$B$5:$B$260,$B100,'Cálculo FGP-FFM-FOFIR'!$A$5:$A$260,"FFM*")/1000000</f>
        <v>-4.0886639858229756</v>
      </c>
      <c r="E100" s="28">
        <f>SUMIFS('Cálculo FGP-FFM-FOFIR'!$Q$5:$Q$260,'Cálculo FGP-FFM-FOFIR'!$B$5:$B$260,$B100,'Cálculo FGP-FFM-FOFIR'!$A$5:$A$260,"FOFIR*")/1000000</f>
        <v>-16.314807169734539</v>
      </c>
      <c r="F100" s="28">
        <f>'Cálculo FoCo'!Q14/1000000</f>
        <v>0</v>
      </c>
      <c r="G100" s="29">
        <f t="shared" si="0"/>
        <v>-156.3307140904256</v>
      </c>
      <c r="H100" s="30">
        <f>'Base 2027'!N14/1000000</f>
        <v>18711.289045271376</v>
      </c>
      <c r="I100" s="31">
        <f t="shared" si="1"/>
        <v>-8.354887453888845E-3</v>
      </c>
    </row>
    <row r="101" spans="2:9" x14ac:dyDescent="0.2">
      <c r="B101" s="27" t="s">
        <v>60</v>
      </c>
      <c r="C101" s="28">
        <f>SUMIFS('Cálculo FGP-FFM-FOFIR'!$Q$5:$Q$260,'Cálculo FGP-FFM-FOFIR'!$B$5:$B$260,$B101,'Cálculo FGP-FFM-FOFIR'!$A$5:$A$260,"FGP*")/1000000</f>
        <v>382.42138725740813</v>
      </c>
      <c r="D101" s="28">
        <f>SUMIFS('Cálculo FGP-FFM-FOFIR'!$Q$5:$Q$260,'Cálculo FGP-FFM-FOFIR'!$B$5:$B$260,$B101,'Cálculo FGP-FFM-FOFIR'!$A$5:$A$260,"FFM*")/1000000</f>
        <v>10.759385854928494</v>
      </c>
      <c r="E101" s="28">
        <f>SUMIFS('Cálculo FGP-FFM-FOFIR'!$Q$5:$Q$260,'Cálculo FGP-FFM-FOFIR'!$B$5:$B$260,$B101,'Cálculo FGP-FFM-FOFIR'!$A$5:$A$260,"FOFIR*")/1000000</f>
        <v>15.351410099830867</v>
      </c>
      <c r="F101" s="28">
        <f>'Cálculo FoCo'!Q15/1000000</f>
        <v>0</v>
      </c>
      <c r="G101" s="29">
        <f t="shared" si="0"/>
        <v>408.53218321216747</v>
      </c>
      <c r="H101" s="30">
        <f>'Base 2027'!N15/1000000</f>
        <v>58968.053608001173</v>
      </c>
      <c r="I101" s="31">
        <f t="shared" si="1"/>
        <v>6.9280255700475612E-3</v>
      </c>
    </row>
    <row r="102" spans="2:9" x14ac:dyDescent="0.2">
      <c r="B102" s="27" t="s">
        <v>61</v>
      </c>
      <c r="C102" s="28">
        <f>SUMIFS('Cálculo FGP-FFM-FOFIR'!$Q$5:$Q$260,'Cálculo FGP-FFM-FOFIR'!$B$5:$B$260,$B102,'Cálculo FGP-FFM-FOFIR'!$A$5:$A$260,"FGP*")/1000000</f>
        <v>-893.04735041108086</v>
      </c>
      <c r="D102" s="28">
        <f>SUMIFS('Cálculo FGP-FFM-FOFIR'!$Q$5:$Q$260,'Cálculo FGP-FFM-FOFIR'!$B$5:$B$260,$B102,'Cálculo FGP-FFM-FOFIR'!$A$5:$A$260,"FFM*")/1000000</f>
        <v>-27.439639746163131</v>
      </c>
      <c r="E102" s="28">
        <f>SUMIFS('Cálculo FGP-FFM-FOFIR'!$Q$5:$Q$260,'Cálculo FGP-FFM-FOFIR'!$B$5:$B$260,$B102,'Cálculo FGP-FFM-FOFIR'!$A$5:$A$260,"FOFIR*")/1000000</f>
        <v>-29.859804603260415</v>
      </c>
      <c r="F102" s="28">
        <f>'Cálculo FoCo'!Q16/1000000</f>
        <v>-43.648384964713571</v>
      </c>
      <c r="G102" s="29">
        <f t="shared" si="0"/>
        <v>-993.99517972521801</v>
      </c>
      <c r="H102" s="30">
        <f>'Base 2027'!N16/1000000</f>
        <v>31584.27378594</v>
      </c>
      <c r="I102" s="31">
        <f t="shared" si="1"/>
        <v>-3.1471205779874639E-2</v>
      </c>
    </row>
    <row r="103" spans="2:9" x14ac:dyDescent="0.2">
      <c r="B103" s="27" t="s">
        <v>62</v>
      </c>
      <c r="C103" s="28">
        <f>SUMIFS('Cálculo FGP-FFM-FOFIR'!$Q$5:$Q$260,'Cálculo FGP-FFM-FOFIR'!$B$5:$B$260,$B103,'Cálculo FGP-FFM-FOFIR'!$A$5:$A$260,"FGP*")/1000000</f>
        <v>225.47634658094645</v>
      </c>
      <c r="D103" s="28">
        <f>SUMIFS('Cálculo FGP-FFM-FOFIR'!$Q$5:$Q$260,'Cálculo FGP-FFM-FOFIR'!$B$5:$B$260,$B103,'Cálculo FGP-FFM-FOFIR'!$A$5:$A$260,"FFM*")/1000000</f>
        <v>6.6523243026361465</v>
      </c>
      <c r="E103" s="28">
        <f>SUMIFS('Cálculo FGP-FFM-FOFIR'!$Q$5:$Q$260,'Cálculo FGP-FFM-FOFIR'!$B$5:$B$260,$B103,'Cálculo FGP-FFM-FOFIR'!$A$5:$A$260,"FOFIR*")/1000000</f>
        <v>9.5642274461277133</v>
      </c>
      <c r="F103" s="28">
        <f>'Cálculo FoCo'!Q17/1000000</f>
        <v>-654.07556333348725</v>
      </c>
      <c r="G103" s="29">
        <f t="shared" si="0"/>
        <v>-412.38266500377694</v>
      </c>
      <c r="H103" s="30">
        <f>'Base 2027'!N17/1000000</f>
        <v>28903.624210848549</v>
      </c>
      <c r="I103" s="31">
        <f t="shared" si="1"/>
        <v>-1.4267507147044736E-2</v>
      </c>
    </row>
    <row r="104" spans="2:9" x14ac:dyDescent="0.2">
      <c r="B104" s="27" t="s">
        <v>63</v>
      </c>
      <c r="C104" s="28">
        <f>SUMIFS('Cálculo FGP-FFM-FOFIR'!$Q$5:$Q$260,'Cálculo FGP-FFM-FOFIR'!$B$5:$B$260,$B104,'Cálculo FGP-FFM-FOFIR'!$A$5:$A$260,"FGP*")/1000000</f>
        <v>-362.66687994628904</v>
      </c>
      <c r="D104" s="28">
        <f>SUMIFS('Cálculo FGP-FFM-FOFIR'!$Q$5:$Q$260,'Cálculo FGP-FFM-FOFIR'!$B$5:$B$260,$B104,'Cálculo FGP-FFM-FOFIR'!$A$5:$A$260,"FFM*")/1000000</f>
        <v>-10.578165365888356</v>
      </c>
      <c r="E104" s="28">
        <f>SUMIFS('Cálculo FGP-FFM-FOFIR'!$Q$5:$Q$260,'Cálculo FGP-FFM-FOFIR'!$B$5:$B$260,$B104,'Cálculo FGP-FFM-FOFIR'!$A$5:$A$260,"FOFIR*")/1000000</f>
        <v>-18.180440400765626</v>
      </c>
      <c r="F104" s="28">
        <f>'Cálculo FoCo'!Q18/1000000</f>
        <v>0</v>
      </c>
      <c r="G104" s="29">
        <f t="shared" si="0"/>
        <v>-391.42548571294304</v>
      </c>
      <c r="H104" s="30">
        <f>'Base 2027'!N18/1000000</f>
        <v>85640.600975171925</v>
      </c>
      <c r="I104" s="31">
        <f t="shared" si="1"/>
        <v>-4.570559772536174E-3</v>
      </c>
    </row>
    <row r="105" spans="2:9" x14ac:dyDescent="0.2">
      <c r="B105" s="27" t="s">
        <v>64</v>
      </c>
      <c r="C105" s="28">
        <f>SUMIFS('Cálculo FGP-FFM-FOFIR'!$Q$5:$Q$260,'Cálculo FGP-FFM-FOFIR'!$B$5:$B$260,$B105,'Cálculo FGP-FFM-FOFIR'!$A$5:$A$260,"FGP*")/1000000</f>
        <v>-735.14265133229446</v>
      </c>
      <c r="D105" s="28">
        <f>SUMIFS('Cálculo FGP-FFM-FOFIR'!$Q$5:$Q$260,'Cálculo FGP-FFM-FOFIR'!$B$5:$B$260,$B105,'Cálculo FGP-FFM-FOFIR'!$A$5:$A$260,"FFM*")/1000000</f>
        <v>-20.211814548093319</v>
      </c>
      <c r="E105" s="28">
        <f>SUMIFS('Cálculo FGP-FFM-FOFIR'!$Q$5:$Q$260,'Cálculo FGP-FFM-FOFIR'!$B$5:$B$260,$B105,'Cálculo FGP-FFM-FOFIR'!$A$5:$A$260,"FOFIR*")/1000000</f>
        <v>-83.614391127015836</v>
      </c>
      <c r="F105" s="28">
        <f>'Cálculo FoCo'!Q19/1000000</f>
        <v>1.1480504556123019</v>
      </c>
      <c r="G105" s="29">
        <f t="shared" si="0"/>
        <v>-837.82080655179129</v>
      </c>
      <c r="H105" s="30">
        <f>'Base 2027'!N19/1000000</f>
        <v>182264.24754068058</v>
      </c>
      <c r="I105" s="31">
        <f t="shared" si="1"/>
        <v>-4.5967369786265588E-3</v>
      </c>
    </row>
    <row r="106" spans="2:9" x14ac:dyDescent="0.2">
      <c r="B106" s="27" t="s">
        <v>65</v>
      </c>
      <c r="C106" s="28">
        <f>SUMIFS('Cálculo FGP-FFM-FOFIR'!$Q$5:$Q$260,'Cálculo FGP-FFM-FOFIR'!$B$5:$B$260,$B106,'Cálculo FGP-FFM-FOFIR'!$A$5:$A$260,"FGP*")/1000000</f>
        <v>-285.46881647638867</v>
      </c>
      <c r="D106" s="28">
        <f>SUMIFS('Cálculo FGP-FFM-FOFIR'!$Q$5:$Q$260,'Cálculo FGP-FFM-FOFIR'!$B$5:$B$260,$B106,'Cálculo FGP-FFM-FOFIR'!$A$5:$A$260,"FFM*")/1000000</f>
        <v>-9.284924646917105</v>
      </c>
      <c r="E106" s="28">
        <f>SUMIFS('Cálculo FGP-FFM-FOFIR'!$Q$5:$Q$260,'Cálculo FGP-FFM-FOFIR'!$B$5:$B$260,$B106,'Cálculo FGP-FFM-FOFIR'!$A$5:$A$260,"FOFIR*")/1000000</f>
        <v>-16.286953448636588</v>
      </c>
      <c r="F106" s="28">
        <f>'Cálculo FoCo'!Q20/1000000</f>
        <v>0</v>
      </c>
      <c r="G106" s="29">
        <f t="shared" si="0"/>
        <v>-311.04069457194237</v>
      </c>
      <c r="H106" s="30">
        <f>'Base 2027'!N20/1000000</f>
        <v>41861.512801063567</v>
      </c>
      <c r="I106" s="31">
        <f t="shared" si="1"/>
        <v>-7.4302306285510024E-3</v>
      </c>
    </row>
    <row r="107" spans="2:9" x14ac:dyDescent="0.2">
      <c r="B107" s="27" t="s">
        <v>66</v>
      </c>
      <c r="C107" s="28">
        <f>SUMIFS('Cálculo FGP-FFM-FOFIR'!$Q$5:$Q$260,'Cálculo FGP-FFM-FOFIR'!$B$5:$B$260,$B107,'Cálculo FGP-FFM-FOFIR'!$A$5:$A$260,"FGP*")/1000000</f>
        <v>75.585618138977466</v>
      </c>
      <c r="D107" s="28">
        <f>SUMIFS('Cálculo FGP-FFM-FOFIR'!$Q$5:$Q$260,'Cálculo FGP-FFM-FOFIR'!$B$5:$B$260,$B107,'Cálculo FGP-FFM-FOFIR'!$A$5:$A$260,"FFM*")/1000000</f>
        <v>2.2903554240802526</v>
      </c>
      <c r="E107" s="28">
        <f>SUMIFS('Cálculo FGP-FFM-FOFIR'!$Q$5:$Q$260,'Cálculo FGP-FFM-FOFIR'!$B$5:$B$260,$B107,'Cálculo FGP-FFM-FOFIR'!$A$5:$A$260,"FOFIR*")/1000000</f>
        <v>2.1173475707470288</v>
      </c>
      <c r="F107" s="28">
        <f>'Cálculo FoCo'!Q21/1000000</f>
        <v>0</v>
      </c>
      <c r="G107" s="29">
        <f t="shared" si="0"/>
        <v>79.993321133804741</v>
      </c>
      <c r="H107" s="30">
        <f>'Base 2027'!N21/1000000</f>
        <v>17550.945543197835</v>
      </c>
      <c r="I107" s="31">
        <f t="shared" si="1"/>
        <v>4.5577784363194894E-3</v>
      </c>
    </row>
    <row r="108" spans="2:9" x14ac:dyDescent="0.2">
      <c r="B108" s="27" t="s">
        <v>67</v>
      </c>
      <c r="C108" s="28">
        <f>SUMIFS('Cálculo FGP-FFM-FOFIR'!$Q$5:$Q$260,'Cálculo FGP-FFM-FOFIR'!$B$5:$B$260,$B108,'Cálculo FGP-FFM-FOFIR'!$A$5:$A$260,"FGP*")/1000000</f>
        <v>134.15223090042747</v>
      </c>
      <c r="D108" s="28">
        <f>SUMIFS('Cálculo FGP-FFM-FOFIR'!$Q$5:$Q$260,'Cálculo FGP-FFM-FOFIR'!$B$5:$B$260,$B108,'Cálculo FGP-FFM-FOFIR'!$A$5:$A$260,"FFM*")/1000000</f>
        <v>4.6689482560573818</v>
      </c>
      <c r="E108" s="28">
        <f>SUMIFS('Cálculo FGP-FFM-FOFIR'!$Q$5:$Q$260,'Cálculo FGP-FFM-FOFIR'!$B$5:$B$260,$B108,'Cálculo FGP-FFM-FOFIR'!$A$5:$A$260,"FOFIR*")/1000000</f>
        <v>4.4930160742291028</v>
      </c>
      <c r="F108" s="28">
        <f>'Cálculo FoCo'!Q22/1000000</f>
        <v>38.362772700565337</v>
      </c>
      <c r="G108" s="29">
        <f t="shared" si="0"/>
        <v>181.67696793127928</v>
      </c>
      <c r="H108" s="30">
        <f>'Base 2027'!N22/1000000</f>
        <v>12185.798622226121</v>
      </c>
      <c r="I108" s="31">
        <f t="shared" si="1"/>
        <v>1.4908909425100137E-2</v>
      </c>
    </row>
    <row r="109" spans="2:9" x14ac:dyDescent="0.2">
      <c r="B109" s="27" t="s">
        <v>68</v>
      </c>
      <c r="C109" s="28">
        <f>SUMIFS('Cálculo FGP-FFM-FOFIR'!$Q$5:$Q$260,'Cálculo FGP-FFM-FOFIR'!$B$5:$B$260,$B109,'Cálculo FGP-FFM-FOFIR'!$A$5:$A$260,"FGP*")/1000000</f>
        <v>511.94440329840086</v>
      </c>
      <c r="D109" s="28">
        <f>SUMIFS('Cálculo FGP-FFM-FOFIR'!$Q$5:$Q$260,'Cálculo FGP-FFM-FOFIR'!$B$5:$B$260,$B109,'Cálculo FGP-FFM-FOFIR'!$A$5:$A$260,"FFM*")/1000000</f>
        <v>13.210598698385715</v>
      </c>
      <c r="E109" s="28">
        <f>SUMIFS('Cálculo FGP-FFM-FOFIR'!$Q$5:$Q$260,'Cálculo FGP-FFM-FOFIR'!$B$5:$B$260,$B109,'Cálculo FGP-FFM-FOFIR'!$A$5:$A$260,"FOFIR*")/1000000</f>
        <v>21.678582780402213</v>
      </c>
      <c r="F109" s="28">
        <f>'Cálculo FoCo'!Q23/1000000</f>
        <v>0</v>
      </c>
      <c r="G109" s="29">
        <f t="shared" si="0"/>
        <v>546.83358477718878</v>
      </c>
      <c r="H109" s="30">
        <f>'Base 2027'!N23/1000000</f>
        <v>63074.858738756498</v>
      </c>
      <c r="I109" s="31">
        <f t="shared" si="1"/>
        <v>8.6695966619927695E-3</v>
      </c>
    </row>
    <row r="110" spans="2:9" x14ac:dyDescent="0.2">
      <c r="B110" s="27" t="s">
        <v>69</v>
      </c>
      <c r="C110" s="28">
        <f>SUMIFS('Cálculo FGP-FFM-FOFIR'!$Q$5:$Q$260,'Cálculo FGP-FFM-FOFIR'!$B$5:$B$260,$B110,'Cálculo FGP-FFM-FOFIR'!$A$5:$A$260,"FGP*")/1000000</f>
        <v>-10.003668590156556</v>
      </c>
      <c r="D110" s="28">
        <f>SUMIFS('Cálculo FGP-FFM-FOFIR'!$Q$5:$Q$260,'Cálculo FGP-FFM-FOFIR'!$B$5:$B$260,$B110,'Cálculo FGP-FFM-FOFIR'!$A$5:$A$260,"FFM*")/1000000</f>
        <v>-0.38598452997565269</v>
      </c>
      <c r="E110" s="28">
        <f>SUMIFS('Cálculo FGP-FFM-FOFIR'!$Q$5:$Q$260,'Cálculo FGP-FFM-FOFIR'!$B$5:$B$260,$B110,'Cálculo FGP-FFM-FOFIR'!$A$5:$A$260,"FOFIR*")/1000000</f>
        <v>-4.4170978855513034</v>
      </c>
      <c r="F110" s="28">
        <f>'Cálculo FoCo'!Q24/1000000</f>
        <v>-7.3060954981528523</v>
      </c>
      <c r="G110" s="29">
        <f t="shared" si="0"/>
        <v>-22.112846503836366</v>
      </c>
      <c r="H110" s="30">
        <f>'Base 2027'!N24/1000000</f>
        <v>37910.107481085317</v>
      </c>
      <c r="I110" s="31">
        <f t="shared" si="1"/>
        <v>-5.8329685598673762E-4</v>
      </c>
    </row>
    <row r="111" spans="2:9" x14ac:dyDescent="0.2">
      <c r="B111" s="27" t="s">
        <v>70</v>
      </c>
      <c r="C111" s="28">
        <f>SUMIFS('Cálculo FGP-FFM-FOFIR'!$Q$5:$Q$260,'Cálculo FGP-FFM-FOFIR'!$B$5:$B$260,$B111,'Cálculo FGP-FFM-FOFIR'!$A$5:$A$260,"FGP*")/1000000</f>
        <v>1443.0119791120435</v>
      </c>
      <c r="D111" s="28">
        <f>SUMIFS('Cálculo FGP-FFM-FOFIR'!$Q$5:$Q$260,'Cálculo FGP-FFM-FOFIR'!$B$5:$B$260,$B111,'Cálculo FGP-FFM-FOFIR'!$A$5:$A$260,"FFM*")/1000000</f>
        <v>43.483691256209134</v>
      </c>
      <c r="E111" s="28">
        <f>SUMIFS('Cálculo FGP-FFM-FOFIR'!$Q$5:$Q$260,'Cálculo FGP-FFM-FOFIR'!$B$5:$B$260,$B111,'Cálculo FGP-FFM-FOFIR'!$A$5:$A$260,"FOFIR*")/1000000</f>
        <v>61.305215414607588</v>
      </c>
      <c r="F111" s="28">
        <f>'Cálculo FoCo'!Q25/1000000</f>
        <v>685.85293992385277</v>
      </c>
      <c r="G111" s="29">
        <f t="shared" si="0"/>
        <v>2233.6538257067132</v>
      </c>
      <c r="H111" s="30">
        <f>'Base 2027'!N25/1000000</f>
        <v>58784.302774668402</v>
      </c>
      <c r="I111" s="31">
        <f t="shared" si="1"/>
        <v>3.7997453746602051E-2</v>
      </c>
    </row>
    <row r="112" spans="2:9" x14ac:dyDescent="0.2">
      <c r="B112" s="27" t="s">
        <v>71</v>
      </c>
      <c r="C112" s="28">
        <f>SUMIFS('Cálculo FGP-FFM-FOFIR'!$Q$5:$Q$260,'Cálculo FGP-FFM-FOFIR'!$B$5:$B$260,$B112,'Cálculo FGP-FFM-FOFIR'!$A$5:$A$260,"FGP*")/1000000</f>
        <v>485.15550016840706</v>
      </c>
      <c r="D112" s="28">
        <f>SUMIFS('Cálculo FGP-FFM-FOFIR'!$Q$5:$Q$260,'Cálculo FGP-FFM-FOFIR'!$B$5:$B$260,$B112,'Cálculo FGP-FFM-FOFIR'!$A$5:$A$260,"FFM*")/1000000</f>
        <v>14.507858481183529</v>
      </c>
      <c r="E112" s="28">
        <f>SUMIFS('Cálculo FGP-FFM-FOFIR'!$Q$5:$Q$260,'Cálculo FGP-FFM-FOFIR'!$B$5:$B$260,$B112,'Cálculo FGP-FFM-FOFIR'!$A$5:$A$260,"FOFIR*")/1000000</f>
        <v>33.506672444074454</v>
      </c>
      <c r="F112" s="28">
        <f>'Cálculo FoCo'!Q26/1000000</f>
        <v>0</v>
      </c>
      <c r="G112" s="29">
        <f t="shared" si="0"/>
        <v>533.17003109366499</v>
      </c>
      <c r="H112" s="30">
        <f>'Base 2027'!N26/1000000</f>
        <v>23463.248621221526</v>
      </c>
      <c r="I112" s="31">
        <f t="shared" si="1"/>
        <v>2.2723623642270704E-2</v>
      </c>
    </row>
    <row r="113" spans="2:9" x14ac:dyDescent="0.2">
      <c r="B113" s="27" t="s">
        <v>72</v>
      </c>
      <c r="C113" s="28">
        <f>SUMIFS('Cálculo FGP-FFM-FOFIR'!$Q$5:$Q$260,'Cálculo FGP-FFM-FOFIR'!$B$5:$B$260,$B113,'Cálculo FGP-FFM-FOFIR'!$A$5:$A$260,"FGP*")/1000000</f>
        <v>835.80984346112018</v>
      </c>
      <c r="D113" s="28">
        <f>SUMIFS('Cálculo FGP-FFM-FOFIR'!$Q$5:$Q$260,'Cálculo FGP-FFM-FOFIR'!$B$5:$B$260,$B113,'Cálculo FGP-FFM-FOFIR'!$A$5:$A$260,"FFM*")/1000000</f>
        <v>23.41316747108084</v>
      </c>
      <c r="E113" s="28">
        <f>SUMIFS('Cálculo FGP-FFM-FOFIR'!$Q$5:$Q$260,'Cálculo FGP-FFM-FOFIR'!$B$5:$B$260,$B113,'Cálculo FGP-FFM-FOFIR'!$A$5:$A$260,"FOFIR*")/1000000</f>
        <v>86.730585619865579</v>
      </c>
      <c r="F113" s="28">
        <f>'Cálculo FoCo'!Q27/1000000</f>
        <v>0</v>
      </c>
      <c r="G113" s="29">
        <f t="shared" si="0"/>
        <v>945.95359655206664</v>
      </c>
      <c r="H113" s="30">
        <f>'Base 2027'!N27/1000000</f>
        <v>18383.281749189631</v>
      </c>
      <c r="I113" s="31">
        <f t="shared" si="1"/>
        <v>5.1457275662642007E-2</v>
      </c>
    </row>
    <row r="114" spans="2:9" x14ac:dyDescent="0.2">
      <c r="B114" s="27" t="s">
        <v>73</v>
      </c>
      <c r="C114" s="28">
        <f>SUMIFS('Cálculo FGP-FFM-FOFIR'!$Q$5:$Q$260,'Cálculo FGP-FFM-FOFIR'!$B$5:$B$260,$B114,'Cálculo FGP-FFM-FOFIR'!$A$5:$A$260,"FGP*")/1000000</f>
        <v>-350.25119311020399</v>
      </c>
      <c r="D114" s="28">
        <f>SUMIFS('Cálculo FGP-FFM-FOFIR'!$Q$5:$Q$260,'Cálculo FGP-FFM-FOFIR'!$B$5:$B$260,$B114,'Cálculo FGP-FFM-FOFIR'!$A$5:$A$260,"FFM*")/1000000</f>
        <v>-10.562364172312259</v>
      </c>
      <c r="E114" s="28">
        <f>SUMIFS('Cálculo FGP-FFM-FOFIR'!$Q$5:$Q$260,'Cálculo FGP-FFM-FOFIR'!$B$5:$B$260,$B114,'Cálculo FGP-FFM-FOFIR'!$A$5:$A$260,"FOFIR*")/1000000</f>
        <v>-20.343105428384604</v>
      </c>
      <c r="F114" s="28">
        <f>'Cálculo FoCo'!Q28/1000000</f>
        <v>0</v>
      </c>
      <c r="G114" s="29">
        <f t="shared" si="0"/>
        <v>-381.15666271090083</v>
      </c>
      <c r="H114" s="30">
        <f>'Base 2027'!N28/1000000</f>
        <v>26328.16939817325</v>
      </c>
      <c r="I114" s="31">
        <f t="shared" si="1"/>
        <v>-1.4477142597591572E-2</v>
      </c>
    </row>
    <row r="115" spans="2:9" x14ac:dyDescent="0.2">
      <c r="B115" s="27" t="s">
        <v>74</v>
      </c>
      <c r="C115" s="28">
        <f>SUMIFS('Cálculo FGP-FFM-FOFIR'!$Q$5:$Q$260,'Cálculo FGP-FFM-FOFIR'!$B$5:$B$260,$B115,'Cálculo FGP-FFM-FOFIR'!$A$5:$A$260,"FGP*")/1000000</f>
        <v>142.91042548674668</v>
      </c>
      <c r="D115" s="28">
        <f>SUMIFS('Cálculo FGP-FFM-FOFIR'!$Q$5:$Q$260,'Cálculo FGP-FFM-FOFIR'!$B$5:$B$260,$B115,'Cálculo FGP-FFM-FOFIR'!$A$5:$A$260,"FFM*")/1000000</f>
        <v>4.0740270654412507</v>
      </c>
      <c r="E115" s="28">
        <f>SUMIFS('Cálculo FGP-FFM-FOFIR'!$Q$5:$Q$260,'Cálculo FGP-FFM-FOFIR'!$B$5:$B$260,$B115,'Cálculo FGP-FFM-FOFIR'!$A$5:$A$260,"FOFIR*")/1000000</f>
        <v>6.9071918169135902</v>
      </c>
      <c r="F115" s="28">
        <f>'Cálculo FoCo'!Q29/1000000</f>
        <v>0</v>
      </c>
      <c r="G115" s="29">
        <f t="shared" si="0"/>
        <v>153.8916443691015</v>
      </c>
      <c r="H115" s="30">
        <f>'Base 2027'!N29/1000000</f>
        <v>29471.097207665429</v>
      </c>
      <c r="I115" s="31">
        <f t="shared" si="1"/>
        <v>5.2217819813330296E-3</v>
      </c>
    </row>
    <row r="116" spans="2:9" x14ac:dyDescent="0.2">
      <c r="B116" s="27" t="s">
        <v>75</v>
      </c>
      <c r="C116" s="28">
        <f>SUMIFS('Cálculo FGP-FFM-FOFIR'!$Q$5:$Q$260,'Cálculo FGP-FFM-FOFIR'!$B$5:$B$260,$B116,'Cálculo FGP-FFM-FOFIR'!$A$5:$A$260,"FGP*")/1000000</f>
        <v>129.97868079077219</v>
      </c>
      <c r="D116" s="28">
        <f>SUMIFS('Cálculo FGP-FFM-FOFIR'!$Q$5:$Q$260,'Cálculo FGP-FFM-FOFIR'!$B$5:$B$260,$B116,'Cálculo FGP-FFM-FOFIR'!$A$5:$A$260,"FFM*")/1000000</f>
        <v>3.751250434511304</v>
      </c>
      <c r="E116" s="28">
        <f>SUMIFS('Cálculo FGP-FFM-FOFIR'!$Q$5:$Q$260,'Cálculo FGP-FFM-FOFIR'!$B$5:$B$260,$B116,'Cálculo FGP-FFM-FOFIR'!$A$5:$A$260,"FOFIR*")/1000000</f>
        <v>4.9386734408544006</v>
      </c>
      <c r="F116" s="28">
        <f>'Cálculo FoCo'!Q30/1000000</f>
        <v>0</v>
      </c>
      <c r="G116" s="29">
        <f t="shared" si="0"/>
        <v>138.66860466613787</v>
      </c>
      <c r="H116" s="30">
        <f>'Base 2027'!N30/1000000</f>
        <v>31632.534200989841</v>
      </c>
      <c r="I116" s="31">
        <f t="shared" si="1"/>
        <v>4.3837336517223669E-3</v>
      </c>
    </row>
    <row r="117" spans="2:9" x14ac:dyDescent="0.2">
      <c r="B117" s="27" t="s">
        <v>76</v>
      </c>
      <c r="C117" s="28">
        <f>SUMIFS('Cálculo FGP-FFM-FOFIR'!$Q$5:$Q$260,'Cálculo FGP-FFM-FOFIR'!$B$5:$B$260,$B117,'Cálculo FGP-FFM-FOFIR'!$A$5:$A$260,"FGP*")/1000000</f>
        <v>-264.04422359464758</v>
      </c>
      <c r="D117" s="28">
        <f>SUMIFS('Cálculo FGP-FFM-FOFIR'!$Q$5:$Q$260,'Cálculo FGP-FFM-FOFIR'!$B$5:$B$260,$B117,'Cálculo FGP-FFM-FOFIR'!$A$5:$A$260,"FFM*")/1000000</f>
        <v>-9.5730860857869988</v>
      </c>
      <c r="E117" s="28">
        <f>SUMIFS('Cálculo FGP-FFM-FOFIR'!$Q$5:$Q$260,'Cálculo FGP-FFM-FOFIR'!$B$5:$B$260,$B117,'Cálculo FGP-FFM-FOFIR'!$A$5:$A$260,"FOFIR*")/1000000</f>
        <v>-9.3568015810089111</v>
      </c>
      <c r="F117" s="28">
        <f>'Cálculo FoCo'!Q31/1000000</f>
        <v>2.749863093088269</v>
      </c>
      <c r="G117" s="29">
        <f t="shared" si="0"/>
        <v>-280.22424816835525</v>
      </c>
      <c r="H117" s="30">
        <f>'Base 2027'!N31/1000000</f>
        <v>29888.990181605186</v>
      </c>
      <c r="I117" s="31">
        <f t="shared" si="1"/>
        <v>-9.3755006932558001E-3</v>
      </c>
    </row>
    <row r="118" spans="2:9" x14ac:dyDescent="0.2">
      <c r="B118" s="27" t="s">
        <v>77</v>
      </c>
      <c r="C118" s="28">
        <f>SUMIFS('Cálculo FGP-FFM-FOFIR'!$Q$5:$Q$260,'Cálculo FGP-FFM-FOFIR'!$B$5:$B$260,$B118,'Cálculo FGP-FFM-FOFIR'!$A$5:$A$260,"FGP*")/1000000</f>
        <v>162.76298963038994</v>
      </c>
      <c r="D118" s="28">
        <f>SUMIFS('Cálculo FGP-FFM-FOFIR'!$Q$5:$Q$260,'Cálculo FGP-FFM-FOFIR'!$B$5:$B$260,$B118,'Cálculo FGP-FFM-FOFIR'!$A$5:$A$260,"FFM*")/1000000</f>
        <v>4.67481174521029</v>
      </c>
      <c r="E118" s="28">
        <f>SUMIFS('Cálculo FGP-FFM-FOFIR'!$Q$5:$Q$260,'Cálculo FGP-FFM-FOFIR'!$B$5:$B$260,$B118,'Cálculo FGP-FFM-FOFIR'!$A$5:$A$260,"FOFIR*")/1000000</f>
        <v>4.8897205472640994</v>
      </c>
      <c r="F118" s="28">
        <f>'Cálculo FoCo'!Q32/1000000</f>
        <v>0</v>
      </c>
      <c r="G118" s="29">
        <f t="shared" si="0"/>
        <v>172.32752192286432</v>
      </c>
      <c r="H118" s="30">
        <f>'Base 2027'!N32/1000000</f>
        <v>33609.06332774787</v>
      </c>
      <c r="I118" s="31">
        <f t="shared" si="1"/>
        <v>5.1274122174237912E-3</v>
      </c>
    </row>
    <row r="119" spans="2:9" x14ac:dyDescent="0.2">
      <c r="B119" s="27" t="s">
        <v>78</v>
      </c>
      <c r="C119" s="28">
        <f>SUMIFS('Cálculo FGP-FFM-FOFIR'!$Q$5:$Q$260,'Cálculo FGP-FFM-FOFIR'!$B$5:$B$260,$B119,'Cálculo FGP-FFM-FOFIR'!$A$5:$A$260,"FGP*")/1000000</f>
        <v>-24.398969286699085</v>
      </c>
      <c r="D119" s="28">
        <f>SUMIFS('Cálculo FGP-FFM-FOFIR'!$Q$5:$Q$260,'Cálculo FGP-FFM-FOFIR'!$B$5:$B$260,$B119,'Cálculo FGP-FFM-FOFIR'!$A$5:$A$260,"FFM*")/1000000</f>
        <v>-0.85403962770152086</v>
      </c>
      <c r="E119" s="28">
        <f>SUMIFS('Cálculo FGP-FFM-FOFIR'!$Q$5:$Q$260,'Cálculo FGP-FFM-FOFIR'!$B$5:$B$260,$B119,'Cálculo FGP-FFM-FOFIR'!$A$5:$A$260,"FOFIR*")/1000000</f>
        <v>-1.5955431110403686</v>
      </c>
      <c r="F119" s="28">
        <f>'Cálculo FoCo'!Q33/1000000</f>
        <v>-22.932089754609706</v>
      </c>
      <c r="G119" s="29">
        <f t="shared" si="0"/>
        <v>-49.780641780050679</v>
      </c>
      <c r="H119" s="30">
        <f>'Base 2027'!N33/1000000</f>
        <v>13459.842707760692</v>
      </c>
      <c r="I119" s="31">
        <f t="shared" si="1"/>
        <v>-3.6984564278264632E-3</v>
      </c>
    </row>
    <row r="120" spans="2:9" x14ac:dyDescent="0.2">
      <c r="B120" s="27" t="s">
        <v>79</v>
      </c>
      <c r="C120" s="28">
        <f>SUMIFS('Cálculo FGP-FFM-FOFIR'!$Q$5:$Q$260,'Cálculo FGP-FFM-FOFIR'!$B$5:$B$260,$B120,'Cálculo FGP-FFM-FOFIR'!$A$5:$A$260,"FGP*")/1000000</f>
        <v>-840.87447226073789</v>
      </c>
      <c r="D120" s="28">
        <f>SUMIFS('Cálculo FGP-FFM-FOFIR'!$Q$5:$Q$260,'Cálculo FGP-FFM-FOFIR'!$B$5:$B$260,$B120,'Cálculo FGP-FFM-FOFIR'!$A$5:$A$260,"FFM*")/1000000</f>
        <v>-24.475479452990054</v>
      </c>
      <c r="E120" s="28">
        <f>SUMIFS('Cálculo FGP-FFM-FOFIR'!$Q$5:$Q$260,'Cálculo FGP-FFM-FOFIR'!$B$5:$B$260,$B120,'Cálculo FGP-FFM-FOFIR'!$A$5:$A$260,"FOFIR*")/1000000</f>
        <v>-22.449117494534356</v>
      </c>
      <c r="F120" s="28">
        <f>'Cálculo FoCo'!Q34/1000000</f>
        <v>-9.2721758391897673</v>
      </c>
      <c r="G120" s="29">
        <f t="shared" si="0"/>
        <v>-897.07124504745207</v>
      </c>
      <c r="H120" s="30">
        <f>'Base 2027'!N34/1000000</f>
        <v>73937.072855023143</v>
      </c>
      <c r="I120" s="31">
        <f t="shared" si="1"/>
        <v>-1.2132901809711105E-2</v>
      </c>
    </row>
    <row r="121" spans="2:9" x14ac:dyDescent="0.2">
      <c r="B121" s="27" t="s">
        <v>80</v>
      </c>
      <c r="C121" s="28">
        <f>SUMIFS('Cálculo FGP-FFM-FOFIR'!$Q$5:$Q$260,'Cálculo FGP-FFM-FOFIR'!$B$5:$B$260,$B121,'Cálculo FGP-FFM-FOFIR'!$A$5:$A$260,"FGP*")/1000000</f>
        <v>344.62316102787145</v>
      </c>
      <c r="D121" s="28">
        <f>SUMIFS('Cálculo FGP-FFM-FOFIR'!$Q$5:$Q$260,'Cálculo FGP-FFM-FOFIR'!$B$5:$B$260,$B121,'Cálculo FGP-FFM-FOFIR'!$A$5:$A$260,"FFM*")/1000000</f>
        <v>10.825261523415387</v>
      </c>
      <c r="E121" s="28">
        <f>SUMIFS('Cálculo FGP-FFM-FOFIR'!$Q$5:$Q$260,'Cálculo FGP-FFM-FOFIR'!$B$5:$B$260,$B121,'Cálculo FGP-FFM-FOFIR'!$A$5:$A$260,"FOFIR*")/1000000</f>
        <v>15.026770755582517</v>
      </c>
      <c r="F121" s="28">
        <f>'Cálculo FoCo'!Q35/1000000</f>
        <v>0</v>
      </c>
      <c r="G121" s="29">
        <f t="shared" si="0"/>
        <v>370.47519330686936</v>
      </c>
      <c r="H121" s="30">
        <f>'Base 2027'!N35/1000000</f>
        <v>22555.808092926483</v>
      </c>
      <c r="I121" s="31">
        <f t="shared" si="1"/>
        <v>1.6424824674007164E-2</v>
      </c>
    </row>
    <row r="122" spans="2:9" x14ac:dyDescent="0.2">
      <c r="B122" s="27" t="s">
        <v>81</v>
      </c>
      <c r="C122" s="28">
        <f>SUMIFS('Cálculo FGP-FFM-FOFIR'!$Q$5:$Q$260,'Cálculo FGP-FFM-FOFIR'!$B$5:$B$260,$B122,'Cálculo FGP-FFM-FOFIR'!$A$5:$A$260,"FGP*")/1000000</f>
        <v>2.8172550781705676</v>
      </c>
      <c r="D122" s="28">
        <f>SUMIFS('Cálculo FGP-FFM-FOFIR'!$Q$5:$Q$260,'Cálculo FGP-FFM-FOFIR'!$B$5:$B$260,$B122,'Cálculo FGP-FFM-FOFIR'!$A$5:$A$260,"FFM*")/1000000</f>
        <v>6.4257101040899753E-2</v>
      </c>
      <c r="E122" s="28">
        <f>SUMIFS('Cálculo FGP-FFM-FOFIR'!$Q$5:$Q$260,'Cálculo FGP-FFM-FOFIR'!$B$5:$B$260,$B122,'Cálculo FGP-FFM-FOFIR'!$A$5:$A$260,"FOFIR*")/1000000</f>
        <v>-0.30018969625968484</v>
      </c>
      <c r="F122" s="28">
        <f>'Cálculo FoCo'!Q36/1000000</f>
        <v>10.404433929759026</v>
      </c>
      <c r="G122" s="29">
        <f t="shared" si="0"/>
        <v>12.98575641271081</v>
      </c>
      <c r="H122" s="30">
        <f>'Base 2027'!N36/1000000</f>
        <v>16557.145750378182</v>
      </c>
      <c r="I122" s="31">
        <f t="shared" si="1"/>
        <v>7.8429921488214248E-4</v>
      </c>
    </row>
    <row r="123" spans="2:9" x14ac:dyDescent="0.2">
      <c r="B123" s="32" t="s">
        <v>82</v>
      </c>
      <c r="C123" s="33">
        <f t="shared" ref="C123:H123" si="2">SUM(C91:C122)</f>
        <v>-2.9310331939313983E-11</v>
      </c>
      <c r="D123" s="33">
        <f t="shared" si="2"/>
        <v>-3.3998498460974247E-12</v>
      </c>
      <c r="E123" s="33">
        <f t="shared" si="2"/>
        <v>4.4917403130284583E-12</v>
      </c>
      <c r="F123" s="33">
        <f t="shared" si="2"/>
        <v>-4.7251091928046662E-13</v>
      </c>
      <c r="G123" s="33">
        <f t="shared" si="2"/>
        <v>-2.8212099323354778E-11</v>
      </c>
      <c r="H123" s="33">
        <f t="shared" si="2"/>
        <v>1283350.7374267206</v>
      </c>
      <c r="I123" s="34"/>
    </row>
    <row r="125" spans="2:9" ht="30" customHeight="1" x14ac:dyDescent="0.2">
      <c r="B125" s="4" t="s">
        <v>83</v>
      </c>
      <c r="C125" s="4"/>
      <c r="D125" s="4"/>
      <c r="E125" s="4"/>
      <c r="F125" s="4"/>
      <c r="G125" s="4"/>
      <c r="H125" s="4"/>
      <c r="I125" s="4"/>
    </row>
  </sheetData>
  <mergeCells count="32">
    <mergeCell ref="B83:I83"/>
    <mergeCell ref="B125:I125"/>
    <mergeCell ref="B75:I75"/>
    <mergeCell ref="B77:I77"/>
    <mergeCell ref="B80:I80"/>
    <mergeCell ref="B81:I81"/>
    <mergeCell ref="B82:I82"/>
    <mergeCell ref="B65:E66"/>
    <mergeCell ref="B67:E68"/>
    <mergeCell ref="B69:E70"/>
    <mergeCell ref="B71:E72"/>
    <mergeCell ref="B73:I73"/>
    <mergeCell ref="A14:D14"/>
    <mergeCell ref="F14:I14"/>
    <mergeCell ref="A22:D22"/>
    <mergeCell ref="F22:I22"/>
    <mergeCell ref="B64:E64"/>
    <mergeCell ref="B10:C10"/>
    <mergeCell ref="D10:E10"/>
    <mergeCell ref="F10:G10"/>
    <mergeCell ref="H10:I10"/>
    <mergeCell ref="B11:C11"/>
    <mergeCell ref="D11:E11"/>
    <mergeCell ref="F11:G11"/>
    <mergeCell ref="H11:I11"/>
    <mergeCell ref="A5:I5"/>
    <mergeCell ref="A6:I6"/>
    <mergeCell ref="A7:I7"/>
    <mergeCell ref="B9:C9"/>
    <mergeCell ref="D9:E9"/>
    <mergeCell ref="F9:G9"/>
    <mergeCell ref="H9:I9"/>
  </mergeCells>
  <conditionalFormatting sqref="C91:G122">
    <cfRule type="cellIs" dxfId="10" priority="2" operator="greaterThan">
      <formula>0.0005</formula>
    </cfRule>
    <cfRule type="cellIs" dxfId="9" priority="3" operator="lessThan">
      <formula>-0.0005</formula>
    </cfRule>
  </conditionalFormatting>
  <conditionalFormatting sqref="I91:I122">
    <cfRule type="cellIs" dxfId="8" priority="4" operator="greaterThan">
      <formula>0.0005</formula>
    </cfRule>
    <cfRule type="cellIs" dxfId="7" priority="5" operator="lessThan">
      <formula>-0.0005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22" customWidth="1"/>
    <col min="2" max="3" width="14" customWidth="1"/>
    <col min="4" max="4" width="11" customWidth="1"/>
    <col min="5" max="5" width="13" customWidth="1"/>
    <col min="6" max="6" width="12" customWidth="1"/>
    <col min="7" max="7" width="13" customWidth="1"/>
    <col min="8" max="8" width="14" customWidth="1"/>
    <col min="9" max="9" width="16" customWidth="1"/>
    <col min="10" max="10" width="11" customWidth="1"/>
    <col min="11" max="11" width="13" customWidth="1"/>
    <col min="12" max="12" width="14" customWidth="1"/>
  </cols>
  <sheetData>
    <row r="1" spans="1:11" ht="17" x14ac:dyDescent="0.2">
      <c r="A1" s="12" t="s">
        <v>84</v>
      </c>
    </row>
    <row r="2" spans="1:11" x14ac:dyDescent="0.2">
      <c r="A2" s="13" t="s">
        <v>85</v>
      </c>
    </row>
    <row r="3" spans="1:11" ht="27.75" customHeight="1" x14ac:dyDescent="0.2">
      <c r="A3" s="3" t="s">
        <v>86</v>
      </c>
      <c r="B3" s="3"/>
      <c r="D3" s="3" t="s">
        <v>9</v>
      </c>
      <c r="E3" s="3"/>
      <c r="F3" s="3"/>
      <c r="G3" s="3" t="s">
        <v>87</v>
      </c>
      <c r="H3" s="3"/>
      <c r="I3" s="3" t="s">
        <v>88</v>
      </c>
      <c r="J3" s="3"/>
      <c r="K3" s="3"/>
    </row>
    <row r="4" spans="1:11" ht="25.5" customHeight="1" x14ac:dyDescent="0.2">
      <c r="A4" s="2">
        <f>-SUMIF($H$7:$H$38,"&lt;0")</f>
        <v>8140.5731228683726</v>
      </c>
      <c r="B4" s="2"/>
      <c r="D4" s="1" t="str">
        <f>COUNTIF($H$7:$H$38,"&lt;0")&amp;" / "&amp;COUNTIF($H$7:$H$38,"&gt;0")</f>
        <v>17 / 15</v>
      </c>
      <c r="E4" s="1"/>
      <c r="F4" s="1"/>
      <c r="G4" s="1" t="str">
        <f>INDEX($A$7:$A$38,MATCH(MIN($H$7:$H$38),$H$7:$H$38,0))&amp;": "&amp;TEXT(MIN($H$7:$H$38),"#,##0")</f>
        <v>México: -1,259</v>
      </c>
      <c r="H4" s="1"/>
      <c r="I4" s="1" t="str">
        <f>INDEX($A$7:$A$38,MATCH(MIN($I$7:$I$38),$I$7:$I$38,0))&amp;": "&amp;TEXT(MIN($I$7:$I$38),"0.0%")</f>
        <v>Coahuila: -3.5%</v>
      </c>
      <c r="J4" s="1"/>
      <c r="K4" s="1"/>
    </row>
    <row r="6" spans="1:11" ht="48" customHeight="1" x14ac:dyDescent="0.2">
      <c r="A6" s="24" t="s">
        <v>20</v>
      </c>
      <c r="B6" s="24" t="s">
        <v>89</v>
      </c>
      <c r="C6" s="24" t="s">
        <v>90</v>
      </c>
      <c r="D6" s="24" t="s">
        <v>91</v>
      </c>
      <c r="E6" s="24" t="s">
        <v>43</v>
      </c>
      <c r="F6" s="24" t="s">
        <v>44</v>
      </c>
      <c r="G6" s="24" t="s">
        <v>45</v>
      </c>
      <c r="H6" s="24" t="s">
        <v>92</v>
      </c>
      <c r="I6" s="24" t="s">
        <v>93</v>
      </c>
      <c r="J6" s="24" t="s">
        <v>94</v>
      </c>
      <c r="K6" s="24" t="s">
        <v>95</v>
      </c>
    </row>
    <row r="7" spans="1:11" x14ac:dyDescent="0.2">
      <c r="A7" s="27" t="s">
        <v>50</v>
      </c>
      <c r="B7" s="35">
        <f>Población!L5</f>
        <v>1519678</v>
      </c>
      <c r="C7" s="35">
        <f>Población!D5</f>
        <v>1539174</v>
      </c>
      <c r="D7" s="20">
        <f t="shared" ref="D7:D39" si="0">C7/B7-1</f>
        <v>1.2829033518942934E-2</v>
      </c>
      <c r="E7" s="28">
        <f>SUMIFS('Cálculo FGP-FFM-FOFIR'!$Y$5:$Y$260,'Cálculo FGP-FFM-FOFIR'!$B$5:$B$260,$A7,'Cálculo FGP-FFM-FOFIR'!$A$5:$A$260,"FGP*")/1000000</f>
        <v>126.60537101596029</v>
      </c>
      <c r="F7" s="28">
        <f>SUMIFS('Cálculo FGP-FFM-FOFIR'!$Y$5:$Y$260,'Cálculo FGP-FFM-FOFIR'!$B$5:$B$260,$A7,'Cálculo FGP-FFM-FOFIR'!$A$5:$A$260,"FFM*")/1000000</f>
        <v>4.1097308472992271</v>
      </c>
      <c r="G7" s="28">
        <f>SUMIFS('Cálculo FGP-FFM-FOFIR'!$Y$5:$Y$260,'Cálculo FGP-FFM-FOFIR'!$B$5:$B$260,$A7,'Cálculo FGP-FFM-FOFIR'!$A$5:$A$260,"FOFIR*")/1000000</f>
        <v>5.7549689208373307</v>
      </c>
      <c r="H7" s="29">
        <f t="shared" ref="H7:H38" si="1">SUM(E7:G7)</f>
        <v>136.47007078409686</v>
      </c>
      <c r="I7" s="31">
        <f>H7/('Base 2027'!N5/1000000)</f>
        <v>9.6337900600751321E-3</v>
      </c>
      <c r="J7" s="28">
        <f>'Cálculo FoCo'!Q5/1000000</f>
        <v>0</v>
      </c>
      <c r="K7" s="23">
        <f t="shared" ref="K7:K38" si="2">H7+J7</f>
        <v>136.47007078409686</v>
      </c>
    </row>
    <row r="8" spans="1:11" x14ac:dyDescent="0.2">
      <c r="A8" s="27" t="s">
        <v>51</v>
      </c>
      <c r="B8" s="35">
        <f>Población!L6</f>
        <v>3790412</v>
      </c>
      <c r="C8" s="35">
        <f>Población!D6</f>
        <v>4009678</v>
      </c>
      <c r="D8" s="20">
        <f t="shared" si="0"/>
        <v>5.7847537418096007E-2</v>
      </c>
      <c r="E8" s="28">
        <f>SUMIFS('Cálculo FGP-FFM-FOFIR'!$Y$5:$Y$260,'Cálculo FGP-FFM-FOFIR'!$B$5:$B$260,$A8,'Cálculo FGP-FFM-FOFIR'!$A$5:$A$260,"FGP*")/1000000</f>
        <v>1522.5450286166488</v>
      </c>
      <c r="F8" s="28">
        <f>SUMIFS('Cálculo FGP-FFM-FOFIR'!$Y$5:$Y$260,'Cálculo FGP-FFM-FOFIR'!$B$5:$B$260,$A8,'Cálculo FGP-FFM-FOFIR'!$A$5:$A$260,"FFM*")/1000000</f>
        <v>43.577978137907969</v>
      </c>
      <c r="G8" s="28">
        <f>SUMIFS('Cálculo FGP-FFM-FOFIR'!$Y$5:$Y$260,'Cálculo FGP-FFM-FOFIR'!$B$5:$B$260,$A8,'Cálculo FGP-FFM-FOFIR'!$A$5:$A$260,"FOFIR*")/1000000</f>
        <v>85.197473597998339</v>
      </c>
      <c r="H8" s="29">
        <f t="shared" si="1"/>
        <v>1651.3204803525553</v>
      </c>
      <c r="I8" s="31">
        <f>H8/('Base 2027'!N6/1000000)</f>
        <v>4.4061961064265381E-2</v>
      </c>
      <c r="J8" s="28">
        <f>'Cálculo FoCo'!Q6/1000000</f>
        <v>0</v>
      </c>
      <c r="K8" s="23">
        <f t="shared" si="2"/>
        <v>1651.3204803525553</v>
      </c>
    </row>
    <row r="9" spans="1:11" x14ac:dyDescent="0.2">
      <c r="A9" s="27" t="s">
        <v>52</v>
      </c>
      <c r="B9" s="35">
        <f>Población!L7</f>
        <v>906940</v>
      </c>
      <c r="C9" s="35">
        <f>Población!D7</f>
        <v>961514</v>
      </c>
      <c r="D9" s="20">
        <f t="shared" si="0"/>
        <v>6.0173771142523202E-2</v>
      </c>
      <c r="E9" s="28">
        <f>SUMIFS('Cálculo FGP-FFM-FOFIR'!$Y$5:$Y$260,'Cálculo FGP-FFM-FOFIR'!$B$5:$B$260,$A9,'Cálculo FGP-FFM-FOFIR'!$A$5:$A$260,"FGP*")/1000000</f>
        <v>343.92549965143741</v>
      </c>
      <c r="F9" s="28">
        <f>SUMIFS('Cálculo FGP-FFM-FOFIR'!$Y$5:$Y$260,'Cálculo FGP-FFM-FOFIR'!$B$5:$B$260,$A9,'Cálculo FGP-FFM-FOFIR'!$A$5:$A$260,"FFM*")/1000000</f>
        <v>10.078374642881114</v>
      </c>
      <c r="G9" s="28">
        <f>SUMIFS('Cálculo FGP-FFM-FOFIR'!$Y$5:$Y$260,'Cálculo FGP-FFM-FOFIR'!$B$5:$B$260,$A9,'Cálculo FGP-FFM-FOFIR'!$A$5:$A$260,"FOFIR*")/1000000</f>
        <v>19.207062130221139</v>
      </c>
      <c r="H9" s="29">
        <f t="shared" si="1"/>
        <v>373.21093642453963</v>
      </c>
      <c r="I9" s="31">
        <f>H9/('Base 2027'!N7/1000000)</f>
        <v>4.3892390573890591E-2</v>
      </c>
      <c r="J9" s="28">
        <f>'Cálculo FoCo'!Q7/1000000</f>
        <v>0</v>
      </c>
      <c r="K9" s="23">
        <f t="shared" si="2"/>
        <v>373.21093642453963</v>
      </c>
    </row>
    <row r="10" spans="1:11" x14ac:dyDescent="0.2">
      <c r="A10" s="27" t="s">
        <v>53</v>
      </c>
      <c r="B10" s="35">
        <f>Población!L8</f>
        <v>918817</v>
      </c>
      <c r="C10" s="35">
        <f>Población!D8</f>
        <v>968673</v>
      </c>
      <c r="D10" s="20">
        <f t="shared" si="0"/>
        <v>5.4261077015336001E-2</v>
      </c>
      <c r="E10" s="28">
        <f>SUMIFS('Cálculo FGP-FFM-FOFIR'!$Y$5:$Y$260,'Cálculo FGP-FFM-FOFIR'!$B$5:$B$260,$A10,'Cálculo FGP-FFM-FOFIR'!$A$5:$A$260,"FGP*")/1000000</f>
        <v>266.41135311639755</v>
      </c>
      <c r="F10" s="28">
        <f>SUMIFS('Cálculo FGP-FFM-FOFIR'!$Y$5:$Y$260,'Cálculo FGP-FFM-FOFIR'!$B$5:$B$260,$A10,'Cálculo FGP-FFM-FOFIR'!$A$5:$A$260,"FFM*")/1000000</f>
        <v>9.3173357283889793</v>
      </c>
      <c r="G10" s="28">
        <f>SUMIFS('Cálculo FGP-FFM-FOFIR'!$Y$5:$Y$260,'Cálculo FGP-FFM-FOFIR'!$B$5:$B$260,$A10,'Cálculo FGP-FFM-FOFIR'!$A$5:$A$260,"FOFIR*")/1000000</f>
        <v>8.4208395145335189</v>
      </c>
      <c r="H10" s="29">
        <f t="shared" si="1"/>
        <v>284.14952835932002</v>
      </c>
      <c r="I10" s="31">
        <f>H10/('Base 2027'!N8/1000000)</f>
        <v>3.3409444950536223E-2</v>
      </c>
      <c r="J10" s="28">
        <f>'Cálculo FoCo'!Q8/1000000</f>
        <v>0</v>
      </c>
      <c r="K10" s="23">
        <f t="shared" si="2"/>
        <v>284.14952835932002</v>
      </c>
    </row>
    <row r="11" spans="1:11" x14ac:dyDescent="0.2">
      <c r="A11" s="27" t="s">
        <v>54</v>
      </c>
      <c r="B11" s="35">
        <f>Población!L9</f>
        <v>3582441</v>
      </c>
      <c r="C11" s="35">
        <f>Población!D9</f>
        <v>3415128</v>
      </c>
      <c r="D11" s="20">
        <f t="shared" si="0"/>
        <v>-4.6703630290073184E-2</v>
      </c>
      <c r="E11" s="28">
        <f>SUMIFS('Cálculo FGP-FFM-FOFIR'!$Y$5:$Y$260,'Cálculo FGP-FFM-FOFIR'!$B$5:$B$260,$A11,'Cálculo FGP-FFM-FOFIR'!$A$5:$A$260,"FGP*")/1000000</f>
        <v>-1063.1626503500729</v>
      </c>
      <c r="F11" s="28">
        <f>SUMIFS('Cálculo FGP-FFM-FOFIR'!$Y$5:$Y$260,'Cálculo FGP-FFM-FOFIR'!$B$5:$B$260,$A11,'Cálculo FGP-FFM-FOFIR'!$A$5:$A$260,"FFM*")/1000000</f>
        <v>-31.289414725821274</v>
      </c>
      <c r="G11" s="28">
        <f>SUMIFS('Cálculo FGP-FFM-FOFIR'!$Y$5:$Y$260,'Cálculo FGP-FFM-FOFIR'!$B$5:$B$260,$A11,'Cálculo FGP-FFM-FOFIR'!$A$5:$A$260,"FOFIR*")/1000000</f>
        <v>-45.230158262223767</v>
      </c>
      <c r="H11" s="29">
        <f t="shared" si="1"/>
        <v>-1139.6822233381179</v>
      </c>
      <c r="I11" s="31">
        <f>H11/('Base 2027'!N9/1000000)</f>
        <v>-3.5188891003055986E-2</v>
      </c>
      <c r="J11" s="28">
        <f>'Cálculo FoCo'!Q9/1000000</f>
        <v>0</v>
      </c>
      <c r="K11" s="23">
        <f t="shared" si="2"/>
        <v>-1139.6822233381179</v>
      </c>
    </row>
    <row r="12" spans="1:11" x14ac:dyDescent="0.2">
      <c r="A12" s="27" t="s">
        <v>55</v>
      </c>
      <c r="B12" s="35">
        <f>Población!L10</f>
        <v>745394</v>
      </c>
      <c r="C12" s="35">
        <f>Población!D10</f>
        <v>762212</v>
      </c>
      <c r="D12" s="20">
        <f t="shared" si="0"/>
        <v>2.2562564227777582E-2</v>
      </c>
      <c r="E12" s="28">
        <f>SUMIFS('Cálculo FGP-FFM-FOFIR'!$Y$5:$Y$260,'Cálculo FGP-FFM-FOFIR'!$B$5:$B$260,$A12,'Cálculo FGP-FFM-FOFIR'!$A$5:$A$260,"FGP*")/1000000</f>
        <v>105.44598481721479</v>
      </c>
      <c r="F12" s="28">
        <f>SUMIFS('Cálculo FGP-FFM-FOFIR'!$Y$5:$Y$260,'Cálculo FGP-FFM-FOFIR'!$B$5:$B$260,$A12,'Cálculo FGP-FFM-FOFIR'!$A$5:$A$260,"FFM*")/1000000</f>
        <v>3.3635019090880149</v>
      </c>
      <c r="G12" s="28">
        <f>SUMIFS('Cálculo FGP-FFM-FOFIR'!$Y$5:$Y$260,'Cálculo FGP-FFM-FOFIR'!$B$5:$B$260,$A12,'Cálculo FGP-FFM-FOFIR'!$A$5:$A$260,"FOFIR*")/1000000</f>
        <v>3.8499728588773854</v>
      </c>
      <c r="H12" s="29">
        <f t="shared" si="1"/>
        <v>112.65945958518019</v>
      </c>
      <c r="I12" s="31">
        <f>H12/('Base 2027'!N10/1000000)</f>
        <v>1.5366031455807571E-2</v>
      </c>
      <c r="J12" s="28">
        <f>'Cálculo FoCo'!Q10/1000000</f>
        <v>0</v>
      </c>
      <c r="K12" s="23">
        <f t="shared" si="2"/>
        <v>112.65945958518019</v>
      </c>
    </row>
    <row r="13" spans="1:11" x14ac:dyDescent="0.2">
      <c r="A13" s="27" t="s">
        <v>56</v>
      </c>
      <c r="B13" s="35">
        <f>Población!L11</f>
        <v>5900473</v>
      </c>
      <c r="C13" s="35">
        <f>Población!D11</f>
        <v>5860728</v>
      </c>
      <c r="D13" s="20">
        <f t="shared" si="0"/>
        <v>-6.7359006642349062E-3</v>
      </c>
      <c r="E13" s="28">
        <f>SUMIFS('Cálculo FGP-FFM-FOFIR'!$Y$5:$Y$260,'Cálculo FGP-FFM-FOFIR'!$B$5:$B$260,$A13,'Cálculo FGP-FFM-FOFIR'!$A$5:$A$260,"FGP*")/1000000</f>
        <v>-224.5073328211669</v>
      </c>
      <c r="F13" s="28">
        <f>SUMIFS('Cálculo FGP-FFM-FOFIR'!$Y$5:$Y$260,'Cálculo FGP-FFM-FOFIR'!$B$5:$B$260,$A13,'Cálculo FGP-FFM-FOFIR'!$A$5:$A$260,"FFM*")/1000000</f>
        <v>-6.8739706145622517</v>
      </c>
      <c r="G13" s="28">
        <f>SUMIFS('Cálculo FGP-FFM-FOFIR'!$Y$5:$Y$260,'Cálculo FGP-FFM-FOFIR'!$B$5:$B$260,$A13,'Cálculo FGP-FFM-FOFIR'!$A$5:$A$260,"FOFIR*")/1000000</f>
        <v>-8.988218661047652</v>
      </c>
      <c r="H13" s="29">
        <f t="shared" si="1"/>
        <v>-240.36952209677679</v>
      </c>
      <c r="I13" s="31">
        <f>H13/('Base 2027'!N11/1000000)</f>
        <v>-4.324481748817219E-3</v>
      </c>
      <c r="J13" s="28">
        <f>'Cálculo FoCo'!Q11/1000000</f>
        <v>-1.2837507127249241</v>
      </c>
      <c r="K13" s="23">
        <f t="shared" si="2"/>
        <v>-241.65327280950171</v>
      </c>
    </row>
    <row r="14" spans="1:11" x14ac:dyDescent="0.2">
      <c r="A14" s="27" t="s">
        <v>57</v>
      </c>
      <c r="B14" s="35">
        <f>Población!L12</f>
        <v>3991333</v>
      </c>
      <c r="C14" s="35">
        <f>Población!D12</f>
        <v>3903944</v>
      </c>
      <c r="D14" s="20">
        <f t="shared" si="0"/>
        <v>-2.1894690320251375E-2</v>
      </c>
      <c r="E14" s="28">
        <f>SUMIFS('Cálculo FGP-FFM-FOFIR'!$Y$5:$Y$260,'Cálculo FGP-FFM-FOFIR'!$B$5:$B$260,$A14,'Cálculo FGP-FFM-FOFIR'!$A$5:$A$260,"FGP*")/1000000</f>
        <v>-549.35240886440863</v>
      </c>
      <c r="F14" s="28">
        <f>SUMIFS('Cálculo FGP-FFM-FOFIR'!$Y$5:$Y$260,'Cálculo FGP-FFM-FOFIR'!$B$5:$B$260,$A14,'Cálculo FGP-FFM-FOFIR'!$A$5:$A$260,"FFM*")/1000000</f>
        <v>-16.328462690134199</v>
      </c>
      <c r="G14" s="28">
        <f>SUMIFS('Cálculo FGP-FFM-FOFIR'!$Y$5:$Y$260,'Cálculo FGP-FFM-FOFIR'!$B$5:$B$260,$A14,'Cálculo FGP-FFM-FOFIR'!$A$5:$A$260,"FOFIR*")/1000000</f>
        <v>-38.16587345056287</v>
      </c>
      <c r="H14" s="29">
        <f t="shared" si="1"/>
        <v>-603.84674500510573</v>
      </c>
      <c r="I14" s="31">
        <f>H14/('Base 2027'!N12/1000000)</f>
        <v>-1.5790204467850608E-2</v>
      </c>
      <c r="J14" s="28">
        <f>'Cálculo FoCo'!Q12/1000000</f>
        <v>0</v>
      </c>
      <c r="K14" s="23">
        <f t="shared" si="2"/>
        <v>-603.84674500510573</v>
      </c>
    </row>
    <row r="15" spans="1:11" x14ac:dyDescent="0.2">
      <c r="A15" s="27" t="s">
        <v>58</v>
      </c>
      <c r="B15" s="35">
        <f>Población!L13</f>
        <v>9319955</v>
      </c>
      <c r="C15" s="35">
        <f>Población!D13</f>
        <v>9216407</v>
      </c>
      <c r="D15" s="20">
        <f t="shared" si="0"/>
        <v>-1.111035407359795E-2</v>
      </c>
      <c r="E15" s="28">
        <f>SUMIFS('Cálculo FGP-FFM-FOFIR'!$Y$5:$Y$260,'Cálculo FGP-FFM-FOFIR'!$B$5:$B$260,$A15,'Cálculo FGP-FFM-FOFIR'!$A$5:$A$260,"FGP*")/1000000</f>
        <v>-750.90090931314137</v>
      </c>
      <c r="F15" s="28">
        <f>SUMIFS('Cálculo FGP-FFM-FOFIR'!$Y$5:$Y$260,'Cálculo FGP-FFM-FOFIR'!$B$5:$B$260,$A15,'Cálculo FGP-FFM-FOFIR'!$A$5:$A$260,"FFM*")/1000000</f>
        <v>-19.568814541381876</v>
      </c>
      <c r="G15" s="28">
        <f>SUMIFS('Cálculo FGP-FFM-FOFIR'!$Y$5:$Y$260,'Cálculo FGP-FFM-FOFIR'!$B$5:$B$260,$A15,'Cálculo FGP-FFM-FOFIR'!$A$5:$A$260,"FOFIR*")/1000000</f>
        <v>-36.947212613886613</v>
      </c>
      <c r="H15" s="29">
        <f t="shared" si="1"/>
        <v>-807.41693646840986</v>
      </c>
      <c r="I15" s="31">
        <f>H15/('Base 2027'!N13/1000000)</f>
        <v>-6.4889578855306263E-3</v>
      </c>
      <c r="J15" s="28">
        <f>'Cálculo FoCo'!Q13/1000000</f>
        <v>0</v>
      </c>
      <c r="K15" s="23">
        <f t="shared" si="2"/>
        <v>-807.41693646840986</v>
      </c>
    </row>
    <row r="16" spans="1:11" x14ac:dyDescent="0.2">
      <c r="A16" s="27" t="s">
        <v>59</v>
      </c>
      <c r="B16" s="35">
        <f>Población!L14</f>
        <v>1954301</v>
      </c>
      <c r="C16" s="35">
        <f>Población!D14</f>
        <v>1943290</v>
      </c>
      <c r="D16" s="20">
        <f t="shared" si="0"/>
        <v>-5.6342395567520187E-3</v>
      </c>
      <c r="E16" s="28">
        <f>SUMIFS('Cálculo FGP-FFM-FOFIR'!$Y$5:$Y$260,'Cálculo FGP-FFM-FOFIR'!$B$5:$B$260,$A16,'Cálculo FGP-FFM-FOFIR'!$A$5:$A$260,"FGP*")/1000000</f>
        <v>-60.63610915009729</v>
      </c>
      <c r="F16" s="28">
        <f>SUMIFS('Cálculo FGP-FFM-FOFIR'!$Y$5:$Y$260,'Cálculo FGP-FFM-FOFIR'!$B$5:$B$260,$A16,'Cálculo FGP-FFM-FOFIR'!$A$5:$A$260,"FFM*")/1000000</f>
        <v>-1.8642900815400272</v>
      </c>
      <c r="G16" s="28">
        <f>SUMIFS('Cálculo FGP-FFM-FOFIR'!$Y$5:$Y$260,'Cálculo FGP-FFM-FOFIR'!$B$5:$B$260,$A16,'Cálculo FGP-FFM-FOFIR'!$A$5:$A$260,"FOFIR*")/1000000</f>
        <v>-10.271352676631102</v>
      </c>
      <c r="H16" s="29">
        <f t="shared" si="1"/>
        <v>-72.771751908268413</v>
      </c>
      <c r="I16" s="31">
        <f>H16/('Base 2027'!N14/1000000)</f>
        <v>-3.8891896615032479E-3</v>
      </c>
      <c r="J16" s="28">
        <f>'Cálculo FoCo'!Q14/1000000</f>
        <v>0</v>
      </c>
      <c r="K16" s="23">
        <f t="shared" si="2"/>
        <v>-72.771751908268413</v>
      </c>
    </row>
    <row r="17" spans="1:11" x14ac:dyDescent="0.2">
      <c r="A17" s="27" t="s">
        <v>60</v>
      </c>
      <c r="B17" s="35">
        <f>Población!L15</f>
        <v>6376710</v>
      </c>
      <c r="C17" s="35">
        <f>Población!D15</f>
        <v>6446935</v>
      </c>
      <c r="D17" s="20">
        <f t="shared" si="0"/>
        <v>1.1012732271030057E-2</v>
      </c>
      <c r="E17" s="28">
        <f>SUMIFS('Cálculo FGP-FFM-FOFIR'!$Y$5:$Y$260,'Cálculo FGP-FFM-FOFIR'!$B$5:$B$260,$A17,'Cálculo FGP-FFM-FOFIR'!$A$5:$A$260,"FGP*")/1000000</f>
        <v>507.64478658375373</v>
      </c>
      <c r="F17" s="28">
        <f>SUMIFS('Cálculo FGP-FFM-FOFIR'!$Y$5:$Y$260,'Cálculo FGP-FFM-FOFIR'!$B$5:$B$260,$A17,'Cálculo FGP-FFM-FOFIR'!$A$5:$A$260,"FFM*")/1000000</f>
        <v>14.209334016239493</v>
      </c>
      <c r="G17" s="28">
        <f>SUMIFS('Cálculo FGP-FFM-FOFIR'!$Y$5:$Y$260,'Cálculo FGP-FFM-FOFIR'!$B$5:$B$260,$A17,'Cálculo FGP-FFM-FOFIR'!$A$5:$A$260,"FOFIR*")/1000000</f>
        <v>22.040495239463166</v>
      </c>
      <c r="H17" s="29">
        <f t="shared" si="1"/>
        <v>543.89461583945638</v>
      </c>
      <c r="I17" s="31">
        <f>H17/('Base 2027'!N15/1000000)</f>
        <v>9.2235470320095013E-3</v>
      </c>
      <c r="J17" s="28">
        <f>'Cálculo FoCo'!Q15/1000000</f>
        <v>0</v>
      </c>
      <c r="K17" s="23">
        <f t="shared" si="2"/>
        <v>543.89461583945638</v>
      </c>
    </row>
    <row r="18" spans="1:11" x14ac:dyDescent="0.2">
      <c r="A18" s="27" t="s">
        <v>61</v>
      </c>
      <c r="B18" s="35">
        <f>Población!L16</f>
        <v>3578620</v>
      </c>
      <c r="C18" s="35">
        <f>Población!D16</f>
        <v>3418902</v>
      </c>
      <c r="D18" s="20">
        <f t="shared" si="0"/>
        <v>-4.4631170674729326E-2</v>
      </c>
      <c r="E18" s="28">
        <f>SUMIFS('Cálculo FGP-FFM-FOFIR'!$Y$5:$Y$260,'Cálculo FGP-FFM-FOFIR'!$B$5:$B$260,$A18,'Cálculo FGP-FFM-FOFIR'!$A$5:$A$260,"FGP*")/1000000</f>
        <v>-972.74117913316218</v>
      </c>
      <c r="F18" s="28">
        <f>SUMIFS('Cálculo FGP-FFM-FOFIR'!$Y$5:$Y$260,'Cálculo FGP-FFM-FOFIR'!$B$5:$B$260,$A18,'Cálculo FGP-FFM-FOFIR'!$A$5:$A$260,"FFM*")/1000000</f>
        <v>-29.935774991704005</v>
      </c>
      <c r="G18" s="28">
        <f>SUMIFS('Cálculo FGP-FFM-FOFIR'!$Y$5:$Y$260,'Cálculo FGP-FFM-FOFIR'!$B$5:$B$260,$A18,'Cálculo FGP-FFM-FOFIR'!$A$5:$A$260,"FOFIR*")/1000000</f>
        <v>-32.713740791595342</v>
      </c>
      <c r="H18" s="29">
        <f t="shared" si="1"/>
        <v>-1035.3906949164616</v>
      </c>
      <c r="I18" s="31">
        <f>H18/('Base 2027'!N16/1000000)</f>
        <v>-3.2781842695948714E-2</v>
      </c>
      <c r="J18" s="28">
        <f>'Cálculo FoCo'!Q16/1000000</f>
        <v>-43.648384964713571</v>
      </c>
      <c r="K18" s="23">
        <f t="shared" si="2"/>
        <v>-1079.0390798811752</v>
      </c>
    </row>
    <row r="19" spans="1:11" x14ac:dyDescent="0.2">
      <c r="A19" s="27" t="s">
        <v>62</v>
      </c>
      <c r="B19" s="35">
        <f>Población!L17</f>
        <v>3228160</v>
      </c>
      <c r="C19" s="35">
        <f>Población!D17</f>
        <v>3245595</v>
      </c>
      <c r="D19" s="20">
        <f t="shared" si="0"/>
        <v>5.4009094964313498E-3</v>
      </c>
      <c r="E19" s="28">
        <f>SUMIFS('Cálculo FGP-FFM-FOFIR'!$Y$5:$Y$260,'Cálculo FGP-FFM-FOFIR'!$B$5:$B$260,$A19,'Cálculo FGP-FFM-FOFIR'!$A$5:$A$260,"FGP*")/1000000</f>
        <v>126.26980965825597</v>
      </c>
      <c r="F19" s="28">
        <f>SUMIFS('Cálculo FGP-FFM-FOFIR'!$Y$5:$Y$260,'Cálculo FGP-FFM-FOFIR'!$B$5:$B$260,$A19,'Cálculo FGP-FFM-FOFIR'!$A$5:$A$260,"FFM*")/1000000</f>
        <v>3.6605994823841259</v>
      </c>
      <c r="G19" s="28">
        <f>SUMIFS('Cálculo FGP-FFM-FOFIR'!$Y$5:$Y$260,'Cálculo FGP-FFM-FOFIR'!$B$5:$B$260,$A19,'Cálculo FGP-FFM-FOFIR'!$A$5:$A$260,"FOFIR*")/1000000</f>
        <v>3.2200811415713058</v>
      </c>
      <c r="H19" s="29">
        <f t="shared" si="1"/>
        <v>133.15049028221139</v>
      </c>
      <c r="I19" s="31">
        <f>H19/('Base 2027'!N17/1000000)</f>
        <v>4.606705695828806E-3</v>
      </c>
      <c r="J19" s="28">
        <f>'Cálculo FoCo'!Q17/1000000</f>
        <v>-654.07556333348725</v>
      </c>
      <c r="K19" s="23">
        <f t="shared" si="2"/>
        <v>-520.92507305127583</v>
      </c>
    </row>
    <row r="20" spans="1:11" x14ac:dyDescent="0.2">
      <c r="A20" s="27" t="s">
        <v>63</v>
      </c>
      <c r="B20" s="35">
        <f>Población!L18</f>
        <v>8761130</v>
      </c>
      <c r="C20" s="35">
        <f>Población!D18</f>
        <v>8679851</v>
      </c>
      <c r="D20" s="20">
        <f t="shared" si="0"/>
        <v>-9.277227937492083E-3</v>
      </c>
      <c r="E20" s="28">
        <f>SUMIFS('Cálculo FGP-FFM-FOFIR'!$Y$5:$Y$260,'Cálculo FGP-FFM-FOFIR'!$B$5:$B$260,$A20,'Cálculo FGP-FFM-FOFIR'!$A$5:$A$260,"FGP*")/1000000</f>
        <v>-493.53815930105554</v>
      </c>
      <c r="F20" s="28">
        <f>SUMIFS('Cálculo FGP-FFM-FOFIR'!$Y$5:$Y$260,'Cálculo FGP-FFM-FOFIR'!$B$5:$B$260,$A20,'Cálculo FGP-FFM-FOFIR'!$A$5:$A$260,"FFM*")/1000000</f>
        <v>-14.484115111542597</v>
      </c>
      <c r="G20" s="28">
        <f>SUMIFS('Cálculo FGP-FFM-FOFIR'!$Y$5:$Y$260,'Cálculo FGP-FFM-FOFIR'!$B$5:$B$260,$A20,'Cálculo FGP-FFM-FOFIR'!$A$5:$A$260,"FOFIR*")/1000000</f>
        <v>-24.082307565491341</v>
      </c>
      <c r="H20" s="29">
        <f t="shared" si="1"/>
        <v>-532.10458197808953</v>
      </c>
      <c r="I20" s="31">
        <f>H20/('Base 2027'!N18/1000000)</f>
        <v>-6.213228024081148E-3</v>
      </c>
      <c r="J20" s="28">
        <f>'Cálculo FoCo'!Q18/1000000</f>
        <v>0</v>
      </c>
      <c r="K20" s="23">
        <f t="shared" si="2"/>
        <v>-532.10458197808953</v>
      </c>
    </row>
    <row r="21" spans="1:11" x14ac:dyDescent="0.2">
      <c r="A21" s="27" t="s">
        <v>64</v>
      </c>
      <c r="B21" s="35">
        <f>Población!L19</f>
        <v>17789139</v>
      </c>
      <c r="C21" s="35">
        <f>Población!D19</f>
        <v>17612480</v>
      </c>
      <c r="D21" s="20">
        <f t="shared" si="0"/>
        <v>-9.9307223356903673E-3</v>
      </c>
      <c r="E21" s="28">
        <f>SUMIFS('Cálculo FGP-FFM-FOFIR'!$Y$5:$Y$260,'Cálculo FGP-FFM-FOFIR'!$B$5:$B$260,$A21,'Cálculo FGP-FFM-FOFIR'!$A$5:$A$260,"FGP*")/1000000</f>
        <v>-1116.1987417558469</v>
      </c>
      <c r="F21" s="28">
        <f>SUMIFS('Cálculo FGP-FFM-FOFIR'!$Y$5:$Y$260,'Cálculo FGP-FFM-FOFIR'!$B$5:$B$260,$A21,'Cálculo FGP-FFM-FOFIR'!$A$5:$A$260,"FFM*")/1000000</f>
        <v>-30.628291878700978</v>
      </c>
      <c r="G21" s="28">
        <f>SUMIFS('Cálculo FGP-FFM-FOFIR'!$Y$5:$Y$260,'Cálculo FGP-FFM-FOFIR'!$B$5:$B$260,$A21,'Cálculo FGP-FFM-FOFIR'!$A$5:$A$260,"FOFIR*")/1000000</f>
        <v>-111.91438750608187</v>
      </c>
      <c r="H21" s="29">
        <f t="shared" si="1"/>
        <v>-1258.7414211406297</v>
      </c>
      <c r="I21" s="31">
        <f>H21/('Base 2027'!N19/1000000)</f>
        <v>-6.9061345717825661E-3</v>
      </c>
      <c r="J21" s="28">
        <f>'Cálculo FoCo'!Q19/1000000</f>
        <v>1.1480504556123019</v>
      </c>
      <c r="K21" s="23">
        <f t="shared" si="2"/>
        <v>-1257.5933706850174</v>
      </c>
    </row>
    <row r="22" spans="1:11" x14ac:dyDescent="0.2">
      <c r="A22" s="27" t="s">
        <v>65</v>
      </c>
      <c r="B22" s="35">
        <f>Población!L20</f>
        <v>4940153</v>
      </c>
      <c r="C22" s="35">
        <f>Población!D20</f>
        <v>4889574</v>
      </c>
      <c r="D22" s="20">
        <f t="shared" si="0"/>
        <v>-1.0238346869013926E-2</v>
      </c>
      <c r="E22" s="28">
        <f>SUMIFS('Cálculo FGP-FFM-FOFIR'!$Y$5:$Y$260,'Cálculo FGP-FFM-FOFIR'!$B$5:$B$260,$A22,'Cálculo FGP-FFM-FOFIR'!$A$5:$A$260,"FGP*")/1000000</f>
        <v>-282.67325456153361</v>
      </c>
      <c r="F22" s="28">
        <f>SUMIFS('Cálculo FGP-FFM-FOFIR'!$Y$5:$Y$260,'Cálculo FGP-FFM-FOFIR'!$B$5:$B$260,$A22,'Cálculo FGP-FFM-FOFIR'!$A$5:$A$260,"FFM*")/1000000</f>
        <v>-9.2853418995229404</v>
      </c>
      <c r="G22" s="28">
        <f>SUMIFS('Cálculo FGP-FFM-FOFIR'!$Y$5:$Y$260,'Cálculo FGP-FFM-FOFIR'!$B$5:$B$260,$A22,'Cálculo FGP-FFM-FOFIR'!$A$5:$A$260,"FOFIR*")/1000000</f>
        <v>-16.840022238320429</v>
      </c>
      <c r="H22" s="29">
        <f t="shared" si="1"/>
        <v>-308.79861869937702</v>
      </c>
      <c r="I22" s="31">
        <f>H22/('Base 2027'!N20/1000000)</f>
        <v>-7.3766712676358757E-3</v>
      </c>
      <c r="J22" s="28">
        <f>'Cálculo FoCo'!Q20/1000000</f>
        <v>0</v>
      </c>
      <c r="K22" s="23">
        <f t="shared" si="2"/>
        <v>-308.79861869937702</v>
      </c>
    </row>
    <row r="23" spans="1:11" x14ac:dyDescent="0.2">
      <c r="A23" s="27" t="s">
        <v>66</v>
      </c>
      <c r="B23" s="35">
        <f>Población!L21</f>
        <v>1984462</v>
      </c>
      <c r="C23" s="35">
        <f>Población!D21</f>
        <v>1997217</v>
      </c>
      <c r="D23" s="20">
        <f t="shared" si="0"/>
        <v>6.4274347404988941E-3</v>
      </c>
      <c r="E23" s="28">
        <f>SUMIFS('Cálculo FGP-FFM-FOFIR'!$Y$5:$Y$260,'Cálculo FGP-FFM-FOFIR'!$B$5:$B$260,$A23,'Cálculo FGP-FFM-FOFIR'!$A$5:$A$260,"FGP*")/1000000</f>
        <v>86.984259934780667</v>
      </c>
      <c r="F23" s="28">
        <f>SUMIFS('Cálculo FGP-FFM-FOFIR'!$Y$5:$Y$260,'Cálculo FGP-FFM-FOFIR'!$B$5:$B$260,$A23,'Cálculo FGP-FFM-FOFIR'!$A$5:$A$260,"FFM*")/1000000</f>
        <v>2.611619465575389</v>
      </c>
      <c r="G23" s="28">
        <f>SUMIFS('Cálculo FGP-FFM-FOFIR'!$Y$5:$Y$260,'Cálculo FGP-FFM-FOFIR'!$B$5:$B$260,$A23,'Cálculo FGP-FFM-FOFIR'!$A$5:$A$260,"FOFIR*")/1000000</f>
        <v>2.3337141512375394</v>
      </c>
      <c r="H23" s="29">
        <f t="shared" si="1"/>
        <v>91.929593551593598</v>
      </c>
      <c r="I23" s="31">
        <f>H23/('Base 2027'!N21/1000000)</f>
        <v>5.2378712773809765E-3</v>
      </c>
      <c r="J23" s="28">
        <f>'Cálculo FoCo'!Q21/1000000</f>
        <v>0</v>
      </c>
      <c r="K23" s="23">
        <f t="shared" si="2"/>
        <v>91.929593551593598</v>
      </c>
    </row>
    <row r="24" spans="1:11" x14ac:dyDescent="0.2">
      <c r="A24" s="27" t="s">
        <v>67</v>
      </c>
      <c r="B24" s="35">
        <f>Población!L22</f>
        <v>1257616</v>
      </c>
      <c r="C24" s="35">
        <f>Población!D22</f>
        <v>1299075</v>
      </c>
      <c r="D24" s="20">
        <f t="shared" si="0"/>
        <v>3.2966342667396065E-2</v>
      </c>
      <c r="E24" s="28">
        <f>SUMIFS('Cálculo FGP-FFM-FOFIR'!$Y$5:$Y$260,'Cálculo FGP-FFM-FOFIR'!$B$5:$B$260,$A24,'Cálculo FGP-FFM-FOFIR'!$A$5:$A$260,"FGP*")/1000000</f>
        <v>256.7028017017393</v>
      </c>
      <c r="F24" s="28">
        <f>SUMIFS('Cálculo FGP-FFM-FOFIR'!$Y$5:$Y$260,'Cálculo FGP-FFM-FOFIR'!$B$5:$B$260,$A24,'Cálculo FGP-FFM-FOFIR'!$A$5:$A$260,"FFM*")/1000000</f>
        <v>8.9271585399221269</v>
      </c>
      <c r="G24" s="28">
        <f>SUMIFS('Cálculo FGP-FFM-FOFIR'!$Y$5:$Y$260,'Cálculo FGP-FFM-FOFIR'!$B$5:$B$260,$A24,'Cálculo FGP-FFM-FOFIR'!$A$5:$A$260,"FOFIR*")/1000000</f>
        <v>8.705419786800487</v>
      </c>
      <c r="H24" s="29">
        <f t="shared" si="1"/>
        <v>274.33538002846188</v>
      </c>
      <c r="I24" s="31">
        <f>H24/('Base 2027'!N22/1000000)</f>
        <v>2.2512712423139146E-2</v>
      </c>
      <c r="J24" s="28">
        <f>'Cálculo FoCo'!Q22/1000000</f>
        <v>38.362772700565337</v>
      </c>
      <c r="K24" s="23">
        <f t="shared" si="2"/>
        <v>312.69815272902724</v>
      </c>
    </row>
    <row r="25" spans="1:11" x14ac:dyDescent="0.2">
      <c r="A25" s="27" t="s">
        <v>68</v>
      </c>
      <c r="B25" s="35">
        <f>Población!L23</f>
        <v>6310265</v>
      </c>
      <c r="C25" s="35">
        <f>Población!D23</f>
        <v>6291899</v>
      </c>
      <c r="D25" s="20">
        <f t="shared" si="0"/>
        <v>-2.9104958349609467E-3</v>
      </c>
      <c r="E25" s="28">
        <f>SUMIFS('Cálculo FGP-FFM-FOFIR'!$Y$5:$Y$260,'Cálculo FGP-FFM-FOFIR'!$B$5:$B$260,$A25,'Cálculo FGP-FFM-FOFIR'!$A$5:$A$260,"FGP*")/1000000</f>
        <v>-74.216586935641601</v>
      </c>
      <c r="F25" s="28">
        <f>SUMIFS('Cálculo FGP-FFM-FOFIR'!$Y$5:$Y$260,'Cálculo FGP-FFM-FOFIR'!$B$5:$B$260,$A25,'Cálculo FGP-FFM-FOFIR'!$A$5:$A$260,"FFM*")/1000000</f>
        <v>-2.6919985707469096</v>
      </c>
      <c r="G25" s="28">
        <f>SUMIFS('Cálculo FGP-FFM-FOFIR'!$Y$5:$Y$260,'Cálculo FGP-FFM-FOFIR'!$B$5:$B$260,$A25,'Cálculo FGP-FFM-FOFIR'!$A$5:$A$260,"FOFIR*")/1000000</f>
        <v>-10.034915900104821</v>
      </c>
      <c r="H25" s="29">
        <f t="shared" si="1"/>
        <v>-86.943501406493326</v>
      </c>
      <c r="I25" s="31">
        <f>H25/('Base 2027'!N23/1000000)</f>
        <v>-1.3784176951801984E-3</v>
      </c>
      <c r="J25" s="28">
        <f>'Cálculo FoCo'!Q23/1000000</f>
        <v>0</v>
      </c>
      <c r="K25" s="23">
        <f t="shared" si="2"/>
        <v>-86.943501406493326</v>
      </c>
    </row>
    <row r="26" spans="1:11" x14ac:dyDescent="0.2">
      <c r="A26" s="27" t="s">
        <v>69</v>
      </c>
      <c r="B26" s="35">
        <f>Población!L24</f>
        <v>4190375</v>
      </c>
      <c r="C26" s="35">
        <f>Población!D24</f>
        <v>4169180</v>
      </c>
      <c r="D26" s="20">
        <f t="shared" si="0"/>
        <v>-5.0580198669569754E-3</v>
      </c>
      <c r="E26" s="28">
        <f>SUMIFS('Cálculo FGP-FFM-FOFIR'!$Y$5:$Y$260,'Cálculo FGP-FFM-FOFIR'!$B$5:$B$260,$A26,'Cálculo FGP-FFM-FOFIR'!$A$5:$A$260,"FGP*")/1000000</f>
        <v>-113.38314541185751</v>
      </c>
      <c r="F26" s="28">
        <f>SUMIFS('Cálculo FGP-FFM-FOFIR'!$Y$5:$Y$260,'Cálculo FGP-FFM-FOFIR'!$B$5:$B$260,$A26,'Cálculo FGP-FFM-FOFIR'!$A$5:$A$260,"FFM*")/1000000</f>
        <v>-3.9044868176042358</v>
      </c>
      <c r="G26" s="28">
        <f>SUMIFS('Cálculo FGP-FFM-FOFIR'!$Y$5:$Y$260,'Cálculo FGP-FFM-FOFIR'!$B$5:$B$260,$A26,'Cálculo FGP-FFM-FOFIR'!$A$5:$A$260,"FOFIR*")/1000000</f>
        <v>-10.499316509177701</v>
      </c>
      <c r="H26" s="29">
        <f t="shared" si="1"/>
        <v>-127.78694873863945</v>
      </c>
      <c r="I26" s="31">
        <f>H26/('Base 2027'!N24/1000000)</f>
        <v>-3.370788352483486E-3</v>
      </c>
      <c r="J26" s="28">
        <f>'Cálculo FoCo'!Q24/1000000</f>
        <v>-7.3060954981528523</v>
      </c>
      <c r="K26" s="23">
        <f t="shared" si="2"/>
        <v>-135.09304423679231</v>
      </c>
    </row>
    <row r="27" spans="1:11" x14ac:dyDescent="0.2">
      <c r="A27" s="27" t="s">
        <v>70</v>
      </c>
      <c r="B27" s="35">
        <f>Población!L25</f>
        <v>6624540</v>
      </c>
      <c r="C27" s="35">
        <f>Población!D25</f>
        <v>6851933</v>
      </c>
      <c r="D27" s="20">
        <f t="shared" si="0"/>
        <v>3.4325855078239487E-2</v>
      </c>
      <c r="E27" s="28">
        <f>SUMIFS('Cálculo FGP-FFM-FOFIR'!$Y$5:$Y$260,'Cálculo FGP-FFM-FOFIR'!$B$5:$B$260,$A27,'Cálculo FGP-FFM-FOFIR'!$A$5:$A$260,"FGP*")/1000000</f>
        <v>1488.4267744142717</v>
      </c>
      <c r="F27" s="28">
        <f>SUMIFS('Cálculo FGP-FFM-FOFIR'!$Y$5:$Y$260,'Cálculo FGP-FFM-FOFIR'!$B$5:$B$260,$A27,'Cálculo FGP-FFM-FOFIR'!$A$5:$A$260,"FFM*")/1000000</f>
        <v>44.731611173624074</v>
      </c>
      <c r="G27" s="28">
        <f>SUMIFS('Cálculo FGP-FFM-FOFIR'!$Y$5:$Y$260,'Cálculo FGP-FFM-FOFIR'!$B$5:$B$260,$A27,'Cálculo FGP-FFM-FOFIR'!$A$5:$A$260,"FOFIR*")/1000000</f>
        <v>63.514366716985336</v>
      </c>
      <c r="H27" s="29">
        <f t="shared" si="1"/>
        <v>1596.672752304881</v>
      </c>
      <c r="I27" s="31">
        <f>H27/('Base 2027'!N25/1000000)</f>
        <v>2.7161549545381806E-2</v>
      </c>
      <c r="J27" s="28">
        <f>'Cálculo FoCo'!Q25/1000000</f>
        <v>685.85293992385277</v>
      </c>
      <c r="K27" s="23">
        <f t="shared" si="2"/>
        <v>2282.5256922287335</v>
      </c>
    </row>
    <row r="28" spans="1:11" x14ac:dyDescent="0.2">
      <c r="A28" s="27" t="s">
        <v>71</v>
      </c>
      <c r="B28" s="35">
        <f>Población!L26</f>
        <v>2498744</v>
      </c>
      <c r="C28" s="35">
        <f>Población!D26</f>
        <v>2606836</v>
      </c>
      <c r="D28" s="20">
        <f t="shared" si="0"/>
        <v>4.3258533087022988E-2</v>
      </c>
      <c r="E28" s="28">
        <f>SUMIFS('Cálculo FGP-FFM-FOFIR'!$Y$5:$Y$260,'Cálculo FGP-FFM-FOFIR'!$B$5:$B$260,$A28,'Cálculo FGP-FFM-FOFIR'!$A$5:$A$260,"FGP*")/1000000</f>
        <v>698.30836400004694</v>
      </c>
      <c r="F28" s="28">
        <f>SUMIFS('Cálculo FGP-FFM-FOFIR'!$Y$5:$Y$260,'Cálculo FGP-FFM-FOFIR'!$B$5:$B$260,$A28,'Cálculo FGP-FFM-FOFIR'!$A$5:$A$260,"FFM*")/1000000</f>
        <v>20.864128410575503</v>
      </c>
      <c r="G28" s="28">
        <f>SUMIFS('Cálculo FGP-FFM-FOFIR'!$Y$5:$Y$260,'Cálculo FGP-FFM-FOFIR'!$B$5:$B$260,$A28,'Cálculo FGP-FFM-FOFIR'!$A$5:$A$260,"FOFIR*")/1000000</f>
        <v>49.128052226704135</v>
      </c>
      <c r="H28" s="29">
        <f t="shared" si="1"/>
        <v>768.30054463732654</v>
      </c>
      <c r="I28" s="31">
        <f>H28/('Base 2027'!N26/1000000)</f>
        <v>3.2744849489530228E-2</v>
      </c>
      <c r="J28" s="28">
        <f>'Cálculo FoCo'!Q26/1000000</f>
        <v>0</v>
      </c>
      <c r="K28" s="23">
        <f t="shared" si="2"/>
        <v>768.30054463732654</v>
      </c>
    </row>
    <row r="29" spans="1:11" x14ac:dyDescent="0.2">
      <c r="A29" s="27" t="s">
        <v>72</v>
      </c>
      <c r="B29" s="35">
        <f>Población!L27</f>
        <v>1920249</v>
      </c>
      <c r="C29" s="35">
        <f>Población!D27</f>
        <v>2100792</v>
      </c>
      <c r="D29" s="20">
        <f t="shared" si="0"/>
        <v>9.4020619200947397E-2</v>
      </c>
      <c r="E29" s="28">
        <f>SUMIFS('Cálculo FGP-FFM-FOFIR'!$Y$5:$Y$260,'Cálculo FGP-FFM-FOFIR'!$B$5:$B$260,$A29,'Cálculo FGP-FFM-FOFIR'!$A$5:$A$260,"FGP*")/1000000</f>
        <v>1178.1706211460853</v>
      </c>
      <c r="F29" s="28">
        <f>SUMIFS('Cálculo FGP-FFM-FOFIR'!$Y$5:$Y$260,'Cálculo FGP-FFM-FOFIR'!$B$5:$B$260,$A29,'Cálculo FGP-FFM-FOFIR'!$A$5:$A$260,"FFM*")/1000000</f>
        <v>32.991600899545823</v>
      </c>
      <c r="G29" s="28">
        <f>SUMIFS('Cálculo FGP-FFM-FOFIR'!$Y$5:$Y$260,'Cálculo FGP-FFM-FOFIR'!$B$5:$B$260,$A29,'Cálculo FGP-FFM-FOFIR'!$A$5:$A$260,"FOFIR*")/1000000</f>
        <v>123.48641976159134</v>
      </c>
      <c r="H29" s="29">
        <f t="shared" si="1"/>
        <v>1334.6486418072225</v>
      </c>
      <c r="I29" s="31">
        <f>H29/('Base 2027'!N27/1000000)</f>
        <v>7.2601217781262384E-2</v>
      </c>
      <c r="J29" s="28">
        <f>'Cálculo FoCo'!Q27/1000000</f>
        <v>0</v>
      </c>
      <c r="K29" s="23">
        <f t="shared" si="2"/>
        <v>1334.6486418072225</v>
      </c>
    </row>
    <row r="30" spans="1:11" x14ac:dyDescent="0.2">
      <c r="A30" s="27" t="s">
        <v>73</v>
      </c>
      <c r="B30" s="35">
        <f>Población!L28</f>
        <v>2924773</v>
      </c>
      <c r="C30" s="35">
        <f>Población!D28</f>
        <v>2889524</v>
      </c>
      <c r="D30" s="20">
        <f t="shared" si="0"/>
        <v>-1.2051875478883312E-2</v>
      </c>
      <c r="E30" s="28">
        <f>SUMIFS('Cálculo FGP-FFM-FOFIR'!$Y$5:$Y$260,'Cálculo FGP-FFM-FOFIR'!$B$5:$B$260,$A30,'Cálculo FGP-FFM-FOFIR'!$A$5:$A$260,"FGP*")/1000000</f>
        <v>-204.99776483256238</v>
      </c>
      <c r="F30" s="28">
        <f>SUMIFS('Cálculo FGP-FFM-FOFIR'!$Y$5:$Y$260,'Cálculo FGP-FFM-FOFIR'!$B$5:$B$260,$A30,'Cálculo FGP-FFM-FOFIR'!$A$5:$A$260,"FFM*")/1000000</f>
        <v>-6.2497302285147729</v>
      </c>
      <c r="G30" s="28">
        <f>SUMIFS('Cálculo FGP-FFM-FOFIR'!$Y$5:$Y$260,'Cálculo FGP-FFM-FOFIR'!$B$5:$B$260,$A30,'Cálculo FGP-FFM-FOFIR'!$A$5:$A$260,"FOFIR*")/1000000</f>
        <v>-12.495851755833463</v>
      </c>
      <c r="H30" s="29">
        <f t="shared" si="1"/>
        <v>-223.74334681691062</v>
      </c>
      <c r="I30" s="31">
        <f>H30/('Base 2027'!N28/1000000)</f>
        <v>-8.4982492870330287E-3</v>
      </c>
      <c r="J30" s="28">
        <f>'Cálculo FoCo'!Q28/1000000</f>
        <v>0</v>
      </c>
      <c r="K30" s="23">
        <f t="shared" si="2"/>
        <v>-223.74334681691062</v>
      </c>
    </row>
    <row r="31" spans="1:11" x14ac:dyDescent="0.2">
      <c r="A31" s="27" t="s">
        <v>74</v>
      </c>
      <c r="B31" s="35">
        <f>Población!L29</f>
        <v>3135869</v>
      </c>
      <c r="C31" s="35">
        <f>Población!D29</f>
        <v>3102935</v>
      </c>
      <c r="D31" s="20">
        <f t="shared" si="0"/>
        <v>-1.0502351979626678E-2</v>
      </c>
      <c r="E31" s="28">
        <f>SUMIFS('Cálculo FGP-FFM-FOFIR'!$Y$5:$Y$260,'Cálculo FGP-FFM-FOFIR'!$B$5:$B$260,$A31,'Cálculo FGP-FFM-FOFIR'!$A$5:$A$260,"FGP*")/1000000</f>
        <v>-183.90438000575918</v>
      </c>
      <c r="F31" s="28">
        <f>SUMIFS('Cálculo FGP-FFM-FOFIR'!$Y$5:$Y$260,'Cálculo FGP-FFM-FOFIR'!$B$5:$B$260,$A31,'Cálculo FGP-FFM-FOFIR'!$A$5:$A$260,"FFM*")/1000000</f>
        <v>-5.4729933902293428</v>
      </c>
      <c r="G31" s="28">
        <f>SUMIFS('Cálculo FGP-FFM-FOFIR'!$Y$5:$Y$260,'Cálculo FGP-FFM-FOFIR'!$B$5:$B$260,$A31,'Cálculo FGP-FFM-FOFIR'!$A$5:$A$260,"FOFIR*")/1000000</f>
        <v>-23.688800487468949</v>
      </c>
      <c r="H31" s="29">
        <f t="shared" si="1"/>
        <v>-213.06617388345745</v>
      </c>
      <c r="I31" s="31">
        <f>H31/('Base 2027'!N29/1000000)</f>
        <v>-7.2296654712956862E-3</v>
      </c>
      <c r="J31" s="28">
        <f>'Cálculo FoCo'!Q29/1000000</f>
        <v>0</v>
      </c>
      <c r="K31" s="23">
        <f t="shared" si="2"/>
        <v>-213.06617388345745</v>
      </c>
    </row>
    <row r="32" spans="1:11" x14ac:dyDescent="0.2">
      <c r="A32" s="27" t="s">
        <v>75</v>
      </c>
      <c r="B32" s="35">
        <f>Población!L30</f>
        <v>3032476</v>
      </c>
      <c r="C32" s="35">
        <f>Población!D30</f>
        <v>3049889</v>
      </c>
      <c r="D32" s="20">
        <f t="shared" si="0"/>
        <v>5.7421724030133348E-3</v>
      </c>
      <c r="E32" s="28">
        <f>SUMIFS('Cálculo FGP-FFM-FOFIR'!$Y$5:$Y$260,'Cálculo FGP-FFM-FOFIR'!$B$5:$B$260,$A32,'Cálculo FGP-FFM-FOFIR'!$A$5:$A$260,"FGP*")/1000000</f>
        <v>129.77864582884041</v>
      </c>
      <c r="F32" s="28">
        <f>SUMIFS('Cálculo FGP-FFM-FOFIR'!$Y$5:$Y$260,'Cálculo FGP-FFM-FOFIR'!$B$5:$B$260,$A32,'Cálculo FGP-FFM-FOFIR'!$A$5:$A$260,"FFM*")/1000000</f>
        <v>3.6815913844342116</v>
      </c>
      <c r="G32" s="28">
        <f>SUMIFS('Cálculo FGP-FFM-FOFIR'!$Y$5:$Y$260,'Cálculo FGP-FFM-FOFIR'!$B$5:$B$260,$A32,'Cálculo FGP-FFM-FOFIR'!$A$5:$A$260,"FOFIR*")/1000000</f>
        <v>5.0011088531593844</v>
      </c>
      <c r="H32" s="29">
        <f t="shared" si="1"/>
        <v>138.461346066434</v>
      </c>
      <c r="I32" s="31">
        <f>H32/('Base 2027'!N30/1000000)</f>
        <v>4.3771815810476952E-3</v>
      </c>
      <c r="J32" s="28">
        <f>'Cálculo FoCo'!Q30/1000000</f>
        <v>0</v>
      </c>
      <c r="K32" s="23">
        <f t="shared" si="2"/>
        <v>138.461346066434</v>
      </c>
    </row>
    <row r="33" spans="1:11" x14ac:dyDescent="0.2">
      <c r="A33" s="27" t="s">
        <v>76</v>
      </c>
      <c r="B33" s="35">
        <f>Población!L31</f>
        <v>2567516</v>
      </c>
      <c r="C33" s="35">
        <f>Población!D31</f>
        <v>2527009</v>
      </c>
      <c r="D33" s="20">
        <f t="shared" si="0"/>
        <v>-1.5776727389430145E-2</v>
      </c>
      <c r="E33" s="28">
        <f>SUMIFS('Cálculo FGP-FFM-FOFIR'!$Y$5:$Y$260,'Cálculo FGP-FFM-FOFIR'!$B$5:$B$260,$A33,'Cálculo FGP-FFM-FOFIR'!$A$5:$A$260,"FGP*")/1000000</f>
        <v>-216.22000922549918</v>
      </c>
      <c r="F33" s="28">
        <f>SUMIFS('Cálculo FGP-FFM-FOFIR'!$Y$5:$Y$260,'Cálculo FGP-FFM-FOFIR'!$B$5:$B$260,$A33,'Cálculo FGP-FFM-FOFIR'!$A$5:$A$260,"FFM*")/1000000</f>
        <v>-7.8817398044701221</v>
      </c>
      <c r="G33" s="28">
        <f>SUMIFS('Cálculo FGP-FFM-FOFIR'!$Y$5:$Y$260,'Cálculo FGP-FFM-FOFIR'!$B$5:$B$260,$A33,'Cálculo FGP-FFM-FOFIR'!$A$5:$A$260,"FOFIR*")/1000000</f>
        <v>-7.9428359751417599</v>
      </c>
      <c r="H33" s="29">
        <f t="shared" si="1"/>
        <v>-232.04458500511106</v>
      </c>
      <c r="I33" s="31">
        <f>H33/('Base 2027'!N31/1000000)</f>
        <v>-7.7635471655352235E-3</v>
      </c>
      <c r="J33" s="28">
        <f>'Cálculo FoCo'!Q31/1000000</f>
        <v>2.749863093088269</v>
      </c>
      <c r="K33" s="23">
        <f t="shared" si="2"/>
        <v>-229.29472191202279</v>
      </c>
    </row>
    <row r="34" spans="1:11" x14ac:dyDescent="0.2">
      <c r="A34" s="27" t="s">
        <v>77</v>
      </c>
      <c r="B34" s="35">
        <f>Población!L32</f>
        <v>3597414</v>
      </c>
      <c r="C34" s="35">
        <f>Población!D32</f>
        <v>3620715</v>
      </c>
      <c r="D34" s="20">
        <f t="shared" si="0"/>
        <v>6.47715275472871E-3</v>
      </c>
      <c r="E34" s="28">
        <f>SUMIFS('Cálculo FGP-FFM-FOFIR'!$Y$5:$Y$260,'Cálculo FGP-FFM-FOFIR'!$B$5:$B$260,$A34,'Cálculo FGP-FFM-FOFIR'!$A$5:$A$260,"FGP*")/1000000</f>
        <v>171.37741804306935</v>
      </c>
      <c r="F34" s="28">
        <f>SUMIFS('Cálculo FGP-FFM-FOFIR'!$Y$5:$Y$260,'Cálculo FGP-FFM-FOFIR'!$B$5:$B$260,$A34,'Cálculo FGP-FFM-FOFIR'!$A$5:$A$260,"FFM*")/1000000</f>
        <v>4.8541118732100994</v>
      </c>
      <c r="G34" s="28">
        <f>SUMIFS('Cálculo FGP-FFM-FOFIR'!$Y$5:$Y$260,'Cálculo FGP-FFM-FOFIR'!$B$5:$B$260,$A34,'Cálculo FGP-FFM-FOFIR'!$A$5:$A$260,"FOFIR*")/1000000</f>
        <v>4.8925486736204578</v>
      </c>
      <c r="H34" s="29">
        <f t="shared" si="1"/>
        <v>181.12407858989991</v>
      </c>
      <c r="I34" s="31">
        <f>H34/('Base 2027'!N32/1000000)</f>
        <v>5.3891438991803932E-3</v>
      </c>
      <c r="J34" s="28">
        <f>'Cálculo FoCo'!Q32/1000000</f>
        <v>0</v>
      </c>
      <c r="K34" s="23">
        <f t="shared" si="2"/>
        <v>181.12407858989991</v>
      </c>
    </row>
    <row r="35" spans="1:11" x14ac:dyDescent="0.2">
      <c r="A35" s="27" t="s">
        <v>78</v>
      </c>
      <c r="B35" s="35">
        <f>Población!L33</f>
        <v>1449354</v>
      </c>
      <c r="C35" s="35">
        <f>Población!D33</f>
        <v>1419482</v>
      </c>
      <c r="D35" s="20">
        <f t="shared" si="0"/>
        <v>-2.0610561670923788E-2</v>
      </c>
      <c r="E35" s="28">
        <f>SUMIFS('Cálculo FGP-FFM-FOFIR'!$Y$5:$Y$260,'Cálculo FGP-FFM-FOFIR'!$B$5:$B$260,$A35,'Cálculo FGP-FFM-FOFIR'!$A$5:$A$260,"FGP*")/1000000</f>
        <v>-174.09049480506687</v>
      </c>
      <c r="F35" s="28">
        <f>SUMIFS('Cálculo FGP-FFM-FOFIR'!$Y$5:$Y$260,'Cálculo FGP-FFM-FOFIR'!$B$5:$B$260,$A35,'Cálculo FGP-FFM-FOFIR'!$A$5:$A$260,"FFM*")/1000000</f>
        <v>-6.0656923388396313</v>
      </c>
      <c r="G35" s="28">
        <f>SUMIFS('Cálculo FGP-FFM-FOFIR'!$Y$5:$Y$260,'Cálculo FGP-FFM-FOFIR'!$B$5:$B$260,$A35,'Cálculo FGP-FFM-FOFIR'!$A$5:$A$260,"FOFIR*")/1000000</f>
        <v>-7.5580393526555225</v>
      </c>
      <c r="H35" s="29">
        <f t="shared" si="1"/>
        <v>-187.71422649656202</v>
      </c>
      <c r="I35" s="31">
        <f>H35/('Base 2027'!N33/1000000)</f>
        <v>-1.3946242208932317E-2</v>
      </c>
      <c r="J35" s="28">
        <f>'Cálculo FoCo'!Q33/1000000</f>
        <v>-22.932089754609706</v>
      </c>
      <c r="K35" s="23">
        <f t="shared" si="2"/>
        <v>-210.64631625117173</v>
      </c>
    </row>
    <row r="36" spans="1:11" x14ac:dyDescent="0.2">
      <c r="A36" s="27" t="s">
        <v>79</v>
      </c>
      <c r="B36" s="35">
        <f>Población!L34</f>
        <v>8068202</v>
      </c>
      <c r="C36" s="35">
        <f>Población!D34</f>
        <v>7917876</v>
      </c>
      <c r="D36" s="20">
        <f t="shared" si="0"/>
        <v>-1.8631908323564539E-2</v>
      </c>
      <c r="E36" s="28">
        <f>SUMIFS('Cálculo FGP-FFM-FOFIR'!$Y$5:$Y$260,'Cálculo FGP-FFM-FOFIR'!$B$5:$B$260,$A36,'Cálculo FGP-FFM-FOFIR'!$A$5:$A$260,"FGP*")/1000000</f>
        <v>-907.5504275967254</v>
      </c>
      <c r="F36" s="28">
        <f>SUMIFS('Cálculo FGP-FFM-FOFIR'!$Y$5:$Y$260,'Cálculo FGP-FFM-FOFIR'!$B$5:$B$260,$A36,'Cálculo FGP-FFM-FOFIR'!$A$5:$A$260,"FFM*")/1000000</f>
        <v>-26.560279151383604</v>
      </c>
      <c r="G36" s="28">
        <f>SUMIFS('Cálculo FGP-FFM-FOFIR'!$Y$5:$Y$260,'Cálculo FGP-FFM-FOFIR'!$B$5:$B$260,$A36,'Cálculo FGP-FFM-FOFIR'!$A$5:$A$260,"FOFIR*")/1000000</f>
        <v>-24.576685141049364</v>
      </c>
      <c r="H36" s="29">
        <f t="shared" si="1"/>
        <v>-958.68739188915833</v>
      </c>
      <c r="I36" s="31">
        <f>H36/('Base 2027'!N34/1000000)</f>
        <v>-1.2966261103803313E-2</v>
      </c>
      <c r="J36" s="28">
        <f>'Cálculo FoCo'!Q34/1000000</f>
        <v>-9.2721758391897673</v>
      </c>
      <c r="K36" s="23">
        <f t="shared" si="2"/>
        <v>-967.95956772834813</v>
      </c>
    </row>
    <row r="37" spans="1:11" x14ac:dyDescent="0.2">
      <c r="A37" s="27" t="s">
        <v>80</v>
      </c>
      <c r="B37" s="35">
        <f>Población!L35</f>
        <v>2432221</v>
      </c>
      <c r="C37" s="35">
        <f>Población!D35</f>
        <v>2506448</v>
      </c>
      <c r="D37" s="20">
        <f t="shared" si="0"/>
        <v>3.0518197153959203E-2</v>
      </c>
      <c r="E37" s="28">
        <f>SUMIFS('Cálculo FGP-FFM-FOFIR'!$Y$5:$Y$260,'Cálculo FGP-FFM-FOFIR'!$B$5:$B$260,$A37,'Cálculo FGP-FFM-FOFIR'!$A$5:$A$260,"FGP*")/1000000</f>
        <v>483.73825343425148</v>
      </c>
      <c r="F37" s="28">
        <f>SUMIFS('Cálculo FGP-FFM-FOFIR'!$Y$5:$Y$260,'Cálculo FGP-FFM-FOFIR'!$B$5:$B$260,$A37,'Cálculo FGP-FFM-FOFIR'!$A$5:$A$260,"FFM*")/1000000</f>
        <v>15.170959433364512</v>
      </c>
      <c r="G37" s="28">
        <f>SUMIFS('Cálculo FGP-FFM-FOFIR'!$Y$5:$Y$260,'Cálculo FGP-FFM-FOFIR'!$B$5:$B$260,$A37,'Cálculo FGP-FFM-FOFIR'!$A$5:$A$260,"FOFIR*")/1000000</f>
        <v>21.335991387556067</v>
      </c>
      <c r="H37" s="29">
        <f t="shared" si="1"/>
        <v>520.24520425517198</v>
      </c>
      <c r="I37" s="31">
        <f>H37/('Base 2027'!N35/1000000)</f>
        <v>2.3064800077737903E-2</v>
      </c>
      <c r="J37" s="28">
        <f>'Cálculo FoCo'!Q35/1000000</f>
        <v>0</v>
      </c>
      <c r="K37" s="23">
        <f t="shared" si="2"/>
        <v>520.24520425517198</v>
      </c>
    </row>
    <row r="38" spans="1:11" x14ac:dyDescent="0.2">
      <c r="A38" s="27" t="s">
        <v>81</v>
      </c>
      <c r="B38" s="35">
        <f>Población!L36</f>
        <v>1703991</v>
      </c>
      <c r="C38" s="35">
        <f>Población!D36</f>
        <v>1686419</v>
      </c>
      <c r="D38" s="20">
        <f t="shared" si="0"/>
        <v>-1.0312261038937454E-2</v>
      </c>
      <c r="E38" s="28">
        <f>SUMIFS('Cálculo FGP-FFM-FOFIR'!$Y$5:$Y$260,'Cálculo FGP-FFM-FOFIR'!$B$5:$B$260,$A38,'Cálculo FGP-FFM-FOFIR'!$A$5:$A$260,"FGP*")/1000000</f>
        <v>-104.26141789917619</v>
      </c>
      <c r="F38" s="28">
        <f>SUMIFS('Cálculo FGP-FFM-FOFIR'!$Y$5:$Y$260,'Cálculo FGP-FFM-FOFIR'!$B$5:$B$260,$A38,'Cálculo FGP-FFM-FOFIR'!$A$5:$A$260,"FFM*")/1000000</f>
        <v>-3.0642391077458786</v>
      </c>
      <c r="G38" s="28">
        <f>SUMIFS('Cálculo FGP-FFM-FOFIR'!$Y$5:$Y$260,'Cálculo FGP-FFM-FOFIR'!$B$5:$B$260,$A38,'Cálculo FGP-FFM-FOFIR'!$A$5:$A$260,"FOFIR*")/1000000</f>
        <v>-4.1387960738819709</v>
      </c>
      <c r="H38" s="29">
        <f t="shared" si="1"/>
        <v>-111.46445308080405</v>
      </c>
      <c r="I38" s="31">
        <f>H38/('Base 2027'!N36/1000000)</f>
        <v>-6.7321055670635796E-3</v>
      </c>
      <c r="J38" s="28">
        <f>'Cálculo FoCo'!Q36/1000000</f>
        <v>10.404433929759026</v>
      </c>
      <c r="K38" s="23">
        <f t="shared" si="2"/>
        <v>-101.06001915104503</v>
      </c>
    </row>
    <row r="39" spans="1:11" x14ac:dyDescent="0.2">
      <c r="A39" s="22" t="s">
        <v>82</v>
      </c>
      <c r="B39" s="36">
        <f>SUM(B7:B38)</f>
        <v>131001723</v>
      </c>
      <c r="C39" s="36">
        <f>SUM(C7:C38)</f>
        <v>130911314</v>
      </c>
      <c r="D39" s="37">
        <f t="shared" si="0"/>
        <v>-6.9013596103617569E-4</v>
      </c>
      <c r="E39" s="38">
        <f>SUM(E7:E38)</f>
        <v>-2.0747847884194925E-11</v>
      </c>
      <c r="F39" s="38">
        <f>SUM(F7:F38)</f>
        <v>-3.9701575360595598E-12</v>
      </c>
      <c r="G39" s="38">
        <f>SUM(G7:G38)</f>
        <v>2.354560990625032E-12</v>
      </c>
      <c r="H39" s="38">
        <f>SUM(H7:H38)</f>
        <v>-2.1657342585967854E-11</v>
      </c>
      <c r="J39" s="38">
        <f>SUM(J7:J38)</f>
        <v>-4.7251091928046662E-13</v>
      </c>
      <c r="K39" s="38">
        <f>SUM(K7:K38)</f>
        <v>-2.205524651799351E-11</v>
      </c>
    </row>
    <row r="41" spans="1:11" x14ac:dyDescent="0.2">
      <c r="A41" s="13" t="s">
        <v>96</v>
      </c>
    </row>
  </sheetData>
  <mergeCells count="8">
    <mergeCell ref="A3:B3"/>
    <mergeCell ref="D3:F3"/>
    <mergeCell ref="G3:H3"/>
    <mergeCell ref="I3:K3"/>
    <mergeCell ref="A4:B4"/>
    <mergeCell ref="D4:F4"/>
    <mergeCell ref="G4:H4"/>
    <mergeCell ref="I4:K4"/>
  </mergeCells>
  <conditionalFormatting sqref="E7:K38">
    <cfRule type="cellIs" dxfId="6" priority="2" operator="greaterThan">
      <formula>0.0005</formula>
    </cfRule>
    <cfRule type="cellIs" dxfId="5" priority="3" operator="lessThan">
      <formula>-0.0005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22" customWidth="1"/>
    <col min="2" max="3" width="14" customWidth="1"/>
    <col min="4" max="4" width="11" customWidth="1"/>
    <col min="5" max="5" width="13" customWidth="1"/>
    <col min="6" max="6" width="12" customWidth="1"/>
    <col min="7" max="7" width="13" customWidth="1"/>
    <col min="8" max="8" width="14" customWidth="1"/>
    <col min="9" max="9" width="16" customWidth="1"/>
    <col min="10" max="10" width="11" customWidth="1"/>
    <col min="11" max="11" width="13" customWidth="1"/>
    <col min="12" max="12" width="14" customWidth="1"/>
  </cols>
  <sheetData>
    <row r="1" spans="1:11" ht="17" x14ac:dyDescent="0.2">
      <c r="A1" s="12" t="s">
        <v>97</v>
      </c>
    </row>
    <row r="2" spans="1:11" x14ac:dyDescent="0.2">
      <c r="A2" s="13" t="s">
        <v>98</v>
      </c>
    </row>
    <row r="3" spans="1:11" ht="27.75" customHeight="1" x14ac:dyDescent="0.2">
      <c r="A3" s="3" t="s">
        <v>86</v>
      </c>
      <c r="B3" s="3"/>
      <c r="D3" s="3" t="s">
        <v>9</v>
      </c>
      <c r="E3" s="3"/>
      <c r="F3" s="3"/>
      <c r="G3" s="3" t="s">
        <v>87</v>
      </c>
      <c r="H3" s="3"/>
      <c r="I3" s="3" t="s">
        <v>88</v>
      </c>
      <c r="J3" s="3"/>
      <c r="K3" s="3"/>
    </row>
    <row r="4" spans="1:11" ht="25.5" customHeight="1" x14ac:dyDescent="0.2">
      <c r="A4" s="2">
        <f>-SUMIF($H$7:$H$38,"&lt;0")</f>
        <v>7178.6253062178648</v>
      </c>
      <c r="B4" s="2"/>
      <c r="D4" s="1" t="str">
        <f>COUNTIF($H$7:$H$38,"&lt;0")&amp;" / "&amp;COUNTIF($H$7:$H$38,"&gt;0")</f>
        <v>14 / 18</v>
      </c>
      <c r="E4" s="1"/>
      <c r="F4" s="1"/>
      <c r="G4" s="1" t="str">
        <f>INDEX($A$7:$A$38,MATCH(MIN($H$7:$H$38),$H$7:$H$38,0))&amp;": "&amp;TEXT(MIN($H$7:$H$38),"#,##0")</f>
        <v>Coahuila: -1,171</v>
      </c>
      <c r="H4" s="1"/>
      <c r="I4" s="1" t="str">
        <f>INDEX($A$7:$A$38,MATCH(MIN($I$7:$I$38),$I$7:$I$38,0))&amp;": "&amp;TEXT(MIN($I$7:$I$38),"0.0%")</f>
        <v>Coahuila: -3.6%</v>
      </c>
      <c r="J4" s="1"/>
      <c r="K4" s="1"/>
    </row>
    <row r="6" spans="1:11" ht="48" customHeight="1" x14ac:dyDescent="0.2">
      <c r="A6" s="24" t="s">
        <v>20</v>
      </c>
      <c r="B6" s="24" t="s">
        <v>99</v>
      </c>
      <c r="C6" s="24" t="s">
        <v>90</v>
      </c>
      <c r="D6" s="24" t="s">
        <v>91</v>
      </c>
      <c r="E6" s="24" t="s">
        <v>43</v>
      </c>
      <c r="F6" s="24" t="s">
        <v>44</v>
      </c>
      <c r="G6" s="24" t="s">
        <v>45</v>
      </c>
      <c r="H6" s="24" t="s">
        <v>92</v>
      </c>
      <c r="I6" s="24" t="s">
        <v>93</v>
      </c>
      <c r="J6" s="24" t="s">
        <v>94</v>
      </c>
      <c r="K6" s="24" t="s">
        <v>95</v>
      </c>
    </row>
    <row r="7" spans="1:11" x14ac:dyDescent="0.2">
      <c r="A7" s="27" t="s">
        <v>50</v>
      </c>
      <c r="B7" s="35">
        <f>Población!B5</f>
        <v>1531396</v>
      </c>
      <c r="C7" s="35">
        <f>Población!D5</f>
        <v>1539174</v>
      </c>
      <c r="D7" s="20">
        <f t="shared" ref="D7:D39" si="0">C7/B7-1</f>
        <v>5.0790259345068201E-3</v>
      </c>
      <c r="E7" s="28">
        <f>SUMIFS('Cálculo FGP-FFM-FOFIR'!$Q$5:$Q$260,'Cálculo FGP-FFM-FOFIR'!$B$5:$B$260,$A7,'Cálculo FGP-FFM-FOFIR'!$A$5:$A$260,"FGP*")/1000000</f>
        <v>65.27070018806333</v>
      </c>
      <c r="F7" s="28">
        <f>SUMIFS('Cálculo FGP-FFM-FOFIR'!$Q$5:$Q$260,'Cálculo FGP-FFM-FOFIR'!$B$5:$B$260,$A7,'Cálculo FGP-FFM-FOFIR'!$A$5:$A$260,"FFM*")/1000000</f>
        <v>2.12105394241184</v>
      </c>
      <c r="G7" s="28">
        <f>SUMIFS('Cálculo FGP-FFM-FOFIR'!$Q$5:$Q$260,'Cálculo FGP-FFM-FOFIR'!$B$5:$B$260,$A7,'Cálculo FGP-FFM-FOFIR'!$A$5:$A$260,"FOFIR*")/1000000</f>
        <v>2.4437557718272633</v>
      </c>
      <c r="H7" s="29">
        <f t="shared" ref="H7:H38" si="1">SUM(E7:G7)</f>
        <v>69.835509902302434</v>
      </c>
      <c r="I7" s="31">
        <f>H7/('Base 2027'!N5/1000000)</f>
        <v>4.9298768387205979E-3</v>
      </c>
      <c r="J7" s="28">
        <f>'Cálculo FoCo'!Q5/1000000</f>
        <v>0</v>
      </c>
      <c r="K7" s="23">
        <f t="shared" ref="K7:K38" si="2">H7+J7</f>
        <v>69.835509902302434</v>
      </c>
    </row>
    <row r="8" spans="1:11" x14ac:dyDescent="0.2">
      <c r="A8" s="27" t="s">
        <v>51</v>
      </c>
      <c r="B8" s="35">
        <f>Población!B6</f>
        <v>3830329</v>
      </c>
      <c r="C8" s="35">
        <f>Población!D6</f>
        <v>4009678</v>
      </c>
      <c r="D8" s="20">
        <f t="shared" si="0"/>
        <v>4.682339297747018E-2</v>
      </c>
      <c r="E8" s="28">
        <f>SUMIFS('Cálculo FGP-FFM-FOFIR'!$Q$5:$Q$260,'Cálculo FGP-FFM-FOFIR'!$B$5:$B$260,$A8,'Cálculo FGP-FFM-FOFIR'!$A$5:$A$260,"FGP*")/1000000</f>
        <v>1277.1018905571784</v>
      </c>
      <c r="F8" s="28">
        <f>SUMIFS('Cálculo FGP-FFM-FOFIR'!$Q$5:$Q$260,'Cálculo FGP-FFM-FOFIR'!$B$5:$B$260,$A8,'Cálculo FGP-FFM-FOFIR'!$A$5:$A$260,"FFM*")/1000000</f>
        <v>36.613813177757379</v>
      </c>
      <c r="G8" s="28">
        <f>SUMIFS('Cálculo FGP-FFM-FOFIR'!$Q$5:$Q$260,'Cálculo FGP-FFM-FOFIR'!$B$5:$B$260,$A8,'Cálculo FGP-FFM-FOFIR'!$A$5:$A$260,"FOFIR*")/1000000</f>
        <v>70.868295689270013</v>
      </c>
      <c r="H8" s="29">
        <f t="shared" si="1"/>
        <v>1384.5839994242058</v>
      </c>
      <c r="I8" s="31">
        <f>H8/('Base 2027'!N6/1000000)</f>
        <v>3.6944667615222186E-2</v>
      </c>
      <c r="J8" s="28">
        <f>'Cálculo FoCo'!Q6/1000000</f>
        <v>0</v>
      </c>
      <c r="K8" s="23">
        <f t="shared" si="2"/>
        <v>1384.5839994242058</v>
      </c>
    </row>
    <row r="9" spans="1:11" x14ac:dyDescent="0.2">
      <c r="A9" s="27" t="s">
        <v>52</v>
      </c>
      <c r="B9" s="35">
        <f>Población!B7</f>
        <v>928591</v>
      </c>
      <c r="C9" s="35">
        <f>Población!D7</f>
        <v>961514</v>
      </c>
      <c r="D9" s="20">
        <f t="shared" si="0"/>
        <v>3.545479118363204E-2</v>
      </c>
      <c r="E9" s="28">
        <f>SUMIFS('Cálculo FGP-FFM-FOFIR'!$Q$5:$Q$260,'Cálculo FGP-FFM-FOFIR'!$B$5:$B$260,$A9,'Cálculo FGP-FFM-FOFIR'!$A$5:$A$260,"FGP*")/1000000</f>
        <v>215.67343358229235</v>
      </c>
      <c r="F9" s="28">
        <f>SUMIFS('Cálculo FGP-FFM-FOFIR'!$Q$5:$Q$260,'Cálculo FGP-FFM-FOFIR'!$B$5:$B$260,$A9,'Cálculo FGP-FFM-FOFIR'!$A$5:$A$260,"FFM*")/1000000</f>
        <v>6.3239590498208109</v>
      </c>
      <c r="G9" s="28">
        <f>SUMIFS('Cálculo FGP-FFM-FOFIR'!$Q$5:$Q$260,'Cálculo FGP-FFM-FOFIR'!$B$5:$B$260,$A9,'Cálculo FGP-FFM-FOFIR'!$A$5:$A$260,"FOFIR*")/1000000</f>
        <v>11.859789473614541</v>
      </c>
      <c r="H9" s="29">
        <f t="shared" si="1"/>
        <v>233.8571821057277</v>
      </c>
      <c r="I9" s="31">
        <f>H9/('Base 2027'!N7/1000000)</f>
        <v>2.7503349376176361E-2</v>
      </c>
      <c r="J9" s="28">
        <f>'Cálculo FoCo'!Q7/1000000</f>
        <v>0</v>
      </c>
      <c r="K9" s="23">
        <f t="shared" si="2"/>
        <v>233.8571821057277</v>
      </c>
    </row>
    <row r="10" spans="1:11" x14ac:dyDescent="0.2">
      <c r="A10" s="27" t="s">
        <v>53</v>
      </c>
      <c r="B10" s="35">
        <f>Población!B8</f>
        <v>935371</v>
      </c>
      <c r="C10" s="35">
        <f>Población!D8</f>
        <v>968673</v>
      </c>
      <c r="D10" s="20">
        <f t="shared" si="0"/>
        <v>3.5602985339507009E-2</v>
      </c>
      <c r="E10" s="28">
        <f>SUMIFS('Cálculo FGP-FFM-FOFIR'!$Q$5:$Q$260,'Cálculo FGP-FFM-FOFIR'!$B$5:$B$260,$A10,'Cálculo FGP-FFM-FOFIR'!$A$5:$A$260,"FGP*")/1000000</f>
        <v>184.67270175692244</v>
      </c>
      <c r="F10" s="28">
        <f>SUMIFS('Cálculo FGP-FFM-FOFIR'!$Q$5:$Q$260,'Cálculo FGP-FFM-FOFIR'!$B$5:$B$260,$A10,'Cálculo FGP-FFM-FOFIR'!$A$5:$A$260,"FFM*")/1000000</f>
        <v>6.4641101446136835</v>
      </c>
      <c r="G10" s="28">
        <f>SUMIFS('Cálculo FGP-FFM-FOFIR'!$Q$5:$Q$260,'Cálculo FGP-FFM-FOFIR'!$B$5:$B$260,$A10,'Cálculo FGP-FFM-FOFIR'!$A$5:$A$260,"FOFIR*")/1000000</f>
        <v>5.8445969969312062</v>
      </c>
      <c r="H10" s="29">
        <f t="shared" si="1"/>
        <v>196.98140889846732</v>
      </c>
      <c r="I10" s="31">
        <f>H10/('Base 2027'!N8/1000000)</f>
        <v>2.3160480240355656E-2</v>
      </c>
      <c r="J10" s="28">
        <f>'Cálculo FoCo'!Q8/1000000</f>
        <v>0</v>
      </c>
      <c r="K10" s="23">
        <f t="shared" si="2"/>
        <v>196.98140889846732</v>
      </c>
    </row>
    <row r="11" spans="1:11" x14ac:dyDescent="0.2">
      <c r="A11" s="27" t="s">
        <v>54</v>
      </c>
      <c r="B11" s="35">
        <f>Población!B9</f>
        <v>3590747</v>
      </c>
      <c r="C11" s="35">
        <f>Población!D9</f>
        <v>3415128</v>
      </c>
      <c r="D11" s="20">
        <f t="shared" si="0"/>
        <v>-4.8908764666516502E-2</v>
      </c>
      <c r="E11" s="28">
        <f>SUMIFS('Cálculo FGP-FFM-FOFIR'!$Q$5:$Q$260,'Cálculo FGP-FFM-FOFIR'!$B$5:$B$260,$A11,'Cálculo FGP-FFM-FOFIR'!$A$5:$A$260,"FGP*")/1000000</f>
        <v>-1092.5912966814199</v>
      </c>
      <c r="F11" s="28">
        <f>SUMIFS('Cálculo FGP-FFM-FOFIR'!$Q$5:$Q$260,'Cálculo FGP-FFM-FOFIR'!$B$5:$B$260,$A11,'Cálculo FGP-FFM-FOFIR'!$A$5:$A$260,"FFM*")/1000000</f>
        <v>-32.075727585224747</v>
      </c>
      <c r="G11" s="28">
        <f>SUMIFS('Cálculo FGP-FFM-FOFIR'!$Q$5:$Q$260,'Cálculo FGP-FFM-FOFIR'!$B$5:$B$260,$A11,'Cálculo FGP-FFM-FOFIR'!$A$5:$A$260,"FOFIR*")/1000000</f>
        <v>-45.974415508082416</v>
      </c>
      <c r="H11" s="29">
        <f t="shared" si="1"/>
        <v>-1170.6414397747271</v>
      </c>
      <c r="I11" s="31">
        <f>H11/('Base 2027'!N9/1000000)</f>
        <v>-3.6144789472312588E-2</v>
      </c>
      <c r="J11" s="28">
        <f>'Cálculo FoCo'!Q9/1000000</f>
        <v>0</v>
      </c>
      <c r="K11" s="23">
        <f t="shared" si="2"/>
        <v>-1170.6414397747271</v>
      </c>
    </row>
    <row r="12" spans="1:11" x14ac:dyDescent="0.2">
      <c r="A12" s="27" t="s">
        <v>55</v>
      </c>
      <c r="B12" s="35">
        <f>Población!B10</f>
        <v>762355</v>
      </c>
      <c r="C12" s="35">
        <f>Población!D10</f>
        <v>762212</v>
      </c>
      <c r="D12" s="20">
        <f t="shared" si="0"/>
        <v>-1.8757665392110656E-4</v>
      </c>
      <c r="E12" s="28">
        <f>SUMIFS('Cálculo FGP-FFM-FOFIR'!$Q$5:$Q$260,'Cálculo FGP-FFM-FOFIR'!$B$5:$B$260,$A12,'Cálculo FGP-FFM-FOFIR'!$A$5:$A$260,"FGP*")/1000000</f>
        <v>7.8035346612648517</v>
      </c>
      <c r="F12" s="28">
        <f>SUMIFS('Cálculo FGP-FFM-FOFIR'!$Q$5:$Q$260,'Cálculo FGP-FFM-FOFIR'!$B$5:$B$260,$A12,'Cálculo FGP-FFM-FOFIR'!$A$5:$A$260,"FFM*")/1000000</f>
        <v>0.24478440430852771</v>
      </c>
      <c r="G12" s="28">
        <f>SUMIFS('Cálculo FGP-FFM-FOFIR'!$Q$5:$Q$260,'Cálculo FGP-FFM-FOFIR'!$B$5:$B$260,$A12,'Cálculo FGP-FFM-FOFIR'!$A$5:$A$260,"FOFIR*")/1000000</f>
        <v>8.3903961457904422E-2</v>
      </c>
      <c r="H12" s="29">
        <f t="shared" si="1"/>
        <v>8.1322230270312836</v>
      </c>
      <c r="I12" s="31">
        <f>H12/('Base 2027'!N10/1000000)</f>
        <v>1.1091833326656864E-3</v>
      </c>
      <c r="J12" s="28">
        <f>'Cálculo FoCo'!Q10/1000000</f>
        <v>0</v>
      </c>
      <c r="K12" s="23">
        <f t="shared" si="2"/>
        <v>8.1322230270312836</v>
      </c>
    </row>
    <row r="13" spans="1:11" x14ac:dyDescent="0.2">
      <c r="A13" s="27" t="s">
        <v>56</v>
      </c>
      <c r="B13" s="35">
        <f>Población!B11</f>
        <v>5891372</v>
      </c>
      <c r="C13" s="35">
        <f>Población!D11</f>
        <v>5860728</v>
      </c>
      <c r="D13" s="20">
        <f t="shared" si="0"/>
        <v>-5.201504844711935E-3</v>
      </c>
      <c r="E13" s="28">
        <f>SUMIFS('Cálculo FGP-FFM-FOFIR'!$Q$5:$Q$260,'Cálculo FGP-FFM-FOFIR'!$B$5:$B$260,$A13,'Cálculo FGP-FFM-FOFIR'!$A$5:$A$260,"FGP*")/1000000</f>
        <v>-124.78020101554775</v>
      </c>
      <c r="F13" s="28">
        <f>SUMIFS('Cálculo FGP-FFM-FOFIR'!$Q$5:$Q$260,'Cálculo FGP-FFM-FOFIR'!$B$5:$B$260,$A13,'Cálculo FGP-FFM-FOFIR'!$A$5:$A$260,"FFM*")/1000000</f>
        <v>-3.8102367325401305</v>
      </c>
      <c r="G13" s="28">
        <f>SUMIFS('Cálculo FGP-FFM-FOFIR'!$Q$5:$Q$260,'Cálculo FGP-FFM-FOFIR'!$B$5:$B$260,$A13,'Cálculo FGP-FFM-FOFIR'!$A$5:$A$260,"FOFIR*")/1000000</f>
        <v>-5.2329581925740207</v>
      </c>
      <c r="H13" s="29">
        <f t="shared" si="1"/>
        <v>-133.8233959406619</v>
      </c>
      <c r="I13" s="31">
        <f>H13/('Base 2027'!N11/1000000)</f>
        <v>-2.4076131959738707E-3</v>
      </c>
      <c r="J13" s="28">
        <f>'Cálculo FoCo'!Q11/1000000</f>
        <v>-1.2837507127249241</v>
      </c>
      <c r="K13" s="23">
        <f t="shared" si="2"/>
        <v>-135.10714665338682</v>
      </c>
    </row>
    <row r="14" spans="1:11" x14ac:dyDescent="0.2">
      <c r="A14" s="27" t="s">
        <v>57</v>
      </c>
      <c r="B14" s="35">
        <f>Población!B12</f>
        <v>4015493</v>
      </c>
      <c r="C14" s="35">
        <f>Población!D12</f>
        <v>3903944</v>
      </c>
      <c r="D14" s="20">
        <f t="shared" si="0"/>
        <v>-2.7779652461105031E-2</v>
      </c>
      <c r="E14" s="28">
        <f>SUMIFS('Cálculo FGP-FFM-FOFIR'!$Q$5:$Q$260,'Cálculo FGP-FFM-FOFIR'!$B$5:$B$260,$A14,'Cálculo FGP-FFM-FOFIR'!$A$5:$A$260,"FGP*")/1000000</f>
        <v>-682.49610091442582</v>
      </c>
      <c r="F14" s="28">
        <f>SUMIFS('Cálculo FGP-FFM-FOFIR'!$Q$5:$Q$260,'Cálculo FGP-FFM-FOFIR'!$B$5:$B$260,$A14,'Cálculo FGP-FFM-FOFIR'!$A$5:$A$260,"FFM*")/1000000</f>
        <v>-20.088419770489335</v>
      </c>
      <c r="G14" s="28">
        <f>SUMIFS('Cálculo FGP-FFM-FOFIR'!$Q$5:$Q$260,'Cálculo FGP-FFM-FOFIR'!$B$5:$B$260,$A14,'Cálculo FGP-FFM-FOFIR'!$A$5:$A$260,"FOFIR*")/1000000</f>
        <v>-45.461336823572175</v>
      </c>
      <c r="H14" s="29">
        <f t="shared" si="1"/>
        <v>-748.0458575084873</v>
      </c>
      <c r="I14" s="31">
        <f>H14/('Base 2027'!N12/1000000)</f>
        <v>-1.9560918625615483E-2</v>
      </c>
      <c r="J14" s="28">
        <f>'Cálculo FoCo'!Q12/1000000</f>
        <v>0</v>
      </c>
      <c r="K14" s="23">
        <f t="shared" si="2"/>
        <v>-748.0458575084873</v>
      </c>
    </row>
    <row r="15" spans="1:11" x14ac:dyDescent="0.2">
      <c r="A15" s="27" t="s">
        <v>58</v>
      </c>
      <c r="B15" s="35">
        <f>Población!B13</f>
        <v>9336468</v>
      </c>
      <c r="C15" s="35">
        <f>Población!D13</f>
        <v>9216407</v>
      </c>
      <c r="D15" s="20">
        <f t="shared" si="0"/>
        <v>-1.2859359663632941E-2</v>
      </c>
      <c r="E15" s="28">
        <f>SUMIFS('Cálculo FGP-FFM-FOFIR'!$Q$5:$Q$260,'Cálculo FGP-FFM-FOFIR'!$B$5:$B$260,$A15,'Cálculo FGP-FFM-FOFIR'!$A$5:$A$260,"FGP*")/1000000</f>
        <v>-825.47901512267299</v>
      </c>
      <c r="F15" s="28">
        <f>SUMIFS('Cálculo FGP-FFM-FOFIR'!$Q$5:$Q$260,'Cálculo FGP-FFM-FOFIR'!$B$5:$B$260,$A15,'Cálculo FGP-FFM-FOFIR'!$A$5:$A$260,"FFM*")/1000000</f>
        <v>-20.715112083190679</v>
      </c>
      <c r="G15" s="28">
        <f>SUMIFS('Cálculo FGP-FFM-FOFIR'!$Q$5:$Q$260,'Cálculo FGP-FFM-FOFIR'!$B$5:$B$260,$A15,'Cálculo FGP-FFM-FOFIR'!$A$5:$A$260,"FOFIR*")/1000000</f>
        <v>-38.222793433174758</v>
      </c>
      <c r="H15" s="29">
        <f t="shared" si="1"/>
        <v>-884.41692063903838</v>
      </c>
      <c r="I15" s="31">
        <f>H15/('Base 2027'!N13/1000000)</f>
        <v>-7.1077827229871814E-3</v>
      </c>
      <c r="J15" s="28">
        <f>'Cálculo FoCo'!Q13/1000000</f>
        <v>0</v>
      </c>
      <c r="K15" s="23">
        <f t="shared" si="2"/>
        <v>-884.41692063903838</v>
      </c>
    </row>
    <row r="16" spans="1:11" x14ac:dyDescent="0.2">
      <c r="A16" s="27" t="s">
        <v>59</v>
      </c>
      <c r="B16" s="35">
        <f>Población!B14</f>
        <v>1968132</v>
      </c>
      <c r="C16" s="35">
        <f>Población!D14</f>
        <v>1943290</v>
      </c>
      <c r="D16" s="20">
        <f t="shared" si="0"/>
        <v>-1.2622120874006382E-2</v>
      </c>
      <c r="E16" s="28">
        <f>SUMIFS('Cálculo FGP-FFM-FOFIR'!$Q$5:$Q$260,'Cálculo FGP-FFM-FOFIR'!$B$5:$B$260,$A16,'Cálculo FGP-FFM-FOFIR'!$A$5:$A$260,"FGP*")/1000000</f>
        <v>-135.92724293486808</v>
      </c>
      <c r="F16" s="28">
        <f>SUMIFS('Cálculo FGP-FFM-FOFIR'!$Q$5:$Q$260,'Cálculo FGP-FFM-FOFIR'!$B$5:$B$260,$A16,'Cálculo FGP-FFM-FOFIR'!$A$5:$A$260,"FFM*")/1000000</f>
        <v>-4.0886639858229756</v>
      </c>
      <c r="G16" s="28">
        <f>SUMIFS('Cálculo FGP-FFM-FOFIR'!$Q$5:$Q$260,'Cálculo FGP-FFM-FOFIR'!$B$5:$B$260,$A16,'Cálculo FGP-FFM-FOFIR'!$A$5:$A$260,"FOFIR*")/1000000</f>
        <v>-16.314807169734539</v>
      </c>
      <c r="H16" s="29">
        <f t="shared" si="1"/>
        <v>-156.3307140904256</v>
      </c>
      <c r="I16" s="31">
        <f>H16/('Base 2027'!N14/1000000)</f>
        <v>-8.354887453888845E-3</v>
      </c>
      <c r="J16" s="28">
        <f>'Cálculo FoCo'!Q14/1000000</f>
        <v>0</v>
      </c>
      <c r="K16" s="23">
        <f t="shared" si="2"/>
        <v>-156.3307140904256</v>
      </c>
    </row>
    <row r="17" spans="1:11" x14ac:dyDescent="0.2">
      <c r="A17" s="27" t="s">
        <v>60</v>
      </c>
      <c r="B17" s="35">
        <f>Población!B15</f>
        <v>6402249</v>
      </c>
      <c r="C17" s="35">
        <f>Población!D15</f>
        <v>6446935</v>
      </c>
      <c r="D17" s="20">
        <f t="shared" si="0"/>
        <v>6.9797347775757412E-3</v>
      </c>
      <c r="E17" s="28">
        <f>SUMIFS('Cálculo FGP-FFM-FOFIR'!$Q$5:$Q$260,'Cálculo FGP-FFM-FOFIR'!$B$5:$B$260,$A17,'Cálculo FGP-FFM-FOFIR'!$A$5:$A$260,"FGP*")/1000000</f>
        <v>382.42138725740813</v>
      </c>
      <c r="F17" s="28">
        <f>SUMIFS('Cálculo FGP-FFM-FOFIR'!$Q$5:$Q$260,'Cálculo FGP-FFM-FOFIR'!$B$5:$B$260,$A17,'Cálculo FGP-FFM-FOFIR'!$A$5:$A$260,"FFM*")/1000000</f>
        <v>10.759385854928494</v>
      </c>
      <c r="G17" s="28">
        <f>SUMIFS('Cálculo FGP-FFM-FOFIR'!$Q$5:$Q$260,'Cálculo FGP-FFM-FOFIR'!$B$5:$B$260,$A17,'Cálculo FGP-FFM-FOFIR'!$A$5:$A$260,"FOFIR*")/1000000</f>
        <v>15.351410099830867</v>
      </c>
      <c r="H17" s="29">
        <f t="shared" si="1"/>
        <v>408.53218321216747</v>
      </c>
      <c r="I17" s="31">
        <f>H17/('Base 2027'!N15/1000000)</f>
        <v>6.9280255700475612E-3</v>
      </c>
      <c r="J17" s="28">
        <f>'Cálculo FoCo'!Q15/1000000</f>
        <v>0</v>
      </c>
      <c r="K17" s="23">
        <f t="shared" si="2"/>
        <v>408.53218321216747</v>
      </c>
    </row>
    <row r="18" spans="1:11" x14ac:dyDescent="0.2">
      <c r="A18" s="27" t="s">
        <v>61</v>
      </c>
      <c r="B18" s="35">
        <f>Población!B16</f>
        <v>3569633</v>
      </c>
      <c r="C18" s="35">
        <f>Población!D16</f>
        <v>3418902</v>
      </c>
      <c r="D18" s="20">
        <f t="shared" si="0"/>
        <v>-4.2225909498259329E-2</v>
      </c>
      <c r="E18" s="28">
        <f>SUMIFS('Cálculo FGP-FFM-FOFIR'!$Q$5:$Q$260,'Cálculo FGP-FFM-FOFIR'!$B$5:$B$260,$A18,'Cálculo FGP-FFM-FOFIR'!$A$5:$A$260,"FGP*")/1000000</f>
        <v>-893.04735041108086</v>
      </c>
      <c r="F18" s="28">
        <f>SUMIFS('Cálculo FGP-FFM-FOFIR'!$Q$5:$Q$260,'Cálculo FGP-FFM-FOFIR'!$B$5:$B$260,$A18,'Cálculo FGP-FFM-FOFIR'!$A$5:$A$260,"FFM*")/1000000</f>
        <v>-27.439639746163131</v>
      </c>
      <c r="G18" s="28">
        <f>SUMIFS('Cálculo FGP-FFM-FOFIR'!$Q$5:$Q$260,'Cálculo FGP-FFM-FOFIR'!$B$5:$B$260,$A18,'Cálculo FGP-FFM-FOFIR'!$A$5:$A$260,"FOFIR*")/1000000</f>
        <v>-29.859804603260415</v>
      </c>
      <c r="H18" s="29">
        <f t="shared" si="1"/>
        <v>-950.34679476050439</v>
      </c>
      <c r="I18" s="31">
        <f>H18/('Base 2027'!N16/1000000)</f>
        <v>-3.0089240018669011E-2</v>
      </c>
      <c r="J18" s="28">
        <f>'Cálculo FoCo'!Q16/1000000</f>
        <v>-43.648384964713571</v>
      </c>
      <c r="K18" s="23">
        <f t="shared" si="2"/>
        <v>-993.99517972521801</v>
      </c>
    </row>
    <row r="19" spans="1:11" x14ac:dyDescent="0.2">
      <c r="A19" s="27" t="s">
        <v>62</v>
      </c>
      <c r="B19" s="35">
        <f>Población!B17</f>
        <v>3215821</v>
      </c>
      <c r="C19" s="35">
        <f>Población!D17</f>
        <v>3245595</v>
      </c>
      <c r="D19" s="20">
        <f t="shared" si="0"/>
        <v>9.2585999034149324E-3</v>
      </c>
      <c r="E19" s="28">
        <f>SUMIFS('Cálculo FGP-FFM-FOFIR'!$Q$5:$Q$260,'Cálculo FGP-FFM-FOFIR'!$B$5:$B$260,$A19,'Cálculo FGP-FFM-FOFIR'!$A$5:$A$260,"FGP*")/1000000</f>
        <v>225.47634658094645</v>
      </c>
      <c r="F19" s="28">
        <f>SUMIFS('Cálculo FGP-FFM-FOFIR'!$Q$5:$Q$260,'Cálculo FGP-FFM-FOFIR'!$B$5:$B$260,$A19,'Cálculo FGP-FFM-FOFIR'!$A$5:$A$260,"FFM*")/1000000</f>
        <v>6.6523243026361465</v>
      </c>
      <c r="G19" s="28">
        <f>SUMIFS('Cálculo FGP-FFM-FOFIR'!$Q$5:$Q$260,'Cálculo FGP-FFM-FOFIR'!$B$5:$B$260,$A19,'Cálculo FGP-FFM-FOFIR'!$A$5:$A$260,"FOFIR*")/1000000</f>
        <v>9.5642274461277133</v>
      </c>
      <c r="H19" s="29">
        <f t="shared" si="1"/>
        <v>241.69289832971032</v>
      </c>
      <c r="I19" s="31">
        <f>H19/('Base 2027'!N17/1000000)</f>
        <v>8.3620274248858532E-3</v>
      </c>
      <c r="J19" s="28">
        <f>'Cálculo FoCo'!Q17/1000000</f>
        <v>-654.07556333348725</v>
      </c>
      <c r="K19" s="23">
        <f t="shared" si="2"/>
        <v>-412.38266500377694</v>
      </c>
    </row>
    <row r="20" spans="1:11" x14ac:dyDescent="0.2">
      <c r="A20" s="27" t="s">
        <v>63</v>
      </c>
      <c r="B20" s="35">
        <f>Población!B18</f>
        <v>8750952</v>
      </c>
      <c r="C20" s="35">
        <f>Población!D18</f>
        <v>8679851</v>
      </c>
      <c r="D20" s="20">
        <f t="shared" si="0"/>
        <v>-8.1249445774584927E-3</v>
      </c>
      <c r="E20" s="28">
        <f>SUMIFS('Cálculo FGP-FFM-FOFIR'!$Q$5:$Q$260,'Cálculo FGP-FFM-FOFIR'!$B$5:$B$260,$A20,'Cálculo FGP-FFM-FOFIR'!$A$5:$A$260,"FGP*")/1000000</f>
        <v>-362.66687994628904</v>
      </c>
      <c r="F20" s="28">
        <f>SUMIFS('Cálculo FGP-FFM-FOFIR'!$Q$5:$Q$260,'Cálculo FGP-FFM-FOFIR'!$B$5:$B$260,$A20,'Cálculo FGP-FFM-FOFIR'!$A$5:$A$260,"FFM*")/1000000</f>
        <v>-10.578165365888356</v>
      </c>
      <c r="G20" s="28">
        <f>SUMIFS('Cálculo FGP-FFM-FOFIR'!$Q$5:$Q$260,'Cálculo FGP-FFM-FOFIR'!$B$5:$B$260,$A20,'Cálculo FGP-FFM-FOFIR'!$A$5:$A$260,"FOFIR*")/1000000</f>
        <v>-18.180440400765626</v>
      </c>
      <c r="H20" s="29">
        <f t="shared" si="1"/>
        <v>-391.42548571294304</v>
      </c>
      <c r="I20" s="31">
        <f>H20/('Base 2027'!N18/1000000)</f>
        <v>-4.570559772536174E-3</v>
      </c>
      <c r="J20" s="28">
        <f>'Cálculo FoCo'!Q18/1000000</f>
        <v>0</v>
      </c>
      <c r="K20" s="23">
        <f t="shared" si="2"/>
        <v>-391.42548571294304</v>
      </c>
    </row>
    <row r="21" spans="1:11" x14ac:dyDescent="0.2">
      <c r="A21" s="27" t="s">
        <v>64</v>
      </c>
      <c r="B21" s="35">
        <f>Población!B19</f>
        <v>17753727</v>
      </c>
      <c r="C21" s="35">
        <f>Población!D19</f>
        <v>17612480</v>
      </c>
      <c r="D21" s="20">
        <f t="shared" si="0"/>
        <v>-7.9559069484396172E-3</v>
      </c>
      <c r="E21" s="28">
        <f>SUMIFS('Cálculo FGP-FFM-FOFIR'!$Q$5:$Q$260,'Cálculo FGP-FFM-FOFIR'!$B$5:$B$260,$A21,'Cálculo FGP-FFM-FOFIR'!$A$5:$A$260,"FGP*")/1000000</f>
        <v>-735.14265133229446</v>
      </c>
      <c r="F21" s="28">
        <f>SUMIFS('Cálculo FGP-FFM-FOFIR'!$Q$5:$Q$260,'Cálculo FGP-FFM-FOFIR'!$B$5:$B$260,$A21,'Cálculo FGP-FFM-FOFIR'!$A$5:$A$260,"FFM*")/1000000</f>
        <v>-20.211814548093319</v>
      </c>
      <c r="G21" s="28">
        <f>SUMIFS('Cálculo FGP-FFM-FOFIR'!$Q$5:$Q$260,'Cálculo FGP-FFM-FOFIR'!$B$5:$B$260,$A21,'Cálculo FGP-FFM-FOFIR'!$A$5:$A$260,"FOFIR*")/1000000</f>
        <v>-83.614391127015836</v>
      </c>
      <c r="H21" s="29">
        <f t="shared" si="1"/>
        <v>-838.96885700740359</v>
      </c>
      <c r="I21" s="31">
        <f>H21/('Base 2027'!N19/1000000)</f>
        <v>-4.6030358028397722E-3</v>
      </c>
      <c r="J21" s="28">
        <f>'Cálculo FoCo'!Q19/1000000</f>
        <v>1.1480504556123019</v>
      </c>
      <c r="K21" s="23">
        <f t="shared" si="2"/>
        <v>-837.82080655179129</v>
      </c>
    </row>
    <row r="22" spans="1:11" x14ac:dyDescent="0.2">
      <c r="A22" s="27" t="s">
        <v>65</v>
      </c>
      <c r="B22" s="35">
        <f>Población!B20</f>
        <v>4945881</v>
      </c>
      <c r="C22" s="35">
        <f>Población!D20</f>
        <v>4889574</v>
      </c>
      <c r="D22" s="20">
        <f t="shared" si="0"/>
        <v>-1.1384624903025387E-2</v>
      </c>
      <c r="E22" s="28">
        <f>SUMIFS('Cálculo FGP-FFM-FOFIR'!$Q$5:$Q$260,'Cálculo FGP-FFM-FOFIR'!$B$5:$B$260,$A22,'Cálculo FGP-FFM-FOFIR'!$A$5:$A$260,"FGP*")/1000000</f>
        <v>-285.46881647638867</v>
      </c>
      <c r="F22" s="28">
        <f>SUMIFS('Cálculo FGP-FFM-FOFIR'!$Q$5:$Q$260,'Cálculo FGP-FFM-FOFIR'!$B$5:$B$260,$A22,'Cálculo FGP-FFM-FOFIR'!$A$5:$A$260,"FFM*")/1000000</f>
        <v>-9.284924646917105</v>
      </c>
      <c r="G22" s="28">
        <f>SUMIFS('Cálculo FGP-FFM-FOFIR'!$Q$5:$Q$260,'Cálculo FGP-FFM-FOFIR'!$B$5:$B$260,$A22,'Cálculo FGP-FFM-FOFIR'!$A$5:$A$260,"FOFIR*")/1000000</f>
        <v>-16.286953448636588</v>
      </c>
      <c r="H22" s="29">
        <f t="shared" si="1"/>
        <v>-311.04069457194237</v>
      </c>
      <c r="I22" s="31">
        <f>H22/('Base 2027'!N20/1000000)</f>
        <v>-7.4302306285510024E-3</v>
      </c>
      <c r="J22" s="28">
        <f>'Cálculo FoCo'!Q20/1000000</f>
        <v>0</v>
      </c>
      <c r="K22" s="23">
        <f t="shared" si="2"/>
        <v>-311.04069457194237</v>
      </c>
    </row>
    <row r="23" spans="1:11" x14ac:dyDescent="0.2">
      <c r="A23" s="27" t="s">
        <v>66</v>
      </c>
      <c r="B23" s="35">
        <f>Población!B21</f>
        <v>1988503</v>
      </c>
      <c r="C23" s="35">
        <f>Población!D21</f>
        <v>1997217</v>
      </c>
      <c r="D23" s="20">
        <f t="shared" si="0"/>
        <v>4.38219102510784E-3</v>
      </c>
      <c r="E23" s="28">
        <f>SUMIFS('Cálculo FGP-FFM-FOFIR'!$Q$5:$Q$260,'Cálculo FGP-FFM-FOFIR'!$B$5:$B$260,$A23,'Cálculo FGP-FFM-FOFIR'!$A$5:$A$260,"FGP*")/1000000</f>
        <v>75.585618138977466</v>
      </c>
      <c r="F23" s="28">
        <f>SUMIFS('Cálculo FGP-FFM-FOFIR'!$Q$5:$Q$260,'Cálculo FGP-FFM-FOFIR'!$B$5:$B$260,$A23,'Cálculo FGP-FFM-FOFIR'!$A$5:$A$260,"FFM*")/1000000</f>
        <v>2.2903554240802526</v>
      </c>
      <c r="G23" s="28">
        <f>SUMIFS('Cálculo FGP-FFM-FOFIR'!$Q$5:$Q$260,'Cálculo FGP-FFM-FOFIR'!$B$5:$B$260,$A23,'Cálculo FGP-FFM-FOFIR'!$A$5:$A$260,"FOFIR*")/1000000</f>
        <v>2.1173475707470288</v>
      </c>
      <c r="H23" s="29">
        <f t="shared" si="1"/>
        <v>79.993321133804741</v>
      </c>
      <c r="I23" s="31">
        <f>H23/('Base 2027'!N21/1000000)</f>
        <v>4.5577784363194894E-3</v>
      </c>
      <c r="J23" s="28">
        <f>'Cálculo FoCo'!Q21/1000000</f>
        <v>0</v>
      </c>
      <c r="K23" s="23">
        <f t="shared" si="2"/>
        <v>79.993321133804741</v>
      </c>
    </row>
    <row r="24" spans="1:11" x14ac:dyDescent="0.2">
      <c r="A24" s="27" t="s">
        <v>67</v>
      </c>
      <c r="B24" s="35">
        <f>Población!B22</f>
        <v>1279298</v>
      </c>
      <c r="C24" s="35">
        <f>Población!D22</f>
        <v>1299075</v>
      </c>
      <c r="D24" s="20">
        <f t="shared" si="0"/>
        <v>1.5459259687734983E-2</v>
      </c>
      <c r="E24" s="28">
        <f>SUMIFS('Cálculo FGP-FFM-FOFIR'!$Q$5:$Q$260,'Cálculo FGP-FFM-FOFIR'!$B$5:$B$260,$A24,'Cálculo FGP-FFM-FOFIR'!$A$5:$A$260,"FGP*")/1000000</f>
        <v>134.15223090042747</v>
      </c>
      <c r="F24" s="28">
        <f>SUMIFS('Cálculo FGP-FFM-FOFIR'!$Q$5:$Q$260,'Cálculo FGP-FFM-FOFIR'!$B$5:$B$260,$A24,'Cálculo FGP-FFM-FOFIR'!$A$5:$A$260,"FFM*")/1000000</f>
        <v>4.6689482560573818</v>
      </c>
      <c r="G24" s="28">
        <f>SUMIFS('Cálculo FGP-FFM-FOFIR'!$Q$5:$Q$260,'Cálculo FGP-FFM-FOFIR'!$B$5:$B$260,$A24,'Cálculo FGP-FFM-FOFIR'!$A$5:$A$260,"FOFIR*")/1000000</f>
        <v>4.4930160742291028</v>
      </c>
      <c r="H24" s="29">
        <f t="shared" si="1"/>
        <v>143.31419523071395</v>
      </c>
      <c r="I24" s="31">
        <f>H24/('Base 2027'!N22/1000000)</f>
        <v>1.1760755258938712E-2</v>
      </c>
      <c r="J24" s="28">
        <f>'Cálculo FoCo'!Q22/1000000</f>
        <v>38.362772700565337</v>
      </c>
      <c r="K24" s="23">
        <f t="shared" si="2"/>
        <v>181.67696793127928</v>
      </c>
    </row>
    <row r="25" spans="1:11" x14ac:dyDescent="0.2">
      <c r="A25" s="27" t="s">
        <v>68</v>
      </c>
      <c r="B25" s="35">
        <f>Población!B23</f>
        <v>6234433</v>
      </c>
      <c r="C25" s="35">
        <f>Población!D23</f>
        <v>6291899</v>
      </c>
      <c r="D25" s="20">
        <f t="shared" si="0"/>
        <v>9.2175182570732872E-3</v>
      </c>
      <c r="E25" s="28">
        <f>SUMIFS('Cálculo FGP-FFM-FOFIR'!$Q$5:$Q$260,'Cálculo FGP-FFM-FOFIR'!$B$5:$B$260,$A25,'Cálculo FGP-FFM-FOFIR'!$A$5:$A$260,"FGP*")/1000000</f>
        <v>511.94440329840086</v>
      </c>
      <c r="F25" s="28">
        <f>SUMIFS('Cálculo FGP-FFM-FOFIR'!$Q$5:$Q$260,'Cálculo FGP-FFM-FOFIR'!$B$5:$B$260,$A25,'Cálculo FGP-FFM-FOFIR'!$A$5:$A$260,"FFM*")/1000000</f>
        <v>13.210598698385715</v>
      </c>
      <c r="G25" s="28">
        <f>SUMIFS('Cálculo FGP-FFM-FOFIR'!$Q$5:$Q$260,'Cálculo FGP-FFM-FOFIR'!$B$5:$B$260,$A25,'Cálculo FGP-FFM-FOFIR'!$A$5:$A$260,"FOFIR*")/1000000</f>
        <v>21.678582780402213</v>
      </c>
      <c r="H25" s="29">
        <f t="shared" si="1"/>
        <v>546.83358477718878</v>
      </c>
      <c r="I25" s="31">
        <f>H25/('Base 2027'!N23/1000000)</f>
        <v>8.6695966619927695E-3</v>
      </c>
      <c r="J25" s="28">
        <f>'Cálculo FoCo'!Q23/1000000</f>
        <v>0</v>
      </c>
      <c r="K25" s="23">
        <f t="shared" si="2"/>
        <v>546.83358477718878</v>
      </c>
    </row>
    <row r="26" spans="1:11" x14ac:dyDescent="0.2">
      <c r="A26" s="27" t="s">
        <v>69</v>
      </c>
      <c r="B26" s="35">
        <f>Población!B24</f>
        <v>4178688</v>
      </c>
      <c r="C26" s="35">
        <f>Población!D24</f>
        <v>4169180</v>
      </c>
      <c r="D26" s="20">
        <f t="shared" si="0"/>
        <v>-2.2753553268394233E-3</v>
      </c>
      <c r="E26" s="28">
        <f>SUMIFS('Cálculo FGP-FFM-FOFIR'!$Q$5:$Q$260,'Cálculo FGP-FFM-FOFIR'!$B$5:$B$260,$A26,'Cálculo FGP-FFM-FOFIR'!$A$5:$A$260,"FGP*")/1000000</f>
        <v>-10.003668590156556</v>
      </c>
      <c r="F26" s="28">
        <f>SUMIFS('Cálculo FGP-FFM-FOFIR'!$Q$5:$Q$260,'Cálculo FGP-FFM-FOFIR'!$B$5:$B$260,$A26,'Cálculo FGP-FFM-FOFIR'!$A$5:$A$260,"FFM*")/1000000</f>
        <v>-0.38598452997565269</v>
      </c>
      <c r="G26" s="28">
        <f>SUMIFS('Cálculo FGP-FFM-FOFIR'!$Q$5:$Q$260,'Cálculo FGP-FFM-FOFIR'!$B$5:$B$260,$A26,'Cálculo FGP-FFM-FOFIR'!$A$5:$A$260,"FOFIR*")/1000000</f>
        <v>-4.4170978855513034</v>
      </c>
      <c r="H26" s="29">
        <f t="shared" si="1"/>
        <v>-14.806751005683513</v>
      </c>
      <c r="I26" s="31">
        <f>H26/('Base 2027'!N24/1000000)</f>
        <v>-3.9057528425819212E-4</v>
      </c>
      <c r="J26" s="28">
        <f>'Cálculo FoCo'!Q24/1000000</f>
        <v>-7.3060954981528523</v>
      </c>
      <c r="K26" s="23">
        <f t="shared" si="2"/>
        <v>-22.112846503836366</v>
      </c>
    </row>
    <row r="27" spans="1:11" x14ac:dyDescent="0.2">
      <c r="A27" s="27" t="s">
        <v>70</v>
      </c>
      <c r="B27" s="35">
        <f>Población!B25</f>
        <v>6638706</v>
      </c>
      <c r="C27" s="35">
        <f>Población!D25</f>
        <v>6851933</v>
      </c>
      <c r="D27" s="20">
        <f t="shared" si="0"/>
        <v>3.2118759288331189E-2</v>
      </c>
      <c r="E27" s="28">
        <f>SUMIFS('Cálculo FGP-FFM-FOFIR'!$Q$5:$Q$260,'Cálculo FGP-FFM-FOFIR'!$B$5:$B$260,$A27,'Cálculo FGP-FFM-FOFIR'!$A$5:$A$260,"FGP*")/1000000</f>
        <v>1443.0119791120435</v>
      </c>
      <c r="F27" s="28">
        <f>SUMIFS('Cálculo FGP-FFM-FOFIR'!$Q$5:$Q$260,'Cálculo FGP-FFM-FOFIR'!$B$5:$B$260,$A27,'Cálculo FGP-FFM-FOFIR'!$A$5:$A$260,"FFM*")/1000000</f>
        <v>43.483691256209134</v>
      </c>
      <c r="G27" s="28">
        <f>SUMIFS('Cálculo FGP-FFM-FOFIR'!$Q$5:$Q$260,'Cálculo FGP-FFM-FOFIR'!$B$5:$B$260,$A27,'Cálculo FGP-FFM-FOFIR'!$A$5:$A$260,"FOFIR*")/1000000</f>
        <v>61.305215414607588</v>
      </c>
      <c r="H27" s="29">
        <f t="shared" si="1"/>
        <v>1547.8008857828602</v>
      </c>
      <c r="I27" s="31">
        <f>H27/('Base 2027'!N25/1000000)</f>
        <v>2.6330173408977565E-2</v>
      </c>
      <c r="J27" s="28">
        <f>'Cálculo FoCo'!Q25/1000000</f>
        <v>685.85293992385277</v>
      </c>
      <c r="K27" s="23">
        <f t="shared" si="2"/>
        <v>2233.6538257067132</v>
      </c>
    </row>
    <row r="28" spans="1:11" x14ac:dyDescent="0.2">
      <c r="A28" s="27" t="s">
        <v>71</v>
      </c>
      <c r="B28" s="35">
        <f>Población!B26</f>
        <v>2535155</v>
      </c>
      <c r="C28" s="35">
        <f>Población!D26</f>
        <v>2606836</v>
      </c>
      <c r="D28" s="20">
        <f t="shared" si="0"/>
        <v>2.8274799765694691E-2</v>
      </c>
      <c r="E28" s="28">
        <f>SUMIFS('Cálculo FGP-FFM-FOFIR'!$Q$5:$Q$260,'Cálculo FGP-FFM-FOFIR'!$B$5:$B$260,$A28,'Cálculo FGP-FFM-FOFIR'!$A$5:$A$260,"FGP*")/1000000</f>
        <v>485.15550016840706</v>
      </c>
      <c r="F28" s="28">
        <f>SUMIFS('Cálculo FGP-FFM-FOFIR'!$Q$5:$Q$260,'Cálculo FGP-FFM-FOFIR'!$B$5:$B$260,$A28,'Cálculo FGP-FFM-FOFIR'!$A$5:$A$260,"FFM*")/1000000</f>
        <v>14.507858481183529</v>
      </c>
      <c r="G28" s="28">
        <f>SUMIFS('Cálculo FGP-FFM-FOFIR'!$Q$5:$Q$260,'Cálculo FGP-FFM-FOFIR'!$B$5:$B$260,$A28,'Cálculo FGP-FFM-FOFIR'!$A$5:$A$260,"FOFIR*")/1000000</f>
        <v>33.506672444074454</v>
      </c>
      <c r="H28" s="29">
        <f t="shared" si="1"/>
        <v>533.17003109366499</v>
      </c>
      <c r="I28" s="31">
        <f>H28/('Base 2027'!N26/1000000)</f>
        <v>2.2723623642270704E-2</v>
      </c>
      <c r="J28" s="28">
        <f>'Cálculo FoCo'!Q26/1000000</f>
        <v>0</v>
      </c>
      <c r="K28" s="23">
        <f t="shared" si="2"/>
        <v>533.17003109366499</v>
      </c>
    </row>
    <row r="29" spans="1:11" x14ac:dyDescent="0.2">
      <c r="A29" s="27" t="s">
        <v>72</v>
      </c>
      <c r="B29" s="35">
        <f>Población!B27</f>
        <v>1975372</v>
      </c>
      <c r="C29" s="35">
        <f>Población!D27</f>
        <v>2100792</v>
      </c>
      <c r="D29" s="20">
        <f t="shared" si="0"/>
        <v>6.3491838499280195E-2</v>
      </c>
      <c r="E29" s="28">
        <f>SUMIFS('Cálculo FGP-FFM-FOFIR'!$Q$5:$Q$260,'Cálculo FGP-FFM-FOFIR'!$B$5:$B$260,$A29,'Cálculo FGP-FFM-FOFIR'!$A$5:$A$260,"FGP*")/1000000</f>
        <v>835.80984346112018</v>
      </c>
      <c r="F29" s="28">
        <f>SUMIFS('Cálculo FGP-FFM-FOFIR'!$Q$5:$Q$260,'Cálculo FGP-FFM-FOFIR'!$B$5:$B$260,$A29,'Cálculo FGP-FFM-FOFIR'!$A$5:$A$260,"FFM*")/1000000</f>
        <v>23.41316747108084</v>
      </c>
      <c r="G29" s="28">
        <f>SUMIFS('Cálculo FGP-FFM-FOFIR'!$Q$5:$Q$260,'Cálculo FGP-FFM-FOFIR'!$B$5:$B$260,$A29,'Cálculo FGP-FFM-FOFIR'!$A$5:$A$260,"FOFIR*")/1000000</f>
        <v>86.730585619865579</v>
      </c>
      <c r="H29" s="29">
        <f t="shared" si="1"/>
        <v>945.95359655206664</v>
      </c>
      <c r="I29" s="31">
        <f>H29/('Base 2027'!N27/1000000)</f>
        <v>5.1457275662642007E-2</v>
      </c>
      <c r="J29" s="28">
        <f>'Cálculo FoCo'!Q27/1000000</f>
        <v>0</v>
      </c>
      <c r="K29" s="23">
        <f t="shared" si="2"/>
        <v>945.95359655206664</v>
      </c>
    </row>
    <row r="30" spans="1:11" x14ac:dyDescent="0.2">
      <c r="A30" s="27" t="s">
        <v>73</v>
      </c>
      <c r="B30" s="35">
        <f>Población!B28</f>
        <v>2951151</v>
      </c>
      <c r="C30" s="35">
        <f>Población!D28</f>
        <v>2889524</v>
      </c>
      <c r="D30" s="20">
        <f t="shared" si="0"/>
        <v>-2.0882360814475476E-2</v>
      </c>
      <c r="E30" s="28">
        <f>SUMIFS('Cálculo FGP-FFM-FOFIR'!$Q$5:$Q$260,'Cálculo FGP-FFM-FOFIR'!$B$5:$B$260,$A30,'Cálculo FGP-FFM-FOFIR'!$A$5:$A$260,"FGP*")/1000000</f>
        <v>-350.25119311020399</v>
      </c>
      <c r="F30" s="28">
        <f>SUMIFS('Cálculo FGP-FFM-FOFIR'!$Q$5:$Q$260,'Cálculo FGP-FFM-FOFIR'!$B$5:$B$260,$A30,'Cálculo FGP-FFM-FOFIR'!$A$5:$A$260,"FFM*")/1000000</f>
        <v>-10.562364172312259</v>
      </c>
      <c r="G30" s="28">
        <f>SUMIFS('Cálculo FGP-FFM-FOFIR'!$Q$5:$Q$260,'Cálculo FGP-FFM-FOFIR'!$B$5:$B$260,$A30,'Cálculo FGP-FFM-FOFIR'!$A$5:$A$260,"FOFIR*")/1000000</f>
        <v>-20.343105428384604</v>
      </c>
      <c r="H30" s="29">
        <f t="shared" si="1"/>
        <v>-381.15666271090083</v>
      </c>
      <c r="I30" s="31">
        <f>H30/('Base 2027'!N28/1000000)</f>
        <v>-1.4477142597591572E-2</v>
      </c>
      <c r="J30" s="28">
        <f>'Cálculo FoCo'!Q28/1000000</f>
        <v>0</v>
      </c>
      <c r="K30" s="23">
        <f t="shared" si="2"/>
        <v>-381.15666271090083</v>
      </c>
    </row>
    <row r="31" spans="1:11" x14ac:dyDescent="0.2">
      <c r="A31" s="27" t="s">
        <v>74</v>
      </c>
      <c r="B31" s="35">
        <f>Población!B29</f>
        <v>3085699</v>
      </c>
      <c r="C31" s="35">
        <f>Población!D29</f>
        <v>3102935</v>
      </c>
      <c r="D31" s="20">
        <f t="shared" si="0"/>
        <v>5.5857684109823502E-3</v>
      </c>
      <c r="E31" s="28">
        <f>SUMIFS('Cálculo FGP-FFM-FOFIR'!$Q$5:$Q$260,'Cálculo FGP-FFM-FOFIR'!$B$5:$B$260,$A31,'Cálculo FGP-FFM-FOFIR'!$A$5:$A$260,"FGP*")/1000000</f>
        <v>142.91042548674668</v>
      </c>
      <c r="F31" s="28">
        <f>SUMIFS('Cálculo FGP-FFM-FOFIR'!$Q$5:$Q$260,'Cálculo FGP-FFM-FOFIR'!$B$5:$B$260,$A31,'Cálculo FGP-FFM-FOFIR'!$A$5:$A$260,"FFM*")/1000000</f>
        <v>4.0740270654412507</v>
      </c>
      <c r="G31" s="28">
        <f>SUMIFS('Cálculo FGP-FFM-FOFIR'!$Q$5:$Q$260,'Cálculo FGP-FFM-FOFIR'!$B$5:$B$260,$A31,'Cálculo FGP-FFM-FOFIR'!$A$5:$A$260,"FOFIR*")/1000000</f>
        <v>6.9071918169135902</v>
      </c>
      <c r="H31" s="29">
        <f t="shared" si="1"/>
        <v>153.8916443691015</v>
      </c>
      <c r="I31" s="31">
        <f>H31/('Base 2027'!N29/1000000)</f>
        <v>5.2217819813330296E-3</v>
      </c>
      <c r="J31" s="28">
        <f>'Cálculo FoCo'!Q29/1000000</f>
        <v>0</v>
      </c>
      <c r="K31" s="23">
        <f t="shared" si="2"/>
        <v>153.8916443691015</v>
      </c>
    </row>
    <row r="32" spans="1:11" x14ac:dyDescent="0.2">
      <c r="A32" s="27" t="s">
        <v>75</v>
      </c>
      <c r="B32" s="35">
        <f>Población!B30</f>
        <v>3035624</v>
      </c>
      <c r="C32" s="35">
        <f>Población!D30</f>
        <v>3049889</v>
      </c>
      <c r="D32" s="20">
        <f t="shared" si="0"/>
        <v>4.6991985832236516E-3</v>
      </c>
      <c r="E32" s="28">
        <f>SUMIFS('Cálculo FGP-FFM-FOFIR'!$Q$5:$Q$260,'Cálculo FGP-FFM-FOFIR'!$B$5:$B$260,$A32,'Cálculo FGP-FFM-FOFIR'!$A$5:$A$260,"FGP*")/1000000</f>
        <v>129.97868079077219</v>
      </c>
      <c r="F32" s="28">
        <f>SUMIFS('Cálculo FGP-FFM-FOFIR'!$Q$5:$Q$260,'Cálculo FGP-FFM-FOFIR'!$B$5:$B$260,$A32,'Cálculo FGP-FFM-FOFIR'!$A$5:$A$260,"FFM*")/1000000</f>
        <v>3.751250434511304</v>
      </c>
      <c r="G32" s="28">
        <f>SUMIFS('Cálculo FGP-FFM-FOFIR'!$Q$5:$Q$260,'Cálculo FGP-FFM-FOFIR'!$B$5:$B$260,$A32,'Cálculo FGP-FFM-FOFIR'!$A$5:$A$260,"FOFIR*")/1000000</f>
        <v>4.9386734408544006</v>
      </c>
      <c r="H32" s="29">
        <f t="shared" si="1"/>
        <v>138.66860466613787</v>
      </c>
      <c r="I32" s="31">
        <f>H32/('Base 2027'!N30/1000000)</f>
        <v>4.3837336517223669E-3</v>
      </c>
      <c r="J32" s="28">
        <f>'Cálculo FoCo'!Q30/1000000</f>
        <v>0</v>
      </c>
      <c r="K32" s="23">
        <f t="shared" si="2"/>
        <v>138.66860466613787</v>
      </c>
    </row>
    <row r="33" spans="1:11" x14ac:dyDescent="0.2">
      <c r="A33" s="27" t="s">
        <v>76</v>
      </c>
      <c r="B33" s="35">
        <f>Población!B31</f>
        <v>2578825</v>
      </c>
      <c r="C33" s="35">
        <f>Población!D31</f>
        <v>2527009</v>
      </c>
      <c r="D33" s="20">
        <f t="shared" si="0"/>
        <v>-2.0092871753608743E-2</v>
      </c>
      <c r="E33" s="28">
        <f>SUMIFS('Cálculo FGP-FFM-FOFIR'!$Q$5:$Q$260,'Cálculo FGP-FFM-FOFIR'!$B$5:$B$260,$A33,'Cálculo FGP-FFM-FOFIR'!$A$5:$A$260,"FGP*")/1000000</f>
        <v>-264.04422359464758</v>
      </c>
      <c r="F33" s="28">
        <f>SUMIFS('Cálculo FGP-FFM-FOFIR'!$Q$5:$Q$260,'Cálculo FGP-FFM-FOFIR'!$B$5:$B$260,$A33,'Cálculo FGP-FFM-FOFIR'!$A$5:$A$260,"FFM*")/1000000</f>
        <v>-9.5730860857869988</v>
      </c>
      <c r="G33" s="28">
        <f>SUMIFS('Cálculo FGP-FFM-FOFIR'!$Q$5:$Q$260,'Cálculo FGP-FFM-FOFIR'!$B$5:$B$260,$A33,'Cálculo FGP-FFM-FOFIR'!$A$5:$A$260,"FOFIR*")/1000000</f>
        <v>-9.3568015810089111</v>
      </c>
      <c r="H33" s="29">
        <f t="shared" si="1"/>
        <v>-282.97411126144351</v>
      </c>
      <c r="I33" s="31">
        <f>H33/('Base 2027'!N31/1000000)</f>
        <v>-9.4675032358770179E-3</v>
      </c>
      <c r="J33" s="28">
        <f>'Cálculo FoCo'!Q31/1000000</f>
        <v>2.749863093088269</v>
      </c>
      <c r="K33" s="23">
        <f t="shared" si="2"/>
        <v>-280.22424816835525</v>
      </c>
    </row>
    <row r="34" spans="1:11" x14ac:dyDescent="0.2">
      <c r="A34" s="27" t="s">
        <v>77</v>
      </c>
      <c r="B34" s="35">
        <f>Población!B32</f>
        <v>3602540</v>
      </c>
      <c r="C34" s="35">
        <f>Población!D32</f>
        <v>3620715</v>
      </c>
      <c r="D34" s="20">
        <f t="shared" si="0"/>
        <v>5.0450515469639967E-3</v>
      </c>
      <c r="E34" s="28">
        <f>SUMIFS('Cálculo FGP-FFM-FOFIR'!$Q$5:$Q$260,'Cálculo FGP-FFM-FOFIR'!$B$5:$B$260,$A34,'Cálculo FGP-FFM-FOFIR'!$A$5:$A$260,"FGP*")/1000000</f>
        <v>162.76298963038994</v>
      </c>
      <c r="F34" s="28">
        <f>SUMIFS('Cálculo FGP-FFM-FOFIR'!$Q$5:$Q$260,'Cálculo FGP-FFM-FOFIR'!$B$5:$B$260,$A34,'Cálculo FGP-FFM-FOFIR'!$A$5:$A$260,"FFM*")/1000000</f>
        <v>4.67481174521029</v>
      </c>
      <c r="G34" s="28">
        <f>SUMIFS('Cálculo FGP-FFM-FOFIR'!$Q$5:$Q$260,'Cálculo FGP-FFM-FOFIR'!$B$5:$B$260,$A34,'Cálculo FGP-FFM-FOFIR'!$A$5:$A$260,"FOFIR*")/1000000</f>
        <v>4.8897205472640994</v>
      </c>
      <c r="H34" s="29">
        <f t="shared" si="1"/>
        <v>172.32752192286432</v>
      </c>
      <c r="I34" s="31">
        <f>H34/('Base 2027'!N32/1000000)</f>
        <v>5.1274122174237912E-3</v>
      </c>
      <c r="J34" s="28">
        <f>'Cálculo FoCo'!Q32/1000000</f>
        <v>0</v>
      </c>
      <c r="K34" s="23">
        <f t="shared" si="2"/>
        <v>172.32752192286432</v>
      </c>
    </row>
    <row r="35" spans="1:11" x14ac:dyDescent="0.2">
      <c r="A35" s="27" t="s">
        <v>78</v>
      </c>
      <c r="B35" s="35">
        <f>Población!B33</f>
        <v>1426175</v>
      </c>
      <c r="C35" s="35">
        <f>Población!D33</f>
        <v>1419482</v>
      </c>
      <c r="D35" s="20">
        <f t="shared" si="0"/>
        <v>-4.6929724613038459E-3</v>
      </c>
      <c r="E35" s="28">
        <f>SUMIFS('Cálculo FGP-FFM-FOFIR'!$Q$5:$Q$260,'Cálculo FGP-FFM-FOFIR'!$B$5:$B$260,$A35,'Cálculo FGP-FFM-FOFIR'!$A$5:$A$260,"FGP*")/1000000</f>
        <v>-24.398969286699085</v>
      </c>
      <c r="F35" s="28">
        <f>SUMIFS('Cálculo FGP-FFM-FOFIR'!$Q$5:$Q$260,'Cálculo FGP-FFM-FOFIR'!$B$5:$B$260,$A35,'Cálculo FGP-FFM-FOFIR'!$A$5:$A$260,"FFM*")/1000000</f>
        <v>-0.85403962770152086</v>
      </c>
      <c r="G35" s="28">
        <f>SUMIFS('Cálculo FGP-FFM-FOFIR'!$Q$5:$Q$260,'Cálculo FGP-FFM-FOFIR'!$B$5:$B$260,$A35,'Cálculo FGP-FFM-FOFIR'!$A$5:$A$260,"FOFIR*")/1000000</f>
        <v>-1.5955431110403686</v>
      </c>
      <c r="H35" s="29">
        <f t="shared" si="1"/>
        <v>-26.848552025440974</v>
      </c>
      <c r="I35" s="31">
        <f>H35/('Base 2027'!N33/1000000)</f>
        <v>-1.994715139572961E-3</v>
      </c>
      <c r="J35" s="28">
        <f>'Cálculo FoCo'!Q33/1000000</f>
        <v>-22.932089754609706</v>
      </c>
      <c r="K35" s="23">
        <f t="shared" si="2"/>
        <v>-49.780641780050679</v>
      </c>
    </row>
    <row r="36" spans="1:11" x14ac:dyDescent="0.2">
      <c r="A36" s="27" t="s">
        <v>79</v>
      </c>
      <c r="B36" s="35">
        <f>Población!B34</f>
        <v>8066173</v>
      </c>
      <c r="C36" s="35">
        <f>Población!D34</f>
        <v>7917876</v>
      </c>
      <c r="D36" s="20">
        <f t="shared" si="0"/>
        <v>-1.8385050754552323E-2</v>
      </c>
      <c r="E36" s="28">
        <f>SUMIFS('Cálculo FGP-FFM-FOFIR'!$Q$5:$Q$260,'Cálculo FGP-FFM-FOFIR'!$B$5:$B$260,$A36,'Cálculo FGP-FFM-FOFIR'!$A$5:$A$260,"FGP*")/1000000</f>
        <v>-840.87447226073789</v>
      </c>
      <c r="F36" s="28">
        <f>SUMIFS('Cálculo FGP-FFM-FOFIR'!$Q$5:$Q$260,'Cálculo FGP-FFM-FOFIR'!$B$5:$B$260,$A36,'Cálculo FGP-FFM-FOFIR'!$A$5:$A$260,"FFM*")/1000000</f>
        <v>-24.475479452990054</v>
      </c>
      <c r="G36" s="28">
        <f>SUMIFS('Cálculo FGP-FFM-FOFIR'!$Q$5:$Q$260,'Cálculo FGP-FFM-FOFIR'!$B$5:$B$260,$A36,'Cálculo FGP-FFM-FOFIR'!$A$5:$A$260,"FOFIR*")/1000000</f>
        <v>-22.449117494534356</v>
      </c>
      <c r="H36" s="29">
        <f t="shared" si="1"/>
        <v>-887.79906920826227</v>
      </c>
      <c r="I36" s="31">
        <f>H36/('Base 2027'!N34/1000000)</f>
        <v>-1.200749549483885E-2</v>
      </c>
      <c r="J36" s="28">
        <f>'Cálculo FoCo'!Q34/1000000</f>
        <v>-9.2721758391897673</v>
      </c>
      <c r="K36" s="23">
        <f t="shared" si="2"/>
        <v>-897.07124504745207</v>
      </c>
    </row>
    <row r="37" spans="1:11" x14ac:dyDescent="0.2">
      <c r="A37" s="27" t="s">
        <v>80</v>
      </c>
      <c r="B37" s="35">
        <f>Población!B35</f>
        <v>2456821</v>
      </c>
      <c r="C37" s="35">
        <f>Población!D35</f>
        <v>2506448</v>
      </c>
      <c r="D37" s="20">
        <f t="shared" si="0"/>
        <v>2.019968080702661E-2</v>
      </c>
      <c r="E37" s="28">
        <f>SUMIFS('Cálculo FGP-FFM-FOFIR'!$Q$5:$Q$260,'Cálculo FGP-FFM-FOFIR'!$B$5:$B$260,$A37,'Cálculo FGP-FFM-FOFIR'!$A$5:$A$260,"FGP*")/1000000</f>
        <v>344.62316102787145</v>
      </c>
      <c r="F37" s="28">
        <f>SUMIFS('Cálculo FGP-FFM-FOFIR'!$Q$5:$Q$260,'Cálculo FGP-FFM-FOFIR'!$B$5:$B$260,$A37,'Cálculo FGP-FFM-FOFIR'!$A$5:$A$260,"FFM*")/1000000</f>
        <v>10.825261523415387</v>
      </c>
      <c r="G37" s="28">
        <f>SUMIFS('Cálculo FGP-FFM-FOFIR'!$Q$5:$Q$260,'Cálculo FGP-FFM-FOFIR'!$B$5:$B$260,$A37,'Cálculo FGP-FFM-FOFIR'!$A$5:$A$260,"FOFIR*")/1000000</f>
        <v>15.026770755582517</v>
      </c>
      <c r="H37" s="29">
        <f t="shared" si="1"/>
        <v>370.47519330686936</v>
      </c>
      <c r="I37" s="31">
        <f>H37/('Base 2027'!N35/1000000)</f>
        <v>1.6424824674007164E-2</v>
      </c>
      <c r="J37" s="28">
        <f>'Cálculo FoCo'!Q35/1000000</f>
        <v>0</v>
      </c>
      <c r="K37" s="23">
        <f t="shared" si="2"/>
        <v>370.47519330686936</v>
      </c>
    </row>
    <row r="38" spans="1:11" x14ac:dyDescent="0.2">
      <c r="A38" s="27" t="s">
        <v>81</v>
      </c>
      <c r="B38" s="35">
        <f>Población!B36</f>
        <v>1689186</v>
      </c>
      <c r="C38" s="35">
        <f>Población!D36</f>
        <v>1686419</v>
      </c>
      <c r="D38" s="20">
        <f t="shared" si="0"/>
        <v>-1.6380670926706697E-3</v>
      </c>
      <c r="E38" s="28">
        <f>SUMIFS('Cálculo FGP-FFM-FOFIR'!$Q$5:$Q$260,'Cálculo FGP-FFM-FOFIR'!$B$5:$B$260,$A38,'Cálculo FGP-FFM-FOFIR'!$A$5:$A$260,"FGP*")/1000000</f>
        <v>2.8172550781705676</v>
      </c>
      <c r="F38" s="28">
        <f>SUMIFS('Cálculo FGP-FFM-FOFIR'!$Q$5:$Q$260,'Cálculo FGP-FFM-FOFIR'!$B$5:$B$260,$A38,'Cálculo FGP-FFM-FOFIR'!$A$5:$A$260,"FFM*")/1000000</f>
        <v>6.4257101040899753E-2</v>
      </c>
      <c r="G38" s="28">
        <f>SUMIFS('Cálculo FGP-FFM-FOFIR'!$Q$5:$Q$260,'Cálculo FGP-FFM-FOFIR'!$B$5:$B$260,$A38,'Cálculo FGP-FFM-FOFIR'!$A$5:$A$260,"FOFIR*")/1000000</f>
        <v>-0.30018969625968484</v>
      </c>
      <c r="H38" s="29">
        <f t="shared" si="1"/>
        <v>2.5813224829517827</v>
      </c>
      <c r="I38" s="31">
        <f>H38/('Base 2027'!N36/1000000)</f>
        <v>1.5590383281447061E-4</v>
      </c>
      <c r="J38" s="28">
        <f>'Cálculo FoCo'!Q36/1000000</f>
        <v>10.404433929759026</v>
      </c>
      <c r="K38" s="23">
        <f t="shared" si="2"/>
        <v>12.98575641271081</v>
      </c>
    </row>
    <row r="39" spans="1:11" x14ac:dyDescent="0.2">
      <c r="A39" s="22" t="s">
        <v>82</v>
      </c>
      <c r="B39" s="36">
        <f>SUM(B7:B38)</f>
        <v>131150866</v>
      </c>
      <c r="C39" s="36">
        <f>SUM(C7:C38)</f>
        <v>130911314</v>
      </c>
      <c r="D39" s="37">
        <f t="shared" si="0"/>
        <v>-1.8265376913332299E-3</v>
      </c>
      <c r="E39" s="38">
        <f>SUM(E7:E38)</f>
        <v>-2.9310331939313983E-11</v>
      </c>
      <c r="F39" s="38">
        <f>SUM(F7:F38)</f>
        <v>-3.3998498460974247E-12</v>
      </c>
      <c r="G39" s="38">
        <f>SUM(G7:G38)</f>
        <v>4.4917403130284583E-12</v>
      </c>
      <c r="H39" s="38">
        <f>SUM(H7:H38)</f>
        <v>-2.8728130985200551E-11</v>
      </c>
      <c r="J39" s="38">
        <f>SUM(J7:J38)</f>
        <v>-4.7251091928046662E-13</v>
      </c>
      <c r="K39" s="38">
        <f>SUM(K7:K38)</f>
        <v>-2.8212099323354778E-11</v>
      </c>
    </row>
    <row r="41" spans="1:11" x14ac:dyDescent="0.2">
      <c r="A41" s="13" t="s">
        <v>96</v>
      </c>
    </row>
  </sheetData>
  <mergeCells count="8">
    <mergeCell ref="A3:B3"/>
    <mergeCell ref="D3:F3"/>
    <mergeCell ref="G3:H3"/>
    <mergeCell ref="I3:K3"/>
    <mergeCell ref="A4:B4"/>
    <mergeCell ref="D4:F4"/>
    <mergeCell ref="G4:H4"/>
    <mergeCell ref="I4:K4"/>
  </mergeCells>
  <conditionalFormatting sqref="E7:K38">
    <cfRule type="cellIs" dxfId="4" priority="2" operator="greaterThan">
      <formula>0.0005</formula>
    </cfRule>
    <cfRule type="cellIs" dxfId="3" priority="3" operator="lessThan">
      <formula>-0.0005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2" customWidth="1"/>
    <col min="2" max="7" width="13" customWidth="1"/>
    <col min="8" max="8" width="12" customWidth="1"/>
    <col min="9" max="9" width="13" customWidth="1"/>
    <col min="10" max="10" width="26" customWidth="1"/>
  </cols>
  <sheetData>
    <row r="1" spans="1:10" ht="17" x14ac:dyDescent="0.2">
      <c r="A1" s="12" t="s">
        <v>100</v>
      </c>
    </row>
    <row r="2" spans="1:10" x14ac:dyDescent="0.2">
      <c r="A2" s="13" t="s">
        <v>101</v>
      </c>
    </row>
    <row r="4" spans="1:10" ht="45" customHeight="1" x14ac:dyDescent="0.2">
      <c r="A4" s="24" t="s">
        <v>20</v>
      </c>
      <c r="B4" s="24" t="s">
        <v>102</v>
      </c>
      <c r="C4" s="24" t="s">
        <v>103</v>
      </c>
      <c r="D4" s="24" t="s">
        <v>104</v>
      </c>
      <c r="E4" s="24" t="s">
        <v>105</v>
      </c>
      <c r="F4" s="24" t="s">
        <v>106</v>
      </c>
      <c r="G4" s="24" t="s">
        <v>107</v>
      </c>
      <c r="H4" s="24" t="s">
        <v>108</v>
      </c>
      <c r="I4" s="24" t="s">
        <v>109</v>
      </c>
      <c r="J4" s="24" t="s">
        <v>110</v>
      </c>
    </row>
    <row r="5" spans="1:10" x14ac:dyDescent="0.2">
      <c r="A5" s="27" t="s">
        <v>50</v>
      </c>
      <c r="B5" s="28">
        <f>SUMIFS('Cálculo FGP-FFM-FOFIR'!$U$5:$U$260,'Cálculo FGP-FFM-FOFIR'!$B$5:$B$260,$A5)/1000000</f>
        <v>225.30185255832112</v>
      </c>
      <c r="C5" s="28">
        <f>SUMIFS('Cálculo FGP-FFM-FOFIR'!$Y$5:$Y$260,'Cálculo FGP-FFM-FOFIR'!$B$5:$B$260,$A5)/1000000</f>
        <v>136.47007078409683</v>
      </c>
      <c r="D5" s="28">
        <f>SUMIFS('Cálculo FGP-FFM-FOFIR'!$Q$5:$Q$260,'Cálculo FGP-FFM-FOFIR'!$B$5:$B$260,$A5)/1000000</f>
        <v>69.835509902302434</v>
      </c>
      <c r="E5" s="28">
        <f>SUMIFS('Cálculo FGP-FFM-FOFIR'!$AC$5:$AC$260,'Cálculo FGP-FFM-FOFIR'!$B$5:$B$260,$A5)/1000000</f>
        <v>-101.97921610984095</v>
      </c>
      <c r="F5" s="28">
        <f t="shared" ref="F5:F36" si="0">MIN(B5:E5)</f>
        <v>-101.97921610984095</v>
      </c>
      <c r="G5" s="28">
        <f t="shared" ref="G5:G36" si="1">MAX(B5:E5)</f>
        <v>225.30185255832112</v>
      </c>
      <c r="H5" s="39">
        <f t="shared" ref="H5:H36" si="2">G5-F5</f>
        <v>327.28106866816205</v>
      </c>
      <c r="I5" s="28">
        <f t="shared" ref="I5:I36" si="3">AVERAGE(B5:E5)</f>
        <v>82.407054283719859</v>
      </c>
      <c r="J5" s="27" t="str">
        <f t="shared" ref="J5:J36" si="4">IF(G5&lt;0,"Pierde en todos los trimestres",IF(F5&gt;0,"Gana en todos los trimestres","Depende del trimestre"))</f>
        <v>Depende del trimestre</v>
      </c>
    </row>
    <row r="6" spans="1:10" x14ac:dyDescent="0.2">
      <c r="A6" s="27" t="s">
        <v>51</v>
      </c>
      <c r="B6" s="28">
        <f>SUMIFS('Cálculo FGP-FFM-FOFIR'!$U$5:$U$260,'Cálculo FGP-FFM-FOFIR'!$B$5:$B$260,$A6)/1000000</f>
        <v>1687.0551331482859</v>
      </c>
      <c r="C6" s="28">
        <f>SUMIFS('Cálculo FGP-FFM-FOFIR'!$Y$5:$Y$260,'Cálculo FGP-FFM-FOFIR'!$B$5:$B$260,$A6)/1000000</f>
        <v>1651.3204803525548</v>
      </c>
      <c r="D6" s="28">
        <f>SUMIFS('Cálculo FGP-FFM-FOFIR'!$Q$5:$Q$260,'Cálculo FGP-FFM-FOFIR'!$B$5:$B$260,$A6)/1000000</f>
        <v>1384.5839994242058</v>
      </c>
      <c r="E6" s="28">
        <f>SUMIFS('Cálculo FGP-FFM-FOFIR'!$AC$5:$AC$260,'Cálculo FGP-FFM-FOFIR'!$B$5:$B$260,$A6)/1000000</f>
        <v>1158.8431568927642</v>
      </c>
      <c r="F6" s="28">
        <f t="shared" si="0"/>
        <v>1158.8431568927642</v>
      </c>
      <c r="G6" s="28">
        <f t="shared" si="1"/>
        <v>1687.0551331482859</v>
      </c>
      <c r="H6" s="39">
        <f t="shared" si="2"/>
        <v>528.21197625552168</v>
      </c>
      <c r="I6" s="28">
        <f t="shared" si="3"/>
        <v>1470.4506924544528</v>
      </c>
      <c r="J6" s="27" t="str">
        <f t="shared" si="4"/>
        <v>Gana en todos los trimestres</v>
      </c>
    </row>
    <row r="7" spans="1:10" x14ac:dyDescent="0.2">
      <c r="A7" s="27" t="s">
        <v>52</v>
      </c>
      <c r="B7" s="28">
        <f>SUMIFS('Cálculo FGP-FFM-FOFIR'!$U$5:$U$260,'Cálculo FGP-FFM-FOFIR'!$B$5:$B$260,$A7)/1000000</f>
        <v>536.39164487399455</v>
      </c>
      <c r="C7" s="28">
        <f>SUMIFS('Cálculo FGP-FFM-FOFIR'!$Y$5:$Y$260,'Cálculo FGP-FFM-FOFIR'!$B$5:$B$260,$A7)/1000000</f>
        <v>373.21093642453963</v>
      </c>
      <c r="D7" s="28">
        <f>SUMIFS('Cálculo FGP-FFM-FOFIR'!$Q$5:$Q$260,'Cálculo FGP-FFM-FOFIR'!$B$5:$B$260,$A7)/1000000</f>
        <v>233.8571821057277</v>
      </c>
      <c r="E7" s="28">
        <f>SUMIFS('Cálculo FGP-FFM-FOFIR'!$AC$5:$AC$260,'Cálculo FGP-FFM-FOFIR'!$B$5:$B$260,$A7)/1000000</f>
        <v>23.412747930798986</v>
      </c>
      <c r="F7" s="28">
        <f t="shared" si="0"/>
        <v>23.412747930798986</v>
      </c>
      <c r="G7" s="28">
        <f t="shared" si="1"/>
        <v>536.39164487399455</v>
      </c>
      <c r="H7" s="39">
        <f t="shared" si="2"/>
        <v>512.97889694319554</v>
      </c>
      <c r="I7" s="28">
        <f t="shared" si="3"/>
        <v>291.71812783376527</v>
      </c>
      <c r="J7" s="27" t="str">
        <f t="shared" si="4"/>
        <v>Gana en todos los trimestres</v>
      </c>
    </row>
    <row r="8" spans="1:10" x14ac:dyDescent="0.2">
      <c r="A8" s="27" t="s">
        <v>53</v>
      </c>
      <c r="B8" s="28">
        <f>SUMIFS('Cálculo FGP-FFM-FOFIR'!$U$5:$U$260,'Cálculo FGP-FFM-FOFIR'!$B$5:$B$260,$A8)/1000000</f>
        <v>234.20831562289982</v>
      </c>
      <c r="C8" s="28">
        <f>SUMIFS('Cálculo FGP-FFM-FOFIR'!$Y$5:$Y$260,'Cálculo FGP-FFM-FOFIR'!$B$5:$B$260,$A8)/1000000</f>
        <v>284.14952835932007</v>
      </c>
      <c r="D8" s="28">
        <f>SUMIFS('Cálculo FGP-FFM-FOFIR'!$Q$5:$Q$260,'Cálculo FGP-FFM-FOFIR'!$B$5:$B$260,$A8)/1000000</f>
        <v>196.98140889846729</v>
      </c>
      <c r="E8" s="28">
        <f>SUMIFS('Cálculo FGP-FFM-FOFIR'!$AC$5:$AC$260,'Cálculo FGP-FFM-FOFIR'!$B$5:$B$260,$A8)/1000000</f>
        <v>106.29982327206001</v>
      </c>
      <c r="F8" s="28">
        <f t="shared" si="0"/>
        <v>106.29982327206001</v>
      </c>
      <c r="G8" s="28">
        <f t="shared" si="1"/>
        <v>284.14952835932007</v>
      </c>
      <c r="H8" s="39">
        <f t="shared" si="2"/>
        <v>177.84970508726008</v>
      </c>
      <c r="I8" s="28">
        <f t="shared" si="3"/>
        <v>205.40976903818682</v>
      </c>
      <c r="J8" s="27" t="str">
        <f t="shared" si="4"/>
        <v>Gana en todos los trimestres</v>
      </c>
    </row>
    <row r="9" spans="1:10" x14ac:dyDescent="0.2">
      <c r="A9" s="27" t="s">
        <v>54</v>
      </c>
      <c r="B9" s="28">
        <f>SUMIFS('Cálculo FGP-FFM-FOFIR'!$U$5:$U$260,'Cálculo FGP-FFM-FOFIR'!$B$5:$B$260,$A9)/1000000</f>
        <v>-286.70974063605593</v>
      </c>
      <c r="C9" s="28">
        <f>SUMIFS('Cálculo FGP-FFM-FOFIR'!$Y$5:$Y$260,'Cálculo FGP-FFM-FOFIR'!$B$5:$B$260,$A9)/1000000</f>
        <v>-1139.6822233381179</v>
      </c>
      <c r="D9" s="28">
        <f>SUMIFS('Cálculo FGP-FFM-FOFIR'!$Q$5:$Q$260,'Cálculo FGP-FFM-FOFIR'!$B$5:$B$260,$A9)/1000000</f>
        <v>-1170.6414397747271</v>
      </c>
      <c r="E9" s="28">
        <f>SUMIFS('Cálculo FGP-FFM-FOFIR'!$AC$5:$AC$260,'Cálculo FGP-FFM-FOFIR'!$B$5:$B$260,$A9)/1000000</f>
        <v>-604.7630774481064</v>
      </c>
      <c r="F9" s="28">
        <f t="shared" si="0"/>
        <v>-1170.6414397747271</v>
      </c>
      <c r="G9" s="28">
        <f t="shared" si="1"/>
        <v>-286.70974063605593</v>
      </c>
      <c r="H9" s="39">
        <f t="shared" si="2"/>
        <v>883.93169913867121</v>
      </c>
      <c r="I9" s="28">
        <f t="shared" si="3"/>
        <v>-800.44912029925183</v>
      </c>
      <c r="J9" s="27" t="str">
        <f t="shared" si="4"/>
        <v>Pierde en todos los trimestres</v>
      </c>
    </row>
    <row r="10" spans="1:10" x14ac:dyDescent="0.2">
      <c r="A10" s="27" t="s">
        <v>55</v>
      </c>
      <c r="B10" s="28">
        <f>SUMIFS('Cálculo FGP-FFM-FOFIR'!$U$5:$U$260,'Cálculo FGP-FFM-FOFIR'!$B$5:$B$260,$A10)/1000000</f>
        <v>211.63876293074136</v>
      </c>
      <c r="C10" s="28">
        <f>SUMIFS('Cálculo FGP-FFM-FOFIR'!$Y$5:$Y$260,'Cálculo FGP-FFM-FOFIR'!$B$5:$B$260,$A10)/1000000</f>
        <v>112.65945958518019</v>
      </c>
      <c r="D10" s="28">
        <f>SUMIFS('Cálculo FGP-FFM-FOFIR'!$Q$5:$Q$260,'Cálculo FGP-FFM-FOFIR'!$B$5:$B$260,$A10)/1000000</f>
        <v>8.1322230270312836</v>
      </c>
      <c r="E10" s="28">
        <f>SUMIFS('Cálculo FGP-FFM-FOFIR'!$AC$5:$AC$260,'Cálculo FGP-FFM-FOFIR'!$B$5:$B$260,$A10)/1000000</f>
        <v>-45.466153156468188</v>
      </c>
      <c r="F10" s="28">
        <f t="shared" si="0"/>
        <v>-45.466153156468188</v>
      </c>
      <c r="G10" s="28">
        <f t="shared" si="1"/>
        <v>211.63876293074136</v>
      </c>
      <c r="H10" s="39">
        <f t="shared" si="2"/>
        <v>257.10491608720957</v>
      </c>
      <c r="I10" s="28">
        <f t="shared" si="3"/>
        <v>71.741073096621164</v>
      </c>
      <c r="J10" s="27" t="str">
        <f t="shared" si="4"/>
        <v>Depende del trimestre</v>
      </c>
    </row>
    <row r="11" spans="1:10" x14ac:dyDescent="0.2">
      <c r="A11" s="27" t="s">
        <v>56</v>
      </c>
      <c r="B11" s="28">
        <f>SUMIFS('Cálculo FGP-FFM-FOFIR'!$U$5:$U$260,'Cálculo FGP-FFM-FOFIR'!$B$5:$B$260,$A11)/1000000</f>
        <v>-829.21198605482266</v>
      </c>
      <c r="C11" s="28">
        <f>SUMIFS('Cálculo FGP-FFM-FOFIR'!$Y$5:$Y$260,'Cálculo FGP-FFM-FOFIR'!$B$5:$B$260,$A11)/1000000</f>
        <v>-240.36952209677682</v>
      </c>
      <c r="D11" s="28">
        <f>SUMIFS('Cálculo FGP-FFM-FOFIR'!$Q$5:$Q$260,'Cálculo FGP-FFM-FOFIR'!$B$5:$B$260,$A11)/1000000</f>
        <v>-133.8233959406619</v>
      </c>
      <c r="E11" s="28">
        <f>SUMIFS('Cálculo FGP-FFM-FOFIR'!$AC$5:$AC$260,'Cálculo FGP-FFM-FOFIR'!$B$5:$B$260,$A11)/1000000</f>
        <v>-70.70169536122215</v>
      </c>
      <c r="F11" s="28">
        <f t="shared" si="0"/>
        <v>-829.21198605482266</v>
      </c>
      <c r="G11" s="28">
        <f t="shared" si="1"/>
        <v>-70.70169536122215</v>
      </c>
      <c r="H11" s="39">
        <f t="shared" si="2"/>
        <v>758.5102906936005</v>
      </c>
      <c r="I11" s="28">
        <f t="shared" si="3"/>
        <v>-318.52664986337089</v>
      </c>
      <c r="J11" s="27" t="str">
        <f t="shared" si="4"/>
        <v>Pierde en todos los trimestres</v>
      </c>
    </row>
    <row r="12" spans="1:10" x14ac:dyDescent="0.2">
      <c r="A12" s="27" t="s">
        <v>57</v>
      </c>
      <c r="B12" s="28">
        <f>SUMIFS('Cálculo FGP-FFM-FOFIR'!$U$5:$U$260,'Cálculo FGP-FFM-FOFIR'!$B$5:$B$260,$A12)/1000000</f>
        <v>-547.56752410528918</v>
      </c>
      <c r="C12" s="28">
        <f>SUMIFS('Cálculo FGP-FFM-FOFIR'!$Y$5:$Y$260,'Cálculo FGP-FFM-FOFIR'!$B$5:$B$260,$A12)/1000000</f>
        <v>-603.84674500510562</v>
      </c>
      <c r="D12" s="28">
        <f>SUMIFS('Cálculo FGP-FFM-FOFIR'!$Q$5:$Q$260,'Cálculo FGP-FFM-FOFIR'!$B$5:$B$260,$A12)/1000000</f>
        <v>-748.04585750848742</v>
      </c>
      <c r="E12" s="28">
        <f>SUMIFS('Cálculo FGP-FFM-FOFIR'!$AC$5:$AC$260,'Cálculo FGP-FFM-FOFIR'!$B$5:$B$260,$A12)/1000000</f>
        <v>-520.53144287436714</v>
      </c>
      <c r="F12" s="28">
        <f t="shared" si="0"/>
        <v>-748.04585750848742</v>
      </c>
      <c r="G12" s="28">
        <f t="shared" si="1"/>
        <v>-520.53144287436714</v>
      </c>
      <c r="H12" s="39">
        <f t="shared" si="2"/>
        <v>227.51441463412027</v>
      </c>
      <c r="I12" s="28">
        <f t="shared" si="3"/>
        <v>-604.99789237331231</v>
      </c>
      <c r="J12" s="27" t="str">
        <f t="shared" si="4"/>
        <v>Pierde en todos los trimestres</v>
      </c>
    </row>
    <row r="13" spans="1:10" x14ac:dyDescent="0.2">
      <c r="A13" s="27" t="s">
        <v>58</v>
      </c>
      <c r="B13" s="28">
        <f>SUMIFS('Cálculo FGP-FFM-FOFIR'!$U$5:$U$260,'Cálculo FGP-FFM-FOFIR'!$B$5:$B$260,$A13)/1000000</f>
        <v>-1255.0699613121831</v>
      </c>
      <c r="C13" s="28">
        <f>SUMIFS('Cálculo FGP-FFM-FOFIR'!$Y$5:$Y$260,'Cálculo FGP-FFM-FOFIR'!$B$5:$B$260,$A13)/1000000</f>
        <v>-807.41693646840974</v>
      </c>
      <c r="D13" s="28">
        <f>SUMIFS('Cálculo FGP-FFM-FOFIR'!$Q$5:$Q$260,'Cálculo FGP-FFM-FOFIR'!$B$5:$B$260,$A13)/1000000</f>
        <v>-884.41692063903849</v>
      </c>
      <c r="E13" s="28">
        <f>SUMIFS('Cálculo FGP-FFM-FOFIR'!$AC$5:$AC$260,'Cálculo FGP-FFM-FOFIR'!$B$5:$B$260,$A13)/1000000</f>
        <v>-503.07673395047522</v>
      </c>
      <c r="F13" s="28">
        <f t="shared" si="0"/>
        <v>-1255.0699613121831</v>
      </c>
      <c r="G13" s="28">
        <f t="shared" si="1"/>
        <v>-503.07673395047522</v>
      </c>
      <c r="H13" s="39">
        <f t="shared" si="2"/>
        <v>751.9932273617078</v>
      </c>
      <c r="I13" s="28">
        <f t="shared" si="3"/>
        <v>-862.49513809252653</v>
      </c>
      <c r="J13" s="27" t="str">
        <f t="shared" si="4"/>
        <v>Pierde en todos los trimestres</v>
      </c>
    </row>
    <row r="14" spans="1:10" x14ac:dyDescent="0.2">
      <c r="A14" s="27" t="s">
        <v>59</v>
      </c>
      <c r="B14" s="28">
        <f>SUMIFS('Cálculo FGP-FFM-FOFIR'!$U$5:$U$260,'Cálculo FGP-FFM-FOFIR'!$B$5:$B$260,$A14)/1000000</f>
        <v>-27.943751505694234</v>
      </c>
      <c r="C14" s="28">
        <f>SUMIFS('Cálculo FGP-FFM-FOFIR'!$Y$5:$Y$260,'Cálculo FGP-FFM-FOFIR'!$B$5:$B$260,$A14)/1000000</f>
        <v>-72.771751908268428</v>
      </c>
      <c r="D14" s="28">
        <f>SUMIFS('Cálculo FGP-FFM-FOFIR'!$Q$5:$Q$260,'Cálculo FGP-FFM-FOFIR'!$B$5:$B$260,$A14)/1000000</f>
        <v>-156.33071409042557</v>
      </c>
      <c r="E14" s="28">
        <f>SUMIFS('Cálculo FGP-FFM-FOFIR'!$AC$5:$AC$260,'Cálculo FGP-FFM-FOFIR'!$B$5:$B$260,$A14)/1000000</f>
        <v>-85.495670060797153</v>
      </c>
      <c r="F14" s="28">
        <f t="shared" si="0"/>
        <v>-156.33071409042557</v>
      </c>
      <c r="G14" s="28">
        <f t="shared" si="1"/>
        <v>-27.943751505694234</v>
      </c>
      <c r="H14" s="39">
        <f t="shared" si="2"/>
        <v>128.38696258473135</v>
      </c>
      <c r="I14" s="28">
        <f t="shared" si="3"/>
        <v>-85.635471891296334</v>
      </c>
      <c r="J14" s="27" t="str">
        <f t="shared" si="4"/>
        <v>Pierde en todos los trimestres</v>
      </c>
    </row>
    <row r="15" spans="1:10" x14ac:dyDescent="0.2">
      <c r="A15" s="27" t="s">
        <v>60</v>
      </c>
      <c r="B15" s="28">
        <f>SUMIFS('Cálculo FGP-FFM-FOFIR'!$U$5:$U$260,'Cálculo FGP-FFM-FOFIR'!$B$5:$B$260,$A15)/1000000</f>
        <v>680.49899972857418</v>
      </c>
      <c r="C15" s="28">
        <f>SUMIFS('Cálculo FGP-FFM-FOFIR'!$Y$5:$Y$260,'Cálculo FGP-FFM-FOFIR'!$B$5:$B$260,$A15)/1000000</f>
        <v>543.89461583945649</v>
      </c>
      <c r="D15" s="28">
        <f>SUMIFS('Cálculo FGP-FFM-FOFIR'!$Q$5:$Q$260,'Cálculo FGP-FFM-FOFIR'!$B$5:$B$260,$A15)/1000000</f>
        <v>408.53218321216752</v>
      </c>
      <c r="E15" s="28">
        <f>SUMIFS('Cálculo FGP-FFM-FOFIR'!$AC$5:$AC$260,'Cálculo FGP-FFM-FOFIR'!$B$5:$B$260,$A15)/1000000</f>
        <v>217.12080647952715</v>
      </c>
      <c r="F15" s="28">
        <f t="shared" si="0"/>
        <v>217.12080647952715</v>
      </c>
      <c r="G15" s="28">
        <f t="shared" si="1"/>
        <v>680.49899972857418</v>
      </c>
      <c r="H15" s="39">
        <f t="shared" si="2"/>
        <v>463.37819324904706</v>
      </c>
      <c r="I15" s="28">
        <f t="shared" si="3"/>
        <v>462.51165131493138</v>
      </c>
      <c r="J15" s="27" t="str">
        <f t="shared" si="4"/>
        <v>Gana en todos los trimestres</v>
      </c>
    </row>
    <row r="16" spans="1:10" x14ac:dyDescent="0.2">
      <c r="A16" s="27" t="s">
        <v>61</v>
      </c>
      <c r="B16" s="28">
        <f>SUMIFS('Cálculo FGP-FFM-FOFIR'!$U$5:$U$260,'Cálculo FGP-FFM-FOFIR'!$B$5:$B$260,$A16)/1000000</f>
        <v>-1263.7341790652615</v>
      </c>
      <c r="C16" s="28">
        <f>SUMIFS('Cálculo FGP-FFM-FOFIR'!$Y$5:$Y$260,'Cálculo FGP-FFM-FOFIR'!$B$5:$B$260,$A16)/1000000</f>
        <v>-1035.3906949164614</v>
      </c>
      <c r="D16" s="28">
        <f>SUMIFS('Cálculo FGP-FFM-FOFIR'!$Q$5:$Q$260,'Cálculo FGP-FFM-FOFIR'!$B$5:$B$260,$A16)/1000000</f>
        <v>-950.34679476050439</v>
      </c>
      <c r="E16" s="28">
        <f>SUMIFS('Cálculo FGP-FFM-FOFIR'!$AC$5:$AC$260,'Cálculo FGP-FFM-FOFIR'!$B$5:$B$260,$A16)/1000000</f>
        <v>-730.10612781697751</v>
      </c>
      <c r="F16" s="28">
        <f t="shared" si="0"/>
        <v>-1263.7341790652615</v>
      </c>
      <c r="G16" s="28">
        <f t="shared" si="1"/>
        <v>-730.10612781697751</v>
      </c>
      <c r="H16" s="39">
        <f t="shared" si="2"/>
        <v>533.62805124828401</v>
      </c>
      <c r="I16" s="28">
        <f t="shared" si="3"/>
        <v>-994.89444913980128</v>
      </c>
      <c r="J16" s="27" t="str">
        <f t="shared" si="4"/>
        <v>Pierde en todos los trimestres</v>
      </c>
    </row>
    <row r="17" spans="1:10" x14ac:dyDescent="0.2">
      <c r="A17" s="27" t="s">
        <v>62</v>
      </c>
      <c r="B17" s="28">
        <f>SUMIFS('Cálculo FGP-FFM-FOFIR'!$U$5:$U$260,'Cálculo FGP-FFM-FOFIR'!$B$5:$B$260,$A17)/1000000</f>
        <v>-46.946162775782149</v>
      </c>
      <c r="C17" s="28">
        <f>SUMIFS('Cálculo FGP-FFM-FOFIR'!$Y$5:$Y$260,'Cálculo FGP-FFM-FOFIR'!$B$5:$B$260,$A17)/1000000</f>
        <v>133.15049028221142</v>
      </c>
      <c r="D17" s="28">
        <f>SUMIFS('Cálculo FGP-FFM-FOFIR'!$Q$5:$Q$260,'Cálculo FGP-FFM-FOFIR'!$B$5:$B$260,$A17)/1000000</f>
        <v>241.69289832971032</v>
      </c>
      <c r="E17" s="28">
        <f>SUMIFS('Cálculo FGP-FFM-FOFIR'!$AC$5:$AC$260,'Cálculo FGP-FFM-FOFIR'!$B$5:$B$260,$A17)/1000000</f>
        <v>162.60673818326183</v>
      </c>
      <c r="F17" s="28">
        <f t="shared" si="0"/>
        <v>-46.946162775782149</v>
      </c>
      <c r="G17" s="28">
        <f t="shared" si="1"/>
        <v>241.69289832971032</v>
      </c>
      <c r="H17" s="39">
        <f t="shared" si="2"/>
        <v>288.63906110549249</v>
      </c>
      <c r="I17" s="28">
        <f t="shared" si="3"/>
        <v>122.62599100485035</v>
      </c>
      <c r="J17" s="27" t="str">
        <f t="shared" si="4"/>
        <v>Depende del trimestre</v>
      </c>
    </row>
    <row r="18" spans="1:10" x14ac:dyDescent="0.2">
      <c r="A18" s="27" t="s">
        <v>63</v>
      </c>
      <c r="B18" s="28">
        <f>SUMIFS('Cálculo FGP-FFM-FOFIR'!$U$5:$U$260,'Cálculo FGP-FFM-FOFIR'!$B$5:$B$260,$A18)/1000000</f>
        <v>-495.47856198984925</v>
      </c>
      <c r="C18" s="28">
        <f>SUMIFS('Cálculo FGP-FFM-FOFIR'!$Y$5:$Y$260,'Cálculo FGP-FFM-FOFIR'!$B$5:$B$260,$A18)/1000000</f>
        <v>-532.10458197808941</v>
      </c>
      <c r="D18" s="28">
        <f>SUMIFS('Cálculo FGP-FFM-FOFIR'!$Q$5:$Q$260,'Cálculo FGP-FFM-FOFIR'!$B$5:$B$260,$A18)/1000000</f>
        <v>-391.4254857129431</v>
      </c>
      <c r="E18" s="28">
        <f>SUMIFS('Cálculo FGP-FFM-FOFIR'!$AC$5:$AC$260,'Cálculo FGP-FFM-FOFIR'!$B$5:$B$260,$A18)/1000000</f>
        <v>-9.5460605330075765</v>
      </c>
      <c r="F18" s="28">
        <f t="shared" si="0"/>
        <v>-532.10458197808941</v>
      </c>
      <c r="G18" s="28">
        <f t="shared" si="1"/>
        <v>-9.5460605330075765</v>
      </c>
      <c r="H18" s="39">
        <f t="shared" si="2"/>
        <v>522.55852144508185</v>
      </c>
      <c r="I18" s="28">
        <f t="shared" si="3"/>
        <v>-357.13867255347236</v>
      </c>
      <c r="J18" s="27" t="str">
        <f t="shared" si="4"/>
        <v>Pierde en todos los trimestres</v>
      </c>
    </row>
    <row r="19" spans="1:10" x14ac:dyDescent="0.2">
      <c r="A19" s="27" t="s">
        <v>64</v>
      </c>
      <c r="B19" s="28">
        <f>SUMIFS('Cálculo FGP-FFM-FOFIR'!$U$5:$U$260,'Cálculo FGP-FFM-FOFIR'!$B$5:$B$260,$A19)/1000000</f>
        <v>-1524.3476621701552</v>
      </c>
      <c r="C19" s="28">
        <f>SUMIFS('Cálculo FGP-FFM-FOFIR'!$Y$5:$Y$260,'Cálculo FGP-FFM-FOFIR'!$B$5:$B$260,$A19)/1000000</f>
        <v>-1258.7414211406299</v>
      </c>
      <c r="D19" s="28">
        <f>SUMIFS('Cálculo FGP-FFM-FOFIR'!$Q$5:$Q$260,'Cálculo FGP-FFM-FOFIR'!$B$5:$B$260,$A19)/1000000</f>
        <v>-838.96885700740359</v>
      </c>
      <c r="E19" s="28">
        <f>SUMIFS('Cálculo FGP-FFM-FOFIR'!$AC$5:$AC$260,'Cálculo FGP-FFM-FOFIR'!$B$5:$B$260,$A19)/1000000</f>
        <v>-579.30133078957249</v>
      </c>
      <c r="F19" s="28">
        <f t="shared" si="0"/>
        <v>-1524.3476621701552</v>
      </c>
      <c r="G19" s="28">
        <f t="shared" si="1"/>
        <v>-579.30133078957249</v>
      </c>
      <c r="H19" s="39">
        <f t="shared" si="2"/>
        <v>945.04633138058273</v>
      </c>
      <c r="I19" s="28">
        <f t="shared" si="3"/>
        <v>-1050.3398177769402</v>
      </c>
      <c r="J19" s="27" t="str">
        <f t="shared" si="4"/>
        <v>Pierde en todos los trimestres</v>
      </c>
    </row>
    <row r="20" spans="1:10" x14ac:dyDescent="0.2">
      <c r="A20" s="27" t="s">
        <v>65</v>
      </c>
      <c r="B20" s="28">
        <f>SUMIFS('Cálculo FGP-FFM-FOFIR'!$U$5:$U$260,'Cálculo FGP-FFM-FOFIR'!$B$5:$B$260,$A20)/1000000</f>
        <v>-439.56395680280394</v>
      </c>
      <c r="C20" s="28">
        <f>SUMIFS('Cálculo FGP-FFM-FOFIR'!$Y$5:$Y$260,'Cálculo FGP-FFM-FOFIR'!$B$5:$B$260,$A20)/1000000</f>
        <v>-308.79861869937702</v>
      </c>
      <c r="D20" s="28">
        <f>SUMIFS('Cálculo FGP-FFM-FOFIR'!$Q$5:$Q$260,'Cálculo FGP-FFM-FOFIR'!$B$5:$B$260,$A20)/1000000</f>
        <v>-311.04069457194237</v>
      </c>
      <c r="E20" s="28">
        <f>SUMIFS('Cálculo FGP-FFM-FOFIR'!$AC$5:$AC$260,'Cálculo FGP-FFM-FOFIR'!$B$5:$B$260,$A20)/1000000</f>
        <v>-92.321931335395732</v>
      </c>
      <c r="F20" s="28">
        <f t="shared" si="0"/>
        <v>-439.56395680280394</v>
      </c>
      <c r="G20" s="28">
        <f t="shared" si="1"/>
        <v>-92.321931335395732</v>
      </c>
      <c r="H20" s="39">
        <f t="shared" si="2"/>
        <v>347.24202546740821</v>
      </c>
      <c r="I20" s="28">
        <f t="shared" si="3"/>
        <v>-287.93130035237976</v>
      </c>
      <c r="J20" s="27" t="str">
        <f t="shared" si="4"/>
        <v>Pierde en todos los trimestres</v>
      </c>
    </row>
    <row r="21" spans="1:10" x14ac:dyDescent="0.2">
      <c r="A21" s="27" t="s">
        <v>66</v>
      </c>
      <c r="B21" s="28">
        <f>SUMIFS('Cálculo FGP-FFM-FOFIR'!$U$5:$U$260,'Cálculo FGP-FFM-FOFIR'!$B$5:$B$260,$A21)/1000000</f>
        <v>69.134823577117857</v>
      </c>
      <c r="C21" s="28">
        <f>SUMIFS('Cálculo FGP-FFM-FOFIR'!$Y$5:$Y$260,'Cálculo FGP-FFM-FOFIR'!$B$5:$B$260,$A21)/1000000</f>
        <v>91.929593551593598</v>
      </c>
      <c r="D21" s="28">
        <f>SUMIFS('Cálculo FGP-FFM-FOFIR'!$Q$5:$Q$260,'Cálculo FGP-FFM-FOFIR'!$B$5:$B$260,$A21)/1000000</f>
        <v>79.993321133804756</v>
      </c>
      <c r="E21" s="28">
        <f>SUMIFS('Cálculo FGP-FFM-FOFIR'!$AC$5:$AC$260,'Cálculo FGP-FFM-FOFIR'!$B$5:$B$260,$A21)/1000000</f>
        <v>51.032292623250278</v>
      </c>
      <c r="F21" s="28">
        <f t="shared" si="0"/>
        <v>51.032292623250278</v>
      </c>
      <c r="G21" s="28">
        <f t="shared" si="1"/>
        <v>91.929593551593598</v>
      </c>
      <c r="H21" s="39">
        <f t="shared" si="2"/>
        <v>40.89730092834332</v>
      </c>
      <c r="I21" s="28">
        <f t="shared" si="3"/>
        <v>73.022507721441627</v>
      </c>
      <c r="J21" s="27" t="str">
        <f t="shared" si="4"/>
        <v>Gana en todos los trimestres</v>
      </c>
    </row>
    <row r="22" spans="1:10" x14ac:dyDescent="0.2">
      <c r="A22" s="27" t="s">
        <v>67</v>
      </c>
      <c r="B22" s="28">
        <f>SUMIFS('Cálculo FGP-FFM-FOFIR'!$U$5:$U$260,'Cálculo FGP-FFM-FOFIR'!$B$5:$B$260,$A22)/1000000</f>
        <v>339.08012428066792</v>
      </c>
      <c r="C22" s="28">
        <f>SUMIFS('Cálculo FGP-FFM-FOFIR'!$Y$5:$Y$260,'Cálculo FGP-FFM-FOFIR'!$B$5:$B$260,$A22)/1000000</f>
        <v>274.33538002846188</v>
      </c>
      <c r="D22" s="28">
        <f>SUMIFS('Cálculo FGP-FFM-FOFIR'!$Q$5:$Q$260,'Cálculo FGP-FFM-FOFIR'!$B$5:$B$260,$A22)/1000000</f>
        <v>143.31419523071392</v>
      </c>
      <c r="E22" s="28">
        <f>SUMIFS('Cálculo FGP-FFM-FOFIR'!$AC$5:$AC$260,'Cálculo FGP-FFM-FOFIR'!$B$5:$B$260,$A22)/1000000</f>
        <v>7.8441449780618724</v>
      </c>
      <c r="F22" s="28">
        <f t="shared" si="0"/>
        <v>7.8441449780618724</v>
      </c>
      <c r="G22" s="28">
        <f t="shared" si="1"/>
        <v>339.08012428066792</v>
      </c>
      <c r="H22" s="39">
        <f t="shared" si="2"/>
        <v>331.23597930260604</v>
      </c>
      <c r="I22" s="28">
        <f t="shared" si="3"/>
        <v>191.14346112947641</v>
      </c>
      <c r="J22" s="27" t="str">
        <f t="shared" si="4"/>
        <v>Gana en todos los trimestres</v>
      </c>
    </row>
    <row r="23" spans="1:10" x14ac:dyDescent="0.2">
      <c r="A23" s="27" t="s">
        <v>68</v>
      </c>
      <c r="B23" s="28">
        <f>SUMIFS('Cálculo FGP-FFM-FOFIR'!$U$5:$U$260,'Cálculo FGP-FFM-FOFIR'!$B$5:$B$260,$A23)/1000000</f>
        <v>1043.4328417613121</v>
      </c>
      <c r="C23" s="28">
        <f>SUMIFS('Cálculo FGP-FFM-FOFIR'!$Y$5:$Y$260,'Cálculo FGP-FFM-FOFIR'!$B$5:$B$260,$A23)/1000000</f>
        <v>-86.94350140649334</v>
      </c>
      <c r="D23" s="28">
        <f>SUMIFS('Cálculo FGP-FFM-FOFIR'!$Q$5:$Q$260,'Cálculo FGP-FFM-FOFIR'!$B$5:$B$260,$A23)/1000000</f>
        <v>546.83358477718878</v>
      </c>
      <c r="E23" s="28">
        <f>SUMIFS('Cálculo FGP-FFM-FOFIR'!$AC$5:$AC$260,'Cálculo FGP-FFM-FOFIR'!$B$5:$B$260,$A23)/1000000</f>
        <v>196.60545864762807</v>
      </c>
      <c r="F23" s="28">
        <f t="shared" si="0"/>
        <v>-86.94350140649334</v>
      </c>
      <c r="G23" s="28">
        <f t="shared" si="1"/>
        <v>1043.4328417613121</v>
      </c>
      <c r="H23" s="39">
        <f t="shared" si="2"/>
        <v>1130.3763431678055</v>
      </c>
      <c r="I23" s="28">
        <f t="shared" si="3"/>
        <v>424.98209594490891</v>
      </c>
      <c r="J23" s="27" t="str">
        <f t="shared" si="4"/>
        <v>Depende del trimestre</v>
      </c>
    </row>
    <row r="24" spans="1:10" x14ac:dyDescent="0.2">
      <c r="A24" s="27" t="s">
        <v>69</v>
      </c>
      <c r="B24" s="28">
        <f>SUMIFS('Cálculo FGP-FFM-FOFIR'!$U$5:$U$260,'Cálculo FGP-FFM-FOFIR'!$B$5:$B$260,$A24)/1000000</f>
        <v>-472.11514952818931</v>
      </c>
      <c r="C24" s="28">
        <f>SUMIFS('Cálculo FGP-FFM-FOFIR'!$Y$5:$Y$260,'Cálculo FGP-FFM-FOFIR'!$B$5:$B$260,$A24)/1000000</f>
        <v>-127.78694873863944</v>
      </c>
      <c r="D24" s="28">
        <f>SUMIFS('Cálculo FGP-FFM-FOFIR'!$Q$5:$Q$260,'Cálculo FGP-FFM-FOFIR'!$B$5:$B$260,$A24)/1000000</f>
        <v>-14.806751005683511</v>
      </c>
      <c r="E24" s="28">
        <f>SUMIFS('Cálculo FGP-FFM-FOFIR'!$AC$5:$AC$260,'Cálculo FGP-FFM-FOFIR'!$B$5:$B$260,$A24)/1000000</f>
        <v>72.149252490885388</v>
      </c>
      <c r="F24" s="28">
        <f t="shared" si="0"/>
        <v>-472.11514952818931</v>
      </c>
      <c r="G24" s="28">
        <f t="shared" si="1"/>
        <v>72.149252490885388</v>
      </c>
      <c r="H24" s="39">
        <f t="shared" si="2"/>
        <v>544.26440201907474</v>
      </c>
      <c r="I24" s="28">
        <f t="shared" si="3"/>
        <v>-135.63989919540671</v>
      </c>
      <c r="J24" s="27" t="str">
        <f t="shared" si="4"/>
        <v>Depende del trimestre</v>
      </c>
    </row>
    <row r="25" spans="1:10" x14ac:dyDescent="0.2">
      <c r="A25" s="27" t="s">
        <v>70</v>
      </c>
      <c r="B25" s="28">
        <f>SUMIFS('Cálculo FGP-FFM-FOFIR'!$U$5:$U$260,'Cálculo FGP-FFM-FOFIR'!$B$5:$B$260,$A25)/1000000</f>
        <v>1476.2800924752444</v>
      </c>
      <c r="C25" s="28">
        <f>SUMIFS('Cálculo FGP-FFM-FOFIR'!$Y$5:$Y$260,'Cálculo FGP-FFM-FOFIR'!$B$5:$B$260,$A25)/1000000</f>
        <v>1596.672752304881</v>
      </c>
      <c r="D25" s="28">
        <f>SUMIFS('Cálculo FGP-FFM-FOFIR'!$Q$5:$Q$260,'Cálculo FGP-FFM-FOFIR'!$B$5:$B$260,$A25)/1000000</f>
        <v>1547.80088578286</v>
      </c>
      <c r="E25" s="28">
        <f>SUMIFS('Cálculo FGP-FFM-FOFIR'!$AC$5:$AC$260,'Cálculo FGP-FFM-FOFIR'!$B$5:$B$260,$A25)/1000000</f>
        <v>1128.2978592028203</v>
      </c>
      <c r="F25" s="28">
        <f t="shared" si="0"/>
        <v>1128.2978592028203</v>
      </c>
      <c r="G25" s="28">
        <f t="shared" si="1"/>
        <v>1596.672752304881</v>
      </c>
      <c r="H25" s="39">
        <f t="shared" si="2"/>
        <v>468.3748931020607</v>
      </c>
      <c r="I25" s="28">
        <f t="shared" si="3"/>
        <v>1437.2628974414513</v>
      </c>
      <c r="J25" s="27" t="str">
        <f t="shared" si="4"/>
        <v>Gana en todos los trimestres</v>
      </c>
    </row>
    <row r="26" spans="1:10" x14ac:dyDescent="0.2">
      <c r="A26" s="27" t="s">
        <v>71</v>
      </c>
      <c r="B26" s="28">
        <f>SUMIFS('Cálculo FGP-FFM-FOFIR'!$U$5:$U$260,'Cálculo FGP-FFM-FOFIR'!$B$5:$B$260,$A26)/1000000</f>
        <v>526.14995797060465</v>
      </c>
      <c r="C26" s="28">
        <f>SUMIFS('Cálculo FGP-FFM-FOFIR'!$Y$5:$Y$260,'Cálculo FGP-FFM-FOFIR'!$B$5:$B$260,$A26)/1000000</f>
        <v>768.30054463732665</v>
      </c>
      <c r="D26" s="28">
        <f>SUMIFS('Cálculo FGP-FFM-FOFIR'!$Q$5:$Q$260,'Cálculo FGP-FFM-FOFIR'!$B$5:$B$260,$A26)/1000000</f>
        <v>533.1700310936651</v>
      </c>
      <c r="E26" s="28">
        <f>SUMIFS('Cálculo FGP-FFM-FOFIR'!$AC$5:$AC$260,'Cálculo FGP-FFM-FOFIR'!$B$5:$B$260,$A26)/1000000</f>
        <v>319.79964507488438</v>
      </c>
      <c r="F26" s="28">
        <f t="shared" si="0"/>
        <v>319.79964507488438</v>
      </c>
      <c r="G26" s="28">
        <f t="shared" si="1"/>
        <v>768.30054463732665</v>
      </c>
      <c r="H26" s="39">
        <f t="shared" si="2"/>
        <v>448.50089956244227</v>
      </c>
      <c r="I26" s="28">
        <f t="shared" si="3"/>
        <v>536.85504469412024</v>
      </c>
      <c r="J26" s="27" t="str">
        <f t="shared" si="4"/>
        <v>Gana en todos los trimestres</v>
      </c>
    </row>
    <row r="27" spans="1:10" x14ac:dyDescent="0.2">
      <c r="A27" s="27" t="s">
        <v>72</v>
      </c>
      <c r="B27" s="28">
        <f>SUMIFS('Cálculo FGP-FFM-FOFIR'!$U$5:$U$260,'Cálculo FGP-FFM-FOFIR'!$B$5:$B$260,$A27)/1000000</f>
        <v>1419.7556711122638</v>
      </c>
      <c r="C27" s="28">
        <f>SUMIFS('Cálculo FGP-FFM-FOFIR'!$Y$5:$Y$260,'Cálculo FGP-FFM-FOFIR'!$B$5:$B$260,$A27)/1000000</f>
        <v>1334.6486418072225</v>
      </c>
      <c r="D27" s="28">
        <f>SUMIFS('Cálculo FGP-FFM-FOFIR'!$Q$5:$Q$260,'Cálculo FGP-FFM-FOFIR'!$B$5:$B$260,$A27)/1000000</f>
        <v>945.95359655206653</v>
      </c>
      <c r="E27" s="28">
        <f>SUMIFS('Cálculo FGP-FFM-FOFIR'!$AC$5:$AC$260,'Cálculo FGP-FFM-FOFIR'!$B$5:$B$260,$A27)/1000000</f>
        <v>590.0631452782136</v>
      </c>
      <c r="F27" s="28">
        <f t="shared" si="0"/>
        <v>590.0631452782136</v>
      </c>
      <c r="G27" s="28">
        <f t="shared" si="1"/>
        <v>1419.7556711122638</v>
      </c>
      <c r="H27" s="39">
        <f t="shared" si="2"/>
        <v>829.69252583405023</v>
      </c>
      <c r="I27" s="28">
        <f t="shared" si="3"/>
        <v>1072.6052636874415</v>
      </c>
      <c r="J27" s="27" t="str">
        <f t="shared" si="4"/>
        <v>Gana en todos los trimestres</v>
      </c>
    </row>
    <row r="28" spans="1:10" x14ac:dyDescent="0.2">
      <c r="A28" s="27" t="s">
        <v>73</v>
      </c>
      <c r="B28" s="28">
        <f>SUMIFS('Cálculo FGP-FFM-FOFIR'!$U$5:$U$260,'Cálculo FGP-FFM-FOFIR'!$B$5:$B$260,$A28)/1000000</f>
        <v>4.4984710802800807</v>
      </c>
      <c r="C28" s="28">
        <f>SUMIFS('Cálculo FGP-FFM-FOFIR'!$Y$5:$Y$260,'Cálculo FGP-FFM-FOFIR'!$B$5:$B$260,$A28)/1000000</f>
        <v>-223.74334681691062</v>
      </c>
      <c r="D28" s="28">
        <f>SUMIFS('Cálculo FGP-FFM-FOFIR'!$Q$5:$Q$260,'Cálculo FGP-FFM-FOFIR'!$B$5:$B$260,$A28)/1000000</f>
        <v>-381.15666271090083</v>
      </c>
      <c r="E28" s="28">
        <f>SUMIFS('Cálculo FGP-FFM-FOFIR'!$AC$5:$AC$260,'Cálculo FGP-FFM-FOFIR'!$B$5:$B$260,$A28)/1000000</f>
        <v>-270.40448305280432</v>
      </c>
      <c r="F28" s="28">
        <f t="shared" si="0"/>
        <v>-381.15666271090083</v>
      </c>
      <c r="G28" s="28">
        <f t="shared" si="1"/>
        <v>4.4984710802800807</v>
      </c>
      <c r="H28" s="39">
        <f t="shared" si="2"/>
        <v>385.6551337911809</v>
      </c>
      <c r="I28" s="28">
        <f t="shared" si="3"/>
        <v>-217.70150537508391</v>
      </c>
      <c r="J28" s="27" t="str">
        <f t="shared" si="4"/>
        <v>Depende del trimestre</v>
      </c>
    </row>
    <row r="29" spans="1:10" x14ac:dyDescent="0.2">
      <c r="A29" s="27" t="s">
        <v>74</v>
      </c>
      <c r="B29" s="28">
        <f>SUMIFS('Cálculo FGP-FFM-FOFIR'!$U$5:$U$260,'Cálculo FGP-FFM-FOFIR'!$B$5:$B$260,$A29)/1000000</f>
        <v>-312.30908271343532</v>
      </c>
      <c r="C29" s="28">
        <f>SUMIFS('Cálculo FGP-FFM-FOFIR'!$Y$5:$Y$260,'Cálculo FGP-FFM-FOFIR'!$B$5:$B$260,$A29)/1000000</f>
        <v>-213.06617388345748</v>
      </c>
      <c r="D29" s="28">
        <f>SUMIFS('Cálculo FGP-FFM-FOFIR'!$Q$5:$Q$260,'Cálculo FGP-FFM-FOFIR'!$B$5:$B$260,$A29)/1000000</f>
        <v>153.89164436910153</v>
      </c>
      <c r="E29" s="28">
        <f>SUMIFS('Cálculo FGP-FFM-FOFIR'!$AC$5:$AC$260,'Cálculo FGP-FFM-FOFIR'!$B$5:$B$260,$A29)/1000000</f>
        <v>32.899212406055966</v>
      </c>
      <c r="F29" s="28">
        <f t="shared" si="0"/>
        <v>-312.30908271343532</v>
      </c>
      <c r="G29" s="28">
        <f t="shared" si="1"/>
        <v>153.89164436910153</v>
      </c>
      <c r="H29" s="39">
        <f t="shared" si="2"/>
        <v>466.20072708253684</v>
      </c>
      <c r="I29" s="28">
        <f t="shared" si="3"/>
        <v>-84.646099955433812</v>
      </c>
      <c r="J29" s="27" t="str">
        <f t="shared" si="4"/>
        <v>Depende del trimestre</v>
      </c>
    </row>
    <row r="30" spans="1:10" x14ac:dyDescent="0.2">
      <c r="A30" s="27" t="s">
        <v>75</v>
      </c>
      <c r="B30" s="28">
        <f>SUMIFS('Cálculo FGP-FFM-FOFIR'!$U$5:$U$260,'Cálculo FGP-FFM-FOFIR'!$B$5:$B$260,$A30)/1000000</f>
        <v>29.813976755543585</v>
      </c>
      <c r="C30" s="28">
        <f>SUMIFS('Cálculo FGP-FFM-FOFIR'!$Y$5:$Y$260,'Cálculo FGP-FFM-FOFIR'!$B$5:$B$260,$A30)/1000000</f>
        <v>138.461346066434</v>
      </c>
      <c r="D30" s="28">
        <f>SUMIFS('Cálculo FGP-FFM-FOFIR'!$Q$5:$Q$260,'Cálculo FGP-FFM-FOFIR'!$B$5:$B$260,$A30)/1000000</f>
        <v>138.6686046661379</v>
      </c>
      <c r="E30" s="28">
        <f>SUMIFS('Cálculo FGP-FFM-FOFIR'!$AC$5:$AC$260,'Cálculo FGP-FFM-FOFIR'!$B$5:$B$260,$A30)/1000000</f>
        <v>-3.3351550464221962</v>
      </c>
      <c r="F30" s="28">
        <f t="shared" si="0"/>
        <v>-3.3351550464221962</v>
      </c>
      <c r="G30" s="28">
        <f t="shared" si="1"/>
        <v>138.6686046661379</v>
      </c>
      <c r="H30" s="39">
        <f t="shared" si="2"/>
        <v>142.00375971256008</v>
      </c>
      <c r="I30" s="28">
        <f t="shared" si="3"/>
        <v>75.902193110423326</v>
      </c>
      <c r="J30" s="27" t="str">
        <f t="shared" si="4"/>
        <v>Depende del trimestre</v>
      </c>
    </row>
    <row r="31" spans="1:10" x14ac:dyDescent="0.2">
      <c r="A31" s="27" t="s">
        <v>76</v>
      </c>
      <c r="B31" s="28">
        <f>SUMIFS('Cálculo FGP-FFM-FOFIR'!$U$5:$U$260,'Cálculo FGP-FFM-FOFIR'!$B$5:$B$260,$A31)/1000000</f>
        <v>-180.04987083453528</v>
      </c>
      <c r="C31" s="28">
        <f>SUMIFS('Cálculo FGP-FFM-FOFIR'!$Y$5:$Y$260,'Cálculo FGP-FFM-FOFIR'!$B$5:$B$260,$A31)/1000000</f>
        <v>-232.04458500511106</v>
      </c>
      <c r="D31" s="28">
        <f>SUMIFS('Cálculo FGP-FFM-FOFIR'!$Q$5:$Q$260,'Cálculo FGP-FFM-FOFIR'!$B$5:$B$260,$A31)/1000000</f>
        <v>-282.97411126144351</v>
      </c>
      <c r="E31" s="28">
        <f>SUMIFS('Cálculo FGP-FFM-FOFIR'!$AC$5:$AC$260,'Cálculo FGP-FFM-FOFIR'!$B$5:$B$260,$A31)/1000000</f>
        <v>-119.41042770626633</v>
      </c>
      <c r="F31" s="28">
        <f t="shared" si="0"/>
        <v>-282.97411126144351</v>
      </c>
      <c r="G31" s="28">
        <f t="shared" si="1"/>
        <v>-119.41042770626633</v>
      </c>
      <c r="H31" s="39">
        <f t="shared" si="2"/>
        <v>163.56368355517719</v>
      </c>
      <c r="I31" s="28">
        <f t="shared" si="3"/>
        <v>-203.61974870183906</v>
      </c>
      <c r="J31" s="27" t="str">
        <f t="shared" si="4"/>
        <v>Pierde en todos los trimestres</v>
      </c>
    </row>
    <row r="32" spans="1:10" x14ac:dyDescent="0.2">
      <c r="A32" s="27" t="s">
        <v>77</v>
      </c>
      <c r="B32" s="28">
        <f>SUMIFS('Cálculo FGP-FFM-FOFIR'!$U$5:$U$260,'Cálculo FGP-FFM-FOFIR'!$B$5:$B$260,$A32)/1000000</f>
        <v>323.2172343392325</v>
      </c>
      <c r="C32" s="28">
        <f>SUMIFS('Cálculo FGP-FFM-FOFIR'!$Y$5:$Y$260,'Cálculo FGP-FFM-FOFIR'!$B$5:$B$260,$A32)/1000000</f>
        <v>181.12407858989994</v>
      </c>
      <c r="D32" s="28">
        <f>SUMIFS('Cálculo FGP-FFM-FOFIR'!$Q$5:$Q$260,'Cálculo FGP-FFM-FOFIR'!$B$5:$B$260,$A32)/1000000</f>
        <v>172.32752192286432</v>
      </c>
      <c r="E32" s="28">
        <f>SUMIFS('Cálculo FGP-FFM-FOFIR'!$AC$5:$AC$260,'Cálculo FGP-FFM-FOFIR'!$B$5:$B$260,$A32)/1000000</f>
        <v>142.37797430091825</v>
      </c>
      <c r="F32" s="28">
        <f t="shared" si="0"/>
        <v>142.37797430091825</v>
      </c>
      <c r="G32" s="28">
        <f t="shared" si="1"/>
        <v>323.2172343392325</v>
      </c>
      <c r="H32" s="39">
        <f t="shared" si="2"/>
        <v>180.83926003831425</v>
      </c>
      <c r="I32" s="28">
        <f t="shared" si="3"/>
        <v>204.76170228822875</v>
      </c>
      <c r="J32" s="27" t="str">
        <f t="shared" si="4"/>
        <v>Gana en todos los trimestres</v>
      </c>
    </row>
    <row r="33" spans="1:10" x14ac:dyDescent="0.2">
      <c r="A33" s="27" t="s">
        <v>78</v>
      </c>
      <c r="B33" s="28">
        <f>SUMIFS('Cálculo FGP-FFM-FOFIR'!$U$5:$U$260,'Cálculo FGP-FFM-FOFIR'!$B$5:$B$260,$A33)/1000000</f>
        <v>-383.10917473814305</v>
      </c>
      <c r="C33" s="28">
        <f>SUMIFS('Cálculo FGP-FFM-FOFIR'!$Y$5:$Y$260,'Cálculo FGP-FFM-FOFIR'!$B$5:$B$260,$A33)/1000000</f>
        <v>-187.71422649656199</v>
      </c>
      <c r="D33" s="28">
        <f>SUMIFS('Cálculo FGP-FFM-FOFIR'!$Q$5:$Q$260,'Cálculo FGP-FFM-FOFIR'!$B$5:$B$260,$A33)/1000000</f>
        <v>-26.848552025440977</v>
      </c>
      <c r="E33" s="28">
        <f>SUMIFS('Cálculo FGP-FFM-FOFIR'!$AC$5:$AC$260,'Cálculo FGP-FFM-FOFIR'!$B$5:$B$260,$A33)/1000000</f>
        <v>-111.58537131934793</v>
      </c>
      <c r="F33" s="28">
        <f t="shared" si="0"/>
        <v>-383.10917473814305</v>
      </c>
      <c r="G33" s="28">
        <f t="shared" si="1"/>
        <v>-26.848552025440977</v>
      </c>
      <c r="H33" s="39">
        <f t="shared" si="2"/>
        <v>356.26062271270206</v>
      </c>
      <c r="I33" s="28">
        <f t="shared" si="3"/>
        <v>-177.31433114487348</v>
      </c>
      <c r="J33" s="27" t="str">
        <f t="shared" si="4"/>
        <v>Pierde en todos los trimestres</v>
      </c>
    </row>
    <row r="34" spans="1:10" x14ac:dyDescent="0.2">
      <c r="A34" s="27" t="s">
        <v>79</v>
      </c>
      <c r="B34" s="28">
        <f>SUMIFS('Cálculo FGP-FFM-FOFIR'!$U$5:$U$260,'Cálculo FGP-FFM-FOFIR'!$B$5:$B$260,$A34)/1000000</f>
        <v>-1362.3465978949544</v>
      </c>
      <c r="C34" s="28">
        <f>SUMIFS('Cálculo FGP-FFM-FOFIR'!$Y$5:$Y$260,'Cálculo FGP-FFM-FOFIR'!$B$5:$B$260,$A34)/1000000</f>
        <v>-958.68739188915833</v>
      </c>
      <c r="D34" s="28">
        <f>SUMIFS('Cálculo FGP-FFM-FOFIR'!$Q$5:$Q$260,'Cálculo FGP-FFM-FOFIR'!$B$5:$B$260,$A34)/1000000</f>
        <v>-887.79906920826215</v>
      </c>
      <c r="E34" s="28">
        <f>SUMIFS('Cálculo FGP-FFM-FOFIR'!$AC$5:$AC$260,'Cálculo FGP-FFM-FOFIR'!$B$5:$B$260,$A34)/1000000</f>
        <v>-560.18384218955885</v>
      </c>
      <c r="F34" s="28">
        <f t="shared" si="0"/>
        <v>-1362.3465978949544</v>
      </c>
      <c r="G34" s="28">
        <f t="shared" si="1"/>
        <v>-560.18384218955885</v>
      </c>
      <c r="H34" s="39">
        <f t="shared" si="2"/>
        <v>802.16275570539551</v>
      </c>
      <c r="I34" s="28">
        <f t="shared" si="3"/>
        <v>-942.25422529548337</v>
      </c>
      <c r="J34" s="27" t="str">
        <f t="shared" si="4"/>
        <v>Pierde en todos los trimestres</v>
      </c>
    </row>
    <row r="35" spans="1:10" x14ac:dyDescent="0.2">
      <c r="A35" s="27" t="s">
        <v>80</v>
      </c>
      <c r="B35" s="28">
        <f>SUMIFS('Cálculo FGP-FFM-FOFIR'!$U$5:$U$260,'Cálculo FGP-FFM-FOFIR'!$B$5:$B$260,$A35)/1000000</f>
        <v>696.29184095725418</v>
      </c>
      <c r="C35" s="28">
        <f>SUMIFS('Cálculo FGP-FFM-FOFIR'!$Y$5:$Y$260,'Cálculo FGP-FFM-FOFIR'!$B$5:$B$260,$A35)/1000000</f>
        <v>520.2452042551721</v>
      </c>
      <c r="D35" s="28">
        <f>SUMIFS('Cálculo FGP-FFM-FOFIR'!$Q$5:$Q$260,'Cálculo FGP-FFM-FOFIR'!$B$5:$B$260,$A35)/1000000</f>
        <v>370.4751933068693</v>
      </c>
      <c r="E35" s="28">
        <f>SUMIFS('Cálculo FGP-FFM-FOFIR'!$AC$5:$AC$260,'Cálculo FGP-FFM-FOFIR'!$B$5:$B$260,$A35)/1000000</f>
        <v>230.1729057418689</v>
      </c>
      <c r="F35" s="28">
        <f t="shared" si="0"/>
        <v>230.1729057418689</v>
      </c>
      <c r="G35" s="28">
        <f t="shared" si="1"/>
        <v>696.29184095725418</v>
      </c>
      <c r="H35" s="39">
        <f t="shared" si="2"/>
        <v>466.11893521538525</v>
      </c>
      <c r="I35" s="28">
        <f t="shared" si="3"/>
        <v>454.29628606529104</v>
      </c>
      <c r="J35" s="27" t="str">
        <f t="shared" si="4"/>
        <v>Gana en todos los trimestres</v>
      </c>
    </row>
    <row r="36" spans="1:10" x14ac:dyDescent="0.2">
      <c r="A36" s="27" t="s">
        <v>81</v>
      </c>
      <c r="B36" s="28">
        <f>SUMIFS('Cálculo FGP-FFM-FOFIR'!$U$5:$U$260,'Cálculo FGP-FFM-FOFIR'!$B$5:$B$260,$A36)/1000000</f>
        <v>-76.246381045097081</v>
      </c>
      <c r="C36" s="28">
        <f>SUMIFS('Cálculo FGP-FFM-FOFIR'!$Y$5:$Y$260,'Cálculo FGP-FFM-FOFIR'!$B$5:$B$260,$A36)/1000000</f>
        <v>-111.46445308080403</v>
      </c>
      <c r="D36" s="28">
        <f>SUMIFS('Cálculo FGP-FFM-FOFIR'!$Q$5:$Q$260,'Cálculo FGP-FFM-FOFIR'!$B$5:$B$260,$A36)/1000000</f>
        <v>2.5813224829517827</v>
      </c>
      <c r="E36" s="28">
        <f>SUMIFS('Cálculo FGP-FFM-FOFIR'!$AC$5:$AC$260,'Cálculo FGP-FFM-FOFIR'!$B$5:$B$260,$A36)/1000000</f>
        <v>-31.316444752159871</v>
      </c>
      <c r="F36" s="28">
        <f t="shared" si="0"/>
        <v>-111.46445308080403</v>
      </c>
      <c r="G36" s="28">
        <f t="shared" si="1"/>
        <v>2.5813224829517827</v>
      </c>
      <c r="H36" s="39">
        <f t="shared" si="2"/>
        <v>114.04577556375581</v>
      </c>
      <c r="I36" s="28">
        <f t="shared" si="3"/>
        <v>-54.111489098777298</v>
      </c>
      <c r="J36" s="27" t="str">
        <f t="shared" si="4"/>
        <v>Depende del trimestre</v>
      </c>
    </row>
    <row r="37" spans="1:10" x14ac:dyDescent="0.2">
      <c r="A37" s="22" t="s">
        <v>111</v>
      </c>
      <c r="B37" s="40">
        <f>-SUMIF(B5:B36,"&lt;0")</f>
        <v>9502.7497431722513</v>
      </c>
      <c r="C37" s="40">
        <f>-SUMIF(C5:C36,"&lt;0")</f>
        <v>8140.5731228683726</v>
      </c>
      <c r="D37" s="40">
        <f>-SUMIF(D5:D36,"&lt;0")</f>
        <v>7178.6253062178648</v>
      </c>
      <c r="E37" s="40">
        <f>-SUMIF(E5:E36,"&lt;0")</f>
        <v>4439.5251635027898</v>
      </c>
    </row>
    <row r="38" spans="1:10" x14ac:dyDescent="0.2">
      <c r="A38" s="13" t="s">
        <v>112</v>
      </c>
      <c r="B38" s="41">
        <f>Población!K37</f>
        <v>130760049</v>
      </c>
      <c r="C38" s="41">
        <f>Población!L37</f>
        <v>131001723</v>
      </c>
      <c r="D38" s="41">
        <f>Población!B37</f>
        <v>131150866</v>
      </c>
      <c r="E38" s="41">
        <f>Población!M37</f>
        <v>131231919</v>
      </c>
    </row>
    <row r="39" spans="1:10" x14ac:dyDescent="0.2">
      <c r="A39" s="13" t="s">
        <v>113</v>
      </c>
    </row>
    <row r="41" spans="1:10" x14ac:dyDescent="0.2">
      <c r="A41" s="13" t="s">
        <v>114</v>
      </c>
    </row>
  </sheetData>
  <conditionalFormatting sqref="B5:I36">
    <cfRule type="cellIs" dxfId="2" priority="2" operator="greaterThan">
      <formula>0.05</formula>
    </cfRule>
    <cfRule type="cellIs" dxfId="1" priority="3" operator="lessThan">
      <formula>-0.05</formula>
    </cfRule>
  </conditionalFormatting>
  <conditionalFormatting sqref="J5:J36">
    <cfRule type="expression" dxfId="0" priority="4">
      <formula>$J5="Depende del trimestre"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5" width="18" customWidth="1"/>
    <col min="6" max="6" width="4" customWidth="1"/>
  </cols>
  <sheetData>
    <row r="1" spans="1:5" ht="17" x14ac:dyDescent="0.2">
      <c r="A1" s="12" t="s">
        <v>115</v>
      </c>
    </row>
    <row r="2" spans="1:5" x14ac:dyDescent="0.2">
      <c r="A2" s="13" t="s">
        <v>116</v>
      </c>
    </row>
    <row r="3" spans="1:5" ht="69.75" customHeight="1" x14ac:dyDescent="0.2">
      <c r="A3" s="11" t="s">
        <v>117</v>
      </c>
      <c r="B3" s="11"/>
      <c r="C3" s="11"/>
      <c r="D3" s="11"/>
      <c r="E3" s="11"/>
    </row>
    <row r="5" spans="1:5" ht="48" customHeight="1" x14ac:dyDescent="0.2">
      <c r="A5" s="24" t="s">
        <v>20</v>
      </c>
      <c r="B5" s="24" t="s">
        <v>118</v>
      </c>
      <c r="C5" s="24" t="s">
        <v>119</v>
      </c>
      <c r="D5" s="24" t="s">
        <v>120</v>
      </c>
      <c r="E5" s="24" t="s">
        <v>121</v>
      </c>
    </row>
    <row r="6" spans="1:5" x14ac:dyDescent="0.2">
      <c r="A6" s="27" t="s">
        <v>50</v>
      </c>
      <c r="B6" s="42">
        <v>260.94770699999998</v>
      </c>
      <c r="C6" s="39">
        <f>SUMIFS('Cálculo ajuste 2026'!$Z$5:$Z$516,'Cálculo ajuste 2026'!$C$5:$C$516,$A6)/1000000</f>
        <v>33.183221502778565</v>
      </c>
      <c r="D6" s="28">
        <f>SUMIFS('Cálculo ajuste 2026'!$AA$5:$AA$516,'Cálculo ajuste 2026'!$C$5:$C$516,$A6)/1000000</f>
        <v>34.82728072490594</v>
      </c>
      <c r="E6" s="28">
        <f t="shared" ref="E6:E37" si="0">B6-C6-D6</f>
        <v>192.93720477231548</v>
      </c>
    </row>
    <row r="7" spans="1:5" x14ac:dyDescent="0.2">
      <c r="A7" s="27" t="s">
        <v>51</v>
      </c>
      <c r="B7" s="42">
        <v>512.75678000000005</v>
      </c>
      <c r="C7" s="39">
        <f>SUMIFS('Cálculo ajuste 2026'!$Z$5:$Z$516,'Cálculo ajuste 2026'!$C$5:$C$516,$A7)/1000000</f>
        <v>84.876027117113381</v>
      </c>
      <c r="D7" s="28">
        <f>SUMIFS('Cálculo ajuste 2026'!$AA$5:$AA$516,'Cálculo ajuste 2026'!$C$5:$C$516,$A7)/1000000</f>
        <v>-93.083400448515192</v>
      </c>
      <c r="E7" s="28">
        <f t="shared" si="0"/>
        <v>520.9641533314018</v>
      </c>
    </row>
    <row r="8" spans="1:5" x14ac:dyDescent="0.2">
      <c r="A8" s="27" t="s">
        <v>52</v>
      </c>
      <c r="B8" s="42">
        <v>119.041743</v>
      </c>
      <c r="C8" s="39">
        <f>SUMIFS('Cálculo ajuste 2026'!$Z$5:$Z$516,'Cálculo ajuste 2026'!$C$5:$C$516,$A8)/1000000</f>
        <v>65.838982733746391</v>
      </c>
      <c r="D8" s="28">
        <f>SUMIFS('Cálculo ajuste 2026'!$AA$5:$AA$516,'Cálculo ajuste 2026'!$C$5:$C$516,$A8)/1000000</f>
        <v>-26.289219101996078</v>
      </c>
      <c r="E8" s="28">
        <f t="shared" si="0"/>
        <v>79.491979368249687</v>
      </c>
    </row>
    <row r="9" spans="1:5" x14ac:dyDescent="0.2">
      <c r="A9" s="27" t="s">
        <v>53</v>
      </c>
      <c r="B9" s="42">
        <v>43.922980000000003</v>
      </c>
      <c r="C9" s="39">
        <f>SUMIFS('Cálculo ajuste 2026'!$Z$5:$Z$516,'Cálculo ajuste 2026'!$C$5:$C$516,$A9)/1000000</f>
        <v>18.86309868582347</v>
      </c>
      <c r="D9" s="28">
        <f>SUMIFS('Cálculo ajuste 2026'!$AA$5:$AA$516,'Cálculo ajuste 2026'!$C$5:$C$516,$A9)/1000000</f>
        <v>-46.708042341763864</v>
      </c>
      <c r="E9" s="28">
        <f t="shared" si="0"/>
        <v>71.767923655940393</v>
      </c>
    </row>
    <row r="10" spans="1:5" x14ac:dyDescent="0.2">
      <c r="A10" s="27" t="s">
        <v>54</v>
      </c>
      <c r="B10" s="42">
        <v>602.70014100000003</v>
      </c>
      <c r="C10" s="39">
        <f>SUMIFS('Cálculo ajuste 2026'!$Z$5:$Z$516,'Cálculo ajuste 2026'!$C$5:$C$516,$A10)/1000000</f>
        <v>139.51854710366518</v>
      </c>
      <c r="D10" s="28">
        <f>SUMIFS('Cálculo ajuste 2026'!$AA$5:$AA$516,'Cálculo ajuste 2026'!$C$5:$C$516,$A10)/1000000</f>
        <v>75.991905643666428</v>
      </c>
      <c r="E10" s="28">
        <f t="shared" si="0"/>
        <v>387.18968825266842</v>
      </c>
    </row>
    <row r="11" spans="1:5" x14ac:dyDescent="0.2">
      <c r="A11" s="27" t="s">
        <v>55</v>
      </c>
      <c r="B11" s="42">
        <v>127.256776</v>
      </c>
      <c r="C11" s="39">
        <f>SUMIFS('Cálculo ajuste 2026'!$Z$5:$Z$516,'Cálculo ajuste 2026'!$C$5:$C$516,$A11)/1000000</f>
        <v>46.759877242857563</v>
      </c>
      <c r="D11" s="28">
        <f>SUMIFS('Cálculo ajuste 2026'!$AA$5:$AA$516,'Cálculo ajuste 2026'!$C$5:$C$516,$A11)/1000000</f>
        <v>9.8610643696534037</v>
      </c>
      <c r="E11" s="28">
        <f t="shared" si="0"/>
        <v>70.635834387489041</v>
      </c>
    </row>
    <row r="12" spans="1:5" x14ac:dyDescent="0.2">
      <c r="A12" s="27" t="s">
        <v>56</v>
      </c>
      <c r="B12" s="42">
        <v>1099.32014</v>
      </c>
      <c r="C12" s="39">
        <f>SUMIFS('Cálculo ajuste 2026'!$Z$5:$Z$516,'Cálculo ajuste 2026'!$C$5:$C$516,$A12)/1000000</f>
        <v>-122.86348008950246</v>
      </c>
      <c r="D12" s="28">
        <f>SUMIFS('Cálculo ajuste 2026'!$AA$5:$AA$516,'Cálculo ajuste 2026'!$C$5:$C$516,$A12)/1000000</f>
        <v>584.51009770941346</v>
      </c>
      <c r="E12" s="28">
        <f t="shared" si="0"/>
        <v>637.67352238008903</v>
      </c>
    </row>
    <row r="13" spans="1:5" x14ac:dyDescent="0.2">
      <c r="A13" s="27" t="s">
        <v>57</v>
      </c>
      <c r="B13" s="42">
        <v>304.90927799999997</v>
      </c>
      <c r="C13" s="39">
        <f>SUMIFS('Cálculo ajuste 2026'!$Z$5:$Z$516,'Cálculo ajuste 2026'!$C$5:$C$516,$A13)/1000000</f>
        <v>51.46113980250405</v>
      </c>
      <c r="D13" s="28">
        <f>SUMIFS('Cálculo ajuste 2026'!$AA$5:$AA$516,'Cálculo ajuste 2026'!$C$5:$C$516,$A13)/1000000</f>
        <v>-167.40062784675257</v>
      </c>
      <c r="E13" s="28">
        <f t="shared" si="0"/>
        <v>420.84876604424846</v>
      </c>
    </row>
    <row r="14" spans="1:5" x14ac:dyDescent="0.2">
      <c r="A14" s="27" t="s">
        <v>58</v>
      </c>
      <c r="B14" s="42">
        <v>2505.928105</v>
      </c>
      <c r="C14" s="39">
        <f>SUMIFS('Cálculo ajuste 2026'!$Z$5:$Z$516,'Cálculo ajuste 2026'!$C$5:$C$516,$A14)/1000000</f>
        <v>-44.08646175229152</v>
      </c>
      <c r="D14" s="28">
        <f>SUMIFS('Cálculo ajuste 2026'!$AA$5:$AA$516,'Cálculo ajuste 2026'!$C$5:$C$516,$A14)/1000000</f>
        <v>931.94636593257599</v>
      </c>
      <c r="E14" s="28">
        <f t="shared" si="0"/>
        <v>1618.0682008197155</v>
      </c>
    </row>
    <row r="15" spans="1:5" x14ac:dyDescent="0.2">
      <c r="A15" s="27" t="s">
        <v>59</v>
      </c>
      <c r="B15" s="42">
        <v>242.81292500000001</v>
      </c>
      <c r="C15" s="39">
        <f>SUMIFS('Cálculo ajuste 2026'!$Z$5:$Z$516,'Cálculo ajuste 2026'!$C$5:$C$516,$A15)/1000000</f>
        <v>30.648872817210894</v>
      </c>
      <c r="D15" s="28">
        <f>SUMIFS('Cálculo ajuste 2026'!$AA$5:$AA$516,'Cálculo ajuste 2026'!$C$5:$C$516,$A15)/1000000</f>
        <v>0.53234891614128743</v>
      </c>
      <c r="E15" s="28">
        <f t="shared" si="0"/>
        <v>211.63170326664783</v>
      </c>
    </row>
    <row r="16" spans="1:5" x14ac:dyDescent="0.2">
      <c r="A16" s="27" t="s">
        <v>60</v>
      </c>
      <c r="B16" s="42">
        <v>642.57966099999999</v>
      </c>
      <c r="C16" s="39">
        <f>SUMIFS('Cálculo ajuste 2026'!$Z$5:$Z$516,'Cálculo ajuste 2026'!$C$5:$C$516,$A16)/1000000</f>
        <v>61.03878477118856</v>
      </c>
      <c r="D16" s="28">
        <f>SUMIFS('Cálculo ajuste 2026'!$AA$5:$AA$516,'Cálculo ajuste 2026'!$C$5:$C$516,$A16)/1000000</f>
        <v>-93.252767515146999</v>
      </c>
      <c r="E16" s="28">
        <f t="shared" si="0"/>
        <v>674.79364374395834</v>
      </c>
    </row>
    <row r="17" spans="1:5" x14ac:dyDescent="0.2">
      <c r="A17" s="27" t="s">
        <v>61</v>
      </c>
      <c r="B17" s="42">
        <v>503.284695</v>
      </c>
      <c r="C17" s="39">
        <f>SUMIFS('Cálculo ajuste 2026'!$Z$5:$Z$516,'Cálculo ajuste 2026'!$C$5:$C$516,$A17)/1000000</f>
        <v>-60.815217597153591</v>
      </c>
      <c r="D17" s="28">
        <f>SUMIFS('Cálculo ajuste 2026'!$AA$5:$AA$516,'Cálculo ajuste 2026'!$C$5:$C$516,$A17)/1000000</f>
        <v>134.7199789917585</v>
      </c>
      <c r="E17" s="28">
        <f t="shared" si="0"/>
        <v>429.37993360539508</v>
      </c>
    </row>
    <row r="18" spans="1:5" x14ac:dyDescent="0.2">
      <c r="A18" s="27" t="s">
        <v>62</v>
      </c>
      <c r="B18" s="42">
        <v>286.099402</v>
      </c>
      <c r="C18" s="39">
        <f>SUMIFS('Cálculo ajuste 2026'!$Z$5:$Z$516,'Cálculo ajuste 2026'!$C$5:$C$516,$A18)/1000000</f>
        <v>-59.141113055447505</v>
      </c>
      <c r="D18" s="28">
        <f>SUMIFS('Cálculo ajuste 2026'!$AA$5:$AA$516,'Cálculo ajuste 2026'!$C$5:$C$516,$A18)/1000000</f>
        <v>13.168884799209669</v>
      </c>
      <c r="E18" s="28">
        <f t="shared" si="0"/>
        <v>332.07163025623788</v>
      </c>
    </row>
    <row r="19" spans="1:5" x14ac:dyDescent="0.2">
      <c r="A19" s="27" t="s">
        <v>63</v>
      </c>
      <c r="B19" s="42">
        <v>1055.343388</v>
      </c>
      <c r="C19" s="39">
        <f>SUMIFS('Cálculo ajuste 2026'!$Z$5:$Z$516,'Cálculo ajuste 2026'!$C$5:$C$516,$A19)/1000000</f>
        <v>-36.420339693295723</v>
      </c>
      <c r="D19" s="28">
        <f>SUMIFS('Cálculo ajuste 2026'!$AA$5:$AA$516,'Cálculo ajuste 2026'!$C$5:$C$516,$A19)/1000000</f>
        <v>95.161828722734668</v>
      </c>
      <c r="E19" s="28">
        <f t="shared" si="0"/>
        <v>996.60189897056114</v>
      </c>
    </row>
    <row r="20" spans="1:5" x14ac:dyDescent="0.2">
      <c r="A20" s="27" t="s">
        <v>64</v>
      </c>
      <c r="B20" s="42">
        <v>1266.666117</v>
      </c>
      <c r="C20" s="39">
        <f>SUMIFS('Cálculo ajuste 2026'!$Z$5:$Z$516,'Cálculo ajuste 2026'!$C$5:$C$516,$A20)/1000000</f>
        <v>-161.92969263217645</v>
      </c>
      <c r="D20" s="28">
        <f>SUMIFS('Cálculo ajuste 2026'!$AA$5:$AA$516,'Cálculo ajuste 2026'!$C$5:$C$516,$A20)/1000000</f>
        <v>-600.13100579544187</v>
      </c>
      <c r="E20" s="28">
        <f t="shared" si="0"/>
        <v>2028.7268154276185</v>
      </c>
    </row>
    <row r="21" spans="1:5" x14ac:dyDescent="0.2">
      <c r="A21" s="27" t="s">
        <v>65</v>
      </c>
      <c r="B21" s="42">
        <v>246.48853099999999</v>
      </c>
      <c r="C21" s="39">
        <f>SUMIFS('Cálculo ajuste 2026'!$Z$5:$Z$516,'Cálculo ajuste 2026'!$C$5:$C$516,$A21)/1000000</f>
        <v>-18.984663960872577</v>
      </c>
      <c r="D21" s="28">
        <f>SUMIFS('Cálculo ajuste 2026'!$AA$5:$AA$516,'Cálculo ajuste 2026'!$C$5:$C$516,$A21)/1000000</f>
        <v>-248.26821500629862</v>
      </c>
      <c r="E21" s="28">
        <f t="shared" si="0"/>
        <v>513.74140996717119</v>
      </c>
    </row>
    <row r="22" spans="1:5" x14ac:dyDescent="0.2">
      <c r="A22" s="27" t="s">
        <v>66</v>
      </c>
      <c r="B22" s="42">
        <v>239.62014500000001</v>
      </c>
      <c r="C22" s="39">
        <f>SUMIFS('Cálculo ajuste 2026'!$Z$5:$Z$516,'Cálculo ajuste 2026'!$C$5:$C$516,$A22)/1000000</f>
        <v>0.21710607776615573</v>
      </c>
      <c r="D22" s="28">
        <f>SUMIFS('Cálculo ajuste 2026'!$AA$5:$AA$516,'Cálculo ajuste 2026'!$C$5:$C$516,$A22)/1000000</f>
        <v>6.5126319914860149</v>
      </c>
      <c r="E22" s="28">
        <f t="shared" si="0"/>
        <v>232.89040693074784</v>
      </c>
    </row>
    <row r="23" spans="1:5" x14ac:dyDescent="0.2">
      <c r="A23" s="27" t="s">
        <v>67</v>
      </c>
      <c r="B23" s="42">
        <v>146.50412900000001</v>
      </c>
      <c r="C23" s="39">
        <f>SUMIFS('Cálculo ajuste 2026'!$Z$5:$Z$516,'Cálculo ajuste 2026'!$C$5:$C$516,$A23)/1000000</f>
        <v>50.096217814662658</v>
      </c>
      <c r="D23" s="28">
        <f>SUMIFS('Cálculo ajuste 2026'!$AA$5:$AA$516,'Cálculo ajuste 2026'!$C$5:$C$516,$A23)/1000000</f>
        <v>-44.220738927711238</v>
      </c>
      <c r="E23" s="28">
        <f t="shared" si="0"/>
        <v>140.62865011304859</v>
      </c>
    </row>
    <row r="24" spans="1:5" x14ac:dyDescent="0.2">
      <c r="A24" s="27" t="s">
        <v>68</v>
      </c>
      <c r="B24" s="42">
        <v>456.26096000000001</v>
      </c>
      <c r="C24" s="39">
        <f>SUMIFS('Cálculo ajuste 2026'!$Z$5:$Z$516,'Cálculo ajuste 2026'!$C$5:$C$516,$A24)/1000000</f>
        <v>-18.42581947555167</v>
      </c>
      <c r="D24" s="28">
        <f>SUMIFS('Cálculo ajuste 2026'!$AA$5:$AA$516,'Cálculo ajuste 2026'!$C$5:$C$516,$A24)/1000000</f>
        <v>-227.52816809701795</v>
      </c>
      <c r="E24" s="28">
        <f t="shared" si="0"/>
        <v>702.2149475725696</v>
      </c>
    </row>
    <row r="25" spans="1:5" x14ac:dyDescent="0.2">
      <c r="A25" s="27" t="s">
        <v>69</v>
      </c>
      <c r="B25" s="42">
        <v>462.07388200000003</v>
      </c>
      <c r="C25" s="39">
        <f>SUMIFS('Cálculo ajuste 2026'!$Z$5:$Z$516,'Cálculo ajuste 2026'!$C$5:$C$516,$A25)/1000000</f>
        <v>-85.629285878937623</v>
      </c>
      <c r="D25" s="28">
        <f>SUMIFS('Cálculo ajuste 2026'!$AA$5:$AA$516,'Cálculo ajuste 2026'!$C$5:$C$516,$A25)/1000000</f>
        <v>80.127176934499175</v>
      </c>
      <c r="E25" s="28">
        <f t="shared" si="0"/>
        <v>467.57599094443844</v>
      </c>
    </row>
    <row r="26" spans="1:5" x14ac:dyDescent="0.2">
      <c r="A26" s="27" t="s">
        <v>70</v>
      </c>
      <c r="B26" s="42">
        <v>823.77200000000005</v>
      </c>
      <c r="C26" s="39">
        <f>SUMIFS('Cálculo ajuste 2026'!$Z$5:$Z$516,'Cálculo ajuste 2026'!$C$5:$C$516,$A26)/1000000</f>
        <v>-3.353404002934937</v>
      </c>
      <c r="D26" s="28">
        <f>SUMIFS('Cálculo ajuste 2026'!$AA$5:$AA$516,'Cálculo ajuste 2026'!$C$5:$C$516,$A26)/1000000</f>
        <v>-73.557135319435105</v>
      </c>
      <c r="E26" s="28">
        <f t="shared" si="0"/>
        <v>900.68253932237008</v>
      </c>
    </row>
    <row r="27" spans="1:5" x14ac:dyDescent="0.2">
      <c r="A27" s="27" t="s">
        <v>71</v>
      </c>
      <c r="B27" s="42">
        <v>213.358947</v>
      </c>
      <c r="C27" s="39">
        <f>SUMIFS('Cálculo ajuste 2026'!$Z$5:$Z$516,'Cálculo ajuste 2026'!$C$5:$C$516,$A27)/1000000</f>
        <v>33.141993336984768</v>
      </c>
      <c r="D27" s="28">
        <f>SUMIFS('Cálculo ajuste 2026'!$AA$5:$AA$516,'Cálculo ajuste 2026'!$C$5:$C$516,$A27)/1000000</f>
        <v>-113.57920247132526</v>
      </c>
      <c r="E27" s="28">
        <f t="shared" si="0"/>
        <v>293.79615613434049</v>
      </c>
    </row>
    <row r="28" spans="1:5" x14ac:dyDescent="0.2">
      <c r="A28" s="27" t="s">
        <v>72</v>
      </c>
      <c r="B28" s="42">
        <v>277.92121300000002</v>
      </c>
      <c r="C28" s="39">
        <f>SUMIFS('Cálculo ajuste 2026'!$Z$5:$Z$516,'Cálculo ajuste 2026'!$C$5:$C$516,$A28)/1000000</f>
        <v>122.18488432472928</v>
      </c>
      <c r="D28" s="28">
        <f>SUMIFS('Cálculo ajuste 2026'!$AA$5:$AA$516,'Cálculo ajuste 2026'!$C$5:$C$516,$A28)/1000000</f>
        <v>-57.69213628815686</v>
      </c>
      <c r="E28" s="28">
        <f t="shared" si="0"/>
        <v>213.42846496342759</v>
      </c>
    </row>
    <row r="29" spans="1:5" x14ac:dyDescent="0.2">
      <c r="A29" s="27" t="s">
        <v>73</v>
      </c>
      <c r="B29" s="42">
        <v>425.88859500000001</v>
      </c>
      <c r="C29" s="39">
        <f>SUMIFS('Cálculo ajuste 2026'!$Z$5:$Z$516,'Cálculo ajuste 2026'!$C$5:$C$516,$A29)/1000000</f>
        <v>81.428245223722698</v>
      </c>
      <c r="D29" s="28">
        <f>SUMIFS('Cálculo ajuste 2026'!$AA$5:$AA$516,'Cálculo ajuste 2026'!$C$5:$C$516,$A29)/1000000</f>
        <v>36.385882327067804</v>
      </c>
      <c r="E29" s="28">
        <f t="shared" si="0"/>
        <v>308.07446744920952</v>
      </c>
    </row>
    <row r="30" spans="1:5" x14ac:dyDescent="0.2">
      <c r="A30" s="27" t="s">
        <v>74</v>
      </c>
      <c r="B30" s="42">
        <v>152.071213</v>
      </c>
      <c r="C30" s="39">
        <f>SUMIFS('Cálculo ajuste 2026'!$Z$5:$Z$516,'Cálculo ajuste 2026'!$C$5:$C$516,$A30)/1000000</f>
        <v>-119.98418520744286</v>
      </c>
      <c r="D30" s="28">
        <f>SUMIFS('Cálculo ajuste 2026'!$AA$5:$AA$516,'Cálculo ajuste 2026'!$C$5:$C$516,$A30)/1000000</f>
        <v>-44.723798646118155</v>
      </c>
      <c r="E30" s="28">
        <f t="shared" si="0"/>
        <v>316.77919685356102</v>
      </c>
    </row>
    <row r="31" spans="1:5" x14ac:dyDescent="0.2">
      <c r="A31" s="27" t="s">
        <v>75</v>
      </c>
      <c r="B31" s="42">
        <v>395.87525699999998</v>
      </c>
      <c r="C31" s="39">
        <f>SUMIFS('Cálculo ajuste 2026'!$Z$5:$Z$516,'Cálculo ajuste 2026'!$C$5:$C$516,$A31)/1000000</f>
        <v>-16.096482685848244</v>
      </c>
      <c r="D31" s="28">
        <f>SUMIFS('Cálculo ajuste 2026'!$AA$5:$AA$516,'Cálculo ajuste 2026'!$C$5:$C$516,$A31)/1000000</f>
        <v>39.878872390941112</v>
      </c>
      <c r="E31" s="28">
        <f t="shared" si="0"/>
        <v>372.09286729490708</v>
      </c>
    </row>
    <row r="32" spans="1:5" x14ac:dyDescent="0.2">
      <c r="A32" s="27" t="s">
        <v>76</v>
      </c>
      <c r="B32" s="42">
        <v>288.20799799999998</v>
      </c>
      <c r="C32" s="39">
        <f>SUMIFS('Cálculo ajuste 2026'!$Z$5:$Z$516,'Cálculo ajuste 2026'!$C$5:$C$516,$A32)/1000000</f>
        <v>23.5667216578878</v>
      </c>
      <c r="D32" s="28">
        <f>SUMIFS('Cálculo ajuste 2026'!$AA$5:$AA$516,'Cálculo ajuste 2026'!$C$5:$C$516,$A32)/1000000</f>
        <v>33.557204208082915</v>
      </c>
      <c r="E32" s="28">
        <f t="shared" si="0"/>
        <v>231.08407213402927</v>
      </c>
    </row>
    <row r="33" spans="1:5" x14ac:dyDescent="0.2">
      <c r="A33" s="27" t="s">
        <v>77</v>
      </c>
      <c r="B33" s="42">
        <v>408.86939999999998</v>
      </c>
      <c r="C33" s="39">
        <f>SUMIFS('Cálculo ajuste 2026'!$Z$5:$Z$516,'Cálculo ajuste 2026'!$C$5:$C$516,$A33)/1000000</f>
        <v>24.527318164498052</v>
      </c>
      <c r="D33" s="28">
        <f>SUMIFS('Cálculo ajuste 2026'!$AA$5:$AA$516,'Cálculo ajuste 2026'!$C$5:$C$516,$A33)/1000000</f>
        <v>0.53205899362575826</v>
      </c>
      <c r="E33" s="28">
        <f t="shared" si="0"/>
        <v>383.81002284187616</v>
      </c>
    </row>
    <row r="34" spans="1:5" x14ac:dyDescent="0.2">
      <c r="A34" s="27" t="s">
        <v>78</v>
      </c>
      <c r="B34" s="42">
        <v>63.560232999999997</v>
      </c>
      <c r="C34" s="39">
        <f>SUMIFS('Cálculo ajuste 2026'!$Z$5:$Z$516,'Cálculo ajuste 2026'!$C$5:$C$516,$A34)/1000000</f>
        <v>-78.348122487396992</v>
      </c>
      <c r="D34" s="28">
        <f>SUMIFS('Cálculo ajuste 2026'!$AA$5:$AA$516,'Cálculo ajuste 2026'!$C$5:$C$516,$A34)/1000000</f>
        <v>2.6870559457712435</v>
      </c>
      <c r="E34" s="28">
        <f t="shared" si="0"/>
        <v>139.22129954162574</v>
      </c>
    </row>
    <row r="35" spans="1:5" x14ac:dyDescent="0.2">
      <c r="A35" s="27" t="s">
        <v>79</v>
      </c>
      <c r="B35" s="42">
        <v>507.00796100000002</v>
      </c>
      <c r="C35" s="39">
        <f>SUMIFS('Cálculo ajuste 2026'!$Z$5:$Z$516,'Cálculo ajuste 2026'!$C$5:$C$516,$A35)/1000000</f>
        <v>-83.675522600480974</v>
      </c>
      <c r="D35" s="28">
        <f>SUMIFS('Cálculo ajuste 2026'!$AA$5:$AA$516,'Cálculo ajuste 2026'!$C$5:$C$516,$A35)/1000000</f>
        <v>-257.7372182412426</v>
      </c>
      <c r="E35" s="28">
        <f t="shared" si="0"/>
        <v>848.42070184172348</v>
      </c>
    </row>
    <row r="36" spans="1:5" x14ac:dyDescent="0.2">
      <c r="A36" s="27" t="s">
        <v>80</v>
      </c>
      <c r="B36" s="42">
        <v>273.31421599999999</v>
      </c>
      <c r="C36" s="39">
        <f>SUMIFS('Cálculo ajuste 2026'!$Z$5:$Z$516,'Cálculo ajuste 2026'!$C$5:$C$516,$A36)/1000000</f>
        <v>71.612776716039093</v>
      </c>
      <c r="D36" s="28">
        <f>SUMIFS('Cálculo ajuste 2026'!$AA$5:$AA$516,'Cálculo ajuste 2026'!$C$5:$C$516,$A36)/1000000</f>
        <v>-47.764859575100502</v>
      </c>
      <c r="E36" s="28">
        <f t="shared" si="0"/>
        <v>249.4662988590614</v>
      </c>
    </row>
    <row r="37" spans="1:5" x14ac:dyDescent="0.2">
      <c r="A37" s="27" t="s">
        <v>81</v>
      </c>
      <c r="B37" s="42">
        <v>197.090858</v>
      </c>
      <c r="C37" s="39">
        <f>SUMIFS('Cálculo ajuste 2026'!$Z$5:$Z$516,'Cálculo ajuste 2026'!$C$5:$C$516,$A37)/1000000</f>
        <v>-29.210023973854607</v>
      </c>
      <c r="D37" s="28">
        <f>SUMIFS('Cálculo ajuste 2026'!$AA$5:$AA$516,'Cálculo ajuste 2026'!$C$5:$C$516,$A37)/1000000</f>
        <v>61.535897020508308</v>
      </c>
      <c r="E37" s="28">
        <f t="shared" si="0"/>
        <v>164.7649849533463</v>
      </c>
    </row>
    <row r="38" spans="1:5" x14ac:dyDescent="0.2">
      <c r="A38" s="32" t="s">
        <v>82</v>
      </c>
      <c r="B38" s="43">
        <f>SUM(B6:B37)</f>
        <v>15151.455376000004</v>
      </c>
      <c r="C38" s="43">
        <f>SUM(C6:C37)</f>
        <v>-9.2121865691296989E-12</v>
      </c>
      <c r="D38" s="43">
        <f>SUM(D6:D37)</f>
        <v>1.8836487925000256E-11</v>
      </c>
      <c r="E38" s="43">
        <f>SUM(E6:E37)</f>
        <v>15151.455375999991</v>
      </c>
    </row>
    <row r="39" spans="1:5" x14ac:dyDescent="0.2">
      <c r="A39" s="22" t="s">
        <v>122</v>
      </c>
      <c r="C39" s="44">
        <f>-SUMIF(C6:C37,"&lt;0")</f>
        <v>938.96381509318769</v>
      </c>
    </row>
  </sheetData>
  <mergeCells count="1"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showGridLines="0" zoomScaleNormal="100" workbookViewId="0"/>
  </sheetViews>
  <sheetFormatPr baseColWidth="10" defaultColWidth="8.6640625" defaultRowHeight="15" x14ac:dyDescent="0.2"/>
  <cols>
    <col min="1" max="1" width="60" customWidth="1"/>
    <col min="2" max="2" width="20" customWidth="1"/>
    <col min="3" max="3" width="70" customWidth="1"/>
  </cols>
  <sheetData>
    <row r="1" spans="1:3" ht="17" x14ac:dyDescent="0.2">
      <c r="A1" s="12" t="s">
        <v>123</v>
      </c>
    </row>
    <row r="2" spans="1:3" x14ac:dyDescent="0.2">
      <c r="A2" s="13" t="s">
        <v>124</v>
      </c>
    </row>
    <row r="4" spans="1:3" ht="48" customHeight="1" x14ac:dyDescent="0.2">
      <c r="A4" s="24" t="s">
        <v>125</v>
      </c>
      <c r="B4" s="24" t="s">
        <v>126</v>
      </c>
      <c r="C4" s="24" t="s">
        <v>127</v>
      </c>
    </row>
    <row r="5" spans="1:3" x14ac:dyDescent="0.2">
      <c r="A5" s="27" t="s">
        <v>128</v>
      </c>
      <c r="B5" s="45">
        <v>1146547607219</v>
      </c>
      <c r="C5" s="13" t="s">
        <v>129</v>
      </c>
    </row>
    <row r="6" spans="1:3" x14ac:dyDescent="0.2">
      <c r="A6" s="27" t="s">
        <v>130</v>
      </c>
      <c r="B6" s="45">
        <v>57227524535</v>
      </c>
      <c r="C6" s="13" t="s">
        <v>131</v>
      </c>
    </row>
    <row r="7" spans="1:3" x14ac:dyDescent="0.2">
      <c r="A7" s="27" t="s">
        <v>132</v>
      </c>
      <c r="B7" s="45">
        <v>71534405671</v>
      </c>
      <c r="C7" s="13" t="s">
        <v>133</v>
      </c>
    </row>
    <row r="8" spans="1:3" x14ac:dyDescent="0.2">
      <c r="A8" s="27" t="s">
        <v>134</v>
      </c>
      <c r="B8" s="45">
        <v>8041200000</v>
      </c>
      <c r="C8" s="13" t="s">
        <v>135</v>
      </c>
    </row>
    <row r="9" spans="1:3" x14ac:dyDescent="0.2">
      <c r="A9" s="27" t="s">
        <v>136</v>
      </c>
      <c r="B9" s="45">
        <v>7782943337</v>
      </c>
      <c r="C9" s="13" t="s">
        <v>137</v>
      </c>
    </row>
    <row r="10" spans="1:3" x14ac:dyDescent="0.2">
      <c r="A10" s="22" t="s">
        <v>138</v>
      </c>
      <c r="B10" s="23">
        <f>B9/0.00136</f>
        <v>5722752453676.4697</v>
      </c>
      <c r="C10" s="13" t="s">
        <v>139</v>
      </c>
    </row>
    <row r="11" spans="1:3" x14ac:dyDescent="0.2">
      <c r="A11" s="27" t="s">
        <v>140</v>
      </c>
      <c r="B11" s="45">
        <v>265828053996</v>
      </c>
      <c r="C11" s="13" t="s">
        <v>141</v>
      </c>
    </row>
    <row r="12" spans="1:3" x14ac:dyDescent="0.2">
      <c r="A12" s="27" t="s">
        <v>142</v>
      </c>
      <c r="B12" s="45">
        <v>21339511050</v>
      </c>
      <c r="C12" s="13" t="s">
        <v>143</v>
      </c>
    </row>
    <row r="13" spans="1:3" x14ac:dyDescent="0.2">
      <c r="A13" s="27" t="s">
        <v>144</v>
      </c>
      <c r="B13" s="45">
        <v>26674388812</v>
      </c>
      <c r="C13" s="13" t="s">
        <v>145</v>
      </c>
    </row>
    <row r="14" spans="1:3" x14ac:dyDescent="0.2">
      <c r="A14" s="22" t="s">
        <v>146</v>
      </c>
      <c r="B14" s="23">
        <f>0.2*B10-B11</f>
        <v>878722436739.29395</v>
      </c>
      <c r="C14" s="13"/>
    </row>
    <row r="15" spans="1:3" x14ac:dyDescent="0.2">
      <c r="A15" s="22" t="s">
        <v>147</v>
      </c>
      <c r="B15" s="23">
        <f>0.01*B10-B12</f>
        <v>35888013486.764702</v>
      </c>
      <c r="C15" s="13"/>
    </row>
    <row r="16" spans="1:3" x14ac:dyDescent="0.2">
      <c r="A16" s="22" t="s">
        <v>148</v>
      </c>
      <c r="B16" s="23">
        <f>0.0125*B10-B13</f>
        <v>44860016858.955872</v>
      </c>
      <c r="C16" s="13"/>
    </row>
    <row r="18" spans="1:3" x14ac:dyDescent="0.2">
      <c r="A18" s="46" t="s">
        <v>149</v>
      </c>
    </row>
    <row r="19" spans="1:3" ht="48" customHeight="1" x14ac:dyDescent="0.2">
      <c r="A19" s="24" t="s">
        <v>150</v>
      </c>
      <c r="B19" s="24" t="s">
        <v>151</v>
      </c>
      <c r="C19" s="24" t="s">
        <v>152</v>
      </c>
    </row>
    <row r="20" spans="1:3" x14ac:dyDescent="0.2">
      <c r="A20" s="27" t="s">
        <v>153</v>
      </c>
      <c r="B20" s="23">
        <f>B14*0.6</f>
        <v>527233462043.57635</v>
      </c>
      <c r="C20" s="13" t="s">
        <v>154</v>
      </c>
    </row>
    <row r="21" spans="1:3" x14ac:dyDescent="0.2">
      <c r="A21" s="27" t="s">
        <v>155</v>
      </c>
      <c r="B21" s="23">
        <f>B14*0.3</f>
        <v>263616731021.78818</v>
      </c>
      <c r="C21" s="13" t="s">
        <v>156</v>
      </c>
    </row>
    <row r="22" spans="1:3" x14ac:dyDescent="0.2">
      <c r="A22" s="27" t="s">
        <v>157</v>
      </c>
      <c r="B22" s="23">
        <f>B14*0.1</f>
        <v>87872243673.929398</v>
      </c>
      <c r="C22" s="13" t="s">
        <v>158</v>
      </c>
    </row>
    <row r="23" spans="1:3" x14ac:dyDescent="0.2">
      <c r="A23" s="27" t="s">
        <v>44</v>
      </c>
      <c r="B23" s="23">
        <f>B15*0.7</f>
        <v>25121609440.735291</v>
      </c>
      <c r="C23" s="13" t="s">
        <v>159</v>
      </c>
    </row>
    <row r="24" spans="1:3" x14ac:dyDescent="0.2">
      <c r="A24" s="27" t="s">
        <v>160</v>
      </c>
      <c r="B24" s="23">
        <f>B16*0.3</f>
        <v>13458005057.686762</v>
      </c>
      <c r="C24" s="13" t="s">
        <v>161</v>
      </c>
    </row>
    <row r="25" spans="1:3" x14ac:dyDescent="0.2">
      <c r="A25" s="27" t="s">
        <v>162</v>
      </c>
      <c r="B25" s="23">
        <f>B16*0.1</f>
        <v>4486001685.895587</v>
      </c>
      <c r="C25" s="13" t="s">
        <v>163</v>
      </c>
    </row>
    <row r="26" spans="1:3" x14ac:dyDescent="0.2">
      <c r="A26" s="27" t="s">
        <v>164</v>
      </c>
      <c r="B26" s="23">
        <f>B16*0.3</f>
        <v>13458005057.686762</v>
      </c>
      <c r="C26" s="13" t="s">
        <v>165</v>
      </c>
    </row>
    <row r="27" spans="1:3" x14ac:dyDescent="0.2">
      <c r="A27" s="27" t="s">
        <v>166</v>
      </c>
      <c r="B27" s="23">
        <f>B16*0.3</f>
        <v>13458005057.686762</v>
      </c>
      <c r="C27" s="13" t="s">
        <v>167</v>
      </c>
    </row>
    <row r="28" spans="1:3" x14ac:dyDescent="0.2">
      <c r="A28" s="27" t="s">
        <v>46</v>
      </c>
      <c r="B28" s="23">
        <f>B8</f>
        <v>8041200000</v>
      </c>
      <c r="C28" s="13" t="s">
        <v>168</v>
      </c>
    </row>
    <row r="29" spans="1:3" x14ac:dyDescent="0.2">
      <c r="A29" s="22" t="s">
        <v>169</v>
      </c>
      <c r="B29" s="36">
        <f>SUM(B20:B28)</f>
        <v>956745263038.98523</v>
      </c>
    </row>
    <row r="31" spans="1:3" x14ac:dyDescent="0.2">
      <c r="A31" s="13" t="s">
        <v>170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"/>
  <sheetViews>
    <sheetView showGridLines="0" zoomScaleNormal="100" workbookViewId="0"/>
  </sheetViews>
  <sheetFormatPr baseColWidth="10" defaultColWidth="8.6640625" defaultRowHeight="15" x14ac:dyDescent="0.2"/>
  <cols>
    <col min="1" max="1" width="20" customWidth="1"/>
    <col min="2" max="2" width="15" customWidth="1"/>
    <col min="3" max="3" width="13" customWidth="1"/>
    <col min="4" max="4" width="15" customWidth="1"/>
    <col min="5" max="5" width="14" customWidth="1"/>
    <col min="6" max="6" width="15" customWidth="1"/>
    <col min="7" max="7" width="16" customWidth="1"/>
    <col min="8" max="8" width="14" customWidth="1"/>
    <col min="9" max="9" width="15" customWidth="1"/>
    <col min="10" max="10" width="14" customWidth="1"/>
    <col min="11" max="11" width="15" customWidth="1"/>
    <col min="12" max="12" width="17" customWidth="1"/>
    <col min="13" max="13" width="14" customWidth="1"/>
    <col min="14" max="14" width="17" customWidth="1"/>
  </cols>
  <sheetData>
    <row r="1" spans="1:14" ht="17" x14ac:dyDescent="0.2">
      <c r="A1" s="12" t="s">
        <v>171</v>
      </c>
    </row>
    <row r="2" spans="1:14" x14ac:dyDescent="0.2">
      <c r="A2" s="13" t="s">
        <v>172</v>
      </c>
    </row>
    <row r="4" spans="1:14" ht="48" customHeight="1" x14ac:dyDescent="0.2">
      <c r="A4" s="24" t="s">
        <v>173</v>
      </c>
      <c r="B4" s="24" t="s">
        <v>174</v>
      </c>
      <c r="C4" s="24" t="s">
        <v>175</v>
      </c>
      <c r="D4" s="24" t="s">
        <v>176</v>
      </c>
      <c r="E4" s="24" t="s">
        <v>177</v>
      </c>
      <c r="F4" s="24" t="s">
        <v>178</v>
      </c>
      <c r="G4" s="24" t="s">
        <v>179</v>
      </c>
      <c r="H4" s="24" t="s">
        <v>180</v>
      </c>
      <c r="I4" s="24" t="s">
        <v>181</v>
      </c>
      <c r="J4" s="24" t="s">
        <v>182</v>
      </c>
      <c r="K4" s="24" t="s">
        <v>183</v>
      </c>
      <c r="L4" s="24" t="s">
        <v>184</v>
      </c>
      <c r="M4" s="24" t="s">
        <v>185</v>
      </c>
      <c r="N4" s="24" t="s">
        <v>186</v>
      </c>
    </row>
    <row r="5" spans="1:14" x14ac:dyDescent="0.2">
      <c r="A5" s="27" t="s">
        <v>50</v>
      </c>
      <c r="B5" s="45">
        <v>253448939</v>
      </c>
      <c r="C5" s="45">
        <v>1407175</v>
      </c>
      <c r="D5" s="45">
        <v>42831004</v>
      </c>
      <c r="E5" s="45">
        <v>12124756</v>
      </c>
      <c r="F5" s="45">
        <v>115157096</v>
      </c>
      <c r="G5" s="23">
        <f>B5/B$37*'Fondos 2027'!$B$11</f>
        <v>3041387267.7254114</v>
      </c>
      <c r="H5" s="23">
        <f>C5/C$37*('Fondos 2027'!$B$5-0.2*'Fondos 2027'!$B$10)</f>
        <v>17431012.102699436</v>
      </c>
      <c r="I5" s="23">
        <f>D5/D$37*'Fondos 2027'!$B$12</f>
        <v>513972047.85548723</v>
      </c>
      <c r="J5" s="23">
        <f>E5/E$37*'Fondos 2027'!$B$15*0.3</f>
        <v>181689242.96007904</v>
      </c>
      <c r="K5" s="23">
        <f>F5/F$37*'Fondos 2027'!$B$13</f>
        <v>230314192.03453711</v>
      </c>
      <c r="L5" s="35">
        <f>SUMIFS('Cálculo FGP-FFM-FOFIR'!$O$5:$O$260,'Cálculo FGP-FFM-FOFIR'!$B$5:$B$260,A5)</f>
        <v>10180977956.768259</v>
      </c>
      <c r="M5" s="35">
        <f>'Cálculo FoCo'!O5</f>
        <v>0</v>
      </c>
      <c r="N5" s="29">
        <f t="shared" ref="N5:N36" si="0">SUM(G5:M5)</f>
        <v>14165771719.446474</v>
      </c>
    </row>
    <row r="6" spans="1:14" x14ac:dyDescent="0.2">
      <c r="A6" s="27" t="s">
        <v>51</v>
      </c>
      <c r="B6" s="45">
        <v>635563001</v>
      </c>
      <c r="C6" s="45">
        <v>5275161</v>
      </c>
      <c r="D6" s="45">
        <v>29439346</v>
      </c>
      <c r="E6" s="45">
        <v>31249007</v>
      </c>
      <c r="F6" s="45">
        <v>327996822</v>
      </c>
      <c r="G6" s="23">
        <f>B6/B$37*'Fondos 2027'!$B$11</f>
        <v>7626756011.3114271</v>
      </c>
      <c r="H6" s="23">
        <f>C6/C$37*('Fondos 2027'!$B$5-0.2*'Fondos 2027'!$B$10)</f>
        <v>65344676.557420403</v>
      </c>
      <c r="I6" s="23">
        <f>D6/D$37*'Fondos 2027'!$B$12</f>
        <v>353272151.90067101</v>
      </c>
      <c r="J6" s="23">
        <f>E6/E$37*'Fondos 2027'!$B$15*0.3</f>
        <v>468265788.2009511</v>
      </c>
      <c r="K6" s="23">
        <f>F6/F$37*'Fondos 2027'!$B$13</f>
        <v>655993644.09837055</v>
      </c>
      <c r="L6" s="35">
        <f>SUMIFS('Cálculo FGP-FFM-FOFIR'!$O$5:$O$260,'Cálculo FGP-FFM-FOFIR'!$B$5:$B$260,A6)</f>
        <v>28307602977.267124</v>
      </c>
      <c r="M6" s="35">
        <f>'Cálculo FoCo'!O6</f>
        <v>0</v>
      </c>
      <c r="N6" s="29">
        <f t="shared" si="0"/>
        <v>37477235249.335968</v>
      </c>
    </row>
    <row r="7" spans="1:14" x14ac:dyDescent="0.2">
      <c r="A7" s="27" t="s">
        <v>52</v>
      </c>
      <c r="B7" s="45">
        <v>160245947</v>
      </c>
      <c r="C7" s="45">
        <v>1379021</v>
      </c>
      <c r="D7" s="45">
        <v>13281123</v>
      </c>
      <c r="E7" s="45">
        <v>0</v>
      </c>
      <c r="F7" s="45">
        <v>67064946</v>
      </c>
      <c r="G7" s="23">
        <f>B7/B$37*'Fondos 2027'!$B$11</f>
        <v>1922951363.8263884</v>
      </c>
      <c r="H7" s="23">
        <f>C7/C$37*('Fondos 2027'!$B$5-0.2*'Fondos 2027'!$B$10)</f>
        <v>17082261.79464294</v>
      </c>
      <c r="I7" s="23">
        <f>D7/D$37*'Fondos 2027'!$B$12</f>
        <v>159373475.9551892</v>
      </c>
      <c r="J7" s="23">
        <f>E7/E$37*'Fondos 2027'!$B$15*0.3</f>
        <v>0</v>
      </c>
      <c r="K7" s="23">
        <f>F7/F$37*'Fondos 2027'!$B$13</f>
        <v>134129892.02011368</v>
      </c>
      <c r="L7" s="35">
        <f>SUMIFS('Cálculo FGP-FFM-FOFIR'!$O$5:$O$260,'Cálculo FGP-FFM-FOFIR'!$B$5:$B$260,A7)</f>
        <v>6269324927.2247276</v>
      </c>
      <c r="M7" s="35">
        <f>'Cálculo FoCo'!O7</f>
        <v>0</v>
      </c>
      <c r="N7" s="29">
        <f t="shared" si="0"/>
        <v>8502861920.8210621</v>
      </c>
    </row>
    <row r="8" spans="1:14" x14ac:dyDescent="0.2">
      <c r="A8" s="27" t="s">
        <v>53</v>
      </c>
      <c r="B8" s="45">
        <v>226439168</v>
      </c>
      <c r="C8" s="45">
        <v>1451237</v>
      </c>
      <c r="D8" s="45">
        <v>19893110</v>
      </c>
      <c r="E8" s="45">
        <v>6840785</v>
      </c>
      <c r="F8" s="45">
        <v>90342337</v>
      </c>
      <c r="G8" s="23">
        <f>B8/B$37*'Fondos 2027'!$B$11</f>
        <v>2717270015.7546744</v>
      </c>
      <c r="H8" s="23">
        <f>C8/C$37*('Fondos 2027'!$B$5-0.2*'Fondos 2027'!$B$10)</f>
        <v>17976818.598173801</v>
      </c>
      <c r="I8" s="23">
        <f>D8/D$37*'Fondos 2027'!$B$12</f>
        <v>238717319.93288016</v>
      </c>
      <c r="J8" s="23">
        <f>E8/E$37*'Fondos 2027'!$B$15*0.3</f>
        <v>102509035.88514806</v>
      </c>
      <c r="K8" s="23">
        <f>F8/F$37*'Fondos 2027'!$B$13</f>
        <v>180684674.02709484</v>
      </c>
      <c r="L8" s="35">
        <f>SUMIFS('Cálculo FGP-FFM-FOFIR'!$O$5:$O$260,'Cálculo FGP-FFM-FOFIR'!$B$5:$B$260,A8)</f>
        <v>5247907957.1592121</v>
      </c>
      <c r="M8" s="35">
        <f>'Cálculo FoCo'!O8</f>
        <v>0</v>
      </c>
      <c r="N8" s="29">
        <f t="shared" si="0"/>
        <v>8505065821.3571835</v>
      </c>
    </row>
    <row r="9" spans="1:14" x14ac:dyDescent="0.2">
      <c r="A9" s="27" t="s">
        <v>54</v>
      </c>
      <c r="B9" s="45">
        <v>538189157</v>
      </c>
      <c r="C9" s="45">
        <v>4012589</v>
      </c>
      <c r="D9" s="45">
        <v>30379818</v>
      </c>
      <c r="E9" s="45">
        <v>8930495</v>
      </c>
      <c r="F9" s="45">
        <v>250445349</v>
      </c>
      <c r="G9" s="23">
        <f>B9/B$37*'Fondos 2027'!$B$11</f>
        <v>6458269883.4169216</v>
      </c>
      <c r="H9" s="23">
        <f>C9/C$37*('Fondos 2027'!$B$5-0.2*'Fondos 2027'!$B$10)</f>
        <v>49704896.279537812</v>
      </c>
      <c r="I9" s="23">
        <f>D9/D$37*'Fondos 2027'!$B$12</f>
        <v>364557815.89749777</v>
      </c>
      <c r="J9" s="23">
        <f>E9/E$37*'Fondos 2027'!$B$15*0.3</f>
        <v>133823301.33561212</v>
      </c>
      <c r="K9" s="23">
        <f>F9/F$37*'Fondos 2027'!$B$13</f>
        <v>500890698.07511181</v>
      </c>
      <c r="L9" s="35">
        <f>SUMIFS('Cálculo FGP-FFM-FOFIR'!$O$5:$O$260,'Cálculo FGP-FFM-FOFIR'!$B$5:$B$260,A9)</f>
        <v>24880310695.139584</v>
      </c>
      <c r="M9" s="35">
        <f>'Cálculo FoCo'!O9</f>
        <v>0</v>
      </c>
      <c r="N9" s="29">
        <f t="shared" si="0"/>
        <v>32387557290.144264</v>
      </c>
    </row>
    <row r="10" spans="1:14" x14ac:dyDescent="0.2">
      <c r="A10" s="27" t="s">
        <v>55</v>
      </c>
      <c r="B10" s="45">
        <v>164236610</v>
      </c>
      <c r="C10" s="45">
        <v>578089</v>
      </c>
      <c r="D10" s="45">
        <v>23005209</v>
      </c>
      <c r="E10" s="45">
        <v>0</v>
      </c>
      <c r="F10" s="45">
        <v>69149770</v>
      </c>
      <c r="G10" s="23">
        <f>B10/B$37*'Fondos 2027'!$B$11</f>
        <v>1970839319.8220649</v>
      </c>
      <c r="H10" s="23">
        <f>C10/C$37*('Fondos 2027'!$B$5-0.2*'Fondos 2027'!$B$10)</f>
        <v>7160926.2212854931</v>
      </c>
      <c r="I10" s="23">
        <f>D10/D$37*'Fondos 2027'!$B$12</f>
        <v>276062507.92237991</v>
      </c>
      <c r="J10" s="23">
        <f>E10/E$37*'Fondos 2027'!$B$15*0.3</f>
        <v>0</v>
      </c>
      <c r="K10" s="23">
        <f>F10/F$37*'Fondos 2027'!$B$13</f>
        <v>138299540.02073893</v>
      </c>
      <c r="L10" s="35">
        <f>SUMIFS('Cálculo FGP-FFM-FOFIR'!$O$5:$O$260,'Cálculo FGP-FFM-FOFIR'!$B$5:$B$260,A10)</f>
        <v>4939358971.1421852</v>
      </c>
      <c r="M10" s="35">
        <f>'Cálculo FoCo'!O10</f>
        <v>0</v>
      </c>
      <c r="N10" s="29">
        <f t="shared" si="0"/>
        <v>7331721265.1286545</v>
      </c>
    </row>
    <row r="11" spans="1:14" x14ac:dyDescent="0.2">
      <c r="A11" s="27" t="s">
        <v>56</v>
      </c>
      <c r="B11" s="45">
        <v>1004369892</v>
      </c>
      <c r="C11" s="45">
        <v>13002615</v>
      </c>
      <c r="D11" s="45">
        <v>39872920</v>
      </c>
      <c r="E11" s="45">
        <v>17108259</v>
      </c>
      <c r="F11" s="45">
        <v>448422249</v>
      </c>
      <c r="G11" s="23">
        <f>B11/B$37*'Fondos 2027'!$B$11</f>
        <v>12052438702.911858</v>
      </c>
      <c r="H11" s="23">
        <f>C11/C$37*('Fondos 2027'!$B$5-0.2*'Fondos 2027'!$B$10)</f>
        <v>161066490.97073299</v>
      </c>
      <c r="I11" s="23">
        <f>D11/D$37*'Fondos 2027'!$B$12</f>
        <v>478475039.86546785</v>
      </c>
      <c r="J11" s="23">
        <f>E11/E$37*'Fondos 2027'!$B$15*0.3</f>
        <v>256366942.64816207</v>
      </c>
      <c r="K11" s="23">
        <f>F11/F$37*'Fondos 2027'!$B$13</f>
        <v>896844498.13448787</v>
      </c>
      <c r="L11" s="35">
        <f>SUMIFS('Cálculo FGP-FFM-FOFIR'!$O$5:$O$260,'Cálculo FGP-FFM-FOFIR'!$B$5:$B$260,A11)</f>
        <v>40409225415.769379</v>
      </c>
      <c r="M11" s="35">
        <f>'Cálculo FoCo'!O11</f>
        <v>1329011412.4377999</v>
      </c>
      <c r="N11" s="29">
        <f t="shared" si="0"/>
        <v>55583428502.737885</v>
      </c>
    </row>
    <row r="12" spans="1:14" x14ac:dyDescent="0.2">
      <c r="A12" s="27" t="s">
        <v>57</v>
      </c>
      <c r="B12" s="45">
        <v>629999297</v>
      </c>
      <c r="C12" s="45">
        <v>14543564</v>
      </c>
      <c r="D12" s="45">
        <v>39996201</v>
      </c>
      <c r="E12" s="45">
        <v>29051215</v>
      </c>
      <c r="F12" s="45">
        <v>330999416</v>
      </c>
      <c r="G12" s="23">
        <f>B12/B$37*'Fondos 2027'!$B$11</f>
        <v>7559991563.3174543</v>
      </c>
      <c r="H12" s="23">
        <f>C12/C$37*('Fondos 2027'!$B$5-0.2*'Fondos 2027'!$B$10)</f>
        <v>180154593.49432999</v>
      </c>
      <c r="I12" s="23">
        <f>D12/D$37*'Fondos 2027'!$B$12</f>
        <v>479954411.86505193</v>
      </c>
      <c r="J12" s="23">
        <f>E12/E$37*'Fondos 2027'!$B$15*0.3</f>
        <v>435331915.99241191</v>
      </c>
      <c r="K12" s="23">
        <f>F12/F$37*'Fondos 2027'!$B$13</f>
        <v>661998832.09927106</v>
      </c>
      <c r="L12" s="35">
        <f>SUMIFS('Cálculo FGP-FFM-FOFIR'!$O$5:$O$260,'Cálculo FGP-FFM-FOFIR'!$B$5:$B$260,A12)</f>
        <v>28924425920.391277</v>
      </c>
      <c r="M12" s="35">
        <f>'Cálculo FoCo'!O12</f>
        <v>0</v>
      </c>
      <c r="N12" s="29">
        <f t="shared" si="0"/>
        <v>38241857237.159798</v>
      </c>
    </row>
    <row r="13" spans="1:14" x14ac:dyDescent="0.2">
      <c r="A13" s="27" t="s">
        <v>58</v>
      </c>
      <c r="B13" s="45">
        <v>2744713747</v>
      </c>
      <c r="C13" s="45">
        <v>1735279</v>
      </c>
      <c r="D13" s="45">
        <v>220083536</v>
      </c>
      <c r="E13" s="45">
        <v>80267372</v>
      </c>
      <c r="F13" s="45">
        <v>1248872838</v>
      </c>
      <c r="G13" s="23">
        <f>B13/B$37*'Fondos 2027'!$B$11</f>
        <v>32936564961.026356</v>
      </c>
      <c r="H13" s="23">
        <f>C13/C$37*('Fondos 2027'!$B$5-0.2*'Fondos 2027'!$B$10)</f>
        <v>21495314.549050525</v>
      </c>
      <c r="I13" s="23">
        <f>D13/D$37*'Fondos 2027'!$B$12</f>
        <v>2641002431.2574329</v>
      </c>
      <c r="J13" s="23">
        <f>E13/E$37*'Fondos 2027'!$B$15*0.3</f>
        <v>1202805075.2588377</v>
      </c>
      <c r="K13" s="23">
        <f>F13/F$37*'Fondos 2027'!$B$13</f>
        <v>2497745676.3745537</v>
      </c>
      <c r="L13" s="35">
        <f>SUMIFS('Cálculo FGP-FFM-FOFIR'!$O$5:$O$260,'Cálculo FGP-FFM-FOFIR'!$B$5:$B$260,A13)</f>
        <v>85129755742.530579</v>
      </c>
      <c r="M13" s="35">
        <f>'Cálculo FoCo'!O13</f>
        <v>0</v>
      </c>
      <c r="N13" s="29">
        <f t="shared" si="0"/>
        <v>124429369200.99681</v>
      </c>
    </row>
    <row r="14" spans="1:14" x14ac:dyDescent="0.2">
      <c r="A14" s="27" t="s">
        <v>59</v>
      </c>
      <c r="B14" s="45">
        <v>288519244</v>
      </c>
      <c r="C14" s="45">
        <v>7562112</v>
      </c>
      <c r="D14" s="45">
        <v>38935872</v>
      </c>
      <c r="E14" s="45">
        <v>14437339</v>
      </c>
      <c r="F14" s="45">
        <v>150006426</v>
      </c>
      <c r="G14" s="23">
        <f>B14/B$37*'Fondos 2027'!$B$11</f>
        <v>3462230927.6874161</v>
      </c>
      <c r="H14" s="23">
        <f>C14/C$37*('Fondos 2027'!$B$5-0.2*'Fondos 2027'!$B$10)</f>
        <v>93673683.652686134</v>
      </c>
      <c r="I14" s="23">
        <f>D14/D$37*'Fondos 2027'!$B$12</f>
        <v>467230463.86862952</v>
      </c>
      <c r="J14" s="23">
        <f>E14/E$37*'Fondos 2027'!$B$15*0.3</f>
        <v>216343256.16680655</v>
      </c>
      <c r="K14" s="23">
        <f>F14/F$37*'Fondos 2027'!$B$13</f>
        <v>300012852.04498893</v>
      </c>
      <c r="L14" s="35">
        <f>SUMIFS('Cálculo FGP-FFM-FOFIR'!$O$5:$O$260,'Cálculo FGP-FFM-FOFIR'!$B$5:$B$260,A14)</f>
        <v>14171797861.850849</v>
      </c>
      <c r="M14" s="35">
        <f>'Cálculo FoCo'!O14</f>
        <v>0</v>
      </c>
      <c r="N14" s="29">
        <f t="shared" si="0"/>
        <v>18711289045.271378</v>
      </c>
    </row>
    <row r="15" spans="1:14" x14ac:dyDescent="0.2">
      <c r="A15" s="27" t="s">
        <v>60</v>
      </c>
      <c r="B15" s="45">
        <v>855324839</v>
      </c>
      <c r="C15" s="45">
        <v>4576808</v>
      </c>
      <c r="D15" s="45">
        <v>64119654</v>
      </c>
      <c r="E15" s="45">
        <v>46819557</v>
      </c>
      <c r="F15" s="45">
        <v>606203440</v>
      </c>
      <c r="G15" s="23">
        <f>B15/B$37*'Fondos 2027'!$B$11</f>
        <v>10263898067.073336</v>
      </c>
      <c r="H15" s="23">
        <f>C15/C$37*('Fondos 2027'!$B$5-0.2*'Fondos 2027'!$B$10)</f>
        <v>56694011.505130202</v>
      </c>
      <c r="I15" s="23">
        <f>D15/D$37*'Fondos 2027'!$B$12</f>
        <v>769435847.78365874</v>
      </c>
      <c r="J15" s="23">
        <f>E15/E$37*'Fondos 2027'!$B$15*0.3</f>
        <v>701590190.10826027</v>
      </c>
      <c r="K15" s="23">
        <f>F15/F$37*'Fondos 2027'!$B$13</f>
        <v>1212406880.1818085</v>
      </c>
      <c r="L15" s="35">
        <f>SUMIFS('Cálculo FGP-FFM-FOFIR'!$O$5:$O$260,'Cálculo FGP-FFM-FOFIR'!$B$5:$B$260,A15)</f>
        <v>45964028611.348976</v>
      </c>
      <c r="M15" s="35">
        <f>'Cálculo FoCo'!O15</f>
        <v>0</v>
      </c>
      <c r="N15" s="29">
        <f t="shared" si="0"/>
        <v>58968053608.001175</v>
      </c>
    </row>
    <row r="16" spans="1:14" x14ac:dyDescent="0.2">
      <c r="A16" s="27" t="s">
        <v>61</v>
      </c>
      <c r="B16" s="45">
        <v>493273999</v>
      </c>
      <c r="C16" s="45">
        <v>585664</v>
      </c>
      <c r="D16" s="45">
        <v>29484254</v>
      </c>
      <c r="E16" s="45">
        <v>20854462</v>
      </c>
      <c r="F16" s="45">
        <v>239537414</v>
      </c>
      <c r="G16" s="23">
        <f>B16/B$37*'Fondos 2027'!$B$11</f>
        <v>5919287987.4655838</v>
      </c>
      <c r="H16" s="23">
        <f>C16/C$37*('Fondos 2027'!$B$5-0.2*'Fondos 2027'!$B$10)</f>
        <v>7254759.5516658276</v>
      </c>
      <c r="I16" s="23">
        <f>D16/D$37*'Fondos 2027'!$B$12</f>
        <v>353811047.90051943</v>
      </c>
      <c r="J16" s="23">
        <f>E16/E$37*'Fondos 2027'!$B$15*0.3</f>
        <v>312503724.86833847</v>
      </c>
      <c r="K16" s="23">
        <f>F16/F$37*'Fondos 2027'!$B$13</f>
        <v>479074828.07184041</v>
      </c>
      <c r="L16" s="35">
        <f>SUMIFS('Cálculo FGP-FFM-FOFIR'!$O$5:$O$260,'Cálculo FGP-FFM-FOFIR'!$B$5:$B$260,A16)</f>
        <v>23504370070.793697</v>
      </c>
      <c r="M16" s="35">
        <f>'Cálculo FoCo'!O16</f>
        <v>1007971367.2883518</v>
      </c>
      <c r="N16" s="29">
        <f t="shared" si="0"/>
        <v>31584273785.939999</v>
      </c>
    </row>
    <row r="17" spans="1:14" x14ac:dyDescent="0.2">
      <c r="A17" s="27" t="s">
        <v>62</v>
      </c>
      <c r="B17" s="45">
        <v>395380932</v>
      </c>
      <c r="C17" s="45">
        <v>484783</v>
      </c>
      <c r="D17" s="45">
        <v>86188656</v>
      </c>
      <c r="E17" s="45">
        <v>10640057</v>
      </c>
      <c r="F17" s="45">
        <v>200017590</v>
      </c>
      <c r="G17" s="23">
        <f>B17/B$37*'Fondos 2027'!$B$11</f>
        <v>4744571183.5716419</v>
      </c>
      <c r="H17" s="23">
        <f>C17/C$37*('Fondos 2027'!$B$5-0.2*'Fondos 2027'!$B$10)</f>
        <v>6005122.5612897752</v>
      </c>
      <c r="I17" s="23">
        <f>D17/D$37*'Fondos 2027'!$B$12</f>
        <v>1034263871.7091974</v>
      </c>
      <c r="J17" s="23">
        <f>E17/E$37*'Fondos 2027'!$B$15*0.3</f>
        <v>159441056.08245558</v>
      </c>
      <c r="K17" s="23">
        <f>F17/F$37*'Fondos 2027'!$B$13</f>
        <v>400035180.0599879</v>
      </c>
      <c r="L17" s="35">
        <f>SUMIFS('Cálculo FGP-FFM-FOFIR'!$O$5:$O$260,'Cálculo FGP-FFM-FOFIR'!$B$5:$B$260,A17)</f>
        <v>21905232233.530487</v>
      </c>
      <c r="M17" s="35">
        <f>'Cálculo FoCo'!O17</f>
        <v>654075563.33348727</v>
      </c>
      <c r="N17" s="29">
        <f t="shared" si="0"/>
        <v>28903624210.848549</v>
      </c>
    </row>
    <row r="18" spans="1:14" x14ac:dyDescent="0.2">
      <c r="A18" s="27" t="s">
        <v>63</v>
      </c>
      <c r="B18" s="45">
        <v>1432795987</v>
      </c>
      <c r="C18" s="45">
        <v>17097107</v>
      </c>
      <c r="D18" s="45">
        <v>73415556</v>
      </c>
      <c r="E18" s="45">
        <v>65390439</v>
      </c>
      <c r="F18" s="45">
        <v>747416511</v>
      </c>
      <c r="G18" s="23">
        <f>B18/B$37*'Fondos 2027'!$B$11</f>
        <v>17193551842.447697</v>
      </c>
      <c r="H18" s="23">
        <f>C18/C$37*('Fondos 2027'!$B$5-0.2*'Fondos 2027'!$B$10)</f>
        <v>211785939.23154348</v>
      </c>
      <c r="I18" s="23">
        <f>D18/D$37*'Fondos 2027'!$B$12</f>
        <v>880986671.7522943</v>
      </c>
      <c r="J18" s="23">
        <f>E18/E$37*'Fondos 2027'!$B$15*0.3</f>
        <v>979874511.18498611</v>
      </c>
      <c r="K18" s="23">
        <f>F18/F$37*'Fondos 2027'!$B$13</f>
        <v>1494833022.22416</v>
      </c>
      <c r="L18" s="35">
        <f>SUMIFS('Cálculo FGP-FFM-FOFIR'!$O$5:$O$260,'Cálculo FGP-FFM-FOFIR'!$B$5:$B$260,A18)</f>
        <v>64879568988.331245</v>
      </c>
      <c r="M18" s="35">
        <f>'Cálculo FoCo'!O18</f>
        <v>0</v>
      </c>
      <c r="N18" s="29">
        <f t="shared" si="0"/>
        <v>85640600975.171921</v>
      </c>
    </row>
    <row r="19" spans="1:14" x14ac:dyDescent="0.2">
      <c r="A19" s="27" t="s">
        <v>64</v>
      </c>
      <c r="B19" s="45">
        <v>2800368390</v>
      </c>
      <c r="C19" s="45">
        <v>389649</v>
      </c>
      <c r="D19" s="45">
        <v>120654958</v>
      </c>
      <c r="E19" s="45">
        <v>110384271</v>
      </c>
      <c r="F19" s="45">
        <v>1570008318</v>
      </c>
      <c r="G19" s="23">
        <f>B19/B$37*'Fondos 2027'!$B$11</f>
        <v>33604420676.966064</v>
      </c>
      <c r="H19" s="23">
        <f>C19/C$37*('Fondos 2027'!$B$5-0.2*'Fondos 2027'!$B$10)</f>
        <v>4826675.0296194367</v>
      </c>
      <c r="I19" s="23">
        <f>D19/D$37*'Fondos 2027'!$B$12</f>
        <v>1447859495.5929072</v>
      </c>
      <c r="J19" s="23">
        <f>E19/E$37*'Fondos 2027'!$B$15*0.3</f>
        <v>1654106246.153754</v>
      </c>
      <c r="K19" s="23">
        <f>F19/F$37*'Fondos 2027'!$B$13</f>
        <v>3140016636.4708662</v>
      </c>
      <c r="L19" s="35">
        <f>SUMIFS('Cálculo FGP-FFM-FOFIR'!$O$5:$O$260,'Cálculo FGP-FFM-FOFIR'!$B$5:$B$260,A19)</f>
        <v>141730654717.62958</v>
      </c>
      <c r="M19" s="35">
        <f>'Cálculo FoCo'!O19</f>
        <v>682363092.8378135</v>
      </c>
      <c r="N19" s="29">
        <f t="shared" si="0"/>
        <v>182264247540.68057</v>
      </c>
    </row>
    <row r="20" spans="1:14" x14ac:dyDescent="0.2">
      <c r="A20" s="27" t="s">
        <v>65</v>
      </c>
      <c r="B20" s="45">
        <v>629287410</v>
      </c>
      <c r="C20" s="45">
        <v>4382953</v>
      </c>
      <c r="D20" s="45">
        <v>90139479</v>
      </c>
      <c r="E20" s="45">
        <v>472306</v>
      </c>
      <c r="F20" s="45">
        <v>311199037</v>
      </c>
      <c r="G20" s="23">
        <f>B20/B$37*'Fondos 2027'!$B$11</f>
        <v>7551448919.3182259</v>
      </c>
      <c r="H20" s="23">
        <f>C20/C$37*('Fondos 2027'!$B$5-0.2*'Fondos 2027'!$B$10)</f>
        <v>54292683.417885333</v>
      </c>
      <c r="I20" s="23">
        <f>D20/D$37*'Fondos 2027'!$B$12</f>
        <v>1081673747.6958673</v>
      </c>
      <c r="J20" s="23">
        <f>E20/E$37*'Fondos 2027'!$B$15*0.3</f>
        <v>7077496.6181177655</v>
      </c>
      <c r="K20" s="23">
        <f>F20/F$37*'Fondos 2027'!$B$13</f>
        <v>622398074.09333265</v>
      </c>
      <c r="L20" s="35">
        <f>SUMIFS('Cálculo FGP-FFM-FOFIR'!$O$5:$O$260,'Cálculo FGP-FFM-FOFIR'!$B$5:$B$260,A20)</f>
        <v>32544621879.920139</v>
      </c>
      <c r="M20" s="35">
        <f>'Cálculo FoCo'!O20</f>
        <v>0</v>
      </c>
      <c r="N20" s="29">
        <f t="shared" si="0"/>
        <v>41861512801.063568</v>
      </c>
    </row>
    <row r="21" spans="1:14" x14ac:dyDescent="0.2">
      <c r="A21" s="27" t="s">
        <v>66</v>
      </c>
      <c r="B21" s="45">
        <v>323614323</v>
      </c>
      <c r="C21" s="45">
        <v>806925</v>
      </c>
      <c r="D21" s="45">
        <v>37531376</v>
      </c>
      <c r="E21" s="45">
        <v>10701970</v>
      </c>
      <c r="F21" s="45">
        <v>143597589</v>
      </c>
      <c r="G21" s="23">
        <f>B21/B$37*'Fondos 2027'!$B$11</f>
        <v>3883371875.649394</v>
      </c>
      <c r="H21" s="23">
        <f>C21/C$37*('Fondos 2027'!$B$5-0.2*'Fondos 2027'!$B$10)</f>
        <v>9995572.2926933337</v>
      </c>
      <c r="I21" s="23">
        <f>D21/D$37*'Fondos 2027'!$B$12</f>
        <v>450376511.87336826</v>
      </c>
      <c r="J21" s="23">
        <f>E21/E$37*'Fondos 2027'!$B$15*0.3</f>
        <v>160368821.2349574</v>
      </c>
      <c r="K21" s="23">
        <f>F21/F$37*'Fondos 2027'!$B$13</f>
        <v>287195178.0430668</v>
      </c>
      <c r="L21" s="35">
        <f>SUMIFS('Cálculo FGP-FFM-FOFIR'!$O$5:$O$260,'Cálculo FGP-FFM-FOFIR'!$B$5:$B$260,A21)</f>
        <v>12759637584.104355</v>
      </c>
      <c r="M21" s="35">
        <f>'Cálculo FoCo'!O21</f>
        <v>0</v>
      </c>
      <c r="N21" s="29">
        <f t="shared" si="0"/>
        <v>17550945543.197834</v>
      </c>
    </row>
    <row r="22" spans="1:14" x14ac:dyDescent="0.2">
      <c r="A22" s="27" t="s">
        <v>67</v>
      </c>
      <c r="B22" s="45">
        <v>217191062</v>
      </c>
      <c r="C22" s="45">
        <v>1461635</v>
      </c>
      <c r="D22" s="45">
        <v>34648676</v>
      </c>
      <c r="E22" s="45">
        <v>1882007</v>
      </c>
      <c r="F22" s="45">
        <v>101399584</v>
      </c>
      <c r="G22" s="23">
        <f>B22/B$37*'Fondos 2027'!$B$11</f>
        <v>2606292743.7646937</v>
      </c>
      <c r="H22" s="23">
        <f>C22/C$37*('Fondos 2027'!$B$5-0.2*'Fondos 2027'!$B$10)</f>
        <v>18105621.102371123</v>
      </c>
      <c r="I22" s="23">
        <f>D22/D$37*'Fondos 2027'!$B$12</f>
        <v>415784111.88309455</v>
      </c>
      <c r="J22" s="23">
        <f>E22/E$37*'Fondos 2027'!$B$15*0.3</f>
        <v>28201839.861814085</v>
      </c>
      <c r="K22" s="23">
        <f>F22/F$37*'Fondos 2027'!$B$13</f>
        <v>202799168.03041106</v>
      </c>
      <c r="L22" s="35">
        <f>SUMIFS('Cálculo FGP-FFM-FOFIR'!$O$5:$O$260,'Cálculo FGP-FFM-FOFIR'!$B$5:$B$260,A22)</f>
        <v>8260079328.7043085</v>
      </c>
      <c r="M22" s="35">
        <f>'Cálculo FoCo'!O22</f>
        <v>654535808.87942624</v>
      </c>
      <c r="N22" s="29">
        <f t="shared" si="0"/>
        <v>12185798622.22612</v>
      </c>
    </row>
    <row r="23" spans="1:14" x14ac:dyDescent="0.2">
      <c r="A23" s="27" t="s">
        <v>68</v>
      </c>
      <c r="B23" s="45">
        <v>1061831201</v>
      </c>
      <c r="C23" s="45">
        <v>5440417</v>
      </c>
      <c r="D23" s="45">
        <v>41166217</v>
      </c>
      <c r="E23" s="45">
        <v>38726070</v>
      </c>
      <c r="F23" s="45">
        <v>451788665</v>
      </c>
      <c r="G23" s="23">
        <f>B23/B$37*'Fondos 2027'!$B$11</f>
        <v>12741974410.849604</v>
      </c>
      <c r="H23" s="23">
        <f>C23/C$37*('Fondos 2027'!$B$5-0.2*'Fondos 2027'!$B$10)</f>
        <v>67391742.015550122</v>
      </c>
      <c r="I23" s="23">
        <f>D23/D$37*'Fondos 2027'!$B$12</f>
        <v>493994603.86110425</v>
      </c>
      <c r="J23" s="23">
        <f>E23/E$37*'Fondos 2027'!$B$15*0.3</f>
        <v>580309438.07191074</v>
      </c>
      <c r="K23" s="23">
        <f>F23/F$37*'Fondos 2027'!$B$13</f>
        <v>903577330.13549733</v>
      </c>
      <c r="L23" s="35">
        <f>SUMIFS('Cálculo FGP-FFM-FOFIR'!$O$5:$O$260,'Cálculo FGP-FFM-FOFIR'!$B$5:$B$260,A23)</f>
        <v>48287611213.82283</v>
      </c>
      <c r="M23" s="35">
        <f>'Cálculo FoCo'!O23</f>
        <v>0</v>
      </c>
      <c r="N23" s="29">
        <f t="shared" si="0"/>
        <v>63074858738.7565</v>
      </c>
    </row>
    <row r="24" spans="1:14" x14ac:dyDescent="0.2">
      <c r="A24" s="27" t="s">
        <v>69</v>
      </c>
      <c r="B24" s="45">
        <v>538451268</v>
      </c>
      <c r="C24" s="45">
        <v>1089469</v>
      </c>
      <c r="D24" s="45">
        <v>94850859</v>
      </c>
      <c r="E24" s="45">
        <v>1969909</v>
      </c>
      <c r="F24" s="45">
        <v>299214898</v>
      </c>
      <c r="G24" s="23">
        <f>B24/B$37*'Fondos 2027'!$B$11</f>
        <v>6461415215.4166374</v>
      </c>
      <c r="H24" s="23">
        <f>C24/C$37*('Fondos 2027'!$B$5-0.2*'Fondos 2027'!$B$10)</f>
        <v>13495512.160545668</v>
      </c>
      <c r="I24" s="23">
        <f>D24/D$37*'Fondos 2027'!$B$12</f>
        <v>1138210307.679971</v>
      </c>
      <c r="J24" s="23">
        <f>E24/E$37*'Fondos 2027'!$B$15*0.3</f>
        <v>29519049.695535835</v>
      </c>
      <c r="K24" s="23">
        <f>F24/F$37*'Fondos 2027'!$B$13</f>
        <v>598429796.08973849</v>
      </c>
      <c r="L24" s="35">
        <f>SUMIFS('Cálculo FGP-FFM-FOFIR'!$O$5:$O$260,'Cálculo FGP-FFM-FOFIR'!$B$5:$B$260,A24)</f>
        <v>28877331049.786629</v>
      </c>
      <c r="M24" s="35">
        <f>'Cálculo FoCo'!O24</f>
        <v>791706550.25626135</v>
      </c>
      <c r="N24" s="29">
        <f t="shared" si="0"/>
        <v>37910107481.08532</v>
      </c>
    </row>
    <row r="25" spans="1:14" x14ac:dyDescent="0.2">
      <c r="A25" s="27" t="s">
        <v>70</v>
      </c>
      <c r="B25" s="45">
        <v>889073482</v>
      </c>
      <c r="C25" s="45">
        <v>2180336</v>
      </c>
      <c r="D25" s="45">
        <v>94872995</v>
      </c>
      <c r="E25" s="45">
        <v>32812519</v>
      </c>
      <c r="F25" s="45">
        <v>490029258</v>
      </c>
      <c r="G25" s="23">
        <f>B25/B$37*'Fondos 2027'!$B$11</f>
        <v>10668881783.03677</v>
      </c>
      <c r="H25" s="23">
        <f>C25/C$37*('Fondos 2027'!$B$5-0.2*'Fondos 2027'!$B$10)</f>
        <v>27008341.680282321</v>
      </c>
      <c r="I25" s="23">
        <f>D25/D$37*'Fondos 2027'!$B$12</f>
        <v>1138475939.6798964</v>
      </c>
      <c r="J25" s="23">
        <f>E25/E$37*'Fondos 2027'!$B$15*0.3</f>
        <v>491694986.4164862</v>
      </c>
      <c r="K25" s="23">
        <f>F25/F$37*'Fondos 2027'!$B$13</f>
        <v>980058516.14696622</v>
      </c>
      <c r="L25" s="35">
        <f>SUMIFS('Cálculo FGP-FFM-FOFIR'!$O$5:$O$260,'Cálculo FGP-FFM-FOFIR'!$B$5:$B$260,A25)</f>
        <v>45478183207.708</v>
      </c>
      <c r="M25" s="35">
        <f>'Cálculo FoCo'!O25</f>
        <v>0</v>
      </c>
      <c r="N25" s="29">
        <f t="shared" si="0"/>
        <v>58784302774.668404</v>
      </c>
    </row>
    <row r="26" spans="1:14" x14ac:dyDescent="0.2">
      <c r="A26" s="27" t="s">
        <v>71</v>
      </c>
      <c r="B26" s="45">
        <v>376413841</v>
      </c>
      <c r="C26" s="45">
        <v>2563185</v>
      </c>
      <c r="D26" s="45">
        <v>44883561</v>
      </c>
      <c r="E26" s="45">
        <v>18961020</v>
      </c>
      <c r="F26" s="45">
        <v>194948615</v>
      </c>
      <c r="G26" s="23">
        <f>B26/B$37*'Fondos 2027'!$B$11</f>
        <v>4516966091.5921907</v>
      </c>
      <c r="H26" s="23">
        <f>C26/C$37*('Fondos 2027'!$B$5-0.2*'Fondos 2027'!$B$10)</f>
        <v>31750783.489230301</v>
      </c>
      <c r="I26" s="23">
        <f>D26/D$37*'Fondos 2027'!$B$12</f>
        <v>538602731.84856188</v>
      </c>
      <c r="J26" s="23">
        <f>E26/E$37*'Fondos 2027'!$B$15*0.3</f>
        <v>284130531.74438465</v>
      </c>
      <c r="K26" s="23">
        <f>F26/F$37*'Fondos 2027'!$B$13</f>
        <v>389897230.05846763</v>
      </c>
      <c r="L26" s="35">
        <f>SUMIFS('Cálculo FGP-FFM-FOFIR'!$O$5:$O$260,'Cálculo FGP-FFM-FOFIR'!$B$5:$B$260,A26)</f>
        <v>17701901252.488693</v>
      </c>
      <c r="M26" s="35">
        <f>'Cálculo FoCo'!O26</f>
        <v>0</v>
      </c>
      <c r="N26" s="29">
        <f t="shared" si="0"/>
        <v>23463248621.221527</v>
      </c>
    </row>
    <row r="27" spans="1:14" x14ac:dyDescent="0.2">
      <c r="A27" s="27" t="s">
        <v>72</v>
      </c>
      <c r="B27" s="45">
        <v>265685776</v>
      </c>
      <c r="C27" s="45">
        <v>96280</v>
      </c>
      <c r="D27" s="45">
        <v>29824745</v>
      </c>
      <c r="E27" s="45">
        <v>5553794</v>
      </c>
      <c r="F27" s="45">
        <v>130863148</v>
      </c>
      <c r="G27" s="23">
        <f>B27/B$37*'Fondos 2027'!$B$11</f>
        <v>3188229311.7121544</v>
      </c>
      <c r="H27" s="23">
        <f>C27/C$37*('Fondos 2027'!$B$5-0.2*'Fondos 2027'!$B$10)</f>
        <v>1192643.3068011452</v>
      </c>
      <c r="I27" s="23">
        <f>D27/D$37*'Fondos 2027'!$B$12</f>
        <v>357896939.89937061</v>
      </c>
      <c r="J27" s="23">
        <f>E27/E$37*'Fondos 2027'!$B$15*0.3</f>
        <v>83223499.70722951</v>
      </c>
      <c r="K27" s="23">
        <f>F27/F$37*'Fondos 2027'!$B$13</f>
        <v>261726296.03924757</v>
      </c>
      <c r="L27" s="35">
        <f>SUMIFS('Cálculo FGP-FFM-FOFIR'!$O$5:$O$260,'Cálculo FGP-FFM-FOFIR'!$B$5:$B$260,A27)</f>
        <v>14491013058.524828</v>
      </c>
      <c r="M27" s="35">
        <f>'Cálculo FoCo'!O27</f>
        <v>0</v>
      </c>
      <c r="N27" s="29">
        <f t="shared" si="0"/>
        <v>18383281749.189632</v>
      </c>
    </row>
    <row r="28" spans="1:14" x14ac:dyDescent="0.2">
      <c r="A28" s="27" t="s">
        <v>73</v>
      </c>
      <c r="B28" s="45">
        <v>414546142</v>
      </c>
      <c r="C28" s="45">
        <v>2838567</v>
      </c>
      <c r="D28" s="45">
        <v>48129383</v>
      </c>
      <c r="E28" s="45">
        <v>9291876</v>
      </c>
      <c r="F28" s="45">
        <v>321073019</v>
      </c>
      <c r="G28" s="23">
        <f>B28/B$37*'Fondos 2027'!$B$11</f>
        <v>4974553703.5508776</v>
      </c>
      <c r="H28" s="23">
        <f>C28/C$37*('Fondos 2027'!$B$5-0.2*'Fondos 2027'!$B$10)</f>
        <v>35162005.95613426</v>
      </c>
      <c r="I28" s="23">
        <f>D28/D$37*'Fondos 2027'!$B$12</f>
        <v>577552595.83761036</v>
      </c>
      <c r="J28" s="23">
        <f>E28/E$37*'Fondos 2027'!$B$15*0.3</f>
        <v>139238588.89357671</v>
      </c>
      <c r="K28" s="23">
        <f>F28/F$37*'Fondos 2027'!$B$13</f>
        <v>642146038.09629405</v>
      </c>
      <c r="L28" s="35">
        <f>SUMIFS('Cálculo FGP-FFM-FOFIR'!$O$5:$O$260,'Cálculo FGP-FFM-FOFIR'!$B$5:$B$260,A28)</f>
        <v>19959516465.838757</v>
      </c>
      <c r="M28" s="35">
        <f>'Cálculo FoCo'!O28</f>
        <v>0</v>
      </c>
      <c r="N28" s="29">
        <f t="shared" si="0"/>
        <v>26328169398.173248</v>
      </c>
    </row>
    <row r="29" spans="1:14" x14ac:dyDescent="0.2">
      <c r="A29" s="27" t="s">
        <v>74</v>
      </c>
      <c r="B29" s="45">
        <v>533055947</v>
      </c>
      <c r="C29" s="45">
        <v>16793568</v>
      </c>
      <c r="D29" s="45">
        <v>29945765</v>
      </c>
      <c r="E29" s="45">
        <v>22491144</v>
      </c>
      <c r="F29" s="45">
        <v>531907626</v>
      </c>
      <c r="G29" s="23">
        <f>B29/B$37*'Fondos 2027'!$B$11</f>
        <v>6396671363.4224834</v>
      </c>
      <c r="H29" s="23">
        <f>C29/C$37*('Fondos 2027'!$B$5-0.2*'Fondos 2027'!$B$10)</f>
        <v>208025929.29486805</v>
      </c>
      <c r="I29" s="23">
        <f>D29/D$37*'Fondos 2027'!$B$12</f>
        <v>359349179.89896226</v>
      </c>
      <c r="J29" s="23">
        <f>E29/E$37*'Fondos 2027'!$B$15*0.3</f>
        <v>337029374.17182863</v>
      </c>
      <c r="K29" s="23">
        <f>F29/F$37*'Fondos 2027'!$B$13</f>
        <v>1063815252.1595261</v>
      </c>
      <c r="L29" s="35">
        <f>SUMIFS('Cálculo FGP-FFM-FOFIR'!$O$5:$O$260,'Cálculo FGP-FFM-FOFIR'!$B$5:$B$260,A29)</f>
        <v>21106206108.717758</v>
      </c>
      <c r="M29" s="35">
        <f>'Cálculo FoCo'!O29</f>
        <v>0</v>
      </c>
      <c r="N29" s="29">
        <f t="shared" si="0"/>
        <v>29471097207.665428</v>
      </c>
    </row>
    <row r="30" spans="1:14" x14ac:dyDescent="0.2">
      <c r="A30" s="27" t="s">
        <v>75</v>
      </c>
      <c r="B30" s="45">
        <v>552077699</v>
      </c>
      <c r="C30" s="45">
        <v>20408140</v>
      </c>
      <c r="D30" s="45">
        <v>25109090</v>
      </c>
      <c r="E30" s="45">
        <v>21203260</v>
      </c>
      <c r="F30" s="45">
        <v>1506139370</v>
      </c>
      <c r="G30" s="23">
        <f>B30/B$37*'Fondos 2027'!$B$11</f>
        <v>6624932387.4018755</v>
      </c>
      <c r="H30" s="23">
        <f>C30/C$37*('Fondos 2027'!$B$5-0.2*'Fondos 2027'!$B$10)</f>
        <v>252800494.13440722</v>
      </c>
      <c r="I30" s="23">
        <f>D30/D$37*'Fondos 2027'!$B$12</f>
        <v>301309079.91528136</v>
      </c>
      <c r="J30" s="23">
        <f>E30/E$37*'Fondos 2027'!$B$15*0.3</f>
        <v>317730456.40553308</v>
      </c>
      <c r="K30" s="23">
        <f>F30/F$37*'Fondos 2027'!$B$13</f>
        <v>3012278740.4517112</v>
      </c>
      <c r="L30" s="35">
        <f>SUMIFS('Cálculo FGP-FFM-FOFIR'!$O$5:$O$260,'Cálculo FGP-FFM-FOFIR'!$B$5:$B$260,A30)</f>
        <v>21123483042.681034</v>
      </c>
      <c r="M30" s="35">
        <f>'Cálculo FoCo'!O30</f>
        <v>0</v>
      </c>
      <c r="N30" s="29">
        <f t="shared" si="0"/>
        <v>31632534200.989841</v>
      </c>
    </row>
    <row r="31" spans="1:14" x14ac:dyDescent="0.2">
      <c r="A31" s="27" t="s">
        <v>76</v>
      </c>
      <c r="B31" s="45">
        <v>919495148</v>
      </c>
      <c r="C31" s="45">
        <v>4396567</v>
      </c>
      <c r="D31" s="45">
        <v>45803078</v>
      </c>
      <c r="E31" s="45">
        <v>20503524</v>
      </c>
      <c r="F31" s="45">
        <v>875166161</v>
      </c>
      <c r="G31" s="23">
        <f>B31/B$37*'Fondos 2027'!$B$11</f>
        <v>11033941775.003813</v>
      </c>
      <c r="H31" s="23">
        <f>C31/C$37*('Fondos 2027'!$B$5-0.2*'Fondos 2027'!$B$10)</f>
        <v>54461323.280564927</v>
      </c>
      <c r="I31" s="23">
        <f>D31/D$37*'Fondos 2027'!$B$12</f>
        <v>549636935.84545934</v>
      </c>
      <c r="J31" s="23">
        <f>E31/E$37*'Fondos 2027'!$B$15*0.3</f>
        <v>307244925.47097951</v>
      </c>
      <c r="K31" s="23">
        <f>F31/F$37*'Fondos 2027'!$B$13</f>
        <v>1750332322.2624736</v>
      </c>
      <c r="L31" s="35">
        <f>SUMIFS('Cálculo FGP-FFM-FOFIR'!$O$5:$O$260,'Cálculo FGP-FFM-FOFIR'!$B$5:$B$260,A31)</f>
        <v>15490771005.730591</v>
      </c>
      <c r="M31" s="35">
        <f>'Cálculo FoCo'!O31</f>
        <v>702601894.0113076</v>
      </c>
      <c r="N31" s="29">
        <f t="shared" si="0"/>
        <v>29888990181.605186</v>
      </c>
    </row>
    <row r="32" spans="1:14" x14ac:dyDescent="0.2">
      <c r="A32" s="27" t="s">
        <v>77</v>
      </c>
      <c r="B32" s="45">
        <v>623742505</v>
      </c>
      <c r="C32" s="45">
        <v>3511670</v>
      </c>
      <c r="D32" s="45">
        <v>49509217</v>
      </c>
      <c r="E32" s="45">
        <v>21115931</v>
      </c>
      <c r="F32" s="45">
        <v>274521658</v>
      </c>
      <c r="G32" s="23">
        <f>B32/B$37*'Fondos 2027'!$B$11</f>
        <v>7484910059.3242331</v>
      </c>
      <c r="H32" s="23">
        <f>C32/C$37*('Fondos 2027'!$B$5-0.2*'Fondos 2027'!$B$10)</f>
        <v>43499893.240490004</v>
      </c>
      <c r="I32" s="23">
        <f>D32/D$37*'Fondos 2027'!$B$12</f>
        <v>594110603.83295476</v>
      </c>
      <c r="J32" s="23">
        <f>E32/E$37*'Fondos 2027'!$B$15*0.3</f>
        <v>316421832.96614504</v>
      </c>
      <c r="K32" s="23">
        <f>F32/F$37*'Fondos 2027'!$B$13</f>
        <v>549043316.08233273</v>
      </c>
      <c r="L32" s="35">
        <f>SUMIFS('Cálculo FGP-FFM-FOFIR'!$O$5:$O$260,'Cálculo FGP-FFM-FOFIR'!$B$5:$B$260,A32)</f>
        <v>24621077622.301712</v>
      </c>
      <c r="M32" s="35">
        <f>'Cálculo FoCo'!O32</f>
        <v>0</v>
      </c>
      <c r="N32" s="29">
        <f t="shared" si="0"/>
        <v>33609063327.747868</v>
      </c>
    </row>
    <row r="33" spans="1:14" x14ac:dyDescent="0.2">
      <c r="A33" s="27" t="s">
        <v>78</v>
      </c>
      <c r="B33" s="45">
        <v>229036641</v>
      </c>
      <c r="C33" s="45">
        <v>31960</v>
      </c>
      <c r="D33" s="45">
        <v>31392711</v>
      </c>
      <c r="E33" s="45">
        <v>0</v>
      </c>
      <c r="F33" s="45">
        <v>104926112</v>
      </c>
      <c r="G33" s="23">
        <f>B33/B$37*'Fondos 2027'!$B$11</f>
        <v>2748439691.7518601</v>
      </c>
      <c r="H33" s="23">
        <f>C33/C$37*('Fondos 2027'!$B$5-0.2*'Fondos 2027'!$B$10)</f>
        <v>395896.13715584343</v>
      </c>
      <c r="I33" s="23">
        <f>D33/D$37*'Fondos 2027'!$B$12</f>
        <v>376712531.89408028</v>
      </c>
      <c r="J33" s="23">
        <f>E33/E$37*'Fondos 2027'!$B$15*0.3</f>
        <v>0</v>
      </c>
      <c r="K33" s="23">
        <f>F33/F$37*'Fondos 2027'!$B$13</f>
        <v>209852224.03146872</v>
      </c>
      <c r="L33" s="35">
        <f>SUMIFS('Cálculo FGP-FFM-FOFIR'!$O$5:$O$260,'Cálculo FGP-FFM-FOFIR'!$B$5:$B$260,A33)</f>
        <v>9253129532.670187</v>
      </c>
      <c r="M33" s="35">
        <f>'Cálculo FoCo'!O33</f>
        <v>871312831.27593899</v>
      </c>
      <c r="N33" s="29">
        <f t="shared" si="0"/>
        <v>13459842707.760693</v>
      </c>
    </row>
    <row r="34" spans="1:14" x14ac:dyDescent="0.2">
      <c r="A34" s="27" t="s">
        <v>79</v>
      </c>
      <c r="B34" s="45">
        <v>1338567778</v>
      </c>
      <c r="C34" s="45">
        <v>17505551</v>
      </c>
      <c r="D34" s="45">
        <v>83688467</v>
      </c>
      <c r="E34" s="45">
        <v>51777913</v>
      </c>
      <c r="F34" s="45">
        <v>610004125</v>
      </c>
      <c r="G34" s="23">
        <f>B34/B$37*'Fondos 2027'!$B$11</f>
        <v>16062813334.549788</v>
      </c>
      <c r="H34" s="23">
        <f>C34/C$37*('Fondos 2027'!$B$5-0.2*'Fondos 2027'!$B$10)</f>
        <v>216845432.40565115</v>
      </c>
      <c r="I34" s="23">
        <f>D34/D$37*'Fondos 2027'!$B$12</f>
        <v>1004261603.7176332</v>
      </c>
      <c r="J34" s="23">
        <f>E34/E$37*'Fondos 2027'!$B$15*0.3</f>
        <v>775891062.46944964</v>
      </c>
      <c r="K34" s="23">
        <f>F34/F$37*'Fondos 2027'!$B$13</f>
        <v>1220008250.1829481</v>
      </c>
      <c r="L34" s="35">
        <f>SUMIFS('Cálculo FGP-FFM-FOFIR'!$O$5:$O$260,'Cálculo FGP-FFM-FOFIR'!$B$5:$B$260,A34)</f>
        <v>53976278315.478378</v>
      </c>
      <c r="M34" s="35">
        <f>'Cálculo FoCo'!O34</f>
        <v>680974856.21930468</v>
      </c>
      <c r="N34" s="29">
        <f t="shared" si="0"/>
        <v>73937072855.023148</v>
      </c>
    </row>
    <row r="35" spans="1:14" x14ac:dyDescent="0.2">
      <c r="A35" s="27" t="s">
        <v>80</v>
      </c>
      <c r="B35" s="45">
        <v>350185660</v>
      </c>
      <c r="C35" s="45">
        <v>2111990</v>
      </c>
      <c r="D35" s="45">
        <v>59235595</v>
      </c>
      <c r="E35" s="45">
        <v>922603</v>
      </c>
      <c r="F35" s="45">
        <v>412301208</v>
      </c>
      <c r="G35" s="23">
        <f>B35/B$37*'Fondos 2027'!$B$11</f>
        <v>4202227919.6206059</v>
      </c>
      <c r="H35" s="23">
        <f>C35/C$37*('Fondos 2027'!$B$5-0.2*'Fondos 2027'!$B$10)</f>
        <v>26161723.489104185</v>
      </c>
      <c r="I35" s="23">
        <f>D35/D$37*'Fondos 2027'!$B$12</f>
        <v>710827139.80013776</v>
      </c>
      <c r="J35" s="23">
        <f>E35/E$37*'Fondos 2027'!$B$15*0.3</f>
        <v>13825188.780928688</v>
      </c>
      <c r="K35" s="23">
        <f>F35/F$37*'Fondos 2027'!$B$13</f>
        <v>824602416.12365448</v>
      </c>
      <c r="L35" s="35">
        <f>SUMIFS('Cálculo FGP-FFM-FOFIR'!$O$5:$O$260,'Cálculo FGP-FFM-FOFIR'!$B$5:$B$260,A35)</f>
        <v>16778163705.112053</v>
      </c>
      <c r="M35" s="35">
        <f>'Cálculo FoCo'!O35</f>
        <v>0</v>
      </c>
      <c r="N35" s="29">
        <f t="shared" si="0"/>
        <v>22555808092.926483</v>
      </c>
    </row>
    <row r="36" spans="1:14" x14ac:dyDescent="0.2">
      <c r="A36" s="27" t="s">
        <v>81</v>
      </c>
      <c r="B36" s="45">
        <v>267212803</v>
      </c>
      <c r="C36" s="45">
        <v>1523641</v>
      </c>
      <c r="D36" s="45">
        <v>65980157</v>
      </c>
      <c r="E36" s="45">
        <v>5995781</v>
      </c>
      <c r="F36" s="45">
        <v>116473809</v>
      </c>
      <c r="G36" s="23">
        <f>B36/B$37*'Fondos 2027'!$B$11</f>
        <v>3206553635.7104998</v>
      </c>
      <c r="H36" s="23">
        <f>C36/C$37*('Fondos 2027'!$B$5-0.2*'Fondos 2027'!$B$10)</f>
        <v>18873704.202511463</v>
      </c>
      <c r="I36" s="23">
        <f>D36/D$37*'Fondos 2027'!$B$12</f>
        <v>791761883.77738142</v>
      </c>
      <c r="J36" s="23">
        <f>E36/E$37*'Fondos 2027'!$B$15*0.3</f>
        <v>89846666.674729437</v>
      </c>
      <c r="K36" s="23">
        <f>F36/F$37*'Fondos 2027'!$B$13</f>
        <v>232947618.03493202</v>
      </c>
      <c r="L36" s="35">
        <f>SUMIFS('Cálculo FGP-FFM-FOFIR'!$O$5:$O$260,'Cálculo FGP-FFM-FOFIR'!$B$5:$B$260,A36)</f>
        <v>11550515618.517818</v>
      </c>
      <c r="M36" s="35">
        <f>'Cálculo FoCo'!O36</f>
        <v>666646623.46030879</v>
      </c>
      <c r="N36" s="29">
        <f t="shared" si="0"/>
        <v>16557145750.378181</v>
      </c>
    </row>
    <row r="37" spans="1:14" x14ac:dyDescent="0.2">
      <c r="A37" s="22" t="s">
        <v>82</v>
      </c>
      <c r="B37" s="36">
        <f t="shared" ref="B37:N37" si="1">SUM(B5:B36)</f>
        <v>22152337835</v>
      </c>
      <c r="C37" s="36">
        <f t="shared" si="1"/>
        <v>161223707</v>
      </c>
      <c r="D37" s="36">
        <f t="shared" si="1"/>
        <v>1778292588</v>
      </c>
      <c r="E37" s="36">
        <f t="shared" si="1"/>
        <v>718479641</v>
      </c>
      <c r="F37" s="36">
        <f t="shared" si="1"/>
        <v>13337194404</v>
      </c>
      <c r="G37" s="36">
        <f t="shared" si="1"/>
        <v>265828053995.99997</v>
      </c>
      <c r="H37" s="36">
        <f t="shared" si="1"/>
        <v>1997116483.7060549</v>
      </c>
      <c r="I37" s="36">
        <f t="shared" si="1"/>
        <v>21339511050</v>
      </c>
      <c r="J37" s="36">
        <f t="shared" si="1"/>
        <v>10766404046.029413</v>
      </c>
      <c r="K37" s="36">
        <f t="shared" si="1"/>
        <v>26674388811.999996</v>
      </c>
      <c r="L37" s="36">
        <f t="shared" si="1"/>
        <v>948704063038.98535</v>
      </c>
      <c r="M37" s="36">
        <f t="shared" si="1"/>
        <v>8041200000.000001</v>
      </c>
      <c r="N37" s="36">
        <f t="shared" si="1"/>
        <v>1283350737426.7207</v>
      </c>
    </row>
    <row r="38" spans="1:14" x14ac:dyDescent="0.2">
      <c r="A38" s="13" t="s">
        <v>187</v>
      </c>
      <c r="N38" s="41">
        <f>N37-('Fondos 2027'!B5+'Fondos 2027'!B6+'Fondos 2027'!B7+'Fondos 2027'!B8)</f>
        <v>1.720703125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7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5" width="15" customWidth="1"/>
    <col min="6" max="6" width="10" customWidth="1"/>
    <col min="7" max="9" width="13" customWidth="1"/>
    <col min="11" max="13" width="15" customWidth="1"/>
  </cols>
  <sheetData>
    <row r="1" spans="1:13" ht="17" x14ac:dyDescent="0.2">
      <c r="A1" s="12" t="s">
        <v>188</v>
      </c>
    </row>
    <row r="2" spans="1:13" x14ac:dyDescent="0.2">
      <c r="A2" s="13" t="s">
        <v>189</v>
      </c>
    </row>
    <row r="3" spans="1:13" x14ac:dyDescent="0.2">
      <c r="K3" s="22" t="s">
        <v>190</v>
      </c>
    </row>
    <row r="4" spans="1:13" ht="48" customHeight="1" x14ac:dyDescent="0.2">
      <c r="A4" s="24" t="s">
        <v>173</v>
      </c>
      <c r="B4" s="24" t="s">
        <v>191</v>
      </c>
      <c r="C4" s="24" t="s">
        <v>192</v>
      </c>
      <c r="D4" s="24" t="s">
        <v>193</v>
      </c>
      <c r="E4" s="24" t="s">
        <v>194</v>
      </c>
      <c r="F4" s="24" t="s">
        <v>195</v>
      </c>
      <c r="G4" s="24" t="s">
        <v>196</v>
      </c>
      <c r="H4" s="24" t="s">
        <v>197</v>
      </c>
      <c r="I4" s="24" t="s">
        <v>198</v>
      </c>
      <c r="K4" s="24" t="s">
        <v>199</v>
      </c>
      <c r="L4" s="24" t="s">
        <v>200</v>
      </c>
      <c r="M4" s="24" t="s">
        <v>201</v>
      </c>
    </row>
    <row r="5" spans="1:13" x14ac:dyDescent="0.2">
      <c r="A5" s="27" t="s">
        <v>50</v>
      </c>
      <c r="B5" s="45">
        <v>1531396</v>
      </c>
      <c r="C5" s="45">
        <v>1493459</v>
      </c>
      <c r="D5" s="45">
        <v>1539174</v>
      </c>
      <c r="E5" s="23">
        <f t="shared" ref="E5:E36" si="0">D5-B5</f>
        <v>7778</v>
      </c>
      <c r="F5" s="47">
        <f t="shared" ref="F5:F37" si="1">D5/B5-1</f>
        <v>5.0790259345068201E-3</v>
      </c>
      <c r="G5" s="48">
        <f t="shared" ref="G5:G36" si="2">B5/B$37</f>
        <v>1.1676598460280086E-2</v>
      </c>
      <c r="H5" s="48">
        <f t="shared" ref="H5:H36" si="3">D5/D$37</f>
        <v>1.1757379503501126E-2</v>
      </c>
      <c r="I5" s="49">
        <f t="shared" ref="I5:I36" si="4">(H5-G5)*100</f>
        <v>8.078104322103985E-3</v>
      </c>
      <c r="K5" s="45">
        <v>1503564</v>
      </c>
      <c r="L5" s="45">
        <v>1519678</v>
      </c>
      <c r="M5" s="45">
        <v>1558219</v>
      </c>
    </row>
    <row r="6" spans="1:13" x14ac:dyDescent="0.2">
      <c r="A6" s="27" t="s">
        <v>51</v>
      </c>
      <c r="B6" s="45">
        <v>3830329</v>
      </c>
      <c r="C6" s="45">
        <v>3779050</v>
      </c>
      <c r="D6" s="45">
        <v>4009678</v>
      </c>
      <c r="E6" s="23">
        <f t="shared" si="0"/>
        <v>179349</v>
      </c>
      <c r="F6" s="47">
        <f t="shared" si="1"/>
        <v>4.682339297747018E-2</v>
      </c>
      <c r="G6" s="48">
        <f t="shared" si="2"/>
        <v>2.920551817019645E-2</v>
      </c>
      <c r="H6" s="48">
        <f t="shared" si="3"/>
        <v>3.0628964582847286E-2</v>
      </c>
      <c r="I6" s="49">
        <f t="shared" si="4"/>
        <v>0.14234464126508356</v>
      </c>
      <c r="K6" s="45">
        <v>3778283</v>
      </c>
      <c r="L6" s="45">
        <v>3790412</v>
      </c>
      <c r="M6" s="45">
        <v>3862801</v>
      </c>
    </row>
    <row r="7" spans="1:13" x14ac:dyDescent="0.2">
      <c r="A7" s="27" t="s">
        <v>52</v>
      </c>
      <c r="B7" s="45">
        <v>928591</v>
      </c>
      <c r="C7" s="45">
        <v>872439</v>
      </c>
      <c r="D7" s="45">
        <v>961514</v>
      </c>
      <c r="E7" s="23">
        <f t="shared" si="0"/>
        <v>32923</v>
      </c>
      <c r="F7" s="47">
        <f t="shared" si="1"/>
        <v>3.545479118363204E-2</v>
      </c>
      <c r="G7" s="48">
        <f t="shared" si="2"/>
        <v>7.0803268657028918E-3</v>
      </c>
      <c r="H7" s="48">
        <f t="shared" si="3"/>
        <v>7.3447738825690801E-3</v>
      </c>
      <c r="I7" s="49">
        <f t="shared" si="4"/>
        <v>2.6444701686618825E-2</v>
      </c>
      <c r="K7" s="45">
        <v>881164</v>
      </c>
      <c r="L7" s="45">
        <v>906940</v>
      </c>
      <c r="M7" s="45">
        <v>960359</v>
      </c>
    </row>
    <row r="8" spans="1:13" x14ac:dyDescent="0.2">
      <c r="A8" s="27" t="s">
        <v>53</v>
      </c>
      <c r="B8" s="45">
        <v>935371</v>
      </c>
      <c r="C8" s="45">
        <v>949481</v>
      </c>
      <c r="D8" s="45">
        <v>968673</v>
      </c>
      <c r="E8" s="23">
        <f t="shared" si="0"/>
        <v>33302</v>
      </c>
      <c r="F8" s="47">
        <f t="shared" si="1"/>
        <v>3.5602985339507009E-2</v>
      </c>
      <c r="G8" s="48">
        <f t="shared" si="2"/>
        <v>7.1320230550364801E-3</v>
      </c>
      <c r="H8" s="48">
        <f t="shared" si="3"/>
        <v>7.3994597594521129E-3</v>
      </c>
      <c r="I8" s="49">
        <f t="shared" si="4"/>
        <v>2.6743670441563283E-2</v>
      </c>
      <c r="K8" s="45">
        <v>925978</v>
      </c>
      <c r="L8" s="45">
        <v>918817</v>
      </c>
      <c r="M8" s="45">
        <v>952094</v>
      </c>
    </row>
    <row r="9" spans="1:13" x14ac:dyDescent="0.2">
      <c r="A9" s="27" t="s">
        <v>54</v>
      </c>
      <c r="B9" s="45">
        <v>3590747</v>
      </c>
      <c r="C9" s="45">
        <v>3457516</v>
      </c>
      <c r="D9" s="45">
        <v>3415128</v>
      </c>
      <c r="E9" s="23">
        <f t="shared" si="0"/>
        <v>-175619</v>
      </c>
      <c r="F9" s="47">
        <f t="shared" si="1"/>
        <v>-4.8908764666516502E-2</v>
      </c>
      <c r="G9" s="48">
        <f t="shared" si="2"/>
        <v>2.7378751734662584E-2</v>
      </c>
      <c r="H9" s="48">
        <f t="shared" si="3"/>
        <v>2.6087340319569323E-2</v>
      </c>
      <c r="I9" s="49">
        <f t="shared" si="4"/>
        <v>-0.1291411415093261</v>
      </c>
      <c r="K9" s="45">
        <v>3452989</v>
      </c>
      <c r="L9" s="45">
        <v>3582441</v>
      </c>
      <c r="M9" s="45">
        <v>3510963</v>
      </c>
    </row>
    <row r="10" spans="1:13" x14ac:dyDescent="0.2">
      <c r="A10" s="27" t="s">
        <v>55</v>
      </c>
      <c r="B10" s="45">
        <v>762355</v>
      </c>
      <c r="C10" s="45">
        <v>719445</v>
      </c>
      <c r="D10" s="45">
        <v>762212</v>
      </c>
      <c r="E10" s="23">
        <f t="shared" si="0"/>
        <v>-143</v>
      </c>
      <c r="F10" s="47">
        <f t="shared" si="1"/>
        <v>-1.8757665392110656E-4</v>
      </c>
      <c r="G10" s="48">
        <f t="shared" si="2"/>
        <v>5.8128095013875091E-3</v>
      </c>
      <c r="H10" s="48">
        <f t="shared" si="3"/>
        <v>5.8223539028872629E-3</v>
      </c>
      <c r="I10" s="49">
        <f t="shared" si="4"/>
        <v>9.5444014997538018E-4</v>
      </c>
      <c r="K10" s="45">
        <v>728776</v>
      </c>
      <c r="L10" s="45">
        <v>745394</v>
      </c>
      <c r="M10" s="45">
        <v>771093</v>
      </c>
    </row>
    <row r="11" spans="1:13" x14ac:dyDescent="0.2">
      <c r="A11" s="27" t="s">
        <v>56</v>
      </c>
      <c r="B11" s="45">
        <v>5891372</v>
      </c>
      <c r="C11" s="45">
        <v>5914879</v>
      </c>
      <c r="D11" s="45">
        <v>5860728</v>
      </c>
      <c r="E11" s="23">
        <f t="shared" si="0"/>
        <v>-30644</v>
      </c>
      <c r="F11" s="47">
        <f t="shared" si="1"/>
        <v>-5.201504844711935E-3</v>
      </c>
      <c r="G11" s="48">
        <f t="shared" si="2"/>
        <v>4.4920572617492285E-2</v>
      </c>
      <c r="H11" s="48">
        <f t="shared" si="3"/>
        <v>4.4768689740597972E-2</v>
      </c>
      <c r="I11" s="49">
        <f t="shared" si="4"/>
        <v>-1.5188287689431312E-2</v>
      </c>
      <c r="K11" s="45">
        <v>5975155</v>
      </c>
      <c r="L11" s="45">
        <v>5900473</v>
      </c>
      <c r="M11" s="45">
        <v>5885528</v>
      </c>
    </row>
    <row r="12" spans="1:13" x14ac:dyDescent="0.2">
      <c r="A12" s="27" t="s">
        <v>57</v>
      </c>
      <c r="B12" s="45">
        <v>4015493</v>
      </c>
      <c r="C12" s="45">
        <v>3900629</v>
      </c>
      <c r="D12" s="45">
        <v>3903944</v>
      </c>
      <c r="E12" s="23">
        <f t="shared" si="0"/>
        <v>-111549</v>
      </c>
      <c r="F12" s="47">
        <f t="shared" si="1"/>
        <v>-2.7779652461105031E-2</v>
      </c>
      <c r="G12" s="48">
        <f t="shared" si="2"/>
        <v>3.0617357875471443E-2</v>
      </c>
      <c r="H12" s="48">
        <f t="shared" si="3"/>
        <v>2.9821288020988011E-2</v>
      </c>
      <c r="I12" s="49">
        <f t="shared" si="4"/>
        <v>-7.9606985448343187E-2</v>
      </c>
      <c r="K12" s="45">
        <v>3976037</v>
      </c>
      <c r="L12" s="45">
        <v>3991333</v>
      </c>
      <c r="M12" s="45">
        <v>3985958</v>
      </c>
    </row>
    <row r="13" spans="1:13" x14ac:dyDescent="0.2">
      <c r="A13" s="27" t="s">
        <v>58</v>
      </c>
      <c r="B13" s="45">
        <v>9336468</v>
      </c>
      <c r="C13" s="45">
        <v>9352517</v>
      </c>
      <c r="D13" s="45">
        <v>9216407</v>
      </c>
      <c r="E13" s="23">
        <f t="shared" si="0"/>
        <v>-120061</v>
      </c>
      <c r="F13" s="47">
        <f t="shared" si="1"/>
        <v>-1.2859359663632941E-2</v>
      </c>
      <c r="G13" s="48">
        <f t="shared" si="2"/>
        <v>7.1188763633478411E-2</v>
      </c>
      <c r="H13" s="48">
        <f t="shared" si="3"/>
        <v>7.0401913466394503E-2</v>
      </c>
      <c r="I13" s="49">
        <f t="shared" si="4"/>
        <v>-7.8685016708390787E-2</v>
      </c>
      <c r="K13" s="45">
        <v>9350964</v>
      </c>
      <c r="L13" s="45">
        <v>9319955</v>
      </c>
      <c r="M13" s="45">
        <v>9296753</v>
      </c>
    </row>
    <row r="14" spans="1:13" x14ac:dyDescent="0.2">
      <c r="A14" s="27" t="s">
        <v>59</v>
      </c>
      <c r="B14" s="45">
        <v>1968132</v>
      </c>
      <c r="C14" s="45">
        <v>1890563</v>
      </c>
      <c r="D14" s="45">
        <v>1943290</v>
      </c>
      <c r="E14" s="23">
        <f t="shared" si="0"/>
        <v>-24842</v>
      </c>
      <c r="F14" s="47">
        <f t="shared" si="1"/>
        <v>-1.2622120874006382E-2</v>
      </c>
      <c r="G14" s="48">
        <f t="shared" si="2"/>
        <v>1.5006626033258523E-2</v>
      </c>
      <c r="H14" s="48">
        <f t="shared" si="3"/>
        <v>1.4844324303398253E-2</v>
      </c>
      <c r="I14" s="49">
        <f t="shared" si="4"/>
        <v>-1.6230172986026956E-2</v>
      </c>
      <c r="K14" s="45">
        <v>1944614</v>
      </c>
      <c r="L14" s="45">
        <v>1954301</v>
      </c>
      <c r="M14" s="45">
        <v>1959669</v>
      </c>
    </row>
    <row r="15" spans="1:13" x14ac:dyDescent="0.2">
      <c r="A15" s="27" t="s">
        <v>60</v>
      </c>
      <c r="B15" s="45">
        <v>6402249</v>
      </c>
      <c r="C15" s="45">
        <v>6313504</v>
      </c>
      <c r="D15" s="45">
        <v>6446935</v>
      </c>
      <c r="E15" s="23">
        <f t="shared" si="0"/>
        <v>44686</v>
      </c>
      <c r="F15" s="47">
        <f t="shared" si="1"/>
        <v>6.9797347775757412E-3</v>
      </c>
      <c r="G15" s="48">
        <f t="shared" si="2"/>
        <v>4.8815910983004869E-2</v>
      </c>
      <c r="H15" s="48">
        <f t="shared" si="3"/>
        <v>4.9246583836138107E-2</v>
      </c>
      <c r="I15" s="49">
        <f t="shared" si="4"/>
        <v>4.3067285313323767E-2</v>
      </c>
      <c r="K15" s="45">
        <v>6345807</v>
      </c>
      <c r="L15" s="45">
        <v>6376710</v>
      </c>
      <c r="M15" s="45">
        <v>6432483</v>
      </c>
    </row>
    <row r="16" spans="1:13" x14ac:dyDescent="0.2">
      <c r="A16" s="27" t="s">
        <v>61</v>
      </c>
      <c r="B16" s="45">
        <v>3569633</v>
      </c>
      <c r="C16" s="45">
        <v>3603188</v>
      </c>
      <c r="D16" s="45">
        <v>3418902</v>
      </c>
      <c r="E16" s="23">
        <f t="shared" si="0"/>
        <v>-150731</v>
      </c>
      <c r="F16" s="47">
        <f t="shared" si="1"/>
        <v>-4.2225909498259329E-2</v>
      </c>
      <c r="G16" s="48">
        <f t="shared" si="2"/>
        <v>2.721776156628657E-2</v>
      </c>
      <c r="H16" s="48">
        <f t="shared" si="3"/>
        <v>2.6116168996668996E-2</v>
      </c>
      <c r="I16" s="49">
        <f t="shared" si="4"/>
        <v>-0.11015925696175738</v>
      </c>
      <c r="K16" s="45">
        <v>3606579</v>
      </c>
      <c r="L16" s="45">
        <v>3578620</v>
      </c>
      <c r="M16" s="45">
        <v>3538257</v>
      </c>
    </row>
    <row r="17" spans="1:13" x14ac:dyDescent="0.2">
      <c r="A17" s="27" t="s">
        <v>62</v>
      </c>
      <c r="B17" s="45">
        <v>3215821</v>
      </c>
      <c r="C17" s="45">
        <v>3222994</v>
      </c>
      <c r="D17" s="45">
        <v>3245595</v>
      </c>
      <c r="E17" s="23">
        <f t="shared" si="0"/>
        <v>29774</v>
      </c>
      <c r="F17" s="47">
        <f t="shared" si="1"/>
        <v>9.2585999034149324E-3</v>
      </c>
      <c r="G17" s="48">
        <f t="shared" si="2"/>
        <v>2.4520013462968671E-2</v>
      </c>
      <c r="H17" s="48">
        <f t="shared" si="3"/>
        <v>2.4792318561556871E-2</v>
      </c>
      <c r="I17" s="49">
        <f t="shared" si="4"/>
        <v>2.7230509858820057E-2</v>
      </c>
      <c r="K17" s="45">
        <v>3248649</v>
      </c>
      <c r="L17" s="45">
        <v>3228160</v>
      </c>
      <c r="M17" s="45">
        <v>3229482</v>
      </c>
    </row>
    <row r="18" spans="1:13" x14ac:dyDescent="0.2">
      <c r="A18" s="27" t="s">
        <v>63</v>
      </c>
      <c r="B18" s="45">
        <v>8750952</v>
      </c>
      <c r="C18" s="45">
        <v>8732495</v>
      </c>
      <c r="D18" s="45">
        <v>8679851</v>
      </c>
      <c r="E18" s="23">
        <f t="shared" si="0"/>
        <v>-71101</v>
      </c>
      <c r="F18" s="47">
        <f t="shared" si="1"/>
        <v>-8.1249445774584927E-3</v>
      </c>
      <c r="G18" s="48">
        <f t="shared" si="2"/>
        <v>6.6724317321701865E-2</v>
      </c>
      <c r="H18" s="48">
        <f t="shared" si="3"/>
        <v>6.6303291402300027E-2</v>
      </c>
      <c r="I18" s="49">
        <f t="shared" si="4"/>
        <v>-4.2102591940183787E-2</v>
      </c>
      <c r="K18" s="45">
        <v>8739649</v>
      </c>
      <c r="L18" s="45">
        <v>8761130</v>
      </c>
      <c r="M18" s="45">
        <v>8703341</v>
      </c>
    </row>
    <row r="19" spans="1:13" x14ac:dyDescent="0.2">
      <c r="A19" s="27" t="s">
        <v>64</v>
      </c>
      <c r="B19" s="45">
        <v>17753727</v>
      </c>
      <c r="C19" s="45">
        <v>17728216</v>
      </c>
      <c r="D19" s="45">
        <v>17612480</v>
      </c>
      <c r="E19" s="23">
        <f t="shared" si="0"/>
        <v>-141247</v>
      </c>
      <c r="F19" s="47">
        <f t="shared" si="1"/>
        <v>-7.9559069484396172E-3</v>
      </c>
      <c r="G19" s="48">
        <f t="shared" si="2"/>
        <v>0.13536873633758545</v>
      </c>
      <c r="H19" s="48">
        <f t="shared" si="3"/>
        <v>0.13453749306954477</v>
      </c>
      <c r="I19" s="49">
        <f t="shared" si="4"/>
        <v>-8.3124326804068227E-2</v>
      </c>
      <c r="K19" s="45">
        <v>17788768</v>
      </c>
      <c r="L19" s="45">
        <v>17789139</v>
      </c>
      <c r="M19" s="45">
        <v>17729333</v>
      </c>
    </row>
    <row r="20" spans="1:13" x14ac:dyDescent="0.2">
      <c r="A20" s="27" t="s">
        <v>65</v>
      </c>
      <c r="B20" s="45">
        <v>4945881</v>
      </c>
      <c r="C20" s="45">
        <v>4943602</v>
      </c>
      <c r="D20" s="45">
        <v>4889574</v>
      </c>
      <c r="E20" s="23">
        <f t="shared" si="0"/>
        <v>-56307</v>
      </c>
      <c r="F20" s="47">
        <f t="shared" si="1"/>
        <v>-1.1384624903025387E-2</v>
      </c>
      <c r="G20" s="48">
        <f t="shared" si="2"/>
        <v>3.771138651878974E-2</v>
      </c>
      <c r="H20" s="48">
        <f t="shared" si="3"/>
        <v>3.7350278219650292E-2</v>
      </c>
      <c r="I20" s="49">
        <f t="shared" si="4"/>
        <v>-3.611082991394482E-2</v>
      </c>
      <c r="K20" s="45">
        <v>4950874</v>
      </c>
      <c r="L20" s="45">
        <v>4940153</v>
      </c>
      <c r="M20" s="45">
        <v>4915546</v>
      </c>
    </row>
    <row r="21" spans="1:13" x14ac:dyDescent="0.2">
      <c r="A21" s="27" t="s">
        <v>66</v>
      </c>
      <c r="B21" s="45">
        <v>1988503</v>
      </c>
      <c r="C21" s="45">
        <v>1964164</v>
      </c>
      <c r="D21" s="45">
        <v>1997217</v>
      </c>
      <c r="E21" s="23">
        <f t="shared" si="0"/>
        <v>8714</v>
      </c>
      <c r="F21" s="47">
        <f t="shared" si="1"/>
        <v>4.38219102510784E-3</v>
      </c>
      <c r="G21" s="48">
        <f t="shared" si="2"/>
        <v>1.5161950970266564E-2</v>
      </c>
      <c r="H21" s="48">
        <f t="shared" si="3"/>
        <v>1.525625966904587E-2</v>
      </c>
      <c r="I21" s="49">
        <f t="shared" si="4"/>
        <v>9.4308698779306532E-3</v>
      </c>
      <c r="K21" s="45">
        <v>1984308</v>
      </c>
      <c r="L21" s="45">
        <v>1984462</v>
      </c>
      <c r="M21" s="45">
        <v>1994177</v>
      </c>
    </row>
    <row r="22" spans="1:13" x14ac:dyDescent="0.2">
      <c r="A22" s="27" t="s">
        <v>67</v>
      </c>
      <c r="B22" s="45">
        <v>1279298</v>
      </c>
      <c r="C22" s="45">
        <v>1237293</v>
      </c>
      <c r="D22" s="45">
        <v>1299075</v>
      </c>
      <c r="E22" s="23">
        <f t="shared" si="0"/>
        <v>19777</v>
      </c>
      <c r="F22" s="47">
        <f t="shared" si="1"/>
        <v>1.5459259687734983E-2</v>
      </c>
      <c r="G22" s="48">
        <f t="shared" si="2"/>
        <v>9.7543999442596136E-3</v>
      </c>
      <c r="H22" s="48">
        <f t="shared" si="3"/>
        <v>9.9233210660462853E-3</v>
      </c>
      <c r="I22" s="49">
        <f t="shared" si="4"/>
        <v>1.6892112178667172E-2</v>
      </c>
      <c r="K22" s="45">
        <v>1245276</v>
      </c>
      <c r="L22" s="45">
        <v>1257616</v>
      </c>
      <c r="M22" s="45">
        <v>1301047</v>
      </c>
    </row>
    <row r="23" spans="1:13" x14ac:dyDescent="0.2">
      <c r="A23" s="27" t="s">
        <v>68</v>
      </c>
      <c r="B23" s="45">
        <v>6234433</v>
      </c>
      <c r="C23" s="45">
        <v>6130641</v>
      </c>
      <c r="D23" s="45">
        <v>6291899</v>
      </c>
      <c r="E23" s="23">
        <f t="shared" si="0"/>
        <v>57466</v>
      </c>
      <c r="F23" s="47">
        <f t="shared" si="1"/>
        <v>9.2175182570732872E-3</v>
      </c>
      <c r="G23" s="48">
        <f t="shared" si="2"/>
        <v>4.753634642412502E-2</v>
      </c>
      <c r="H23" s="48">
        <f t="shared" si="3"/>
        <v>4.8062301169782773E-2</v>
      </c>
      <c r="I23" s="49">
        <f t="shared" si="4"/>
        <v>5.2595474565775291E-2</v>
      </c>
      <c r="K23" s="45">
        <v>6152311</v>
      </c>
      <c r="L23" s="45">
        <v>6310265</v>
      </c>
      <c r="M23" s="45">
        <v>6282446</v>
      </c>
    </row>
    <row r="24" spans="1:13" x14ac:dyDescent="0.2">
      <c r="A24" s="27" t="s">
        <v>69</v>
      </c>
      <c r="B24" s="45">
        <v>4178688</v>
      </c>
      <c r="C24" s="45">
        <v>4242791</v>
      </c>
      <c r="D24" s="45">
        <v>4169180</v>
      </c>
      <c r="E24" s="23">
        <f t="shared" si="0"/>
        <v>-9508</v>
      </c>
      <c r="F24" s="47">
        <f t="shared" si="1"/>
        <v>-2.2753553268394233E-3</v>
      </c>
      <c r="G24" s="48">
        <f t="shared" si="2"/>
        <v>3.1861688202653574E-2</v>
      </c>
      <c r="H24" s="48">
        <f t="shared" si="3"/>
        <v>3.184736194764648E-2</v>
      </c>
      <c r="I24" s="49">
        <f t="shared" si="4"/>
        <v>-1.4326255007093835E-3</v>
      </c>
      <c r="K24" s="45">
        <v>4232451</v>
      </c>
      <c r="L24" s="45">
        <v>4190375</v>
      </c>
      <c r="M24" s="45">
        <v>4168743</v>
      </c>
    </row>
    <row r="25" spans="1:13" x14ac:dyDescent="0.2">
      <c r="A25" s="27" t="s">
        <v>70</v>
      </c>
      <c r="B25" s="45">
        <v>6638706</v>
      </c>
      <c r="C25" s="45">
        <v>6586805</v>
      </c>
      <c r="D25" s="45">
        <v>6851933</v>
      </c>
      <c r="E25" s="23">
        <f t="shared" si="0"/>
        <v>213227</v>
      </c>
      <c r="F25" s="47">
        <f t="shared" si="1"/>
        <v>3.2118759288331189E-2</v>
      </c>
      <c r="G25" s="48">
        <f t="shared" si="2"/>
        <v>5.0618849897643835E-2</v>
      </c>
      <c r="H25" s="48">
        <f t="shared" si="3"/>
        <v>5.2340266021621326E-2</v>
      </c>
      <c r="I25" s="49">
        <f t="shared" si="4"/>
        <v>0.17214161239774914</v>
      </c>
      <c r="K25" s="45">
        <v>6629599</v>
      </c>
      <c r="L25" s="45">
        <v>6624540</v>
      </c>
      <c r="M25" s="45">
        <v>6703850</v>
      </c>
    </row>
    <row r="26" spans="1:13" x14ac:dyDescent="0.2">
      <c r="A26" s="27" t="s">
        <v>71</v>
      </c>
      <c r="B26" s="45">
        <v>2535155</v>
      </c>
      <c r="C26" s="45">
        <v>2530655</v>
      </c>
      <c r="D26" s="45">
        <v>2606836</v>
      </c>
      <c r="E26" s="23">
        <f t="shared" si="0"/>
        <v>71681</v>
      </c>
      <c r="F26" s="47">
        <f t="shared" si="1"/>
        <v>2.8274799765694691E-2</v>
      </c>
      <c r="G26" s="48">
        <f t="shared" si="2"/>
        <v>1.933006679498403E-2</v>
      </c>
      <c r="H26" s="48">
        <f t="shared" si="3"/>
        <v>1.9912992394224994E-2</v>
      </c>
      <c r="I26" s="49">
        <f t="shared" si="4"/>
        <v>5.829255992409639E-2</v>
      </c>
      <c r="K26" s="45">
        <v>2528745</v>
      </c>
      <c r="L26" s="45">
        <v>2498744</v>
      </c>
      <c r="M26" s="45">
        <v>2567272</v>
      </c>
    </row>
    <row r="27" spans="1:13" x14ac:dyDescent="0.2">
      <c r="A27" s="27" t="s">
        <v>72</v>
      </c>
      <c r="B27" s="45">
        <v>1975372</v>
      </c>
      <c r="C27" s="45">
        <v>1917252</v>
      </c>
      <c r="D27" s="45">
        <v>2100792</v>
      </c>
      <c r="E27" s="23">
        <f t="shared" si="0"/>
        <v>125420</v>
      </c>
      <c r="F27" s="47">
        <f t="shared" si="1"/>
        <v>6.3491838499280195E-2</v>
      </c>
      <c r="G27" s="48">
        <f t="shared" si="2"/>
        <v>1.5061829633667841E-2</v>
      </c>
      <c r="H27" s="48">
        <f t="shared" si="3"/>
        <v>1.6047444149861638E-2</v>
      </c>
      <c r="I27" s="49">
        <f t="shared" si="4"/>
        <v>9.8561451619379709E-2</v>
      </c>
      <c r="K27" s="45">
        <v>1905221</v>
      </c>
      <c r="L27" s="45">
        <v>1920249</v>
      </c>
      <c r="M27" s="45">
        <v>2025213</v>
      </c>
    </row>
    <row r="28" spans="1:13" x14ac:dyDescent="0.2">
      <c r="A28" s="27" t="s">
        <v>73</v>
      </c>
      <c r="B28" s="45">
        <v>2951151</v>
      </c>
      <c r="C28" s="45">
        <v>2874010</v>
      </c>
      <c r="D28" s="45">
        <v>2889524</v>
      </c>
      <c r="E28" s="23">
        <f t="shared" si="0"/>
        <v>-61627</v>
      </c>
      <c r="F28" s="47">
        <f t="shared" si="1"/>
        <v>-2.0882360814475476E-2</v>
      </c>
      <c r="G28" s="48">
        <f t="shared" si="2"/>
        <v>2.2501955877287153E-2</v>
      </c>
      <c r="H28" s="48">
        <f t="shared" si="3"/>
        <v>2.2072377945881745E-2</v>
      </c>
      <c r="I28" s="49">
        <f t="shared" si="4"/>
        <v>-4.2957793140540809E-2</v>
      </c>
      <c r="K28" s="45">
        <v>2885526</v>
      </c>
      <c r="L28" s="45">
        <v>2924773</v>
      </c>
      <c r="M28" s="45">
        <v>2936529</v>
      </c>
    </row>
    <row r="29" spans="1:13" x14ac:dyDescent="0.2">
      <c r="A29" s="27" t="s">
        <v>74</v>
      </c>
      <c r="B29" s="45">
        <v>3085699</v>
      </c>
      <c r="C29" s="45">
        <v>3169760</v>
      </c>
      <c r="D29" s="45">
        <v>3102935</v>
      </c>
      <c r="E29" s="23">
        <f t="shared" si="0"/>
        <v>17236</v>
      </c>
      <c r="F29" s="47">
        <f t="shared" si="1"/>
        <v>5.5857684109823502E-3</v>
      </c>
      <c r="G29" s="48">
        <f t="shared" si="2"/>
        <v>2.352785836732485E-2</v>
      </c>
      <c r="H29" s="48">
        <f t="shared" si="3"/>
        <v>2.3702573178663533E-2</v>
      </c>
      <c r="I29" s="49">
        <f t="shared" si="4"/>
        <v>1.7471481133868316E-2</v>
      </c>
      <c r="K29" s="45">
        <v>3144666</v>
      </c>
      <c r="L29" s="45">
        <v>3135869</v>
      </c>
      <c r="M29" s="45">
        <v>3105420</v>
      </c>
    </row>
    <row r="30" spans="1:13" x14ac:dyDescent="0.2">
      <c r="A30" s="27" t="s">
        <v>75</v>
      </c>
      <c r="B30" s="45">
        <v>3035624</v>
      </c>
      <c r="C30" s="45">
        <v>3039967</v>
      </c>
      <c r="D30" s="45">
        <v>3049889</v>
      </c>
      <c r="E30" s="23">
        <f t="shared" si="0"/>
        <v>14265</v>
      </c>
      <c r="F30" s="47">
        <f t="shared" si="1"/>
        <v>4.6991985832236516E-3</v>
      </c>
      <c r="G30" s="48">
        <f t="shared" si="2"/>
        <v>2.3146046172504878E-2</v>
      </c>
      <c r="H30" s="48">
        <f t="shared" si="3"/>
        <v>2.3297367559842842E-2</v>
      </c>
      <c r="I30" s="49">
        <f t="shared" si="4"/>
        <v>1.5132138733796319E-2</v>
      </c>
      <c r="K30" s="45">
        <v>3042242</v>
      </c>
      <c r="L30" s="45">
        <v>3032476</v>
      </c>
      <c r="M30" s="45">
        <v>3057789</v>
      </c>
    </row>
    <row r="31" spans="1:13" x14ac:dyDescent="0.2">
      <c r="A31" s="27" t="s">
        <v>76</v>
      </c>
      <c r="B31" s="45">
        <v>2578825</v>
      </c>
      <c r="C31" s="45">
        <v>2537961</v>
      </c>
      <c r="D31" s="45">
        <v>2527009</v>
      </c>
      <c r="E31" s="23">
        <f t="shared" si="0"/>
        <v>-51816</v>
      </c>
      <c r="F31" s="47">
        <f t="shared" si="1"/>
        <v>-2.0092871753608743E-2</v>
      </c>
      <c r="G31" s="48">
        <f t="shared" si="2"/>
        <v>1.9663042102977802E-2</v>
      </c>
      <c r="H31" s="48">
        <f t="shared" si="3"/>
        <v>1.9303213166128635E-2</v>
      </c>
      <c r="I31" s="49">
        <f t="shared" si="4"/>
        <v>-3.5982893684916722E-2</v>
      </c>
      <c r="K31" s="45">
        <v>2554147</v>
      </c>
      <c r="L31" s="45">
        <v>2567516</v>
      </c>
      <c r="M31" s="45">
        <v>2553100</v>
      </c>
    </row>
    <row r="32" spans="1:13" x14ac:dyDescent="0.2">
      <c r="A32" s="27" t="s">
        <v>77</v>
      </c>
      <c r="B32" s="45">
        <v>3602540</v>
      </c>
      <c r="C32" s="45">
        <v>3575756</v>
      </c>
      <c r="D32" s="45">
        <v>3620715</v>
      </c>
      <c r="E32" s="23">
        <f t="shared" si="0"/>
        <v>18175</v>
      </c>
      <c r="F32" s="47">
        <f t="shared" si="1"/>
        <v>5.0450515469639967E-3</v>
      </c>
      <c r="G32" s="48">
        <f t="shared" si="2"/>
        <v>2.7468671079914943E-2</v>
      </c>
      <c r="H32" s="48">
        <f t="shared" si="3"/>
        <v>2.7657769900621423E-2</v>
      </c>
      <c r="I32" s="49">
        <f t="shared" si="4"/>
        <v>1.890988207064806E-2</v>
      </c>
      <c r="K32" s="45">
        <v>3569939</v>
      </c>
      <c r="L32" s="45">
        <v>3597414</v>
      </c>
      <c r="M32" s="45">
        <v>3608877</v>
      </c>
    </row>
    <row r="33" spans="1:13" x14ac:dyDescent="0.2">
      <c r="A33" s="27" t="s">
        <v>78</v>
      </c>
      <c r="B33" s="45">
        <v>1426175</v>
      </c>
      <c r="C33" s="45">
        <v>1469900</v>
      </c>
      <c r="D33" s="45">
        <v>1419482</v>
      </c>
      <c r="E33" s="23">
        <f t="shared" si="0"/>
        <v>-6693</v>
      </c>
      <c r="F33" s="47">
        <f t="shared" si="1"/>
        <v>-4.6929724613038459E-3</v>
      </c>
      <c r="G33" s="48">
        <f t="shared" si="2"/>
        <v>1.0874308675933562E-2</v>
      </c>
      <c r="H33" s="48">
        <f t="shared" si="3"/>
        <v>1.0843081141176231E-2</v>
      </c>
      <c r="I33" s="49">
        <f t="shared" si="4"/>
        <v>-3.1227534757330422E-3</v>
      </c>
      <c r="K33" s="45">
        <v>1476723</v>
      </c>
      <c r="L33" s="45">
        <v>1449354</v>
      </c>
      <c r="M33" s="45">
        <v>1440130</v>
      </c>
    </row>
    <row r="34" spans="1:13" x14ac:dyDescent="0.2">
      <c r="A34" s="27" t="s">
        <v>79</v>
      </c>
      <c r="B34" s="45">
        <v>8066173</v>
      </c>
      <c r="C34" s="45">
        <v>8093517</v>
      </c>
      <c r="D34" s="45">
        <v>7917876</v>
      </c>
      <c r="E34" s="23">
        <f t="shared" si="0"/>
        <v>-148297</v>
      </c>
      <c r="F34" s="47">
        <f t="shared" si="1"/>
        <v>-1.8385050754552323E-2</v>
      </c>
      <c r="G34" s="48">
        <f t="shared" si="2"/>
        <v>6.1503009823816186E-2</v>
      </c>
      <c r="H34" s="48">
        <f t="shared" si="3"/>
        <v>6.0482747885335565E-2</v>
      </c>
      <c r="I34" s="49">
        <f t="shared" si="4"/>
        <v>-0.10202619384806211</v>
      </c>
      <c r="K34" s="45">
        <v>8113343</v>
      </c>
      <c r="L34" s="45">
        <v>8068202</v>
      </c>
      <c r="M34" s="45">
        <v>8021469</v>
      </c>
    </row>
    <row r="35" spans="1:13" x14ac:dyDescent="0.2">
      <c r="A35" s="27" t="s">
        <v>80</v>
      </c>
      <c r="B35" s="45">
        <v>2456821</v>
      </c>
      <c r="C35" s="45">
        <v>2375403</v>
      </c>
      <c r="D35" s="45">
        <v>2506448</v>
      </c>
      <c r="E35" s="23">
        <f t="shared" si="0"/>
        <v>49627</v>
      </c>
      <c r="F35" s="47">
        <f t="shared" si="1"/>
        <v>2.019968080702661E-2</v>
      </c>
      <c r="G35" s="48">
        <f t="shared" si="2"/>
        <v>1.8732785188013933E-2</v>
      </c>
      <c r="H35" s="48">
        <f t="shared" si="3"/>
        <v>1.914615263887734E-2</v>
      </c>
      <c r="I35" s="49">
        <f t="shared" si="4"/>
        <v>4.1336745086340693E-2</v>
      </c>
      <c r="K35" s="45">
        <v>2402017</v>
      </c>
      <c r="L35" s="45">
        <v>2432221</v>
      </c>
      <c r="M35" s="45">
        <v>2478837</v>
      </c>
    </row>
    <row r="36" spans="1:13" x14ac:dyDescent="0.2">
      <c r="A36" s="27" t="s">
        <v>81</v>
      </c>
      <c r="B36" s="45">
        <v>1689186</v>
      </c>
      <c r="C36" s="45">
        <v>1674227</v>
      </c>
      <c r="D36" s="45">
        <v>1686419</v>
      </c>
      <c r="E36" s="23">
        <f t="shared" si="0"/>
        <v>-2767</v>
      </c>
      <c r="F36" s="47">
        <f t="shared" si="1"/>
        <v>-1.6380670926706697E-3</v>
      </c>
      <c r="G36" s="48">
        <f t="shared" si="2"/>
        <v>1.2879716707322389E-2</v>
      </c>
      <c r="H36" s="48">
        <f t="shared" si="3"/>
        <v>1.2882148597179309E-2</v>
      </c>
      <c r="I36" s="49">
        <f t="shared" si="4"/>
        <v>2.4318898569197084E-4</v>
      </c>
      <c r="K36" s="45">
        <v>1695685</v>
      </c>
      <c r="L36" s="45">
        <v>1703991</v>
      </c>
      <c r="M36" s="45">
        <v>1695141</v>
      </c>
    </row>
    <row r="37" spans="1:13" x14ac:dyDescent="0.2">
      <c r="A37" s="22" t="s">
        <v>82</v>
      </c>
      <c r="B37" s="36">
        <f>SUM(B5:B36)</f>
        <v>131150866</v>
      </c>
      <c r="C37" s="36">
        <f>SUM(C5:C36)</f>
        <v>130294079</v>
      </c>
      <c r="D37" s="36">
        <f>SUM(D5:D36)</f>
        <v>130911314</v>
      </c>
      <c r="E37" s="36">
        <f>SUM(E5:E36)</f>
        <v>-239552</v>
      </c>
      <c r="F37" s="50">
        <f t="shared" si="1"/>
        <v>-1.8265376913332299E-3</v>
      </c>
      <c r="K37" s="36">
        <f>SUM(K5:K36)</f>
        <v>130760049</v>
      </c>
      <c r="L37" s="36">
        <f>SUM(L5:L36)</f>
        <v>131001723</v>
      </c>
      <c r="M37" s="36">
        <f>SUM(M5:M36)</f>
        <v>131231919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6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6" customWidth="1"/>
    <col min="2" max="2" width="20" customWidth="1"/>
    <col min="3" max="4" width="16" customWidth="1"/>
    <col min="5" max="5" width="12" customWidth="1"/>
    <col min="6" max="7" width="14" customWidth="1"/>
    <col min="8" max="8" width="16" customWidth="1"/>
    <col min="9" max="10" width="15" customWidth="1"/>
    <col min="11" max="12" width="11" customWidth="1"/>
    <col min="13" max="13" width="10" customWidth="1"/>
    <col min="14" max="14" width="11" customWidth="1"/>
    <col min="15" max="16" width="16" customWidth="1"/>
    <col min="17" max="29" width="15" customWidth="1"/>
  </cols>
  <sheetData>
    <row r="1" spans="1:29" ht="17" x14ac:dyDescent="0.2">
      <c r="A1" s="12" t="s">
        <v>202</v>
      </c>
    </row>
    <row r="2" spans="1:29" x14ac:dyDescent="0.2">
      <c r="A2" s="13" t="s">
        <v>203</v>
      </c>
    </row>
    <row r="4" spans="1:29" ht="48" customHeight="1" x14ac:dyDescent="0.2">
      <c r="A4" s="24" t="s">
        <v>204</v>
      </c>
      <c r="B4" s="24" t="s">
        <v>173</v>
      </c>
      <c r="C4" s="24" t="s">
        <v>205</v>
      </c>
      <c r="D4" s="24" t="s">
        <v>206</v>
      </c>
      <c r="E4" s="24" t="s">
        <v>207</v>
      </c>
      <c r="F4" s="24" t="s">
        <v>208</v>
      </c>
      <c r="G4" s="24" t="s">
        <v>209</v>
      </c>
      <c r="H4" s="24" t="s">
        <v>210</v>
      </c>
      <c r="I4" s="24" t="s">
        <v>211</v>
      </c>
      <c r="J4" s="24" t="s">
        <v>212</v>
      </c>
      <c r="K4" s="24" t="s">
        <v>213</v>
      </c>
      <c r="L4" s="24" t="s">
        <v>214</v>
      </c>
      <c r="M4" s="24" t="s">
        <v>215</v>
      </c>
      <c r="N4" s="24" t="s">
        <v>216</v>
      </c>
      <c r="O4" s="24" t="s">
        <v>217</v>
      </c>
      <c r="P4" s="24" t="s">
        <v>218</v>
      </c>
      <c r="Q4" s="24" t="s">
        <v>219</v>
      </c>
      <c r="R4" s="24" t="s">
        <v>220</v>
      </c>
      <c r="S4" s="24" t="s">
        <v>221</v>
      </c>
      <c r="T4" s="24" t="s">
        <v>222</v>
      </c>
      <c r="U4" s="24" t="s">
        <v>223</v>
      </c>
      <c r="V4" s="24" t="s">
        <v>89</v>
      </c>
      <c r="W4" s="24" t="s">
        <v>224</v>
      </c>
      <c r="X4" s="24" t="s">
        <v>225</v>
      </c>
      <c r="Y4" s="24" t="s">
        <v>226</v>
      </c>
      <c r="Z4" s="24" t="s">
        <v>227</v>
      </c>
      <c r="AA4" s="24" t="s">
        <v>228</v>
      </c>
      <c r="AB4" s="24" t="s">
        <v>229</v>
      </c>
      <c r="AC4" s="24" t="s">
        <v>230</v>
      </c>
    </row>
    <row r="5" spans="1:29" x14ac:dyDescent="0.2">
      <c r="A5" s="27" t="s">
        <v>153</v>
      </c>
      <c r="B5" s="27" t="s">
        <v>50</v>
      </c>
      <c r="C5" s="51">
        <v>424228389</v>
      </c>
      <c r="D5" s="51">
        <v>435924518</v>
      </c>
      <c r="E5" s="52">
        <f t="shared" ref="E5:E68" si="0">IF(D5="",C5,D5/C5)</f>
        <v>1.0275703590407288</v>
      </c>
      <c r="F5" s="45">
        <v>1531396</v>
      </c>
      <c r="G5" s="35">
        <f>Población!D5</f>
        <v>1539174</v>
      </c>
      <c r="H5" s="35">
        <f>'Fondos 2027'!$B$20</f>
        <v>527233462043.57635</v>
      </c>
      <c r="I5" s="30">
        <f t="shared" ref="I5:I68" si="1">E5*F5</f>
        <v>1573617.1375535359</v>
      </c>
      <c r="J5" s="30">
        <f t="shared" ref="J5:J68" si="2">E5*G5</f>
        <v>1581609.5798061546</v>
      </c>
      <c r="K5" s="53">
        <f t="shared" ref="K5:K68" si="3">I5/SUMIFS($I$5:$I$260,$A$5:$A$260,A5)*100</f>
        <v>1.1343195812822506</v>
      </c>
      <c r="L5" s="54">
        <v>1.13432</v>
      </c>
      <c r="M5" s="55">
        <f t="shared" ref="M5:M68" si="4">K5-L5</f>
        <v>-4.1871774936197426E-7</v>
      </c>
      <c r="N5" s="53">
        <f t="shared" ref="N5:N68" si="5">J5/SUMIFS($J$5:$J$260,$A$5:$A$260,A5)*100</f>
        <v>1.142178839234687</v>
      </c>
      <c r="O5" s="23">
        <f t="shared" ref="O5:O68" si="6">K5/100*H5</f>
        <v>5980512399.032609</v>
      </c>
      <c r="P5" s="23">
        <f t="shared" ref="P5:P68" si="7">N5/100*H5</f>
        <v>6021949036.8261747</v>
      </c>
      <c r="Q5" s="29">
        <f t="shared" ref="Q5:Q68" si="8">P5-O5</f>
        <v>41436637.79356575</v>
      </c>
      <c r="R5" s="35">
        <f>Población!K5</f>
        <v>1503564</v>
      </c>
      <c r="S5" s="30">
        <f t="shared" ref="S5:S68" si="9">E5*R5</f>
        <v>1545017.7993207143</v>
      </c>
      <c r="T5" s="53">
        <f t="shared" ref="T5:T68" si="10">S5/SUMIFS($S$5:$S$260,$A$5:$A$260,A5)*100</f>
        <v>1.1169509564497233</v>
      </c>
      <c r="U5" s="29">
        <f t="shared" ref="U5:U68" si="11">(N5-T5)/100*H5</f>
        <v>133009839.80745944</v>
      </c>
      <c r="V5" s="35">
        <f>Población!L5</f>
        <v>1519678</v>
      </c>
      <c r="W5" s="30">
        <f t="shared" ref="W5:W68" si="12">E5*V5</f>
        <v>1561576.0680862966</v>
      </c>
      <c r="X5" s="53">
        <f t="shared" ref="X5:X68" si="13">W5/SUMIFS($W$5:$W$260,$A$5:$A$260,A5)*100</f>
        <v>1.126841102749484</v>
      </c>
      <c r="Y5" s="29">
        <f t="shared" ref="Y5:Y68" si="14">(N5-X5)/100*H5</f>
        <v>80865679.070056424</v>
      </c>
      <c r="Z5" s="35">
        <f>Población!M5</f>
        <v>1558219</v>
      </c>
      <c r="AA5" s="30">
        <f t="shared" ref="AA5:AA68" si="15">E5*Z5</f>
        <v>1601179.6572940855</v>
      </c>
      <c r="AB5" s="53">
        <f t="shared" ref="AB5:AB68" si="16">AA5/SUMIFS($AA$5:$AA$260,$A$5:$A$260,A5)*100</f>
        <v>1.1534796062480863</v>
      </c>
      <c r="AC5" s="29">
        <f t="shared" ref="AC5:AC68" si="17">(N5-AB5)/100*H5</f>
        <v>-59581425.162223741</v>
      </c>
    </row>
    <row r="6" spans="1:29" x14ac:dyDescent="0.2">
      <c r="A6" s="27" t="s">
        <v>153</v>
      </c>
      <c r="B6" s="27" t="s">
        <v>51</v>
      </c>
      <c r="C6" s="51">
        <v>1248914231</v>
      </c>
      <c r="D6" s="51">
        <v>1294477582</v>
      </c>
      <c r="E6" s="52">
        <f t="shared" si="0"/>
        <v>1.0364823699410628</v>
      </c>
      <c r="F6" s="45">
        <v>3830329</v>
      </c>
      <c r="G6" s="35">
        <f>Población!D6</f>
        <v>4009678</v>
      </c>
      <c r="H6" s="35">
        <f>'Fondos 2027'!$B$20</f>
        <v>527233462043.57635</v>
      </c>
      <c r="I6" s="30">
        <f t="shared" si="1"/>
        <v>3970068.4795739809</v>
      </c>
      <c r="J6" s="30">
        <f t="shared" si="2"/>
        <v>4155960.5561405406</v>
      </c>
      <c r="K6" s="53">
        <f t="shared" si="3"/>
        <v>2.8617675214273728</v>
      </c>
      <c r="L6" s="54">
        <v>2.8617680000000001</v>
      </c>
      <c r="M6" s="55">
        <f t="shared" si="4"/>
        <v>-4.7857262730488515E-7</v>
      </c>
      <c r="N6" s="53">
        <f t="shared" si="5"/>
        <v>3.0012781058771343</v>
      </c>
      <c r="O6" s="23">
        <f t="shared" si="6"/>
        <v>15088195978.860184</v>
      </c>
      <c r="P6" s="23">
        <f t="shared" si="7"/>
        <v>15823742463.171888</v>
      </c>
      <c r="Q6" s="29">
        <f t="shared" si="8"/>
        <v>735546484.31170464</v>
      </c>
      <c r="R6" s="35">
        <f>Población!K6</f>
        <v>3778283</v>
      </c>
      <c r="S6" s="30">
        <f t="shared" si="9"/>
        <v>3916123.7181480285</v>
      </c>
      <c r="T6" s="53">
        <f t="shared" si="10"/>
        <v>2.831111806274349</v>
      </c>
      <c r="U6" s="29">
        <f t="shared" si="11"/>
        <v>897173672.62720942</v>
      </c>
      <c r="V6" s="35">
        <f>Población!L6</f>
        <v>3790412</v>
      </c>
      <c r="W6" s="30">
        <f t="shared" si="12"/>
        <v>3928695.2128130435</v>
      </c>
      <c r="X6" s="53">
        <f t="shared" si="13"/>
        <v>2.8349661194527354</v>
      </c>
      <c r="Y6" s="29">
        <f t="shared" si="14"/>
        <v>876852443.81880116</v>
      </c>
      <c r="Z6" s="35">
        <f>Población!M6</f>
        <v>3862801</v>
      </c>
      <c r="AA6" s="30">
        <f t="shared" si="15"/>
        <v>4003725.1350907073</v>
      </c>
      <c r="AB6" s="53">
        <f t="shared" si="16"/>
        <v>2.8842580352004661</v>
      </c>
      <c r="AC6" s="29">
        <f t="shared" si="17"/>
        <v>616968969.91443765</v>
      </c>
    </row>
    <row r="7" spans="1:29" x14ac:dyDescent="0.2">
      <c r="A7" s="27" t="s">
        <v>153</v>
      </c>
      <c r="B7" s="27" t="s">
        <v>52</v>
      </c>
      <c r="C7" s="51">
        <v>235221280</v>
      </c>
      <c r="D7" s="51">
        <v>252768859</v>
      </c>
      <c r="E7" s="52">
        <f t="shared" si="0"/>
        <v>1.0746003040201124</v>
      </c>
      <c r="F7" s="45">
        <v>928591</v>
      </c>
      <c r="G7" s="35">
        <f>Población!D7</f>
        <v>961514</v>
      </c>
      <c r="H7" s="35">
        <f>'Fondos 2027'!$B$20</f>
        <v>527233462043.57635</v>
      </c>
      <c r="I7" s="30">
        <f t="shared" si="1"/>
        <v>997864.17091034027</v>
      </c>
      <c r="J7" s="30">
        <f t="shared" si="2"/>
        <v>1033243.2367195943</v>
      </c>
      <c r="K7" s="53">
        <f t="shared" si="3"/>
        <v>0.71929622619852107</v>
      </c>
      <c r="L7" s="54">
        <v>0.71929600000000005</v>
      </c>
      <c r="M7" s="55">
        <f t="shared" si="4"/>
        <v>2.261985210250117E-7</v>
      </c>
      <c r="N7" s="53">
        <f t="shared" si="5"/>
        <v>0.74616933017573062</v>
      </c>
      <c r="O7" s="23">
        <f t="shared" si="6"/>
        <v>3792370395.7352571</v>
      </c>
      <c r="P7" s="23">
        <f t="shared" si="7"/>
        <v>3934054392.1928687</v>
      </c>
      <c r="Q7" s="29">
        <f t="shared" si="8"/>
        <v>141683996.45761156</v>
      </c>
      <c r="R7" s="35">
        <f>Población!K7</f>
        <v>881164</v>
      </c>
      <c r="S7" s="30">
        <f t="shared" si="9"/>
        <v>946899.10229157831</v>
      </c>
      <c r="T7" s="53">
        <f t="shared" si="10"/>
        <v>0.68454865596433057</v>
      </c>
      <c r="U7" s="29">
        <f t="shared" si="11"/>
        <v>324884813.97935772</v>
      </c>
      <c r="V7" s="35">
        <f>Población!L7</f>
        <v>906940</v>
      </c>
      <c r="W7" s="30">
        <f t="shared" si="12"/>
        <v>974597.99972800072</v>
      </c>
      <c r="X7" s="53">
        <f t="shared" si="13"/>
        <v>0.70327479217634337</v>
      </c>
      <c r="Y7" s="29">
        <f t="shared" si="14"/>
        <v>226154357.7217668</v>
      </c>
      <c r="Z7" s="35">
        <f>Población!M7</f>
        <v>960359</v>
      </c>
      <c r="AA7" s="30">
        <f t="shared" si="15"/>
        <v>1032002.0733684511</v>
      </c>
      <c r="AB7" s="53">
        <f t="shared" si="16"/>
        <v>0.74344770732845522</v>
      </c>
      <c r="AC7" s="29">
        <f t="shared" si="17"/>
        <v>14349306.361459024</v>
      </c>
    </row>
    <row r="8" spans="1:29" x14ac:dyDescent="0.2">
      <c r="A8" s="27" t="s">
        <v>153</v>
      </c>
      <c r="B8" s="27" t="s">
        <v>53</v>
      </c>
      <c r="C8" s="51">
        <v>600870526</v>
      </c>
      <c r="D8" s="51">
        <v>522953325</v>
      </c>
      <c r="E8" s="52">
        <f t="shared" si="0"/>
        <v>0.87032613911237178</v>
      </c>
      <c r="F8" s="45">
        <v>935371</v>
      </c>
      <c r="G8" s="35">
        <f>Población!D8</f>
        <v>968673</v>
      </c>
      <c r="H8" s="35">
        <f>'Fondos 2027'!$B$20</f>
        <v>527233462043.57635</v>
      </c>
      <c r="I8" s="30">
        <f t="shared" si="1"/>
        <v>814077.83106767829</v>
      </c>
      <c r="J8" s="30">
        <f t="shared" si="2"/>
        <v>843061.43215239851</v>
      </c>
      <c r="K8" s="53">
        <f t="shared" si="3"/>
        <v>0.58681645136597649</v>
      </c>
      <c r="L8" s="54">
        <v>0.586816</v>
      </c>
      <c r="M8" s="55">
        <f t="shared" si="4"/>
        <v>4.5136597648376409E-7</v>
      </c>
      <c r="N8" s="53">
        <f t="shared" si="5"/>
        <v>0.60882719747902492</v>
      </c>
      <c r="O8" s="23">
        <f t="shared" si="6"/>
        <v>3093892692.3780975</v>
      </c>
      <c r="P8" s="23">
        <f t="shared" si="7"/>
        <v>3209940711.1315446</v>
      </c>
      <c r="Q8" s="29">
        <f t="shared" si="8"/>
        <v>116048018.75344706</v>
      </c>
      <c r="R8" s="35">
        <f>Población!K8</f>
        <v>925978</v>
      </c>
      <c r="S8" s="30">
        <f t="shared" si="9"/>
        <v>805902.85764299578</v>
      </c>
      <c r="T8" s="53">
        <f t="shared" si="10"/>
        <v>0.5826172151839758</v>
      </c>
      <c r="U8" s="29">
        <f t="shared" si="11"/>
        <v>138187797.05519587</v>
      </c>
      <c r="V8" s="35">
        <f>Población!L8</f>
        <v>918817</v>
      </c>
      <c r="W8" s="30">
        <f t="shared" si="12"/>
        <v>799670.4521608121</v>
      </c>
      <c r="X8" s="53">
        <f t="shared" si="13"/>
        <v>0.57704619875057594</v>
      </c>
      <c r="Y8" s="29">
        <f t="shared" si="14"/>
        <v>167560059.86802649</v>
      </c>
      <c r="Z8" s="35">
        <f>Población!M8</f>
        <v>952094</v>
      </c>
      <c r="AA8" s="30">
        <f t="shared" si="15"/>
        <v>828632.29509205453</v>
      </c>
      <c r="AB8" s="53">
        <f t="shared" si="16"/>
        <v>0.59694141698159187</v>
      </c>
      <c r="AC8" s="29">
        <f t="shared" si="17"/>
        <v>62665812.007516488</v>
      </c>
    </row>
    <row r="9" spans="1:29" x14ac:dyDescent="0.2">
      <c r="A9" s="27" t="s">
        <v>153</v>
      </c>
      <c r="B9" s="27" t="s">
        <v>54</v>
      </c>
      <c r="C9" s="51">
        <v>1180432300</v>
      </c>
      <c r="D9" s="51">
        <v>1238076976</v>
      </c>
      <c r="E9" s="52">
        <f t="shared" si="0"/>
        <v>1.0488335298856191</v>
      </c>
      <c r="F9" s="45">
        <v>3590747</v>
      </c>
      <c r="G9" s="35">
        <f>Población!D9</f>
        <v>3415128</v>
      </c>
      <c r="H9" s="35">
        <f>'Fondos 2027'!$B$20</f>
        <v>527233462043.57635</v>
      </c>
      <c r="I9" s="30">
        <f t="shared" si="1"/>
        <v>3766095.8509361972</v>
      </c>
      <c r="J9" s="30">
        <f t="shared" si="2"/>
        <v>3581900.7552512144</v>
      </c>
      <c r="K9" s="53">
        <f t="shared" si="3"/>
        <v>2.7147367467948871</v>
      </c>
      <c r="L9" s="54">
        <v>2.714737</v>
      </c>
      <c r="M9" s="55">
        <f t="shared" si="4"/>
        <v>-2.5320511287674208E-7</v>
      </c>
      <c r="N9" s="53">
        <f t="shared" si="5"/>
        <v>2.5867137497915906</v>
      </c>
      <c r="O9" s="23">
        <f t="shared" si="6"/>
        <v>14313000535.49584</v>
      </c>
      <c r="P9" s="23">
        <f t="shared" si="7"/>
        <v>13638020456.183416</v>
      </c>
      <c r="Q9" s="29">
        <f t="shared" si="8"/>
        <v>-674980079.31242371</v>
      </c>
      <c r="R9" s="35">
        <f>Población!K9</f>
        <v>3452989</v>
      </c>
      <c r="S9" s="30">
        <f t="shared" si="9"/>
        <v>3621610.6415262138</v>
      </c>
      <c r="T9" s="53">
        <f t="shared" si="10"/>
        <v>2.6181973254416255</v>
      </c>
      <c r="U9" s="29">
        <f t="shared" si="11"/>
        <v>-165991945.87478739</v>
      </c>
      <c r="V9" s="35">
        <f>Población!L9</f>
        <v>3582441</v>
      </c>
      <c r="W9" s="30">
        <f t="shared" si="12"/>
        <v>3757384.239636967</v>
      </c>
      <c r="X9" s="53">
        <f t="shared" si="13"/>
        <v>2.7113472642000502</v>
      </c>
      <c r="Y9" s="29">
        <f t="shared" si="14"/>
        <v>-657109592.88230109</v>
      </c>
      <c r="Z9" s="35">
        <f>Población!M9</f>
        <v>3510963</v>
      </c>
      <c r="AA9" s="30">
        <f t="shared" si="15"/>
        <v>3682415.7165878029</v>
      </c>
      <c r="AB9" s="53">
        <f t="shared" si="16"/>
        <v>2.6527887807353752</v>
      </c>
      <c r="AC9" s="29">
        <f t="shared" si="17"/>
        <v>-348369673.19127959</v>
      </c>
    </row>
    <row r="10" spans="1:29" x14ac:dyDescent="0.2">
      <c r="A10" s="27" t="s">
        <v>153</v>
      </c>
      <c r="B10" s="27" t="s">
        <v>55</v>
      </c>
      <c r="C10" s="51">
        <v>204308084</v>
      </c>
      <c r="D10" s="51">
        <v>214770793</v>
      </c>
      <c r="E10" s="52">
        <f t="shared" si="0"/>
        <v>1.0512104503902058</v>
      </c>
      <c r="F10" s="45">
        <v>762355</v>
      </c>
      <c r="G10" s="35">
        <f>Población!D10</f>
        <v>762212</v>
      </c>
      <c r="H10" s="35">
        <f>'Fondos 2027'!$B$20</f>
        <v>527233462043.57635</v>
      </c>
      <c r="I10" s="30">
        <f t="shared" si="1"/>
        <v>801395.54290722532</v>
      </c>
      <c r="J10" s="30">
        <f t="shared" si="2"/>
        <v>801245.2198128195</v>
      </c>
      <c r="K10" s="53">
        <f t="shared" si="3"/>
        <v>0.57767460392891112</v>
      </c>
      <c r="L10" s="54">
        <v>0.57767500000000005</v>
      </c>
      <c r="M10" s="55">
        <f t="shared" si="4"/>
        <v>-3.9607108892614207E-7</v>
      </c>
      <c r="N10" s="53">
        <f t="shared" si="5"/>
        <v>0.57862910467468986</v>
      </c>
      <c r="O10" s="23">
        <f t="shared" si="6"/>
        <v>3045693813.6409159</v>
      </c>
      <c r="P10" s="23">
        <f t="shared" si="7"/>
        <v>3050726260.9681168</v>
      </c>
      <c r="Q10" s="29">
        <f t="shared" si="8"/>
        <v>5032447.3272008896</v>
      </c>
      <c r="R10" s="35">
        <f>Población!K10</f>
        <v>728776</v>
      </c>
      <c r="S10" s="30">
        <f t="shared" si="9"/>
        <v>766096.94719357265</v>
      </c>
      <c r="T10" s="53">
        <f t="shared" si="10"/>
        <v>0.55384003878614851</v>
      </c>
      <c r="U10" s="29">
        <f t="shared" si="11"/>
        <v>130696250.29241981</v>
      </c>
      <c r="V10" s="35">
        <f>Población!L10</f>
        <v>745394</v>
      </c>
      <c r="W10" s="30">
        <f t="shared" si="12"/>
        <v>783565.9624581571</v>
      </c>
      <c r="X10" s="53">
        <f t="shared" si="13"/>
        <v>0.56542511841601573</v>
      </c>
      <c r="Y10" s="29">
        <f t="shared" si="14"/>
        <v>69615833.879365742</v>
      </c>
      <c r="Z10" s="35">
        <f>Población!M10</f>
        <v>771093</v>
      </c>
      <c r="AA10" s="30">
        <f t="shared" si="15"/>
        <v>810581.01982273499</v>
      </c>
      <c r="AB10" s="53">
        <f t="shared" si="16"/>
        <v>0.58393739348236862</v>
      </c>
      <c r="AC10" s="29">
        <f t="shared" si="17"/>
        <v>-27987074.855996363</v>
      </c>
    </row>
    <row r="11" spans="1:29" x14ac:dyDescent="0.2">
      <c r="A11" s="27" t="s">
        <v>153</v>
      </c>
      <c r="B11" s="27" t="s">
        <v>56</v>
      </c>
      <c r="C11" s="51">
        <v>499718477</v>
      </c>
      <c r="D11" s="51">
        <v>530926151</v>
      </c>
      <c r="E11" s="52">
        <f t="shared" si="0"/>
        <v>1.0624505105101407</v>
      </c>
      <c r="F11" s="45">
        <v>5891372</v>
      </c>
      <c r="G11" s="35">
        <f>Población!D11</f>
        <v>5860728</v>
      </c>
      <c r="H11" s="35">
        <f>'Fondos 2027'!$B$20</f>
        <v>527233462043.57635</v>
      </c>
      <c r="I11" s="30">
        <f t="shared" si="1"/>
        <v>6259291.1890051486</v>
      </c>
      <c r="J11" s="30">
        <f t="shared" si="2"/>
        <v>6226733.4555610763</v>
      </c>
      <c r="K11" s="53">
        <f t="shared" si="3"/>
        <v>4.511921223528522</v>
      </c>
      <c r="L11" s="54">
        <v>4.5119210000000001</v>
      </c>
      <c r="M11" s="55">
        <f t="shared" si="4"/>
        <v>2.2352852191431793E-7</v>
      </c>
      <c r="N11" s="53">
        <f t="shared" si="5"/>
        <v>4.4967122615482689</v>
      </c>
      <c r="O11" s="23">
        <f t="shared" si="6"/>
        <v>23788358471.488316</v>
      </c>
      <c r="P11" s="23">
        <f t="shared" si="7"/>
        <v>23708171734.698936</v>
      </c>
      <c r="Q11" s="29">
        <f t="shared" si="8"/>
        <v>-80186736.78937912</v>
      </c>
      <c r="R11" s="35">
        <f>Población!K11</f>
        <v>5975155</v>
      </c>
      <c r="S11" s="30">
        <f t="shared" si="9"/>
        <v>6348306.48012722</v>
      </c>
      <c r="T11" s="53">
        <f t="shared" si="10"/>
        <v>4.5894273826046579</v>
      </c>
      <c r="U11" s="29">
        <f t="shared" si="11"/>
        <v>-488825142.5834927</v>
      </c>
      <c r="V11" s="35">
        <f>Población!L11</f>
        <v>5900473</v>
      </c>
      <c r="W11" s="30">
        <f t="shared" si="12"/>
        <v>6268960.5511013018</v>
      </c>
      <c r="X11" s="53">
        <f t="shared" si="13"/>
        <v>4.52371329508978</v>
      </c>
      <c r="Y11" s="29">
        <f t="shared" si="14"/>
        <v>-142358483.92845663</v>
      </c>
      <c r="Z11" s="35">
        <f>Población!M11</f>
        <v>5885528</v>
      </c>
      <c r="AA11" s="30">
        <f t="shared" si="15"/>
        <v>6253082.2282217275</v>
      </c>
      <c r="AB11" s="53">
        <f t="shared" si="16"/>
        <v>4.5046805295012202</v>
      </c>
      <c r="AC11" s="29">
        <f t="shared" si="17"/>
        <v>-42011374.993254259</v>
      </c>
    </row>
    <row r="12" spans="1:29" x14ac:dyDescent="0.2">
      <c r="A12" s="27" t="s">
        <v>153</v>
      </c>
      <c r="B12" s="27" t="s">
        <v>57</v>
      </c>
      <c r="C12" s="51">
        <v>1236374958</v>
      </c>
      <c r="D12" s="51">
        <v>1286224656</v>
      </c>
      <c r="E12" s="52">
        <f t="shared" si="0"/>
        <v>1.0403192394648937</v>
      </c>
      <c r="F12" s="45">
        <v>4015493</v>
      </c>
      <c r="G12" s="35">
        <f>Población!D12</f>
        <v>3903944</v>
      </c>
      <c r="H12" s="35">
        <f>'Fondos 2027'!$B$20</f>
        <v>527233462043.57635</v>
      </c>
      <c r="I12" s="30">
        <f t="shared" si="1"/>
        <v>4177394.6238366044</v>
      </c>
      <c r="J12" s="30">
        <f t="shared" si="2"/>
        <v>4061348.0529935351</v>
      </c>
      <c r="K12" s="53">
        <f t="shared" si="3"/>
        <v>3.0112156302058919</v>
      </c>
      <c r="L12" s="54">
        <v>3.0112160000000001</v>
      </c>
      <c r="M12" s="55">
        <f t="shared" si="4"/>
        <v>-3.6979410822368664E-7</v>
      </c>
      <c r="N12" s="53">
        <f t="shared" si="5"/>
        <v>2.9329525213578629</v>
      </c>
      <c r="O12" s="23">
        <f t="shared" si="6"/>
        <v>15876136416.731821</v>
      </c>
      <c r="P12" s="23">
        <f t="shared" si="7"/>
        <v>15463507118.449425</v>
      </c>
      <c r="Q12" s="29">
        <f t="shared" si="8"/>
        <v>-412629298.28239632</v>
      </c>
      <c r="R12" s="35">
        <f>Población!K12</f>
        <v>3976037</v>
      </c>
      <c r="S12" s="30">
        <f t="shared" si="9"/>
        <v>4136347.7879242776</v>
      </c>
      <c r="T12" s="53">
        <f t="shared" si="10"/>
        <v>2.9903199949942327</v>
      </c>
      <c r="U12" s="29">
        <f t="shared" si="11"/>
        <v>-302460517.33996868</v>
      </c>
      <c r="V12" s="35">
        <f>Población!L12</f>
        <v>3991333</v>
      </c>
      <c r="W12" s="30">
        <f t="shared" si="12"/>
        <v>4152260.5110111325</v>
      </c>
      <c r="X12" s="53">
        <f t="shared" si="13"/>
        <v>2.9962919570514006</v>
      </c>
      <c r="Y12" s="29">
        <f t="shared" si="14"/>
        <v>-333946699.64590371</v>
      </c>
      <c r="Z12" s="35">
        <f>Población!M12</f>
        <v>3985958</v>
      </c>
      <c r="AA12" s="30">
        <f t="shared" si="15"/>
        <v>4146668.7950990088</v>
      </c>
      <c r="AB12" s="53">
        <f t="shared" si="16"/>
        <v>2.9872337355916887</v>
      </c>
      <c r="AC12" s="29">
        <f t="shared" si="17"/>
        <v>-286188725.04429036</v>
      </c>
    </row>
    <row r="13" spans="1:29" x14ac:dyDescent="0.2">
      <c r="A13" s="27" t="s">
        <v>153</v>
      </c>
      <c r="B13" s="27" t="s">
        <v>58</v>
      </c>
      <c r="C13" s="51">
        <v>4710565535</v>
      </c>
      <c r="D13" s="51">
        <v>5021817466</v>
      </c>
      <c r="E13" s="52">
        <f t="shared" si="0"/>
        <v>1.0660752787934624</v>
      </c>
      <c r="F13" s="45">
        <v>9336468</v>
      </c>
      <c r="G13" s="35">
        <f>Población!D13</f>
        <v>9216407</v>
      </c>
      <c r="H13" s="35">
        <f>'Fondos 2027'!$B$20</f>
        <v>527233462043.57635</v>
      </c>
      <c r="I13" s="30">
        <f t="shared" si="1"/>
        <v>9953377.72604624</v>
      </c>
      <c r="J13" s="30">
        <f t="shared" si="2"/>
        <v>9825383.6619990189</v>
      </c>
      <c r="K13" s="53">
        <f t="shared" si="3"/>
        <v>7.1747510783376587</v>
      </c>
      <c r="L13" s="54">
        <v>7.1747509999999997</v>
      </c>
      <c r="M13" s="55">
        <f t="shared" si="4"/>
        <v>7.8337659026317397E-8</v>
      </c>
      <c r="N13" s="53">
        <f t="shared" si="5"/>
        <v>7.0955218338225619</v>
      </c>
      <c r="O13" s="23">
        <f t="shared" si="6"/>
        <v>37827688503.328468</v>
      </c>
      <c r="P13" s="23">
        <f t="shared" si="7"/>
        <v>37409965414.520546</v>
      </c>
      <c r="Q13" s="29">
        <f t="shared" si="8"/>
        <v>-417723088.80792236</v>
      </c>
      <c r="R13" s="35">
        <f>Población!K13</f>
        <v>9350964</v>
      </c>
      <c r="S13" s="30">
        <f t="shared" si="9"/>
        <v>9968831.5532876309</v>
      </c>
      <c r="T13" s="53">
        <f t="shared" si="10"/>
        <v>7.2068399102109399</v>
      </c>
      <c r="U13" s="29">
        <f t="shared" si="11"/>
        <v>-586906148.02275872</v>
      </c>
      <c r="V13" s="35">
        <f>Población!L13</f>
        <v>9319955</v>
      </c>
      <c r="W13" s="30">
        <f t="shared" si="12"/>
        <v>9935773.6249675248</v>
      </c>
      <c r="X13" s="53">
        <f t="shared" si="13"/>
        <v>7.1697039529738253</v>
      </c>
      <c r="Y13" s="29">
        <f t="shared" si="14"/>
        <v>-391112955.01849735</v>
      </c>
      <c r="Z13" s="35">
        <f>Población!M13</f>
        <v>9296753</v>
      </c>
      <c r="AA13" s="30">
        <f t="shared" si="15"/>
        <v>9911038.5463489573</v>
      </c>
      <c r="AB13" s="53">
        <f t="shared" si="16"/>
        <v>7.1398489156875886</v>
      </c>
      <c r="AC13" s="29">
        <f t="shared" si="17"/>
        <v>-233707208.3398709</v>
      </c>
    </row>
    <row r="14" spans="1:29" x14ac:dyDescent="0.2">
      <c r="A14" s="27" t="s">
        <v>153</v>
      </c>
      <c r="B14" s="27" t="s">
        <v>59</v>
      </c>
      <c r="C14" s="51">
        <v>412994711</v>
      </c>
      <c r="D14" s="51">
        <v>454692285</v>
      </c>
      <c r="E14" s="52">
        <f t="shared" si="0"/>
        <v>1.1009639418844761</v>
      </c>
      <c r="F14" s="45">
        <v>1968132</v>
      </c>
      <c r="G14" s="35">
        <f>Población!D14</f>
        <v>1943290</v>
      </c>
      <c r="H14" s="35">
        <f>'Fondos 2027'!$B$20</f>
        <v>527233462043.57635</v>
      </c>
      <c r="I14" s="30">
        <f t="shared" si="1"/>
        <v>2166842.3648689776</v>
      </c>
      <c r="J14" s="30">
        <f t="shared" si="2"/>
        <v>2139492.2186246836</v>
      </c>
      <c r="K14" s="53">
        <f t="shared" si="3"/>
        <v>1.5619375675102551</v>
      </c>
      <c r="L14" s="54">
        <v>1.561938</v>
      </c>
      <c r="M14" s="55">
        <f t="shared" si="4"/>
        <v>-4.324897449059506E-7</v>
      </c>
      <c r="N14" s="53">
        <f t="shared" si="5"/>
        <v>1.5450606584716622</v>
      </c>
      <c r="O14" s="23">
        <f t="shared" si="6"/>
        <v>8235057512.1435413</v>
      </c>
      <c r="P14" s="23">
        <f t="shared" si="7"/>
        <v>8146076800.3334217</v>
      </c>
      <c r="Q14" s="29">
        <f t="shared" si="8"/>
        <v>-88980711.810119629</v>
      </c>
      <c r="R14" s="35">
        <f>Población!K14</f>
        <v>1944614</v>
      </c>
      <c r="S14" s="30">
        <f t="shared" si="9"/>
        <v>2140949.8948837388</v>
      </c>
      <c r="T14" s="53">
        <f t="shared" si="10"/>
        <v>1.5477724812314178</v>
      </c>
      <c r="U14" s="29">
        <f t="shared" si="11"/>
        <v>-14297637.020744931</v>
      </c>
      <c r="V14" s="35">
        <f>Población!L14</f>
        <v>1954301</v>
      </c>
      <c r="W14" s="30">
        <f t="shared" si="12"/>
        <v>2151614.9325887733</v>
      </c>
      <c r="X14" s="53">
        <f t="shared" si="13"/>
        <v>1.5526160991323572</v>
      </c>
      <c r="Y14" s="29">
        <f t="shared" si="14"/>
        <v>-39834811.368030429</v>
      </c>
      <c r="Z14" s="35">
        <f>Población!M14</f>
        <v>1959669</v>
      </c>
      <c r="AA14" s="30">
        <f t="shared" si="15"/>
        <v>2157524.9070288092</v>
      </c>
      <c r="AB14" s="53">
        <f t="shared" si="16"/>
        <v>1.554267173513648</v>
      </c>
      <c r="AC14" s="29">
        <f t="shared" si="17"/>
        <v>-48539827.989424214</v>
      </c>
    </row>
    <row r="15" spans="1:29" x14ac:dyDescent="0.2">
      <c r="A15" s="27" t="s">
        <v>153</v>
      </c>
      <c r="B15" s="27" t="s">
        <v>60</v>
      </c>
      <c r="C15" s="51">
        <v>1413105293</v>
      </c>
      <c r="D15" s="51">
        <v>1520603357</v>
      </c>
      <c r="E15" s="52">
        <f t="shared" si="0"/>
        <v>1.0760722251430983</v>
      </c>
      <c r="F15" s="45">
        <v>6402249</v>
      </c>
      <c r="G15" s="35">
        <f>Población!D15</f>
        <v>6446935</v>
      </c>
      <c r="H15" s="35">
        <f>'Fondos 2027'!$B$20</f>
        <v>527233462043.57635</v>
      </c>
      <c r="I15" s="30">
        <f t="shared" si="1"/>
        <v>6889282.3273501759</v>
      </c>
      <c r="J15" s="30">
        <f t="shared" si="2"/>
        <v>6937367.6908029206</v>
      </c>
      <c r="K15" s="53">
        <f t="shared" si="3"/>
        <v>4.9660413949509357</v>
      </c>
      <c r="L15" s="54">
        <v>4.9660409999999997</v>
      </c>
      <c r="M15" s="55">
        <f t="shared" si="4"/>
        <v>3.9495093595576236E-7</v>
      </c>
      <c r="N15" s="53">
        <f t="shared" si="5"/>
        <v>5.009905527631318</v>
      </c>
      <c r="O15" s="23">
        <f t="shared" si="6"/>
        <v>26182631973.116928</v>
      </c>
      <c r="P15" s="23">
        <f t="shared" si="7"/>
        <v>26413898358.443096</v>
      </c>
      <c r="Q15" s="29">
        <f t="shared" si="8"/>
        <v>231266385.32616806</v>
      </c>
      <c r="R15" s="35">
        <f>Población!K15</f>
        <v>6345807</v>
      </c>
      <c r="S15" s="30">
        <f t="shared" si="9"/>
        <v>6828546.6588186491</v>
      </c>
      <c r="T15" s="53">
        <f t="shared" si="10"/>
        <v>4.9366109083548562</v>
      </c>
      <c r="U15" s="29">
        <f t="shared" si="11"/>
        <v>386433758.70294833</v>
      </c>
      <c r="V15" s="35">
        <f>Población!L15</f>
        <v>6376710</v>
      </c>
      <c r="W15" s="30">
        <f t="shared" si="12"/>
        <v>6861800.5187922465</v>
      </c>
      <c r="X15" s="53">
        <f t="shared" si="13"/>
        <v>4.9515095815463903</v>
      </c>
      <c r="Y15" s="29">
        <f t="shared" si="14"/>
        <v>307882968.23666459</v>
      </c>
      <c r="Z15" s="35">
        <f>Población!M15</f>
        <v>6432483</v>
      </c>
      <c r="AA15" s="30">
        <f t="shared" si="15"/>
        <v>6921816.295005152</v>
      </c>
      <c r="AB15" s="53">
        <f t="shared" si="16"/>
        <v>4.9864322832935493</v>
      </c>
      <c r="AC15" s="29">
        <f t="shared" si="17"/>
        <v>123758798.775966</v>
      </c>
    </row>
    <row r="16" spans="1:29" x14ac:dyDescent="0.2">
      <c r="A16" s="27" t="s">
        <v>153</v>
      </c>
      <c r="B16" s="27" t="s">
        <v>61</v>
      </c>
      <c r="C16" s="51">
        <v>407085984</v>
      </c>
      <c r="D16" s="51">
        <v>432049345</v>
      </c>
      <c r="E16" s="52">
        <f t="shared" si="0"/>
        <v>1.0613220842307358</v>
      </c>
      <c r="F16" s="45">
        <v>3569633</v>
      </c>
      <c r="G16" s="35">
        <f>Población!D16</f>
        <v>3418902</v>
      </c>
      <c r="H16" s="35">
        <f>'Fondos 2027'!$B$20</f>
        <v>527233462043.57635</v>
      </c>
      <c r="I16" s="30">
        <f t="shared" si="1"/>
        <v>3788530.335498814</v>
      </c>
      <c r="J16" s="30">
        <f t="shared" si="2"/>
        <v>3628556.1964206314</v>
      </c>
      <c r="K16" s="53">
        <f t="shared" si="3"/>
        <v>2.7309083266080769</v>
      </c>
      <c r="L16" s="54">
        <v>2.7309079999999999</v>
      </c>
      <c r="M16" s="55">
        <f t="shared" si="4"/>
        <v>3.2660807702811212E-7</v>
      </c>
      <c r="N16" s="53">
        <f t="shared" si="5"/>
        <v>2.6204065513016817</v>
      </c>
      <c r="O16" s="23">
        <f t="shared" si="6"/>
        <v>14398262515.612062</v>
      </c>
      <c r="P16" s="23">
        <f t="shared" si="7"/>
        <v>13815660180.044538</v>
      </c>
      <c r="Q16" s="29">
        <f t="shared" si="8"/>
        <v>-582602335.56752396</v>
      </c>
      <c r="R16" s="35">
        <f>Población!K16</f>
        <v>3606579</v>
      </c>
      <c r="S16" s="30">
        <f t="shared" si="9"/>
        <v>3827741.9412228027</v>
      </c>
      <c r="T16" s="53">
        <f t="shared" si="10"/>
        <v>2.7672173253740255</v>
      </c>
      <c r="U16" s="29">
        <f t="shared" si="11"/>
        <v>-774035526.7945919</v>
      </c>
      <c r="V16" s="35">
        <f>Población!L16</f>
        <v>3578620</v>
      </c>
      <c r="W16" s="30">
        <f t="shared" si="12"/>
        <v>3798068.437069796</v>
      </c>
      <c r="X16" s="53">
        <f t="shared" si="13"/>
        <v>2.740705184596377</v>
      </c>
      <c r="Y16" s="29">
        <f t="shared" si="14"/>
        <v>-634254649.11072886</v>
      </c>
      <c r="Z16" s="35">
        <f>Población!M16</f>
        <v>3538257</v>
      </c>
      <c r="AA16" s="30">
        <f t="shared" si="15"/>
        <v>3755230.2937839907</v>
      </c>
      <c r="AB16" s="53">
        <f t="shared" si="16"/>
        <v>2.7052439374386017</v>
      </c>
      <c r="AC16" s="29">
        <f t="shared" si="17"/>
        <v>-447291088.03696066</v>
      </c>
    </row>
    <row r="17" spans="1:29" x14ac:dyDescent="0.2">
      <c r="A17" s="27" t="s">
        <v>153</v>
      </c>
      <c r="B17" s="27" t="s">
        <v>62</v>
      </c>
      <c r="C17" s="51">
        <v>545147032</v>
      </c>
      <c r="D17" s="51">
        <v>587732486</v>
      </c>
      <c r="E17" s="52">
        <f t="shared" si="0"/>
        <v>1.0781173729292173</v>
      </c>
      <c r="F17" s="45">
        <v>3215821</v>
      </c>
      <c r="G17" s="35">
        <f>Población!D17</f>
        <v>3245595</v>
      </c>
      <c r="H17" s="35">
        <f>'Fondos 2027'!$B$20</f>
        <v>527233462043.57635</v>
      </c>
      <c r="I17" s="30">
        <f t="shared" si="1"/>
        <v>3467032.4883306082</v>
      </c>
      <c r="J17" s="30">
        <f t="shared" si="2"/>
        <v>3499132.3549922029</v>
      </c>
      <c r="K17" s="53">
        <f t="shared" si="3"/>
        <v>2.4991611660821405</v>
      </c>
      <c r="L17" s="54">
        <v>2.499161</v>
      </c>
      <c r="M17" s="55">
        <f t="shared" si="4"/>
        <v>1.6608214048474679E-7</v>
      </c>
      <c r="N17" s="53">
        <f t="shared" si="5"/>
        <v>2.5269415300603875</v>
      </c>
      <c r="O17" s="23">
        <f t="shared" si="6"/>
        <v>13176413937.983482</v>
      </c>
      <c r="P17" s="23">
        <f t="shared" si="7"/>
        <v>13322881312.754301</v>
      </c>
      <c r="Q17" s="29">
        <f t="shared" si="8"/>
        <v>146467374.77081871</v>
      </c>
      <c r="R17" s="35">
        <f>Población!K17</f>
        <v>3248649</v>
      </c>
      <c r="S17" s="30">
        <f t="shared" si="9"/>
        <v>3502424.9254491287</v>
      </c>
      <c r="T17" s="53">
        <f t="shared" si="10"/>
        <v>2.5320335287358691</v>
      </c>
      <c r="U17" s="29">
        <f t="shared" si="11"/>
        <v>-26846720.903954703</v>
      </c>
      <c r="V17" s="35">
        <f>Población!L17</f>
        <v>3228160</v>
      </c>
      <c r="W17" s="30">
        <f t="shared" si="12"/>
        <v>3480335.3785951822</v>
      </c>
      <c r="X17" s="53">
        <f t="shared" si="13"/>
        <v>2.511427420093832</v>
      </c>
      <c r="Y17" s="29">
        <f t="shared" si="14"/>
        <v>81795579.081917793</v>
      </c>
      <c r="Z17" s="35">
        <f>Población!M17</f>
        <v>3229482</v>
      </c>
      <c r="AA17" s="30">
        <f t="shared" si="15"/>
        <v>3481760.6497621946</v>
      </c>
      <c r="AB17" s="53">
        <f t="shared" si="16"/>
        <v>2.5082381511921374</v>
      </c>
      <c r="AC17" s="29">
        <f t="shared" si="17"/>
        <v>98610471.926201239</v>
      </c>
    </row>
    <row r="18" spans="1:29" x14ac:dyDescent="0.2">
      <c r="A18" s="27" t="s">
        <v>153</v>
      </c>
      <c r="B18" s="27" t="s">
        <v>63</v>
      </c>
      <c r="C18" s="51">
        <v>2396531777</v>
      </c>
      <c r="D18" s="51">
        <v>2534263696</v>
      </c>
      <c r="E18" s="52">
        <f t="shared" si="0"/>
        <v>1.0574713510256117</v>
      </c>
      <c r="F18" s="45">
        <v>8750952</v>
      </c>
      <c r="G18" s="35">
        <f>Población!D18</f>
        <v>8679851</v>
      </c>
      <c r="H18" s="35">
        <f>'Fondos 2027'!$B$20</f>
        <v>527233462043.57635</v>
      </c>
      <c r="I18" s="30">
        <f t="shared" si="1"/>
        <v>9253881.034200279</v>
      </c>
      <c r="J18" s="30">
        <f t="shared" si="2"/>
        <v>9178693.763671007</v>
      </c>
      <c r="K18" s="53">
        <f t="shared" si="3"/>
        <v>6.6705288150769828</v>
      </c>
      <c r="L18" s="54">
        <v>6.6705290000000002</v>
      </c>
      <c r="M18" s="55">
        <f t="shared" si="4"/>
        <v>-1.8492301734340799E-7</v>
      </c>
      <c r="N18" s="53">
        <f t="shared" si="5"/>
        <v>6.6285067582641455</v>
      </c>
      <c r="O18" s="23">
        <f t="shared" si="6"/>
        <v>35169260008.344727</v>
      </c>
      <c r="P18" s="23">
        <f t="shared" si="7"/>
        <v>34947705663.388489</v>
      </c>
      <c r="Q18" s="29">
        <f t="shared" si="8"/>
        <v>-221554344.95623779</v>
      </c>
      <c r="R18" s="35">
        <f>Población!K18</f>
        <v>8739649</v>
      </c>
      <c r="S18" s="30">
        <f t="shared" si="9"/>
        <v>9241928.4355196357</v>
      </c>
      <c r="T18" s="53">
        <f t="shared" si="10"/>
        <v>6.6813345516356426</v>
      </c>
      <c r="U18" s="29">
        <f t="shared" si="11"/>
        <v>-278525803.91377121</v>
      </c>
      <c r="V18" s="35">
        <f>Población!L18</f>
        <v>8761130</v>
      </c>
      <c r="W18" s="30">
        <f t="shared" si="12"/>
        <v>9264643.9776110183</v>
      </c>
      <c r="X18" s="53">
        <f t="shared" si="13"/>
        <v>6.685413442014684</v>
      </c>
      <c r="Y18" s="29">
        <f t="shared" si="14"/>
        <v>-300031078.87215364</v>
      </c>
      <c r="Z18" s="35">
        <f>Población!M18</f>
        <v>8703341</v>
      </c>
      <c r="AA18" s="30">
        <f t="shared" si="15"/>
        <v>9203533.7657065988</v>
      </c>
      <c r="AB18" s="53">
        <f t="shared" si="16"/>
        <v>6.6301669870693205</v>
      </c>
      <c r="AC18" s="29">
        <f t="shared" si="17"/>
        <v>-8753281.8073689789</v>
      </c>
    </row>
    <row r="19" spans="1:29" x14ac:dyDescent="0.2">
      <c r="A19" s="27" t="s">
        <v>153</v>
      </c>
      <c r="B19" s="27" t="s">
        <v>64</v>
      </c>
      <c r="C19" s="51">
        <v>2883663903</v>
      </c>
      <c r="D19" s="51">
        <v>3059207706</v>
      </c>
      <c r="E19" s="52">
        <f t="shared" si="0"/>
        <v>1.0608752645609547</v>
      </c>
      <c r="F19" s="45">
        <v>17753727</v>
      </c>
      <c r="G19" s="35">
        <f>Población!D19</f>
        <v>17612480</v>
      </c>
      <c r="H19" s="35">
        <f>'Fondos 2027'!$B$20</f>
        <v>527233462043.57635</v>
      </c>
      <c r="I19" s="30">
        <f t="shared" si="1"/>
        <v>18834489.828067966</v>
      </c>
      <c r="J19" s="30">
        <f t="shared" si="2"/>
        <v>18684644.379574522</v>
      </c>
      <c r="K19" s="53">
        <f t="shared" si="3"/>
        <v>13.576574698883533</v>
      </c>
      <c r="L19" s="54">
        <v>13.576575</v>
      </c>
      <c r="M19" s="55">
        <f t="shared" si="4"/>
        <v>-3.011164668720312E-7</v>
      </c>
      <c r="N19" s="53">
        <f t="shared" si="5"/>
        <v>13.493346083292545</v>
      </c>
      <c r="O19" s="23">
        <f t="shared" si="6"/>
        <v>71580244811.855911</v>
      </c>
      <c r="P19" s="23">
        <f t="shared" si="7"/>
        <v>71141435700.4646</v>
      </c>
      <c r="Q19" s="29">
        <f t="shared" si="8"/>
        <v>-438809111.39131165</v>
      </c>
      <c r="R19" s="35">
        <f>Población!K19</f>
        <v>17788768</v>
      </c>
      <c r="S19" s="30">
        <f t="shared" si="9"/>
        <v>18871663.958213445</v>
      </c>
      <c r="T19" s="53">
        <f t="shared" si="10"/>
        <v>13.643029301793023</v>
      </c>
      <c r="U19" s="29">
        <f t="shared" si="11"/>
        <v>-789180014.99831963</v>
      </c>
      <c r="V19" s="35">
        <f>Población!L19</f>
        <v>17789139</v>
      </c>
      <c r="W19" s="30">
        <f t="shared" si="12"/>
        <v>18872057.542936597</v>
      </c>
      <c r="X19" s="53">
        <f t="shared" si="13"/>
        <v>13.618171133280452</v>
      </c>
      <c r="Y19" s="29">
        <f t="shared" si="14"/>
        <v>-658119432.5488652</v>
      </c>
      <c r="Z19" s="35">
        <f>Población!M19</f>
        <v>17729333</v>
      </c>
      <c r="AA19" s="30">
        <f t="shared" si="15"/>
        <v>18808610.836864267</v>
      </c>
      <c r="AB19" s="53">
        <f t="shared" si="16"/>
        <v>13.549603208701608</v>
      </c>
      <c r="AC19" s="29">
        <f t="shared" si="17"/>
        <v>-296606389.9404</v>
      </c>
    </row>
    <row r="20" spans="1:29" x14ac:dyDescent="0.2">
      <c r="A20" s="27" t="s">
        <v>153</v>
      </c>
      <c r="B20" s="27" t="s">
        <v>65</v>
      </c>
      <c r="C20" s="51">
        <v>881715642</v>
      </c>
      <c r="D20" s="51">
        <v>924007246</v>
      </c>
      <c r="E20" s="52">
        <f t="shared" si="0"/>
        <v>1.0479651284217548</v>
      </c>
      <c r="F20" s="45">
        <v>4945881</v>
      </c>
      <c r="G20" s="35">
        <f>Población!D20</f>
        <v>4889574</v>
      </c>
      <c r="H20" s="35">
        <f>'Fondos 2027'!$B$20</f>
        <v>527233462043.57635</v>
      </c>
      <c r="I20" s="30">
        <f t="shared" si="1"/>
        <v>5183110.8173237173</v>
      </c>
      <c r="J20" s="30">
        <f t="shared" si="2"/>
        <v>5124103.0448376732</v>
      </c>
      <c r="K20" s="53">
        <f t="shared" si="3"/>
        <v>3.7361718754452258</v>
      </c>
      <c r="L20" s="54">
        <v>3.7361719999999998</v>
      </c>
      <c r="M20" s="55">
        <f t="shared" si="4"/>
        <v>-1.2455477405026727E-7</v>
      </c>
      <c r="N20" s="53">
        <f t="shared" si="5"/>
        <v>3.70043412900226</v>
      </c>
      <c r="O20" s="23">
        <f t="shared" si="6"/>
        <v>19698348326.808281</v>
      </c>
      <c r="P20" s="23">
        <f t="shared" si="7"/>
        <v>19509926968.980675</v>
      </c>
      <c r="Q20" s="29">
        <f t="shared" si="8"/>
        <v>-188421357.8276062</v>
      </c>
      <c r="R20" s="35">
        <f>Población!K20</f>
        <v>4950874</v>
      </c>
      <c r="S20" s="30">
        <f t="shared" si="9"/>
        <v>5188343.3072099267</v>
      </c>
      <c r="T20" s="53">
        <f t="shared" si="10"/>
        <v>3.7508467681896898</v>
      </c>
      <c r="U20" s="29">
        <f t="shared" si="11"/>
        <v>-265792302.8954227</v>
      </c>
      <c r="V20" s="35">
        <f>Población!L20</f>
        <v>4940153</v>
      </c>
      <c r="W20" s="30">
        <f t="shared" si="12"/>
        <v>5177108.0730681177</v>
      </c>
      <c r="X20" s="53">
        <f t="shared" si="13"/>
        <v>3.7358270847853086</v>
      </c>
      <c r="Y20" s="29">
        <f t="shared" si="14"/>
        <v>-186603506.09451917</v>
      </c>
      <c r="Z20" s="35">
        <f>Población!M20</f>
        <v>4915546</v>
      </c>
      <c r="AA20" s="30">
        <f t="shared" si="15"/>
        <v>5151320.7951530432</v>
      </c>
      <c r="AB20" s="53">
        <f t="shared" si="16"/>
        <v>3.7109786246549632</v>
      </c>
      <c r="AC20" s="29">
        <f t="shared" si="17"/>
        <v>-55594109.484781548</v>
      </c>
    </row>
    <row r="21" spans="1:29" x14ac:dyDescent="0.2">
      <c r="A21" s="27" t="s">
        <v>153</v>
      </c>
      <c r="B21" s="27" t="s">
        <v>66</v>
      </c>
      <c r="C21" s="51">
        <v>341213619</v>
      </c>
      <c r="D21" s="51">
        <v>353709556</v>
      </c>
      <c r="E21" s="52">
        <f t="shared" si="0"/>
        <v>1.0366220347142709</v>
      </c>
      <c r="F21" s="45">
        <v>1988503</v>
      </c>
      <c r="G21" s="35">
        <f>Población!D21</f>
        <v>1997217</v>
      </c>
      <c r="H21" s="35">
        <f>'Fondos 2027'!$B$20</f>
        <v>527233462043.57635</v>
      </c>
      <c r="I21" s="30">
        <f t="shared" si="1"/>
        <v>2061326.0258954319</v>
      </c>
      <c r="J21" s="30">
        <f t="shared" si="2"/>
        <v>2070359.1503059322</v>
      </c>
      <c r="K21" s="53">
        <f t="shared" si="3"/>
        <v>1.4858776120188029</v>
      </c>
      <c r="L21" s="54">
        <v>1.485878</v>
      </c>
      <c r="M21" s="55">
        <f t="shared" si="4"/>
        <v>-3.8798119716965118E-7</v>
      </c>
      <c r="N21" s="53">
        <f t="shared" si="5"/>
        <v>1.4951353616517469</v>
      </c>
      <c r="O21" s="23">
        <f t="shared" si="6"/>
        <v>7834043975.5771542</v>
      </c>
      <c r="P21" s="23">
        <f t="shared" si="7"/>
        <v>7882853929.4742517</v>
      </c>
      <c r="Q21" s="29">
        <f t="shared" si="8"/>
        <v>48809953.897097588</v>
      </c>
      <c r="R21" s="35">
        <f>Población!K21</f>
        <v>1984308</v>
      </c>
      <c r="S21" s="30">
        <f t="shared" si="9"/>
        <v>2056977.3964598055</v>
      </c>
      <c r="T21" s="53">
        <f t="shared" si="10"/>
        <v>1.4870656321120597</v>
      </c>
      <c r="U21" s="29">
        <f t="shared" si="11"/>
        <v>42546314.42964603</v>
      </c>
      <c r="V21" s="35">
        <f>Población!L21</f>
        <v>1984462</v>
      </c>
      <c r="W21" s="30">
        <f t="shared" si="12"/>
        <v>2057137.0362531515</v>
      </c>
      <c r="X21" s="53">
        <f t="shared" si="13"/>
        <v>1.4844403764967307</v>
      </c>
      <c r="Y21" s="29">
        <f t="shared" si="14"/>
        <v>56387540.497838527</v>
      </c>
      <c r="Z21" s="35">
        <f>Población!M21</f>
        <v>1994177</v>
      </c>
      <c r="AA21" s="30">
        <f t="shared" si="15"/>
        <v>2067207.8193204007</v>
      </c>
      <c r="AB21" s="53">
        <f t="shared" si="16"/>
        <v>1.4892033199399481</v>
      </c>
      <c r="AC21" s="29">
        <f t="shared" si="17"/>
        <v>31275708.886985473</v>
      </c>
    </row>
    <row r="22" spans="1:29" x14ac:dyDescent="0.2">
      <c r="A22" s="27" t="s">
        <v>153</v>
      </c>
      <c r="B22" s="27" t="s">
        <v>67</v>
      </c>
      <c r="C22" s="51">
        <v>218601000</v>
      </c>
      <c r="D22" s="51">
        <v>224668851</v>
      </c>
      <c r="E22" s="52">
        <f t="shared" si="0"/>
        <v>1.0277576543565674</v>
      </c>
      <c r="F22" s="45">
        <v>1279298</v>
      </c>
      <c r="G22" s="35">
        <f>Población!D22</f>
        <v>1299075</v>
      </c>
      <c r="H22" s="35">
        <f>'Fondos 2027'!$B$20</f>
        <v>527233462043.57635</v>
      </c>
      <c r="I22" s="30">
        <f t="shared" si="1"/>
        <v>1314808.3117030479</v>
      </c>
      <c r="J22" s="30">
        <f t="shared" si="2"/>
        <v>1335134.2748332578</v>
      </c>
      <c r="K22" s="53">
        <f t="shared" si="3"/>
        <v>0.94776091210857505</v>
      </c>
      <c r="L22" s="54">
        <v>0.94776099999999996</v>
      </c>
      <c r="M22" s="55">
        <f t="shared" si="4"/>
        <v>-8.7891424915831351E-8</v>
      </c>
      <c r="N22" s="53">
        <f t="shared" si="5"/>
        <v>0.96418366183543114</v>
      </c>
      <c r="O22" s="23">
        <f t="shared" si="6"/>
        <v>4996912668.8058167</v>
      </c>
      <c r="P22" s="23">
        <f t="shared" si="7"/>
        <v>5083498900.7534723</v>
      </c>
      <c r="Q22" s="29">
        <f t="shared" si="8"/>
        <v>86586231.947655678</v>
      </c>
      <c r="R22" s="35">
        <f>Población!K22</f>
        <v>1245276</v>
      </c>
      <c r="S22" s="30">
        <f t="shared" si="9"/>
        <v>1279841.9407865289</v>
      </c>
      <c r="T22" s="53">
        <f t="shared" si="10"/>
        <v>0.92524544409422949</v>
      </c>
      <c r="U22" s="29">
        <f t="shared" si="11"/>
        <v>205295313.45500353</v>
      </c>
      <c r="V22" s="35">
        <f>Población!L22</f>
        <v>1257616</v>
      </c>
      <c r="W22" s="30">
        <f t="shared" si="12"/>
        <v>1292524.4702412889</v>
      </c>
      <c r="X22" s="53">
        <f t="shared" si="13"/>
        <v>0.93269212377356858</v>
      </c>
      <c r="Y22" s="29">
        <f t="shared" si="14"/>
        <v>166033926.37432852</v>
      </c>
      <c r="Z22" s="35">
        <f>Población!M22</f>
        <v>1301047</v>
      </c>
      <c r="AA22" s="30">
        <f t="shared" si="15"/>
        <v>1337161.0129276488</v>
      </c>
      <c r="AB22" s="53">
        <f t="shared" si="16"/>
        <v>0.96328225983624838</v>
      </c>
      <c r="AC22" s="29">
        <f t="shared" si="17"/>
        <v>4752492.9672212778</v>
      </c>
    </row>
    <row r="23" spans="1:29" x14ac:dyDescent="0.2">
      <c r="A23" s="27" t="s">
        <v>153</v>
      </c>
      <c r="B23" s="27" t="s">
        <v>68</v>
      </c>
      <c r="C23" s="51">
        <v>2508449478</v>
      </c>
      <c r="D23" s="51">
        <v>2704699152</v>
      </c>
      <c r="E23" s="52">
        <f t="shared" si="0"/>
        <v>1.078235450114176</v>
      </c>
      <c r="F23" s="45">
        <v>6234433</v>
      </c>
      <c r="G23" s="35">
        <f>Población!D23</f>
        <v>6291899</v>
      </c>
      <c r="H23" s="35">
        <f>'Fondos 2027'!$B$20</f>
        <v>527233462043.57635</v>
      </c>
      <c r="I23" s="30">
        <f t="shared" si="1"/>
        <v>6722186.6719616726</v>
      </c>
      <c r="J23" s="30">
        <f t="shared" si="2"/>
        <v>6784148.5503379339</v>
      </c>
      <c r="K23" s="53">
        <f t="shared" si="3"/>
        <v>4.8455928631377638</v>
      </c>
      <c r="L23" s="54">
        <v>4.845593</v>
      </c>
      <c r="M23" s="55">
        <f t="shared" si="4"/>
        <v>-1.3686223621078852E-7</v>
      </c>
      <c r="N23" s="53">
        <f t="shared" si="5"/>
        <v>4.8992564380966659</v>
      </c>
      <c r="O23" s="23">
        <f t="shared" si="6"/>
        <v>25547587008.857689</v>
      </c>
      <c r="P23" s="23">
        <f t="shared" si="7"/>
        <v>25830519332.969856</v>
      </c>
      <c r="Q23" s="29">
        <f t="shared" si="8"/>
        <v>282932324.11216736</v>
      </c>
      <c r="R23" s="35">
        <f>Población!K23</f>
        <v>6152311</v>
      </c>
      <c r="S23" s="30">
        <f t="shared" si="9"/>
        <v>6633639.8203273965</v>
      </c>
      <c r="T23" s="53">
        <f t="shared" si="10"/>
        <v>4.7957054898107385</v>
      </c>
      <c r="U23" s="29">
        <f t="shared" si="11"/>
        <v>545955249.62684822</v>
      </c>
      <c r="V23" s="35">
        <f>Población!L23</f>
        <v>6310265</v>
      </c>
      <c r="W23" s="30">
        <f t="shared" si="12"/>
        <v>6803951.4226147309</v>
      </c>
      <c r="X23" s="53">
        <f t="shared" si="13"/>
        <v>4.9097653843459179</v>
      </c>
      <c r="Y23" s="29">
        <f t="shared" si="14"/>
        <v>-55406681.134230025</v>
      </c>
      <c r="Z23" s="35">
        <f>Población!M23</f>
        <v>6282446</v>
      </c>
      <c r="AA23" s="30">
        <f t="shared" si="15"/>
        <v>6773955.9906280041</v>
      </c>
      <c r="AB23" s="53">
        <f t="shared" si="16"/>
        <v>4.8799146636774582</v>
      </c>
      <c r="AC23" s="29">
        <f t="shared" si="17"/>
        <v>101976306.89104761</v>
      </c>
    </row>
    <row r="24" spans="1:29" x14ac:dyDescent="0.2">
      <c r="A24" s="27" t="s">
        <v>153</v>
      </c>
      <c r="B24" s="27" t="s">
        <v>69</v>
      </c>
      <c r="C24" s="51">
        <v>575661140</v>
      </c>
      <c r="D24" s="51">
        <v>632287912</v>
      </c>
      <c r="E24" s="52">
        <f t="shared" si="0"/>
        <v>1.0983682379533208</v>
      </c>
      <c r="F24" s="45">
        <v>4178688</v>
      </c>
      <c r="G24" s="35">
        <f>Población!D24</f>
        <v>4169180</v>
      </c>
      <c r="H24" s="35">
        <f>'Fondos 2027'!$B$20</f>
        <v>527233462043.57635</v>
      </c>
      <c r="I24" s="30">
        <f t="shared" si="1"/>
        <v>4589738.1755166864</v>
      </c>
      <c r="J24" s="30">
        <f t="shared" si="2"/>
        <v>4579294.890310226</v>
      </c>
      <c r="K24" s="53">
        <f t="shared" si="3"/>
        <v>3.3084476275730239</v>
      </c>
      <c r="L24" s="54">
        <v>3.3084479999999998</v>
      </c>
      <c r="M24" s="55">
        <f t="shared" si="4"/>
        <v>-3.7242697592532181E-7</v>
      </c>
      <c r="N24" s="53">
        <f t="shared" si="5"/>
        <v>3.3069942096385834</v>
      </c>
      <c r="O24" s="23">
        <f t="shared" si="6"/>
        <v>17443242966.75182</v>
      </c>
      <c r="P24" s="23">
        <f t="shared" si="7"/>
        <v>17435580061.058109</v>
      </c>
      <c r="Q24" s="29">
        <f t="shared" si="8"/>
        <v>-7662905.6937103271</v>
      </c>
      <c r="R24" s="35">
        <f>Población!K24</f>
        <v>4232451</v>
      </c>
      <c r="S24" s="30">
        <f t="shared" si="9"/>
        <v>4648789.7470937707</v>
      </c>
      <c r="T24" s="53">
        <f t="shared" si="10"/>
        <v>3.3607833881480116</v>
      </c>
      <c r="U24" s="29">
        <f t="shared" si="11"/>
        <v>-283594548.0600577</v>
      </c>
      <c r="V24" s="35">
        <f>Población!L24</f>
        <v>4190375</v>
      </c>
      <c r="W24" s="30">
        <f t="shared" si="12"/>
        <v>4602574.8051136471</v>
      </c>
      <c r="X24" s="53">
        <f t="shared" si="13"/>
        <v>3.3212410044405485</v>
      </c>
      <c r="Y24" s="29">
        <f t="shared" si="14"/>
        <v>-75113869.464644939</v>
      </c>
      <c r="Z24" s="35">
        <f>Población!M24</f>
        <v>4168743</v>
      </c>
      <c r="AA24" s="30">
        <f t="shared" si="15"/>
        <v>4578814.9033902409</v>
      </c>
      <c r="AB24" s="53">
        <f t="shared" si="16"/>
        <v>3.2985490340109838</v>
      </c>
      <c r="AC24" s="29">
        <f t="shared" si="17"/>
        <v>44525791.837053753</v>
      </c>
    </row>
    <row r="25" spans="1:29" x14ac:dyDescent="0.2">
      <c r="A25" s="27" t="s">
        <v>153</v>
      </c>
      <c r="B25" s="27" t="s">
        <v>70</v>
      </c>
      <c r="C25" s="51">
        <v>1101908982</v>
      </c>
      <c r="D25" s="51">
        <v>1191656203</v>
      </c>
      <c r="E25" s="52">
        <f t="shared" si="0"/>
        <v>1.0814470364304554</v>
      </c>
      <c r="F25" s="45">
        <v>6638706</v>
      </c>
      <c r="G25" s="35">
        <f>Población!D25</f>
        <v>6851933</v>
      </c>
      <c r="H25" s="35">
        <f>'Fondos 2027'!$B$20</f>
        <v>527233462043.57635</v>
      </c>
      <c r="I25" s="30">
        <f t="shared" si="1"/>
        <v>7179408.9294330822</v>
      </c>
      <c r="J25" s="30">
        <f t="shared" si="2"/>
        <v>7410002.636670039</v>
      </c>
      <c r="K25" s="53">
        <f t="shared" si="3"/>
        <v>5.1751750386688498</v>
      </c>
      <c r="L25" s="54">
        <v>5.1751750000000003</v>
      </c>
      <c r="M25" s="55">
        <f t="shared" si="4"/>
        <v>3.8668849455802956E-8</v>
      </c>
      <c r="N25" s="53">
        <f t="shared" si="5"/>
        <v>5.3512246753810535</v>
      </c>
      <c r="O25" s="23">
        <f t="shared" si="6"/>
        <v>27285254523.18877</v>
      </c>
      <c r="P25" s="23">
        <f t="shared" si="7"/>
        <v>28213447117.741657</v>
      </c>
      <c r="Q25" s="29">
        <f t="shared" si="8"/>
        <v>928192594.55288696</v>
      </c>
      <c r="R25" s="35">
        <f>Población!K25</f>
        <v>6629599</v>
      </c>
      <c r="S25" s="30">
        <f t="shared" si="9"/>
        <v>7169560.1912723109</v>
      </c>
      <c r="T25" s="53">
        <f t="shared" si="10"/>
        <v>5.1831423019762637</v>
      </c>
      <c r="U25" s="29">
        <f t="shared" si="11"/>
        <v>886186516.38708472</v>
      </c>
      <c r="V25" s="35">
        <f>Población!L25</f>
        <v>6624540</v>
      </c>
      <c r="W25" s="30">
        <f t="shared" si="12"/>
        <v>7164089.1507150084</v>
      </c>
      <c r="X25" s="53">
        <f t="shared" si="13"/>
        <v>5.1696425705860598</v>
      </c>
      <c r="Y25" s="29">
        <f t="shared" si="14"/>
        <v>957361617.56224012</v>
      </c>
      <c r="Z25" s="35">
        <f>Población!M25</f>
        <v>6703850</v>
      </c>
      <c r="AA25" s="30">
        <f t="shared" si="15"/>
        <v>7249858.715174308</v>
      </c>
      <c r="AB25" s="53">
        <f t="shared" si="16"/>
        <v>5.2227519491884111</v>
      </c>
      <c r="AC25" s="29">
        <f t="shared" si="17"/>
        <v>677351202.08723295</v>
      </c>
    </row>
    <row r="26" spans="1:29" x14ac:dyDescent="0.2">
      <c r="A26" s="27" t="s">
        <v>153</v>
      </c>
      <c r="B26" s="27" t="s">
        <v>71</v>
      </c>
      <c r="C26" s="51">
        <v>771545561</v>
      </c>
      <c r="D26" s="51">
        <v>803693959</v>
      </c>
      <c r="E26" s="52">
        <f t="shared" si="0"/>
        <v>1.0416675302471217</v>
      </c>
      <c r="F26" s="45">
        <v>2535155</v>
      </c>
      <c r="G26" s="35">
        <f>Población!D26</f>
        <v>2606836</v>
      </c>
      <c r="H26" s="35">
        <f>'Fondos 2027'!$B$20</f>
        <v>527233462043.57635</v>
      </c>
      <c r="I26" s="30">
        <f t="shared" si="1"/>
        <v>2640788.6476436416</v>
      </c>
      <c r="J26" s="30">
        <f t="shared" si="2"/>
        <v>2715456.4178792858</v>
      </c>
      <c r="K26" s="53">
        <f t="shared" si="3"/>
        <v>1.9035750193386203</v>
      </c>
      <c r="L26" s="54">
        <v>1.903575</v>
      </c>
      <c r="M26" s="55">
        <f t="shared" si="4"/>
        <v>1.9338620260711537E-8</v>
      </c>
      <c r="N26" s="53">
        <f t="shared" si="5"/>
        <v>1.9610002992937576</v>
      </c>
      <c r="O26" s="23">
        <f t="shared" si="6"/>
        <v>10036284477.055687</v>
      </c>
      <c r="P26" s="23">
        <f t="shared" si="7"/>
        <v>10339049768.651373</v>
      </c>
      <c r="Q26" s="29">
        <f t="shared" si="8"/>
        <v>302765291.59568596</v>
      </c>
      <c r="R26" s="35">
        <f>Población!K26</f>
        <v>2528745</v>
      </c>
      <c r="S26" s="30">
        <f t="shared" si="9"/>
        <v>2634111.5587747577</v>
      </c>
      <c r="T26" s="53">
        <f t="shared" si="10"/>
        <v>1.9042974302705764</v>
      </c>
      <c r="U26" s="29">
        <f t="shared" si="11"/>
        <v>298956499.42895299</v>
      </c>
      <c r="V26" s="35">
        <f>Población!L26</f>
        <v>2498744</v>
      </c>
      <c r="W26" s="30">
        <f t="shared" si="12"/>
        <v>2602860.4911998138</v>
      </c>
      <c r="X26" s="53">
        <f t="shared" si="13"/>
        <v>1.8782371516496477</v>
      </c>
      <c r="Y26" s="29">
        <f t="shared" si="14"/>
        <v>436355008.62027758</v>
      </c>
      <c r="Z26" s="35">
        <f>Población!M26</f>
        <v>2567272</v>
      </c>
      <c r="AA26" s="30">
        <f t="shared" si="15"/>
        <v>2674243.8837125883</v>
      </c>
      <c r="AB26" s="53">
        <f t="shared" si="16"/>
        <v>1.9265082265715989</v>
      </c>
      <c r="AC26" s="29">
        <f t="shared" si="17"/>
        <v>181853749.14362538</v>
      </c>
    </row>
    <row r="27" spans="1:29" x14ac:dyDescent="0.2">
      <c r="A27" s="27" t="s">
        <v>153</v>
      </c>
      <c r="B27" s="27" t="s">
        <v>72</v>
      </c>
      <c r="C27" s="51">
        <v>506079847</v>
      </c>
      <c r="D27" s="51">
        <v>515654002</v>
      </c>
      <c r="E27" s="52">
        <f t="shared" si="0"/>
        <v>1.0189182696302863</v>
      </c>
      <c r="F27" s="45">
        <v>1975372</v>
      </c>
      <c r="G27" s="35">
        <f>Población!D27</f>
        <v>2100792</v>
      </c>
      <c r="H27" s="35">
        <f>'Fondos 2027'!$B$20</f>
        <v>527233462043.57635</v>
      </c>
      <c r="I27" s="30">
        <f t="shared" si="1"/>
        <v>2012742.6201161179</v>
      </c>
      <c r="J27" s="30">
        <f t="shared" si="2"/>
        <v>2140535.3494931483</v>
      </c>
      <c r="K27" s="53">
        <f t="shared" si="3"/>
        <v>1.450856953444549</v>
      </c>
      <c r="L27" s="54">
        <v>1.4508570000000001</v>
      </c>
      <c r="M27" s="55">
        <f t="shared" si="4"/>
        <v>-4.6555451049812291E-8</v>
      </c>
      <c r="N27" s="53">
        <f t="shared" si="5"/>
        <v>1.5458139682768914</v>
      </c>
      <c r="O27" s="23">
        <f t="shared" si="6"/>
        <v>7649403344.9456549</v>
      </c>
      <c r="P27" s="23">
        <f t="shared" si="7"/>
        <v>8150048501.6994457</v>
      </c>
      <c r="Q27" s="29">
        <f t="shared" si="8"/>
        <v>500645156.75379086</v>
      </c>
      <c r="R27" s="35">
        <f>Población!K27</f>
        <v>1905221</v>
      </c>
      <c r="S27" s="30">
        <f t="shared" si="9"/>
        <v>1941264.4845832838</v>
      </c>
      <c r="T27" s="53">
        <f t="shared" si="10"/>
        <v>1.40341245500893</v>
      </c>
      <c r="U27" s="29">
        <f t="shared" si="11"/>
        <v>750788428.40511596</v>
      </c>
      <c r="V27" s="35">
        <f>Población!L27</f>
        <v>1920249</v>
      </c>
      <c r="W27" s="30">
        <f t="shared" si="12"/>
        <v>1956576.7883392877</v>
      </c>
      <c r="X27" s="53">
        <f t="shared" si="13"/>
        <v>1.4118755985343692</v>
      </c>
      <c r="Y27" s="29">
        <f t="shared" si="14"/>
        <v>706167903.798226</v>
      </c>
      <c r="Z27" s="35">
        <f>Población!M27</f>
        <v>2025213</v>
      </c>
      <c r="AA27" s="30">
        <f t="shared" si="15"/>
        <v>2063526.5255927611</v>
      </c>
      <c r="AB27" s="53">
        <f t="shared" si="16"/>
        <v>1.4865513394328904</v>
      </c>
      <c r="AC27" s="29">
        <f t="shared" si="17"/>
        <v>312452409.75226164</v>
      </c>
    </row>
    <row r="28" spans="1:29" x14ac:dyDescent="0.2">
      <c r="A28" s="27" t="s">
        <v>153</v>
      </c>
      <c r="B28" s="27" t="s">
        <v>73</v>
      </c>
      <c r="C28" s="51">
        <v>749392730</v>
      </c>
      <c r="D28" s="51">
        <v>780605507</v>
      </c>
      <c r="E28" s="52">
        <f t="shared" si="0"/>
        <v>1.0416507603429779</v>
      </c>
      <c r="F28" s="45">
        <v>2951151</v>
      </c>
      <c r="G28" s="35">
        <f>Población!D28</f>
        <v>2889524</v>
      </c>
      <c r="H28" s="35">
        <f>'Fondos 2027'!$B$20</f>
        <v>527233462043.57635</v>
      </c>
      <c r="I28" s="30">
        <f t="shared" si="1"/>
        <v>3074068.6830369397</v>
      </c>
      <c r="J28" s="30">
        <f t="shared" si="2"/>
        <v>3009874.8716292828</v>
      </c>
      <c r="K28" s="53">
        <f t="shared" si="3"/>
        <v>2.2158987838658506</v>
      </c>
      <c r="L28" s="54">
        <v>2.2158989999999998</v>
      </c>
      <c r="M28" s="55">
        <f t="shared" si="4"/>
        <v>-2.1613414924459562E-7</v>
      </c>
      <c r="N28" s="53">
        <f t="shared" si="5"/>
        <v>2.1736182121130883</v>
      </c>
      <c r="O28" s="23">
        <f t="shared" si="6"/>
        <v>11682959873.557428</v>
      </c>
      <c r="P28" s="23">
        <f t="shared" si="7"/>
        <v>11460042551.333523</v>
      </c>
      <c r="Q28" s="29">
        <f t="shared" si="8"/>
        <v>-222917322.22390556</v>
      </c>
      <c r="R28" s="35">
        <f>Población!K28</f>
        <v>2885526</v>
      </c>
      <c r="S28" s="30">
        <f t="shared" si="9"/>
        <v>3005710.3518894315</v>
      </c>
      <c r="T28" s="53">
        <f t="shared" si="10"/>
        <v>2.172940048865315</v>
      </c>
      <c r="U28" s="29">
        <f t="shared" si="11"/>
        <v>3575503.5695420932</v>
      </c>
      <c r="V28" s="35">
        <f>Población!L28</f>
        <v>2924773</v>
      </c>
      <c r="W28" s="30">
        <f t="shared" si="12"/>
        <v>3046592.0192806125</v>
      </c>
      <c r="X28" s="53">
        <f t="shared" si="13"/>
        <v>2.198436042146251</v>
      </c>
      <c r="Y28" s="29">
        <f t="shared" si="14"/>
        <v>-130847904.48793434</v>
      </c>
      <c r="Z28" s="35">
        <f>Población!M28</f>
        <v>2936529</v>
      </c>
      <c r="AA28" s="30">
        <f t="shared" si="15"/>
        <v>3058837.6656192043</v>
      </c>
      <c r="AB28" s="53">
        <f t="shared" si="16"/>
        <v>2.2035671325464619</v>
      </c>
      <c r="AC28" s="29">
        <f t="shared" si="17"/>
        <v>-157900730.04555169</v>
      </c>
    </row>
    <row r="29" spans="1:29" x14ac:dyDescent="0.2">
      <c r="A29" s="27" t="s">
        <v>153</v>
      </c>
      <c r="B29" s="27" t="s">
        <v>74</v>
      </c>
      <c r="C29" s="51">
        <v>691780332</v>
      </c>
      <c r="D29" s="51">
        <v>711064348</v>
      </c>
      <c r="E29" s="52">
        <f t="shared" si="0"/>
        <v>1.0278759240585058</v>
      </c>
      <c r="F29" s="45">
        <v>3085699</v>
      </c>
      <c r="G29" s="35">
        <f>Población!D29</f>
        <v>3102935</v>
      </c>
      <c r="H29" s="35">
        <f>'Fondos 2027'!$B$20</f>
        <v>527233462043.57635</v>
      </c>
      <c r="I29" s="30">
        <f t="shared" si="1"/>
        <v>3171715.7109914073</v>
      </c>
      <c r="J29" s="30">
        <f t="shared" si="2"/>
        <v>3189432.1804184797</v>
      </c>
      <c r="K29" s="53">
        <f t="shared" si="3"/>
        <v>2.286286258188206</v>
      </c>
      <c r="L29" s="54">
        <v>2.286286</v>
      </c>
      <c r="M29" s="55">
        <f t="shared" si="4"/>
        <v>2.5818820592604652E-7</v>
      </c>
      <c r="N29" s="53">
        <f t="shared" si="5"/>
        <v>2.3032877343184892</v>
      </c>
      <c r="O29" s="23">
        <f t="shared" si="6"/>
        <v>12054066191.272217</v>
      </c>
      <c r="P29" s="23">
        <f t="shared" si="7"/>
        <v>12143703662.472422</v>
      </c>
      <c r="Q29" s="29">
        <f t="shared" si="8"/>
        <v>89637471.200204849</v>
      </c>
      <c r="R29" s="35">
        <f>Población!K29</f>
        <v>3144666</v>
      </c>
      <c r="S29" s="30">
        <f t="shared" si="9"/>
        <v>3232326.470605365</v>
      </c>
      <c r="T29" s="53">
        <f t="shared" si="10"/>
        <v>2.3367692880222837</v>
      </c>
      <c r="U29" s="29">
        <f t="shared" si="11"/>
        <v>-176525954.73849481</v>
      </c>
      <c r="V29" s="35">
        <f>Población!L29</f>
        <v>3135869</v>
      </c>
      <c r="W29" s="30">
        <f t="shared" si="12"/>
        <v>3223284.2461014227</v>
      </c>
      <c r="X29" s="53">
        <f t="shared" si="13"/>
        <v>2.3259380369495046</v>
      </c>
      <c r="Y29" s="29">
        <f t="shared" si="14"/>
        <v>-119419974.72484985</v>
      </c>
      <c r="Z29" s="35">
        <f>Población!M29</f>
        <v>3105420</v>
      </c>
      <c r="AA29" s="30">
        <f t="shared" si="15"/>
        <v>3191986.4520897651</v>
      </c>
      <c r="AB29" s="53">
        <f t="shared" si="16"/>
        <v>2.2994866685528232</v>
      </c>
      <c r="AC29" s="29">
        <f t="shared" si="17"/>
        <v>20040490.630873855</v>
      </c>
    </row>
    <row r="30" spans="1:29" x14ac:dyDescent="0.2">
      <c r="A30" s="27" t="s">
        <v>153</v>
      </c>
      <c r="B30" s="27" t="s">
        <v>75</v>
      </c>
      <c r="C30" s="51">
        <v>1068083904</v>
      </c>
      <c r="D30" s="51">
        <v>1106799464</v>
      </c>
      <c r="E30" s="52">
        <f t="shared" si="0"/>
        <v>1.0362476766619264</v>
      </c>
      <c r="F30" s="45">
        <v>3035624</v>
      </c>
      <c r="G30" s="35">
        <f>Población!D30</f>
        <v>3049889</v>
      </c>
      <c r="H30" s="35">
        <f>'Fondos 2027'!$B$20</f>
        <v>527233462043.57635</v>
      </c>
      <c r="I30" s="30">
        <f t="shared" si="1"/>
        <v>3145658.3172191838</v>
      </c>
      <c r="J30" s="30">
        <f t="shared" si="2"/>
        <v>3160440.3903267663</v>
      </c>
      <c r="K30" s="53">
        <f t="shared" si="3"/>
        <v>2.2675031556865597</v>
      </c>
      <c r="L30" s="54">
        <v>2.267503</v>
      </c>
      <c r="M30" s="55">
        <f t="shared" si="4"/>
        <v>1.5568655964415257E-7</v>
      </c>
      <c r="N30" s="53">
        <f t="shared" si="5"/>
        <v>2.2823509560028521</v>
      </c>
      <c r="O30" s="23">
        <f t="shared" si="6"/>
        <v>11955035389.673594</v>
      </c>
      <c r="P30" s="23">
        <f t="shared" si="7"/>
        <v>12033317961.318501</v>
      </c>
      <c r="Q30" s="29">
        <f t="shared" si="8"/>
        <v>78282571.644906998</v>
      </c>
      <c r="R30" s="35">
        <f>Población!K30</f>
        <v>3042242</v>
      </c>
      <c r="S30" s="30">
        <f t="shared" si="9"/>
        <v>3152516.2043433324</v>
      </c>
      <c r="T30" s="53">
        <f t="shared" si="10"/>
        <v>2.2790714716766867</v>
      </c>
      <c r="U30" s="29">
        <f t="shared" si="11"/>
        <v>17290538.750018433</v>
      </c>
      <c r="V30" s="35">
        <f>Población!L30</f>
        <v>3032476</v>
      </c>
      <c r="W30" s="30">
        <f t="shared" si="12"/>
        <v>3142396.2095330521</v>
      </c>
      <c r="X30" s="53">
        <f t="shared" si="13"/>
        <v>2.2675688251072375</v>
      </c>
      <c r="Y30" s="29">
        <f t="shared" si="14"/>
        <v>77936340.484762192</v>
      </c>
      <c r="Z30" s="35">
        <f>Población!M30</f>
        <v>3057789</v>
      </c>
      <c r="AA30" s="30">
        <f t="shared" si="15"/>
        <v>3168626.7469723951</v>
      </c>
      <c r="AB30" s="53">
        <f t="shared" si="16"/>
        <v>2.2826584860699213</v>
      </c>
      <c r="AC30" s="29">
        <f t="shared" si="17"/>
        <v>-1621401.4194337903</v>
      </c>
    </row>
    <row r="31" spans="1:29" x14ac:dyDescent="0.2">
      <c r="A31" s="27" t="s">
        <v>153</v>
      </c>
      <c r="B31" s="27" t="s">
        <v>76</v>
      </c>
      <c r="C31" s="51">
        <v>755855516</v>
      </c>
      <c r="D31" s="51">
        <v>695544144</v>
      </c>
      <c r="E31" s="52">
        <f t="shared" si="0"/>
        <v>0.92020780331250507</v>
      </c>
      <c r="F31" s="45">
        <v>2578825</v>
      </c>
      <c r="G31" s="35">
        <f>Población!D31</f>
        <v>2527009</v>
      </c>
      <c r="H31" s="35">
        <f>'Fondos 2027'!$B$20</f>
        <v>527233462043.57635</v>
      </c>
      <c r="I31" s="30">
        <f t="shared" si="1"/>
        <v>2373054.8883773708</v>
      </c>
      <c r="J31" s="30">
        <f t="shared" si="2"/>
        <v>2325373.4008409302</v>
      </c>
      <c r="K31" s="53">
        <f t="shared" si="3"/>
        <v>1.7105829385722737</v>
      </c>
      <c r="L31" s="54">
        <v>1.710583</v>
      </c>
      <c r="M31" s="55">
        <f t="shared" si="4"/>
        <v>-6.1427726238960645E-8</v>
      </c>
      <c r="N31" s="53">
        <f t="shared" si="5"/>
        <v>1.6792970437655252</v>
      </c>
      <c r="O31" s="23">
        <f t="shared" si="6"/>
        <v>9018765648.1613426</v>
      </c>
      <c r="P31" s="23">
        <f t="shared" si="7"/>
        <v>8853815941.8404102</v>
      </c>
      <c r="Q31" s="29">
        <f t="shared" si="8"/>
        <v>-164949706.32093239</v>
      </c>
      <c r="R31" s="35">
        <f>Población!K31</f>
        <v>2554147</v>
      </c>
      <c r="S31" s="30">
        <f t="shared" si="9"/>
        <v>2350346.0002072249</v>
      </c>
      <c r="T31" s="53">
        <f t="shared" si="10"/>
        <v>1.699152730844558</v>
      </c>
      <c r="U31" s="29">
        <f t="shared" si="11"/>
        <v>-104685826.39932336</v>
      </c>
      <c r="V31" s="35">
        <f>Población!L31</f>
        <v>2567516</v>
      </c>
      <c r="W31" s="30">
        <f t="shared" si="12"/>
        <v>2362648.25832971</v>
      </c>
      <c r="X31" s="53">
        <f t="shared" si="13"/>
        <v>1.70489880271287</v>
      </c>
      <c r="Y31" s="29">
        <f t="shared" si="14"/>
        <v>-134981040.0421367</v>
      </c>
      <c r="Z31" s="35">
        <f>Población!M31</f>
        <v>2553100</v>
      </c>
      <c r="AA31" s="30">
        <f t="shared" si="15"/>
        <v>2349382.5426371568</v>
      </c>
      <c r="AB31" s="53">
        <f t="shared" si="16"/>
        <v>1.6924801897539354</v>
      </c>
      <c r="AC31" s="29">
        <f t="shared" si="17"/>
        <v>-69505957.000953928</v>
      </c>
    </row>
    <row r="32" spans="1:29" x14ac:dyDescent="0.2">
      <c r="A32" s="27" t="s">
        <v>153</v>
      </c>
      <c r="B32" s="27" t="s">
        <v>77</v>
      </c>
      <c r="C32" s="51">
        <v>944239456</v>
      </c>
      <c r="D32" s="51">
        <v>1007948890</v>
      </c>
      <c r="E32" s="52">
        <f t="shared" si="0"/>
        <v>1.0674716922653145</v>
      </c>
      <c r="F32" s="45">
        <v>3602540</v>
      </c>
      <c r="G32" s="35">
        <f>Población!D32</f>
        <v>3620715</v>
      </c>
      <c r="H32" s="35">
        <f>'Fondos 2027'!$B$20</f>
        <v>527233462043.57635</v>
      </c>
      <c r="I32" s="30">
        <f t="shared" si="1"/>
        <v>3845609.4702534862</v>
      </c>
      <c r="J32" s="30">
        <f t="shared" si="2"/>
        <v>3865010.7682604082</v>
      </c>
      <c r="K32" s="53">
        <f t="shared" si="3"/>
        <v>2.7720530108452683</v>
      </c>
      <c r="L32" s="54">
        <v>2.7720530000000001</v>
      </c>
      <c r="M32" s="55">
        <f t="shared" si="4"/>
        <v>1.0845268239023653E-8</v>
      </c>
      <c r="N32" s="53">
        <f t="shared" si="5"/>
        <v>2.7911651328403644</v>
      </c>
      <c r="O32" s="23">
        <f t="shared" si="6"/>
        <v>14615191058.762705</v>
      </c>
      <c r="P32" s="23">
        <f t="shared" si="7"/>
        <v>14715956561.22744</v>
      </c>
      <c r="Q32" s="29">
        <f t="shared" si="8"/>
        <v>100765502.46473503</v>
      </c>
      <c r="R32" s="35">
        <f>Población!K32</f>
        <v>3569939</v>
      </c>
      <c r="S32" s="30">
        <f t="shared" si="9"/>
        <v>3810808.8256139443</v>
      </c>
      <c r="T32" s="53">
        <f t="shared" si="10"/>
        <v>2.7549757449318433</v>
      </c>
      <c r="U32" s="29">
        <f t="shared" si="11"/>
        <v>190802562.76247525</v>
      </c>
      <c r="V32" s="35">
        <f>Población!L32</f>
        <v>3597414</v>
      </c>
      <c r="W32" s="30">
        <f t="shared" si="12"/>
        <v>3840137.6103589339</v>
      </c>
      <c r="X32" s="53">
        <f t="shared" si="13"/>
        <v>2.7710625104991662</v>
      </c>
      <c r="Y32" s="29">
        <f t="shared" si="14"/>
        <v>105987751.73104469</v>
      </c>
      <c r="Z32" s="35">
        <f>Población!M32</f>
        <v>3608877</v>
      </c>
      <c r="AA32" s="30">
        <f t="shared" si="15"/>
        <v>3852374.0383673711</v>
      </c>
      <c r="AB32" s="53">
        <f t="shared" si="16"/>
        <v>2.7752256710567185</v>
      </c>
      <c r="AC32" s="29">
        <f t="shared" si="17"/>
        <v>84038176.193029135</v>
      </c>
    </row>
    <row r="33" spans="1:29" x14ac:dyDescent="0.2">
      <c r="A33" s="27" t="s">
        <v>153</v>
      </c>
      <c r="B33" s="27" t="s">
        <v>78</v>
      </c>
      <c r="C33" s="51">
        <v>190406976</v>
      </c>
      <c r="D33" s="51">
        <v>200248308</v>
      </c>
      <c r="E33" s="52">
        <f t="shared" si="0"/>
        <v>1.0516857743699475</v>
      </c>
      <c r="F33" s="45">
        <v>1426175</v>
      </c>
      <c r="G33" s="35">
        <f>Población!D33</f>
        <v>1419482</v>
      </c>
      <c r="H33" s="35">
        <f>'Fondos 2027'!$B$20</f>
        <v>527233462043.57635</v>
      </c>
      <c r="I33" s="30">
        <f t="shared" si="1"/>
        <v>1499887.9592620598</v>
      </c>
      <c r="J33" s="30">
        <f t="shared" si="2"/>
        <v>1492849.0263742018</v>
      </c>
      <c r="K33" s="53">
        <f t="shared" si="3"/>
        <v>1.0811729494541982</v>
      </c>
      <c r="L33" s="54">
        <v>1.0811729999999999</v>
      </c>
      <c r="M33" s="55">
        <f t="shared" si="4"/>
        <v>-5.0545801766332943E-8</v>
      </c>
      <c r="N33" s="53">
        <f t="shared" si="5"/>
        <v>1.0780793122824275</v>
      </c>
      <c r="O33" s="23">
        <f t="shared" si="6"/>
        <v>5700305572.0860147</v>
      </c>
      <c r="P33" s="23">
        <f t="shared" si="7"/>
        <v>5683994881.7222214</v>
      </c>
      <c r="Q33" s="29">
        <f t="shared" si="8"/>
        <v>-16310690.363793373</v>
      </c>
      <c r="R33" s="35">
        <f>Población!K33</f>
        <v>1476723</v>
      </c>
      <c r="S33" s="30">
        <f t="shared" si="9"/>
        <v>1553048.5717849119</v>
      </c>
      <c r="T33" s="53">
        <f t="shared" si="10"/>
        <v>1.1227567012048059</v>
      </c>
      <c r="U33" s="29">
        <f t="shared" si="11"/>
        <v>-235554144.3661288</v>
      </c>
      <c r="V33" s="35">
        <f>Población!L33</f>
        <v>1449354</v>
      </c>
      <c r="W33" s="30">
        <f t="shared" si="12"/>
        <v>1524264.9838261809</v>
      </c>
      <c r="X33" s="53">
        <f t="shared" si="13"/>
        <v>1.0999172376930912</v>
      </c>
      <c r="Y33" s="29">
        <f t="shared" si="14"/>
        <v>-115136850.18113643</v>
      </c>
      <c r="Z33" s="35">
        <f>Población!M33</f>
        <v>1440130</v>
      </c>
      <c r="AA33" s="30">
        <f t="shared" si="15"/>
        <v>1514564.2342433925</v>
      </c>
      <c r="AB33" s="53">
        <f t="shared" si="16"/>
        <v>1.0910824082694619</v>
      </c>
      <c r="AC33" s="29">
        <f t="shared" si="17"/>
        <v>-68556673.145290911</v>
      </c>
    </row>
    <row r="34" spans="1:29" x14ac:dyDescent="0.2">
      <c r="A34" s="27" t="s">
        <v>153</v>
      </c>
      <c r="B34" s="27" t="s">
        <v>79</v>
      </c>
      <c r="C34" s="51">
        <v>1354599913</v>
      </c>
      <c r="D34" s="51">
        <v>1447774025</v>
      </c>
      <c r="E34" s="52">
        <f t="shared" si="0"/>
        <v>1.0687834917940084</v>
      </c>
      <c r="F34" s="45">
        <v>8066173</v>
      </c>
      <c r="G34" s="35">
        <f>Población!D34</f>
        <v>7917876</v>
      </c>
      <c r="H34" s="35">
        <f>'Fondos 2027'!$B$20</f>
        <v>527233462043.57635</v>
      </c>
      <c r="I34" s="30">
        <f t="shared" si="1"/>
        <v>8620992.5443545524</v>
      </c>
      <c r="J34" s="30">
        <f t="shared" si="2"/>
        <v>8462495.1588719767</v>
      </c>
      <c r="K34" s="53">
        <f t="shared" si="3"/>
        <v>6.2143201289436716</v>
      </c>
      <c r="L34" s="54">
        <v>6.2143199999999998</v>
      </c>
      <c r="M34" s="55">
        <f t="shared" si="4"/>
        <v>1.2894367173998944E-7</v>
      </c>
      <c r="N34" s="53">
        <f t="shared" si="5"/>
        <v>6.1112951141673015</v>
      </c>
      <c r="O34" s="23">
        <f t="shared" si="6"/>
        <v>32763975158.300556</v>
      </c>
      <c r="P34" s="23">
        <f t="shared" si="7"/>
        <v>32220792806.124195</v>
      </c>
      <c r="Q34" s="29">
        <f t="shared" si="8"/>
        <v>-543182352.17636108</v>
      </c>
      <c r="R34" s="35">
        <f>Población!K34</f>
        <v>8113343</v>
      </c>
      <c r="S34" s="30">
        <f t="shared" si="9"/>
        <v>8671407.0616624765</v>
      </c>
      <c r="T34" s="53">
        <f t="shared" si="10"/>
        <v>6.2688833847397429</v>
      </c>
      <c r="U34" s="29">
        <f t="shared" si="11"/>
        <v>-830858094.71368122</v>
      </c>
      <c r="V34" s="35">
        <f>Población!L34</f>
        <v>8068202</v>
      </c>
      <c r="W34" s="30">
        <f t="shared" si="12"/>
        <v>8623161.1060594022</v>
      </c>
      <c r="X34" s="53">
        <f t="shared" si="13"/>
        <v>6.2225161927887944</v>
      </c>
      <c r="Y34" s="29">
        <f t="shared" si="14"/>
        <v>-586394743.33830488</v>
      </c>
      <c r="Z34" s="35">
        <f>Población!M34</f>
        <v>8021469</v>
      </c>
      <c r="AA34" s="30">
        <f t="shared" si="15"/>
        <v>8573213.6471373923</v>
      </c>
      <c r="AB34" s="53">
        <f t="shared" si="16"/>
        <v>6.1760883964093853</v>
      </c>
      <c r="AC34" s="29">
        <f t="shared" si="17"/>
        <v>-341611865.13660425</v>
      </c>
    </row>
    <row r="35" spans="1:29" x14ac:dyDescent="0.2">
      <c r="A35" s="27" t="s">
        <v>153</v>
      </c>
      <c r="B35" s="27" t="s">
        <v>80</v>
      </c>
      <c r="C35" s="51">
        <v>506355466</v>
      </c>
      <c r="D35" s="51">
        <v>548664528</v>
      </c>
      <c r="E35" s="52">
        <f t="shared" si="0"/>
        <v>1.0835560487461984</v>
      </c>
      <c r="F35" s="45">
        <v>2456821</v>
      </c>
      <c r="G35" s="35">
        <f>Población!D35</f>
        <v>2506448</v>
      </c>
      <c r="H35" s="35">
        <f>'Fondos 2027'!$B$20</f>
        <v>527233462043.57635</v>
      </c>
      <c r="I35" s="30">
        <f t="shared" si="1"/>
        <v>2662103.2552366839</v>
      </c>
      <c r="J35" s="30">
        <f t="shared" si="2"/>
        <v>2715876.8912678114</v>
      </c>
      <c r="K35" s="53">
        <f t="shared" si="3"/>
        <v>1.9189393517312654</v>
      </c>
      <c r="L35" s="54">
        <v>1.918939</v>
      </c>
      <c r="M35" s="55">
        <f t="shared" si="4"/>
        <v>3.5173126544663091E-7</v>
      </c>
      <c r="N35" s="53">
        <f t="shared" si="5"/>
        <v>1.961303949330383</v>
      </c>
      <c r="O35" s="23">
        <f t="shared" si="6"/>
        <v>10117290378.649311</v>
      </c>
      <c r="P35" s="23">
        <f t="shared" si="7"/>
        <v>10340650713.251968</v>
      </c>
      <c r="Q35" s="29">
        <f t="shared" si="8"/>
        <v>223360334.60265732</v>
      </c>
      <c r="R35" s="35">
        <f>Población!K35</f>
        <v>2402017</v>
      </c>
      <c r="S35" s="30">
        <f t="shared" si="9"/>
        <v>2602720.0495411973</v>
      </c>
      <c r="T35" s="53">
        <f t="shared" si="10"/>
        <v>1.8816033381518698</v>
      </c>
      <c r="U35" s="29">
        <f t="shared" si="11"/>
        <v>420208291.58636492</v>
      </c>
      <c r="V35" s="35">
        <f>Población!L35</f>
        <v>2432221</v>
      </c>
      <c r="W35" s="30">
        <f t="shared" si="12"/>
        <v>2635447.7764375275</v>
      </c>
      <c r="X35" s="53">
        <f t="shared" si="13"/>
        <v>1.9017522996999621</v>
      </c>
      <c r="Y35" s="29">
        <f t="shared" si="14"/>
        <v>313976224.05052888</v>
      </c>
      <c r="Z35" s="35">
        <f>Población!M35</f>
        <v>2478837</v>
      </c>
      <c r="AA35" s="30">
        <f t="shared" si="15"/>
        <v>2685958.8252058802</v>
      </c>
      <c r="AB35" s="53">
        <f t="shared" si="16"/>
        <v>1.9349475956576001</v>
      </c>
      <c r="AC35" s="29">
        <f t="shared" si="17"/>
        <v>138959515.93746248</v>
      </c>
    </row>
    <row r="36" spans="1:29" x14ac:dyDescent="0.2">
      <c r="A36" s="27" t="s">
        <v>153</v>
      </c>
      <c r="B36" s="27" t="s">
        <v>81</v>
      </c>
      <c r="C36" s="51">
        <v>306036555</v>
      </c>
      <c r="D36" s="51">
        <v>347383977</v>
      </c>
      <c r="E36" s="52">
        <f t="shared" si="0"/>
        <v>1.135106154230497</v>
      </c>
      <c r="F36" s="45">
        <v>1689186</v>
      </c>
      <c r="G36" s="35">
        <f>Población!D36</f>
        <v>1686419</v>
      </c>
      <c r="H36" s="35">
        <f>'Fondos 2027'!$B$20</f>
        <v>527233462043.57635</v>
      </c>
      <c r="I36" s="30">
        <f t="shared" si="1"/>
        <v>1917405.4242399964</v>
      </c>
      <c r="J36" s="30">
        <f t="shared" si="2"/>
        <v>1914264.5855112404</v>
      </c>
      <c r="K36" s="53">
        <f t="shared" si="3"/>
        <v>1.3821344887953948</v>
      </c>
      <c r="L36" s="54">
        <v>1.382134</v>
      </c>
      <c r="M36" s="55">
        <f t="shared" si="4"/>
        <v>4.887953948262691E-7</v>
      </c>
      <c r="N36" s="53">
        <f t="shared" si="5"/>
        <v>1.3824097490199012</v>
      </c>
      <c r="O36" s="23">
        <f t="shared" si="6"/>
        <v>7287075515.3742456</v>
      </c>
      <c r="P36" s="23">
        <f t="shared" si="7"/>
        <v>7288526779.38554</v>
      </c>
      <c r="Q36" s="29">
        <f t="shared" si="8"/>
        <v>1451264.0112943649</v>
      </c>
      <c r="R36" s="35">
        <f>Población!K36</f>
        <v>1695685</v>
      </c>
      <c r="S36" s="30">
        <f t="shared" si="9"/>
        <v>1924782.4791363403</v>
      </c>
      <c r="T36" s="53">
        <f t="shared" si="10"/>
        <v>1.3914969989175716</v>
      </c>
      <c r="U36" s="29">
        <f t="shared" si="11"/>
        <v>-47911022.240039013</v>
      </c>
      <c r="V36" s="35">
        <f>Población!L36</f>
        <v>1703991</v>
      </c>
      <c r="W36" s="30">
        <f t="shared" si="12"/>
        <v>1934210.6708533787</v>
      </c>
      <c r="X36" s="53">
        <f t="shared" si="13"/>
        <v>1.3957360962666812</v>
      </c>
      <c r="Y36" s="29">
        <f t="shared" si="14"/>
        <v>-70260961.953146726</v>
      </c>
      <c r="Z36" s="35">
        <f>Población!M36</f>
        <v>1695141</v>
      </c>
      <c r="AA36" s="30">
        <f t="shared" si="15"/>
        <v>1924164.981388439</v>
      </c>
      <c r="AB36" s="53">
        <f t="shared" si="16"/>
        <v>1.3861561724054832</v>
      </c>
      <c r="AC36" s="29">
        <f t="shared" si="17"/>
        <v>-19752397.7186139</v>
      </c>
    </row>
    <row r="37" spans="1:29" x14ac:dyDescent="0.2">
      <c r="A37" s="27" t="s">
        <v>155</v>
      </c>
      <c r="B37" s="27" t="s">
        <v>50</v>
      </c>
      <c r="C37" s="51">
        <v>1531396</v>
      </c>
      <c r="D37" s="51">
        <v>1737186</v>
      </c>
      <c r="E37" s="52">
        <f t="shared" si="0"/>
        <v>1.1343806566035173</v>
      </c>
      <c r="F37" s="45">
        <v>1531396</v>
      </c>
      <c r="G37" s="35">
        <f>Población!D5</f>
        <v>1539174</v>
      </c>
      <c r="H37" s="35">
        <f>'Fondos 2027'!$B$21</f>
        <v>263616731021.78818</v>
      </c>
      <c r="I37" s="30">
        <f t="shared" si="1"/>
        <v>1737186</v>
      </c>
      <c r="J37" s="30">
        <f t="shared" si="2"/>
        <v>1746009.2127470621</v>
      </c>
      <c r="K37" s="53">
        <f t="shared" si="3"/>
        <v>1.1856770801695342</v>
      </c>
      <c r="L37" s="54">
        <v>1.1856770000000001</v>
      </c>
      <c r="M37" s="55">
        <f t="shared" si="4"/>
        <v>8.0169534122376263E-8</v>
      </c>
      <c r="N37" s="53">
        <f t="shared" si="5"/>
        <v>1.193921970974402</v>
      </c>
      <c r="O37" s="23">
        <f t="shared" si="6"/>
        <v>3125643159.2175131</v>
      </c>
      <c r="P37" s="23">
        <f t="shared" si="7"/>
        <v>3147378070.833621</v>
      </c>
      <c r="Q37" s="29">
        <f t="shared" si="8"/>
        <v>21734911.616107941</v>
      </c>
      <c r="R37" s="35">
        <f>Población!K5</f>
        <v>1503564</v>
      </c>
      <c r="S37" s="30">
        <f t="shared" si="9"/>
        <v>1705613.917565411</v>
      </c>
      <c r="T37" s="53">
        <f t="shared" si="10"/>
        <v>1.1676459465154982</v>
      </c>
      <c r="U37" s="29">
        <f t="shared" si="11"/>
        <v>69267996.721047595</v>
      </c>
      <c r="V37" s="35">
        <f>Población!L5</f>
        <v>1519678</v>
      </c>
      <c r="W37" s="30">
        <f t="shared" si="12"/>
        <v>1723893.32746592</v>
      </c>
      <c r="X37" s="53">
        <f t="shared" si="13"/>
        <v>1.1779901445653291</v>
      </c>
      <c r="Y37" s="29">
        <f t="shared" si="14"/>
        <v>41998959.971663833</v>
      </c>
      <c r="Z37" s="35">
        <f>Población!M5</f>
        <v>1558219</v>
      </c>
      <c r="AA37" s="30">
        <f t="shared" si="15"/>
        <v>1767613.4923520761</v>
      </c>
      <c r="AB37" s="53">
        <f t="shared" si="16"/>
        <v>1.2057433348953741</v>
      </c>
      <c r="AC37" s="29">
        <f t="shared" si="17"/>
        <v>-31163093.130655747</v>
      </c>
    </row>
    <row r="38" spans="1:29" x14ac:dyDescent="0.2">
      <c r="A38" s="27" t="s">
        <v>155</v>
      </c>
      <c r="B38" s="27" t="s">
        <v>51</v>
      </c>
      <c r="C38" s="51">
        <v>3830329</v>
      </c>
      <c r="D38" s="51">
        <v>4447138</v>
      </c>
      <c r="E38" s="52">
        <f t="shared" si="0"/>
        <v>1.1610329034398872</v>
      </c>
      <c r="F38" s="45">
        <v>3830329</v>
      </c>
      <c r="G38" s="35">
        <f>Población!D6</f>
        <v>4009678</v>
      </c>
      <c r="H38" s="35">
        <f>'Fondos 2027'!$B$21</f>
        <v>263616731021.78818</v>
      </c>
      <c r="I38" s="30">
        <f t="shared" si="1"/>
        <v>4447138</v>
      </c>
      <c r="J38" s="30">
        <f t="shared" si="2"/>
        <v>4655368.0901990402</v>
      </c>
      <c r="K38" s="53">
        <f t="shared" si="3"/>
        <v>3.0352936294392094</v>
      </c>
      <c r="L38" s="54">
        <v>3.0352929999999998</v>
      </c>
      <c r="M38" s="55">
        <f t="shared" si="4"/>
        <v>6.2943920964286804E-7</v>
      </c>
      <c r="N38" s="53">
        <f t="shared" si="5"/>
        <v>3.1833430232117355</v>
      </c>
      <c r="O38" s="23">
        <f t="shared" si="6"/>
        <v>8001541842.8402328</v>
      </c>
      <c r="P38" s="23">
        <f t="shared" si="7"/>
        <v>8391824815.0009413</v>
      </c>
      <c r="Q38" s="29">
        <f t="shared" si="8"/>
        <v>390282972.16070843</v>
      </c>
      <c r="R38" s="35">
        <f>Población!K6</f>
        <v>3778283</v>
      </c>
      <c r="S38" s="30">
        <f t="shared" si="9"/>
        <v>4386710.8815075671</v>
      </c>
      <c r="T38" s="53">
        <f t="shared" si="10"/>
        <v>3.0030976685738162</v>
      </c>
      <c r="U38" s="29">
        <f t="shared" si="11"/>
        <v>475156911.71511179</v>
      </c>
      <c r="V38" s="35">
        <f>Población!L6</f>
        <v>3790412</v>
      </c>
      <c r="W38" s="30">
        <f t="shared" si="12"/>
        <v>4400793.04959339</v>
      </c>
      <c r="X38" s="53">
        <f t="shared" si="13"/>
        <v>3.0071993191789286</v>
      </c>
      <c r="Y38" s="29">
        <f t="shared" si="14"/>
        <v>464344274.4719792</v>
      </c>
      <c r="Z38" s="35">
        <f>Población!M6</f>
        <v>3862801</v>
      </c>
      <c r="AA38" s="30">
        <f t="shared" si="15"/>
        <v>4484839.0604404993</v>
      </c>
      <c r="AB38" s="53">
        <f t="shared" si="16"/>
        <v>3.0592461692567103</v>
      </c>
      <c r="AC38" s="29">
        <f t="shared" si="17"/>
        <v>327140069.69711983</v>
      </c>
    </row>
    <row r="39" spans="1:29" x14ac:dyDescent="0.2">
      <c r="A39" s="27" t="s">
        <v>155</v>
      </c>
      <c r="B39" s="27" t="s">
        <v>52</v>
      </c>
      <c r="C39" s="51">
        <v>928591</v>
      </c>
      <c r="D39" s="51">
        <v>1017323</v>
      </c>
      <c r="E39" s="52">
        <f t="shared" si="0"/>
        <v>1.0955555244451001</v>
      </c>
      <c r="F39" s="45">
        <v>928591</v>
      </c>
      <c r="G39" s="35">
        <f>Población!D7</f>
        <v>961514</v>
      </c>
      <c r="H39" s="35">
        <f>'Fondos 2027'!$B$21</f>
        <v>263616731021.78818</v>
      </c>
      <c r="I39" s="30">
        <f t="shared" si="1"/>
        <v>1017322.9999999999</v>
      </c>
      <c r="J39" s="30">
        <f t="shared" si="2"/>
        <v>1053391.974531306</v>
      </c>
      <c r="K39" s="53">
        <f t="shared" si="3"/>
        <v>0.69435084339230857</v>
      </c>
      <c r="L39" s="54">
        <v>0.69435100000000005</v>
      </c>
      <c r="M39" s="55">
        <f t="shared" si="4"/>
        <v>-1.5660769148162501E-7</v>
      </c>
      <c r="N39" s="53">
        <f t="shared" si="5"/>
        <v>0.72030995785085095</v>
      </c>
      <c r="O39" s="23">
        <f t="shared" si="6"/>
        <v>1830424995.1730199</v>
      </c>
      <c r="P39" s="23">
        <f t="shared" si="7"/>
        <v>1898857564.1108336</v>
      </c>
      <c r="Q39" s="29">
        <f t="shared" si="8"/>
        <v>68432568.937813759</v>
      </c>
      <c r="R39" s="35">
        <f>Población!K7</f>
        <v>881164</v>
      </c>
      <c r="S39" s="30">
        <f t="shared" si="9"/>
        <v>965364.08814214217</v>
      </c>
      <c r="T39" s="53">
        <f t="shared" si="10"/>
        <v>0.66087843961766557</v>
      </c>
      <c r="U39" s="29">
        <f t="shared" si="11"/>
        <v>156671425.56294131</v>
      </c>
      <c r="V39" s="35">
        <f>Población!L7</f>
        <v>906940</v>
      </c>
      <c r="W39" s="30">
        <f t="shared" si="12"/>
        <v>993603.12734023901</v>
      </c>
      <c r="X39" s="53">
        <f t="shared" si="13"/>
        <v>0.67896004524632059</v>
      </c>
      <c r="Y39" s="29">
        <f t="shared" si="14"/>
        <v>109005287.88842928</v>
      </c>
      <c r="Z39" s="35">
        <f>Población!M7</f>
        <v>960359</v>
      </c>
      <c r="AA39" s="30">
        <f t="shared" si="15"/>
        <v>1052126.6079005718</v>
      </c>
      <c r="AB39" s="53">
        <f t="shared" si="16"/>
        <v>0.71768780360130469</v>
      </c>
      <c r="AC39" s="29">
        <f t="shared" si="17"/>
        <v>6912437.3150027534</v>
      </c>
    </row>
    <row r="40" spans="1:29" x14ac:dyDescent="0.2">
      <c r="A40" s="27" t="s">
        <v>155</v>
      </c>
      <c r="B40" s="27" t="s">
        <v>53</v>
      </c>
      <c r="C40" s="51">
        <v>935371</v>
      </c>
      <c r="D40" s="51">
        <v>971973</v>
      </c>
      <c r="E40" s="52">
        <f t="shared" si="0"/>
        <v>1.0391309972192853</v>
      </c>
      <c r="F40" s="45">
        <v>935371</v>
      </c>
      <c r="G40" s="35">
        <f>Población!D8</f>
        <v>968673</v>
      </c>
      <c r="H40" s="35">
        <f>'Fondos 2027'!$B$21</f>
        <v>263616731021.78818</v>
      </c>
      <c r="I40" s="30">
        <f t="shared" si="1"/>
        <v>971973.00000000012</v>
      </c>
      <c r="J40" s="30">
        <f t="shared" si="2"/>
        <v>1006578.1404693967</v>
      </c>
      <c r="K40" s="53">
        <f t="shared" si="3"/>
        <v>0.6633982248553828</v>
      </c>
      <c r="L40" s="54">
        <v>0.66339800000000004</v>
      </c>
      <c r="M40" s="55">
        <f t="shared" si="4"/>
        <v>2.248553827577382E-7</v>
      </c>
      <c r="N40" s="53">
        <f t="shared" si="5"/>
        <v>0.68829863475815878</v>
      </c>
      <c r="O40" s="23">
        <f t="shared" si="6"/>
        <v>1748828714.0203319</v>
      </c>
      <c r="P40" s="23">
        <f t="shared" si="7"/>
        <v>1814470360.6170557</v>
      </c>
      <c r="Q40" s="29">
        <f t="shared" si="8"/>
        <v>65641646.596723795</v>
      </c>
      <c r="R40" s="35">
        <f>Población!K8</f>
        <v>925978</v>
      </c>
      <c r="S40" s="30">
        <f t="shared" si="9"/>
        <v>962212.44254311931</v>
      </c>
      <c r="T40" s="53">
        <f t="shared" si="10"/>
        <v>0.65872085508422951</v>
      </c>
      <c r="U40" s="29">
        <f t="shared" si="11"/>
        <v>77971975.885239258</v>
      </c>
      <c r="V40" s="35">
        <f>Población!L8</f>
        <v>918817</v>
      </c>
      <c r="W40" s="30">
        <f t="shared" si="12"/>
        <v>954771.22547203198</v>
      </c>
      <c r="X40" s="53">
        <f t="shared" si="13"/>
        <v>0.6524249940533805</v>
      </c>
      <c r="Y40" s="29">
        <f t="shared" si="14"/>
        <v>94568918.924438059</v>
      </c>
      <c r="Z40" s="35">
        <f>Población!M8</f>
        <v>952094</v>
      </c>
      <c r="AA40" s="30">
        <f t="shared" si="15"/>
        <v>989350.38766649819</v>
      </c>
      <c r="AB40" s="53">
        <f t="shared" si="16"/>
        <v>0.67486621988707396</v>
      </c>
      <c r="AC40" s="29">
        <f t="shared" si="17"/>
        <v>35410092.980438344</v>
      </c>
    </row>
    <row r="41" spans="1:29" x14ac:dyDescent="0.2">
      <c r="A41" s="27" t="s">
        <v>155</v>
      </c>
      <c r="B41" s="27" t="s">
        <v>54</v>
      </c>
      <c r="C41" s="51">
        <v>3590747</v>
      </c>
      <c r="D41" s="51">
        <v>4181500</v>
      </c>
      <c r="E41" s="52">
        <f t="shared" si="0"/>
        <v>1.1645209200202631</v>
      </c>
      <c r="F41" s="45">
        <v>3590747</v>
      </c>
      <c r="G41" s="35">
        <f>Población!D9</f>
        <v>3415128</v>
      </c>
      <c r="H41" s="35">
        <f>'Fondos 2027'!$B$21</f>
        <v>263616731021.78818</v>
      </c>
      <c r="I41" s="30">
        <f t="shared" si="1"/>
        <v>4181499.9999999995</v>
      </c>
      <c r="J41" s="30">
        <f t="shared" si="2"/>
        <v>3976988.0005469611</v>
      </c>
      <c r="K41" s="53">
        <f t="shared" si="3"/>
        <v>2.8539884104113824</v>
      </c>
      <c r="L41" s="54">
        <v>2.8539889999999999</v>
      </c>
      <c r="M41" s="55">
        <f t="shared" si="4"/>
        <v>-5.8958861748337199E-7</v>
      </c>
      <c r="N41" s="53">
        <f t="shared" si="5"/>
        <v>2.7194663793806853</v>
      </c>
      <c r="O41" s="23">
        <f t="shared" si="6"/>
        <v>7523590951.2671814</v>
      </c>
      <c r="P41" s="23">
        <f t="shared" si="7"/>
        <v>7168968370.5599422</v>
      </c>
      <c r="Q41" s="29">
        <f t="shared" si="8"/>
        <v>-354622580.70723915</v>
      </c>
      <c r="R41" s="35">
        <f>Población!K9</f>
        <v>3452989</v>
      </c>
      <c r="S41" s="30">
        <f t="shared" si="9"/>
        <v>4021077.9270998482</v>
      </c>
      <c r="T41" s="53">
        <f t="shared" si="10"/>
        <v>2.7527890654779541</v>
      </c>
      <c r="U41" s="29">
        <f t="shared" si="11"/>
        <v>-87844175.778272018</v>
      </c>
      <c r="V41" s="35">
        <f>Población!L9</f>
        <v>3582441</v>
      </c>
      <c r="W41" s="30">
        <f t="shared" si="12"/>
        <v>4171827.4892383111</v>
      </c>
      <c r="X41" s="53">
        <f t="shared" si="13"/>
        <v>2.8507400016295992</v>
      </c>
      <c r="Y41" s="29">
        <f t="shared" si="14"/>
        <v>-346059231.66647768</v>
      </c>
      <c r="Z41" s="35">
        <f>Población!M9</f>
        <v>3510963</v>
      </c>
      <c r="AA41" s="30">
        <f t="shared" si="15"/>
        <v>4088589.8629171029</v>
      </c>
      <c r="AB41" s="53">
        <f t="shared" si="16"/>
        <v>2.7889524478415586</v>
      </c>
      <c r="AC41" s="29">
        <f t="shared" si="17"/>
        <v>-183176902.19211608</v>
      </c>
    </row>
    <row r="42" spans="1:29" x14ac:dyDescent="0.2">
      <c r="A42" s="27" t="s">
        <v>155</v>
      </c>
      <c r="B42" s="27" t="s">
        <v>55</v>
      </c>
      <c r="C42" s="51">
        <v>762355</v>
      </c>
      <c r="D42" s="51">
        <v>837762</v>
      </c>
      <c r="E42" s="52">
        <f t="shared" si="0"/>
        <v>1.0989132359596252</v>
      </c>
      <c r="F42" s="45">
        <v>762355</v>
      </c>
      <c r="G42" s="35">
        <f>Población!D10</f>
        <v>762212</v>
      </c>
      <c r="H42" s="35">
        <f>'Fondos 2027'!$B$21</f>
        <v>263616731021.78818</v>
      </c>
      <c r="I42" s="30">
        <f t="shared" si="1"/>
        <v>837762.00000000012</v>
      </c>
      <c r="J42" s="30">
        <f t="shared" si="2"/>
        <v>837604.8554072578</v>
      </c>
      <c r="K42" s="53">
        <f t="shared" si="3"/>
        <v>0.57179553717160381</v>
      </c>
      <c r="L42" s="54">
        <v>0.57179599999999997</v>
      </c>
      <c r="M42" s="55">
        <f t="shared" si="4"/>
        <v>-4.6282839616385019E-7</v>
      </c>
      <c r="N42" s="53">
        <f t="shared" si="5"/>
        <v>0.57275461811118944</v>
      </c>
      <c r="O42" s="23">
        <f t="shared" si="6"/>
        <v>1507348703.2202559</v>
      </c>
      <c r="P42" s="23">
        <f t="shared" si="7"/>
        <v>1509877001.0410445</v>
      </c>
      <c r="Q42" s="29">
        <f t="shared" si="8"/>
        <v>2528297.8207886219</v>
      </c>
      <c r="R42" s="35">
        <f>Población!K10</f>
        <v>728776</v>
      </c>
      <c r="S42" s="30">
        <f t="shared" si="9"/>
        <v>800861.59244971187</v>
      </c>
      <c r="T42" s="53">
        <f t="shared" si="10"/>
        <v>0.54826170360912918</v>
      </c>
      <c r="U42" s="29">
        <f t="shared" si="11"/>
        <v>64567420.542292736</v>
      </c>
      <c r="V42" s="35">
        <f>Población!L10</f>
        <v>745394</v>
      </c>
      <c r="W42" s="30">
        <f t="shared" si="12"/>
        <v>819123.33260488883</v>
      </c>
      <c r="X42" s="53">
        <f t="shared" si="13"/>
        <v>0.55973255283171963</v>
      </c>
      <c r="Y42" s="29">
        <f t="shared" si="14"/>
        <v>34328342.801261596</v>
      </c>
      <c r="Z42" s="35">
        <f>Población!M10</f>
        <v>771093</v>
      </c>
      <c r="AA42" s="30">
        <f t="shared" si="15"/>
        <v>847364.30385581532</v>
      </c>
      <c r="AB42" s="53">
        <f t="shared" si="16"/>
        <v>0.57801316069548492</v>
      </c>
      <c r="AC42" s="29">
        <f t="shared" si="17"/>
        <v>-13862398.060108399</v>
      </c>
    </row>
    <row r="43" spans="1:29" x14ac:dyDescent="0.2">
      <c r="A43" s="27" t="s">
        <v>155</v>
      </c>
      <c r="B43" s="27" t="s">
        <v>56</v>
      </c>
      <c r="C43" s="51">
        <v>5891372</v>
      </c>
      <c r="D43" s="51">
        <v>7259797</v>
      </c>
      <c r="E43" s="52">
        <f t="shared" si="0"/>
        <v>1.2322761149694841</v>
      </c>
      <c r="F43" s="45">
        <v>5891372</v>
      </c>
      <c r="G43" s="35">
        <f>Población!D11</f>
        <v>5860728</v>
      </c>
      <c r="H43" s="35">
        <f>'Fondos 2027'!$B$21</f>
        <v>263616731021.78818</v>
      </c>
      <c r="I43" s="30">
        <f t="shared" si="1"/>
        <v>7259796.9999999991</v>
      </c>
      <c r="J43" s="30">
        <f t="shared" si="2"/>
        <v>7222035.1307328744</v>
      </c>
      <c r="K43" s="53">
        <f t="shared" si="3"/>
        <v>4.9550105225252477</v>
      </c>
      <c r="L43" s="54">
        <v>4.9550109999999998</v>
      </c>
      <c r="M43" s="55">
        <f t="shared" si="4"/>
        <v>-4.7747475218073987E-7</v>
      </c>
      <c r="N43" s="53">
        <f t="shared" si="5"/>
        <v>4.9384312263534902</v>
      </c>
      <c r="O43" s="23">
        <f t="shared" si="6"/>
        <v>13062236761.266682</v>
      </c>
      <c r="P43" s="23">
        <f t="shared" si="7"/>
        <v>13018530962.672276</v>
      </c>
      <c r="Q43" s="29">
        <f t="shared" si="8"/>
        <v>-43705798.594406128</v>
      </c>
      <c r="R43" s="35">
        <f>Población!K11</f>
        <v>5975155</v>
      </c>
      <c r="S43" s="30">
        <f t="shared" si="9"/>
        <v>7363040.7897404879</v>
      </c>
      <c r="T43" s="53">
        <f t="shared" si="10"/>
        <v>5.0406628625783583</v>
      </c>
      <c r="U43" s="29">
        <f t="shared" si="11"/>
        <v>-269499697.48608345</v>
      </c>
      <c r="V43" s="35">
        <f>Población!L11</f>
        <v>5900473</v>
      </c>
      <c r="W43" s="30">
        <f t="shared" si="12"/>
        <v>7271011.9449223364</v>
      </c>
      <c r="X43" s="53">
        <f t="shared" si="13"/>
        <v>4.9685095218309696</v>
      </c>
      <c r="Y43" s="29">
        <f t="shared" si="14"/>
        <v>-79291419.284805596</v>
      </c>
      <c r="Z43" s="35">
        <f>Población!M11</f>
        <v>5885528</v>
      </c>
      <c r="AA43" s="30">
        <f t="shared" si="15"/>
        <v>7252595.5783841182</v>
      </c>
      <c r="AB43" s="53">
        <f t="shared" si="16"/>
        <v>4.947217713128043</v>
      </c>
      <c r="AC43" s="29">
        <f t="shared" si="17"/>
        <v>-23162649.206737973</v>
      </c>
    </row>
    <row r="44" spans="1:29" x14ac:dyDescent="0.2">
      <c r="A44" s="27" t="s">
        <v>155</v>
      </c>
      <c r="B44" s="27" t="s">
        <v>57</v>
      </c>
      <c r="C44" s="51">
        <v>4015493</v>
      </c>
      <c r="D44" s="51">
        <v>4358240</v>
      </c>
      <c r="E44" s="52">
        <f t="shared" si="0"/>
        <v>1.0853561443140356</v>
      </c>
      <c r="F44" s="45">
        <v>4015493</v>
      </c>
      <c r="G44" s="35">
        <f>Población!D12</f>
        <v>3903944</v>
      </c>
      <c r="H44" s="35">
        <f>'Fondos 2027'!$B$21</f>
        <v>263616731021.78818</v>
      </c>
      <c r="I44" s="30">
        <f t="shared" si="1"/>
        <v>4358240</v>
      </c>
      <c r="J44" s="30">
        <f t="shared" si="2"/>
        <v>4237169.6074579135</v>
      </c>
      <c r="K44" s="53">
        <f t="shared" si="3"/>
        <v>2.9746183067777836</v>
      </c>
      <c r="L44" s="54">
        <v>2.974618</v>
      </c>
      <c r="M44" s="55">
        <f t="shared" si="4"/>
        <v>3.0677778362075969E-7</v>
      </c>
      <c r="N44" s="53">
        <f t="shared" si="5"/>
        <v>2.8973786920228823</v>
      </c>
      <c r="O44" s="23">
        <f t="shared" si="6"/>
        <v>7841591540.7032595</v>
      </c>
      <c r="P44" s="23">
        <f t="shared" si="7"/>
        <v>7637974993.2325668</v>
      </c>
      <c r="Q44" s="29">
        <f t="shared" si="8"/>
        <v>-203616547.47069263</v>
      </c>
      <c r="R44" s="35">
        <f>Población!K12</f>
        <v>3976037</v>
      </c>
      <c r="S44" s="30">
        <f t="shared" si="9"/>
        <v>4315416.1879699454</v>
      </c>
      <c r="T44" s="53">
        <f t="shared" si="10"/>
        <v>2.9542900462508843</v>
      </c>
      <c r="U44" s="29">
        <f t="shared" si="11"/>
        <v>-150027851.59608904</v>
      </c>
      <c r="V44" s="35">
        <f>Población!L12</f>
        <v>3991333</v>
      </c>
      <c r="W44" s="30">
        <f t="shared" si="12"/>
        <v>4332017.7955533722</v>
      </c>
      <c r="X44" s="53">
        <f t="shared" si="13"/>
        <v>2.9602030403730875</v>
      </c>
      <c r="Y44" s="29">
        <f t="shared" si="14"/>
        <v>-165615493.40655142</v>
      </c>
      <c r="Z44" s="35">
        <f>Población!M12</f>
        <v>3985958</v>
      </c>
      <c r="AA44" s="30">
        <f t="shared" si="15"/>
        <v>4326184.0062776851</v>
      </c>
      <c r="AB44" s="53">
        <f t="shared" si="16"/>
        <v>2.9510226945367206</v>
      </c>
      <c r="AC44" s="29">
        <f t="shared" si="17"/>
        <v>-141414565.81622633</v>
      </c>
    </row>
    <row r="45" spans="1:29" x14ac:dyDescent="0.2">
      <c r="A45" s="27" t="s">
        <v>155</v>
      </c>
      <c r="B45" s="27" t="s">
        <v>58</v>
      </c>
      <c r="C45" s="51">
        <v>9336468</v>
      </c>
      <c r="D45" s="51">
        <v>10671518</v>
      </c>
      <c r="E45" s="52">
        <f t="shared" si="0"/>
        <v>1.1429930461926288</v>
      </c>
      <c r="F45" s="45">
        <v>9336468</v>
      </c>
      <c r="G45" s="35">
        <f>Población!D13</f>
        <v>9216407</v>
      </c>
      <c r="H45" s="35">
        <f>'Fondos 2027'!$B$21</f>
        <v>263616731021.78818</v>
      </c>
      <c r="I45" s="30">
        <f t="shared" si="1"/>
        <v>10671518</v>
      </c>
      <c r="J45" s="30">
        <f t="shared" si="2"/>
        <v>10534289.111881066</v>
      </c>
      <c r="K45" s="53">
        <f t="shared" si="3"/>
        <v>7.2836036574187384</v>
      </c>
      <c r="L45" s="54">
        <v>7.2836040000000004</v>
      </c>
      <c r="M45" s="55">
        <f t="shared" si="4"/>
        <v>-3.4258126202502126E-7</v>
      </c>
      <c r="N45" s="53">
        <f t="shared" si="5"/>
        <v>7.2033521515520356</v>
      </c>
      <c r="O45" s="23">
        <f t="shared" si="6"/>
        <v>19200797862.270683</v>
      </c>
      <c r="P45" s="23">
        <f t="shared" si="7"/>
        <v>18989241465.909119</v>
      </c>
      <c r="Q45" s="29">
        <f t="shared" si="8"/>
        <v>-211556396.36156464</v>
      </c>
      <c r="R45" s="35">
        <f>Población!K13</f>
        <v>9350964</v>
      </c>
      <c r="S45" s="30">
        <f t="shared" si="9"/>
        <v>10688086.827197609</v>
      </c>
      <c r="T45" s="53">
        <f t="shared" si="10"/>
        <v>7.3169555731561804</v>
      </c>
      <c r="U45" s="29">
        <f t="shared" si="11"/>
        <v>-299477626.36174649</v>
      </c>
      <c r="V45" s="35">
        <f>Población!L13</f>
        <v>9319955</v>
      </c>
      <c r="W45" s="30">
        <f t="shared" si="12"/>
        <v>10652643.755828222</v>
      </c>
      <c r="X45" s="53">
        <f t="shared" si="13"/>
        <v>7.2792841401488149</v>
      </c>
      <c r="Y45" s="29">
        <f t="shared" si="14"/>
        <v>-200169426.13866657</v>
      </c>
      <c r="Z45" s="35">
        <f>Población!M13</f>
        <v>9296753</v>
      </c>
      <c r="AA45" s="30">
        <f t="shared" si="15"/>
        <v>10626124.031170459</v>
      </c>
      <c r="AB45" s="53">
        <f t="shared" si="16"/>
        <v>7.2484048587491525</v>
      </c>
      <c r="AC45" s="29">
        <f t="shared" si="17"/>
        <v>-118766473.94985761</v>
      </c>
    </row>
    <row r="46" spans="1:29" x14ac:dyDescent="0.2">
      <c r="A46" s="27" t="s">
        <v>155</v>
      </c>
      <c r="B46" s="27" t="s">
        <v>59</v>
      </c>
      <c r="C46" s="51">
        <v>1968132</v>
      </c>
      <c r="D46" s="51">
        <v>2306397</v>
      </c>
      <c r="E46" s="52">
        <f t="shared" si="0"/>
        <v>1.171871094011987</v>
      </c>
      <c r="F46" s="45">
        <v>1968132</v>
      </c>
      <c r="G46" s="35">
        <f>Población!D14</f>
        <v>1943290</v>
      </c>
      <c r="H46" s="35">
        <f>'Fondos 2027'!$B$21</f>
        <v>263616731021.78818</v>
      </c>
      <c r="I46" s="30">
        <f t="shared" si="1"/>
        <v>2306397</v>
      </c>
      <c r="J46" s="30">
        <f t="shared" si="2"/>
        <v>2277285.378282554</v>
      </c>
      <c r="K46" s="53">
        <f t="shared" si="3"/>
        <v>1.5741791959362865</v>
      </c>
      <c r="L46" s="54">
        <v>1.574179</v>
      </c>
      <c r="M46" s="55">
        <f t="shared" si="4"/>
        <v>1.9593628652891937E-7</v>
      </c>
      <c r="N46" s="53">
        <f t="shared" si="5"/>
        <v>1.5572088780863553</v>
      </c>
      <c r="O46" s="23">
        <f t="shared" si="6"/>
        <v>4149799736.7523084</v>
      </c>
      <c r="P46" s="23">
        <f t="shared" si="7"/>
        <v>4105063139.5923128</v>
      </c>
      <c r="Q46" s="29">
        <f t="shared" si="8"/>
        <v>-44736597.159995556</v>
      </c>
      <c r="R46" s="35">
        <f>Población!K14</f>
        <v>1944614</v>
      </c>
      <c r="S46" s="30">
        <f t="shared" si="9"/>
        <v>2278836.9356110259</v>
      </c>
      <c r="T46" s="53">
        <f t="shared" si="10"/>
        <v>1.5600685965521082</v>
      </c>
      <c r="U46" s="29">
        <f t="shared" si="11"/>
        <v>-7538696.3358440623</v>
      </c>
      <c r="V46" s="35">
        <f>Población!L14</f>
        <v>1954301</v>
      </c>
      <c r="W46" s="30">
        <f t="shared" si="12"/>
        <v>2290188.8508987203</v>
      </c>
      <c r="X46" s="53">
        <f t="shared" si="13"/>
        <v>1.5649575600584382</v>
      </c>
      <c r="Y46" s="29">
        <f t="shared" si="14"/>
        <v>-20426822.112079553</v>
      </c>
      <c r="Z46" s="35">
        <f>Población!M14</f>
        <v>1959669</v>
      </c>
      <c r="AA46" s="30">
        <f t="shared" si="15"/>
        <v>2296479.4549313765</v>
      </c>
      <c r="AB46" s="53">
        <f t="shared" si="16"/>
        <v>1.5664990160394985</v>
      </c>
      <c r="AC46" s="29">
        <f t="shared" si="17"/>
        <v>-24490357.97949044</v>
      </c>
    </row>
    <row r="47" spans="1:29" x14ac:dyDescent="0.2">
      <c r="A47" s="27" t="s">
        <v>155</v>
      </c>
      <c r="B47" s="27" t="s">
        <v>60</v>
      </c>
      <c r="C47" s="51">
        <v>6402249</v>
      </c>
      <c r="D47" s="51">
        <v>6991678</v>
      </c>
      <c r="E47" s="52">
        <f t="shared" si="0"/>
        <v>1.0920659287072403</v>
      </c>
      <c r="F47" s="45">
        <v>6402249</v>
      </c>
      <c r="G47" s="35">
        <f>Población!D15</f>
        <v>6446935</v>
      </c>
      <c r="H47" s="35">
        <f>'Fondos 2027'!$B$21</f>
        <v>263616731021.78818</v>
      </c>
      <c r="I47" s="30">
        <f t="shared" si="1"/>
        <v>6991678</v>
      </c>
      <c r="J47" s="30">
        <f t="shared" si="2"/>
        <v>7040478.0580902118</v>
      </c>
      <c r="K47" s="53">
        <f t="shared" si="3"/>
        <v>4.7720119529662171</v>
      </c>
      <c r="L47" s="54">
        <v>4.7720120000000001</v>
      </c>
      <c r="M47" s="55">
        <f t="shared" si="4"/>
        <v>-4.7033783090455472E-8</v>
      </c>
      <c r="N47" s="53">
        <f t="shared" si="5"/>
        <v>4.8142824094793655</v>
      </c>
      <c r="O47" s="23">
        <f t="shared" si="6"/>
        <v>12579821914.378534</v>
      </c>
      <c r="P47" s="23">
        <f t="shared" si="7"/>
        <v>12691253910.026482</v>
      </c>
      <c r="Q47" s="29">
        <f t="shared" si="8"/>
        <v>111431995.64794731</v>
      </c>
      <c r="R47" s="35">
        <f>Población!K15</f>
        <v>6345807</v>
      </c>
      <c r="S47" s="30">
        <f t="shared" si="9"/>
        <v>6930039.614851906</v>
      </c>
      <c r="T47" s="53">
        <f t="shared" si="10"/>
        <v>4.7442346606926815</v>
      </c>
      <c r="U47" s="29">
        <f t="shared" si="11"/>
        <v>184657585.50581056</v>
      </c>
      <c r="V47" s="35">
        <f>Población!L15</f>
        <v>6376710</v>
      </c>
      <c r="W47" s="30">
        <f t="shared" si="12"/>
        <v>6963787.7282467466</v>
      </c>
      <c r="X47" s="53">
        <f t="shared" si="13"/>
        <v>4.7585736205489324</v>
      </c>
      <c r="Y47" s="29">
        <f t="shared" si="14"/>
        <v>146857688.27023548</v>
      </c>
      <c r="Z47" s="35">
        <f>Población!M15</f>
        <v>6432483</v>
      </c>
      <c r="AA47" s="30">
        <f t="shared" si="15"/>
        <v>7024695.5212885356</v>
      </c>
      <c r="AB47" s="53">
        <f t="shared" si="16"/>
        <v>4.7917600997673153</v>
      </c>
      <c r="AC47" s="29">
        <f t="shared" si="17"/>
        <v>59372576.613509342</v>
      </c>
    </row>
    <row r="48" spans="1:29" x14ac:dyDescent="0.2">
      <c r="A48" s="27" t="s">
        <v>155</v>
      </c>
      <c r="B48" s="27" t="s">
        <v>61</v>
      </c>
      <c r="C48" s="51">
        <v>3569633</v>
      </c>
      <c r="D48" s="51">
        <v>4028357</v>
      </c>
      <c r="E48" s="52">
        <f t="shared" si="0"/>
        <v>1.1285073283443985</v>
      </c>
      <c r="F48" s="45">
        <v>3569633</v>
      </c>
      <c r="G48" s="35">
        <f>Población!D16</f>
        <v>3418902</v>
      </c>
      <c r="H48" s="35">
        <f>'Fondos 2027'!$B$21</f>
        <v>263616731021.78818</v>
      </c>
      <c r="I48" s="30">
        <f t="shared" si="1"/>
        <v>4028357</v>
      </c>
      <c r="J48" s="30">
        <f t="shared" si="2"/>
        <v>3858255.9618913205</v>
      </c>
      <c r="K48" s="53">
        <f t="shared" si="3"/>
        <v>2.7494641135954954</v>
      </c>
      <c r="L48" s="54">
        <v>2.7494640000000001</v>
      </c>
      <c r="M48" s="55">
        <f t="shared" si="4"/>
        <v>1.1359549523248802E-7</v>
      </c>
      <c r="N48" s="53">
        <f t="shared" si="5"/>
        <v>2.6382773520979943</v>
      </c>
      <c r="O48" s="23">
        <f t="shared" si="6"/>
        <v>7248047416.8776293</v>
      </c>
      <c r="P48" s="23">
        <f t="shared" si="7"/>
        <v>6954940510.8889246</v>
      </c>
      <c r="Q48" s="29">
        <f t="shared" si="8"/>
        <v>-293106905.98870468</v>
      </c>
      <c r="R48" s="35">
        <f>Población!K16</f>
        <v>3606579</v>
      </c>
      <c r="S48" s="30">
        <f t="shared" si="9"/>
        <v>4070050.8317530123</v>
      </c>
      <c r="T48" s="53">
        <f t="shared" si="10"/>
        <v>2.7863154180824052</v>
      </c>
      <c r="U48" s="29">
        <f t="shared" si="11"/>
        <v>-390253110.2159819</v>
      </c>
      <c r="V48" s="35">
        <f>Población!L16</f>
        <v>3578620</v>
      </c>
      <c r="W48" s="30">
        <f t="shared" si="12"/>
        <v>4038498.8953598314</v>
      </c>
      <c r="X48" s="53">
        <f t="shared" si="13"/>
        <v>2.7596324098341856</v>
      </c>
      <c r="Y48" s="29">
        <f t="shared" si="14"/>
        <v>-319912236.13375109</v>
      </c>
      <c r="Z48" s="35">
        <f>Población!M16</f>
        <v>3538257</v>
      </c>
      <c r="AA48" s="30">
        <f t="shared" si="15"/>
        <v>3992948.9540658663</v>
      </c>
      <c r="AB48" s="53">
        <f t="shared" si="16"/>
        <v>2.7237128528228158</v>
      </c>
      <c r="AC48" s="29">
        <f t="shared" si="17"/>
        <v>-225222274.14287069</v>
      </c>
    </row>
    <row r="49" spans="1:29" x14ac:dyDescent="0.2">
      <c r="A49" s="27" t="s">
        <v>155</v>
      </c>
      <c r="B49" s="27" t="s">
        <v>62</v>
      </c>
      <c r="C49" s="51">
        <v>3215821</v>
      </c>
      <c r="D49" s="51">
        <v>3605828</v>
      </c>
      <c r="E49" s="52">
        <f t="shared" si="0"/>
        <v>1.1212775835470943</v>
      </c>
      <c r="F49" s="45">
        <v>3215821</v>
      </c>
      <c r="G49" s="35">
        <f>Población!D17</f>
        <v>3245595</v>
      </c>
      <c r="H49" s="35">
        <f>'Fondos 2027'!$B$21</f>
        <v>263616731021.78818</v>
      </c>
      <c r="I49" s="30">
        <f t="shared" si="1"/>
        <v>3605828.0000000005</v>
      </c>
      <c r="J49" s="30">
        <f t="shared" si="2"/>
        <v>3639212.9187725317</v>
      </c>
      <c r="K49" s="53">
        <f t="shared" si="3"/>
        <v>2.4610764849783227</v>
      </c>
      <c r="L49" s="54">
        <v>2.4610759999999998</v>
      </c>
      <c r="M49" s="55">
        <f t="shared" si="4"/>
        <v>4.8497832283445064E-7</v>
      </c>
      <c r="N49" s="53">
        <f t="shared" si="5"/>
        <v>2.4884956099059492</v>
      </c>
      <c r="O49" s="23">
        <f t="shared" si="6"/>
        <v>6487809377.6457844</v>
      </c>
      <c r="P49" s="23">
        <f t="shared" si="7"/>
        <v>6560090778.4547739</v>
      </c>
      <c r="Q49" s="29">
        <f t="shared" si="8"/>
        <v>72281400.808989525</v>
      </c>
      <c r="R49" s="35">
        <f>Población!K17</f>
        <v>3248649</v>
      </c>
      <c r="S49" s="30">
        <f t="shared" si="9"/>
        <v>3642637.3005126845</v>
      </c>
      <c r="T49" s="53">
        <f t="shared" si="10"/>
        <v>2.4937124602271994</v>
      </c>
      <c r="U49" s="29">
        <f t="shared" si="11"/>
        <v>-13752490.2791794</v>
      </c>
      <c r="V49" s="35">
        <f>Población!L17</f>
        <v>3228160</v>
      </c>
      <c r="W49" s="30">
        <f t="shared" si="12"/>
        <v>3619663.4441033877</v>
      </c>
      <c r="X49" s="53">
        <f t="shared" si="13"/>
        <v>2.4734290665566028</v>
      </c>
      <c r="Y49" s="29">
        <f t="shared" si="14"/>
        <v>39717929.055527695</v>
      </c>
      <c r="Z49" s="35">
        <f>Población!M17</f>
        <v>3229482</v>
      </c>
      <c r="AA49" s="30">
        <f t="shared" si="15"/>
        <v>3621145.7730688374</v>
      </c>
      <c r="AB49" s="53">
        <f t="shared" si="16"/>
        <v>2.4700945084733754</v>
      </c>
      <c r="AC49" s="29">
        <f t="shared" si="17"/>
        <v>48508382.068554446</v>
      </c>
    </row>
    <row r="50" spans="1:29" x14ac:dyDescent="0.2">
      <c r="A50" s="27" t="s">
        <v>155</v>
      </c>
      <c r="B50" s="27" t="s">
        <v>63</v>
      </c>
      <c r="C50" s="51">
        <v>8750952</v>
      </c>
      <c r="D50" s="51">
        <v>9918726</v>
      </c>
      <c r="E50" s="52">
        <f t="shared" si="0"/>
        <v>1.1334453668583715</v>
      </c>
      <c r="F50" s="45">
        <v>8750952</v>
      </c>
      <c r="G50" s="35">
        <f>Población!D18</f>
        <v>8679851</v>
      </c>
      <c r="H50" s="35">
        <f>'Fondos 2027'!$B$21</f>
        <v>263616731021.78818</v>
      </c>
      <c r="I50" s="30">
        <f t="shared" si="1"/>
        <v>9918726</v>
      </c>
      <c r="J50" s="30">
        <f t="shared" si="2"/>
        <v>9838136.9009710029</v>
      </c>
      <c r="K50" s="53">
        <f t="shared" si="3"/>
        <v>6.7698024751993424</v>
      </c>
      <c r="L50" s="54">
        <v>6.7698029999999996</v>
      </c>
      <c r="M50" s="55">
        <f t="shared" si="4"/>
        <v>-5.2480065715343471E-7</v>
      </c>
      <c r="N50" s="53">
        <f t="shared" si="5"/>
        <v>6.7273229223360858</v>
      </c>
      <c r="O50" s="23">
        <f t="shared" si="6"/>
        <v>17846331981.752609</v>
      </c>
      <c r="P50" s="23">
        <f t="shared" si="7"/>
        <v>17734348773.141819</v>
      </c>
      <c r="Q50" s="29">
        <f t="shared" si="8"/>
        <v>-111983208.61079025</v>
      </c>
      <c r="R50" s="35">
        <f>Población!K18</f>
        <v>8739649</v>
      </c>
      <c r="S50" s="30">
        <f t="shared" si="9"/>
        <v>9905914.6670184005</v>
      </c>
      <c r="T50" s="53">
        <f t="shared" si="10"/>
        <v>6.7814884648587963</v>
      </c>
      <c r="U50" s="29">
        <f t="shared" si="11"/>
        <v>-142789432.53858617</v>
      </c>
      <c r="V50" s="35">
        <f>Población!L18</f>
        <v>8761130</v>
      </c>
      <c r="W50" s="30">
        <f t="shared" si="12"/>
        <v>9930262.2069438845</v>
      </c>
      <c r="X50" s="53">
        <f t="shared" si="13"/>
        <v>6.7856582691951424</v>
      </c>
      <c r="Y50" s="29">
        <f t="shared" si="14"/>
        <v>-153781734.42006642</v>
      </c>
      <c r="Z50" s="35">
        <f>Población!M18</f>
        <v>8703341</v>
      </c>
      <c r="AA50" s="30">
        <f t="shared" si="15"/>
        <v>9864761.5326385051</v>
      </c>
      <c r="AB50" s="53">
        <f t="shared" si="16"/>
        <v>6.7290561651483562</v>
      </c>
      <c r="AC50" s="29">
        <f t="shared" si="17"/>
        <v>-4569118.0423775921</v>
      </c>
    </row>
    <row r="51" spans="1:29" x14ac:dyDescent="0.2">
      <c r="A51" s="27" t="s">
        <v>155</v>
      </c>
      <c r="B51" s="27" t="s">
        <v>64</v>
      </c>
      <c r="C51" s="51">
        <v>17753727</v>
      </c>
      <c r="D51" s="51">
        <v>19679734</v>
      </c>
      <c r="E51" s="52">
        <f t="shared" si="0"/>
        <v>1.1084846578974656</v>
      </c>
      <c r="F51" s="45">
        <v>17753727</v>
      </c>
      <c r="G51" s="35">
        <f>Población!D19</f>
        <v>17612480</v>
      </c>
      <c r="H51" s="35">
        <f>'Fondos 2027'!$B$21</f>
        <v>263616731021.78818</v>
      </c>
      <c r="I51" s="30">
        <f t="shared" si="1"/>
        <v>19679734</v>
      </c>
      <c r="J51" s="30">
        <f t="shared" si="2"/>
        <v>19523163.867525958</v>
      </c>
      <c r="K51" s="53">
        <f t="shared" si="3"/>
        <v>13.431958090632271</v>
      </c>
      <c r="L51" s="54">
        <v>13.431958</v>
      </c>
      <c r="M51" s="55">
        <f t="shared" si="4"/>
        <v>9.0632271465551639E-8</v>
      </c>
      <c r="N51" s="53">
        <f t="shared" si="5"/>
        <v>13.349949195113167</v>
      </c>
      <c r="O51" s="23">
        <f t="shared" si="6"/>
        <v>35408888830.741386</v>
      </c>
      <c r="P51" s="23">
        <f t="shared" si="7"/>
        <v>35192699661.226852</v>
      </c>
      <c r="Q51" s="29">
        <f t="shared" si="8"/>
        <v>-216189169.514534</v>
      </c>
      <c r="R51" s="35">
        <f>Población!K19</f>
        <v>17788768</v>
      </c>
      <c r="S51" s="30">
        <f t="shared" si="9"/>
        <v>19718576.410897385</v>
      </c>
      <c r="T51" s="53">
        <f t="shared" si="10"/>
        <v>13.499136926664685</v>
      </c>
      <c r="U51" s="29">
        <f t="shared" si="11"/>
        <v>-393283821.00167137</v>
      </c>
      <c r="V51" s="35">
        <f>Población!L19</f>
        <v>17789139</v>
      </c>
      <c r="W51" s="30">
        <f t="shared" si="12"/>
        <v>19718987.658705465</v>
      </c>
      <c r="X51" s="53">
        <f t="shared" si="13"/>
        <v>13.474600053650713</v>
      </c>
      <c r="Y51" s="29">
        <f t="shared" si="14"/>
        <v>-328600518.46727198</v>
      </c>
      <c r="Z51" s="35">
        <f>Población!M19</f>
        <v>17729333</v>
      </c>
      <c r="AA51" s="30">
        <f t="shared" si="15"/>
        <v>19652693.625255249</v>
      </c>
      <c r="AB51" s="53">
        <f t="shared" si="16"/>
        <v>13.405704614678568</v>
      </c>
      <c r="AC51" s="29">
        <f t="shared" si="17"/>
        <v>-146980614.42579168</v>
      </c>
    </row>
    <row r="52" spans="1:29" x14ac:dyDescent="0.2">
      <c r="A52" s="27" t="s">
        <v>155</v>
      </c>
      <c r="B52" s="27" t="s">
        <v>65</v>
      </c>
      <c r="C52" s="51">
        <v>4945881</v>
      </c>
      <c r="D52" s="51">
        <v>5171427</v>
      </c>
      <c r="E52" s="52">
        <f t="shared" si="0"/>
        <v>1.045602795538348</v>
      </c>
      <c r="F52" s="45">
        <v>4945881</v>
      </c>
      <c r="G52" s="35">
        <f>Población!D20</f>
        <v>4889574</v>
      </c>
      <c r="H52" s="35">
        <f>'Fondos 2027'!$B$21</f>
        <v>263616731021.78818</v>
      </c>
      <c r="I52" s="30">
        <f t="shared" si="1"/>
        <v>5171427</v>
      </c>
      <c r="J52" s="30">
        <f t="shared" si="2"/>
        <v>5112552.2433916228</v>
      </c>
      <c r="K52" s="53">
        <f t="shared" si="3"/>
        <v>3.5296407325812518</v>
      </c>
      <c r="L52" s="54">
        <v>3.5296400000000001</v>
      </c>
      <c r="M52" s="55">
        <f t="shared" si="4"/>
        <v>7.325812516612018E-7</v>
      </c>
      <c r="N52" s="53">
        <f t="shared" si="5"/>
        <v>3.4959657753100233</v>
      </c>
      <c r="O52" s="23">
        <f t="shared" si="6"/>
        <v>9304723516.0441914</v>
      </c>
      <c r="P52" s="23">
        <f t="shared" si="7"/>
        <v>9215950694.5127964</v>
      </c>
      <c r="Q52" s="29">
        <f t="shared" si="8"/>
        <v>-88772821.531394958</v>
      </c>
      <c r="R52" s="35">
        <f>Población!K20</f>
        <v>4950874</v>
      </c>
      <c r="S52" s="30">
        <f t="shared" si="9"/>
        <v>5176647.6947581228</v>
      </c>
      <c r="T52" s="53">
        <f t="shared" si="10"/>
        <v>3.5438803794184635</v>
      </c>
      <c r="U52" s="29">
        <f t="shared" si="11"/>
        <v>-126310913.0327014</v>
      </c>
      <c r="V52" s="35">
        <f>Población!L20</f>
        <v>4940153</v>
      </c>
      <c r="W52" s="30">
        <f t="shared" si="12"/>
        <v>5165437.7871871563</v>
      </c>
      <c r="X52" s="53">
        <f t="shared" si="13"/>
        <v>3.5297049467767043</v>
      </c>
      <c r="Y52" s="29">
        <f t="shared" si="14"/>
        <v>-88942100.894300461</v>
      </c>
      <c r="Z52" s="35">
        <f>Población!M20</f>
        <v>4915546</v>
      </c>
      <c r="AA52" s="30">
        <f t="shared" si="15"/>
        <v>5139708.639197344</v>
      </c>
      <c r="AB52" s="53">
        <f t="shared" si="16"/>
        <v>3.5059527786077842</v>
      </c>
      <c r="AC52" s="29">
        <f t="shared" si="17"/>
        <v>-26327411.620595522</v>
      </c>
    </row>
    <row r="53" spans="1:29" x14ac:dyDescent="0.2">
      <c r="A53" s="27" t="s">
        <v>155</v>
      </c>
      <c r="B53" s="27" t="s">
        <v>66</v>
      </c>
      <c r="C53" s="51">
        <v>1988503</v>
      </c>
      <c r="D53" s="51">
        <v>2188180</v>
      </c>
      <c r="E53" s="52">
        <f t="shared" si="0"/>
        <v>1.1004157398807042</v>
      </c>
      <c r="F53" s="45">
        <v>1988503</v>
      </c>
      <c r="G53" s="35">
        <f>Población!D21</f>
        <v>1997217</v>
      </c>
      <c r="H53" s="35">
        <f>'Fondos 2027'!$B$21</f>
        <v>263616731021.78818</v>
      </c>
      <c r="I53" s="30">
        <f t="shared" si="1"/>
        <v>2188180</v>
      </c>
      <c r="J53" s="30">
        <f t="shared" si="2"/>
        <v>2197769.0227573202</v>
      </c>
      <c r="K53" s="53">
        <f t="shared" si="3"/>
        <v>1.4934928518220683</v>
      </c>
      <c r="L53" s="54">
        <v>1.493493</v>
      </c>
      <c r="M53" s="55">
        <f t="shared" si="4"/>
        <v>-1.4817793170252003E-7</v>
      </c>
      <c r="N53" s="53">
        <f t="shared" si="5"/>
        <v>1.5028355544977465</v>
      </c>
      <c r="O53" s="23">
        <f t="shared" si="6"/>
        <v>3937097034.017415</v>
      </c>
      <c r="P53" s="23">
        <f t="shared" si="7"/>
        <v>3961725961.4001236</v>
      </c>
      <c r="Q53" s="29">
        <f t="shared" si="8"/>
        <v>24628927.382708549</v>
      </c>
      <c r="R53" s="35">
        <f>Población!K21</f>
        <v>1984308</v>
      </c>
      <c r="S53" s="30">
        <f t="shared" si="9"/>
        <v>2183563.7559712003</v>
      </c>
      <c r="T53" s="53">
        <f t="shared" si="10"/>
        <v>1.4948455464395267</v>
      </c>
      <c r="U53" s="29">
        <f t="shared" si="11"/>
        <v>21062998.051456518</v>
      </c>
      <c r="V53" s="35">
        <f>Población!L21</f>
        <v>1984462</v>
      </c>
      <c r="W53" s="30">
        <f t="shared" si="12"/>
        <v>2183733.219995142</v>
      </c>
      <c r="X53" s="53">
        <f t="shared" si="13"/>
        <v>1.4922131030552663</v>
      </c>
      <c r="Y53" s="29">
        <f t="shared" si="14"/>
        <v>28002559.247043081</v>
      </c>
      <c r="Z53" s="35">
        <f>Población!M21</f>
        <v>1994177</v>
      </c>
      <c r="AA53" s="30">
        <f t="shared" si="15"/>
        <v>2194423.7589080832</v>
      </c>
      <c r="AB53" s="53">
        <f t="shared" si="16"/>
        <v>1.4968836980977613</v>
      </c>
      <c r="AC53" s="29">
        <f t="shared" si="17"/>
        <v>15690089.27675204</v>
      </c>
    </row>
    <row r="54" spans="1:29" x14ac:dyDescent="0.2">
      <c r="A54" s="27" t="s">
        <v>155</v>
      </c>
      <c r="B54" s="27" t="s">
        <v>67</v>
      </c>
      <c r="C54" s="51">
        <v>1279298</v>
      </c>
      <c r="D54" s="51">
        <v>1441921</v>
      </c>
      <c r="E54" s="52">
        <f t="shared" si="0"/>
        <v>1.1271189355412108</v>
      </c>
      <c r="F54" s="45">
        <v>1279298</v>
      </c>
      <c r="G54" s="35">
        <f>Población!D22</f>
        <v>1299075</v>
      </c>
      <c r="H54" s="35">
        <f>'Fondos 2027'!$B$21</f>
        <v>263616731021.78818</v>
      </c>
      <c r="I54" s="30">
        <f t="shared" si="1"/>
        <v>1441920.9999999998</v>
      </c>
      <c r="J54" s="30">
        <f t="shared" si="2"/>
        <v>1464212.0311881984</v>
      </c>
      <c r="K54" s="53">
        <f t="shared" si="3"/>
        <v>0.98415062124328367</v>
      </c>
      <c r="L54" s="54">
        <v>0.984151</v>
      </c>
      <c r="M54" s="55">
        <f t="shared" si="4"/>
        <v>-3.7875671632381369E-7</v>
      </c>
      <c r="N54" s="53">
        <f t="shared" si="5"/>
        <v>1.0012289176013041</v>
      </c>
      <c r="O54" s="23">
        <f t="shared" si="6"/>
        <v>2594385696.0521646</v>
      </c>
      <c r="P54" s="23">
        <f t="shared" si="7"/>
        <v>2639406942.6253905</v>
      </c>
      <c r="Q54" s="29">
        <f t="shared" si="8"/>
        <v>45021246.573225975</v>
      </c>
      <c r="R54" s="35">
        <f>Población!K22</f>
        <v>1245276</v>
      </c>
      <c r="S54" s="30">
        <f t="shared" si="9"/>
        <v>1403574.1595750167</v>
      </c>
      <c r="T54" s="53">
        <f t="shared" si="10"/>
        <v>0.96087259911726974</v>
      </c>
      <c r="U54" s="29">
        <f t="shared" si="11"/>
        <v>106386007.54835291</v>
      </c>
      <c r="V54" s="35">
        <f>Población!L22</f>
        <v>1257616</v>
      </c>
      <c r="W54" s="30">
        <f t="shared" si="12"/>
        <v>1417482.8072395953</v>
      </c>
      <c r="X54" s="53">
        <f t="shared" si="13"/>
        <v>0.96861026747726631</v>
      </c>
      <c r="Y54" s="29">
        <f t="shared" si="14"/>
        <v>85988219.160422772</v>
      </c>
      <c r="Z54" s="35">
        <f>Población!M22</f>
        <v>1301047</v>
      </c>
      <c r="AA54" s="30">
        <f t="shared" si="15"/>
        <v>1466434.7097290857</v>
      </c>
      <c r="AB54" s="53">
        <f t="shared" si="16"/>
        <v>1.0003000570912681</v>
      </c>
      <c r="AC54" s="29">
        <f t="shared" si="17"/>
        <v>2448631.7123090369</v>
      </c>
    </row>
    <row r="55" spans="1:29" x14ac:dyDescent="0.2">
      <c r="A55" s="27" t="s">
        <v>155</v>
      </c>
      <c r="B55" s="27" t="s">
        <v>68</v>
      </c>
      <c r="C55" s="51">
        <v>6234433</v>
      </c>
      <c r="D55" s="51">
        <v>6862310</v>
      </c>
      <c r="E55" s="52">
        <f t="shared" si="0"/>
        <v>1.1007111633086761</v>
      </c>
      <c r="F55" s="45">
        <v>6234433</v>
      </c>
      <c r="G55" s="35">
        <f>Población!D23</f>
        <v>6291899</v>
      </c>
      <c r="H55" s="35">
        <f>'Fondos 2027'!$B$21</f>
        <v>263616731021.78818</v>
      </c>
      <c r="I55" s="30">
        <f t="shared" si="1"/>
        <v>6862310</v>
      </c>
      <c r="J55" s="30">
        <f t="shared" si="2"/>
        <v>6925563.4677106962</v>
      </c>
      <c r="K55" s="53">
        <f t="shared" si="3"/>
        <v>4.6837147455817609</v>
      </c>
      <c r="L55" s="54">
        <v>4.6837150000000003</v>
      </c>
      <c r="M55" s="55">
        <f t="shared" si="4"/>
        <v>-2.5441823936489527E-7</v>
      </c>
      <c r="N55" s="53">
        <f t="shared" si="5"/>
        <v>4.7357037552328807</v>
      </c>
      <c r="O55" s="23">
        <f t="shared" si="6"/>
        <v>12347055702.688101</v>
      </c>
      <c r="P55" s="23">
        <f t="shared" si="7"/>
        <v>12484107430.420984</v>
      </c>
      <c r="Q55" s="29">
        <f t="shared" si="8"/>
        <v>137051727.73288345</v>
      </c>
      <c r="R55" s="35">
        <f>Población!K23</f>
        <v>6152311</v>
      </c>
      <c r="S55" s="30">
        <f t="shared" si="9"/>
        <v>6771917.3978467649</v>
      </c>
      <c r="T55" s="53">
        <f t="shared" si="10"/>
        <v>4.6359857986034001</v>
      </c>
      <c r="U55" s="29">
        <f t="shared" si="11"/>
        <v>262873217.50836119</v>
      </c>
      <c r="V55" s="35">
        <f>Población!L23</f>
        <v>6310265</v>
      </c>
      <c r="W55" s="30">
        <f t="shared" si="12"/>
        <v>6945779.1289360235</v>
      </c>
      <c r="X55" s="53">
        <f t="shared" si="13"/>
        <v>4.7462677822656314</v>
      </c>
      <c r="Y55" s="29">
        <f t="shared" si="14"/>
        <v>-27848542.727995463</v>
      </c>
      <c r="Z55" s="35">
        <f>Población!M23</f>
        <v>6282446</v>
      </c>
      <c r="AA55" s="30">
        <f t="shared" si="15"/>
        <v>6915158.4450839395</v>
      </c>
      <c r="AB55" s="53">
        <f t="shared" si="16"/>
        <v>4.7170415031232755</v>
      </c>
      <c r="AC55" s="29">
        <f t="shared" si="17"/>
        <v>49196818.946385793</v>
      </c>
    </row>
    <row r="56" spans="1:29" x14ac:dyDescent="0.2">
      <c r="A56" s="27" t="s">
        <v>155</v>
      </c>
      <c r="B56" s="27" t="s">
        <v>69</v>
      </c>
      <c r="C56" s="51">
        <v>4178688</v>
      </c>
      <c r="D56" s="51">
        <v>4783053</v>
      </c>
      <c r="E56" s="52">
        <f t="shared" si="0"/>
        <v>1.144630324159162</v>
      </c>
      <c r="F56" s="45">
        <v>4178688</v>
      </c>
      <c r="G56" s="35">
        <f>Población!D24</f>
        <v>4169180</v>
      </c>
      <c r="H56" s="35">
        <f>'Fondos 2027'!$B$21</f>
        <v>263616731021.78818</v>
      </c>
      <c r="I56" s="30">
        <f t="shared" si="1"/>
        <v>4783053</v>
      </c>
      <c r="J56" s="30">
        <f t="shared" si="2"/>
        <v>4772169.8548778947</v>
      </c>
      <c r="K56" s="53">
        <f t="shared" si="3"/>
        <v>3.2645648280242483</v>
      </c>
      <c r="L56" s="54">
        <v>3.2645650000000002</v>
      </c>
      <c r="M56" s="55">
        <f t="shared" si="4"/>
        <v>-1.7197575186145286E-7</v>
      </c>
      <c r="N56" s="53">
        <f t="shared" si="5"/>
        <v>3.2632121281858502</v>
      </c>
      <c r="O56" s="23">
        <f t="shared" si="6"/>
        <v>8605939081.7245846</v>
      </c>
      <c r="P56" s="23">
        <f t="shared" si="7"/>
        <v>8602373138.6300621</v>
      </c>
      <c r="Q56" s="29">
        <f t="shared" si="8"/>
        <v>-3565943.0945224762</v>
      </c>
      <c r="R56" s="35">
        <f>Población!K24</f>
        <v>4232451</v>
      </c>
      <c r="S56" s="30">
        <f t="shared" si="9"/>
        <v>4844591.7601177692</v>
      </c>
      <c r="T56" s="53">
        <f t="shared" si="10"/>
        <v>3.3165582626684662</v>
      </c>
      <c r="U56" s="29">
        <f t="shared" si="11"/>
        <v>-140629335.84955934</v>
      </c>
      <c r="V56" s="35">
        <f>Población!L24</f>
        <v>4190375</v>
      </c>
      <c r="W56" s="30">
        <f t="shared" si="12"/>
        <v>4796430.2945984481</v>
      </c>
      <c r="X56" s="53">
        <f t="shared" si="13"/>
        <v>3.2775506036891069</v>
      </c>
      <c r="Y56" s="29">
        <f t="shared" si="14"/>
        <v>-37798620.400045291</v>
      </c>
      <c r="Z56" s="35">
        <f>Población!M24</f>
        <v>4168743</v>
      </c>
      <c r="AA56" s="30">
        <f t="shared" si="15"/>
        <v>4771669.6514262371</v>
      </c>
      <c r="AB56" s="53">
        <f t="shared" si="16"/>
        <v>3.2549021058183603</v>
      </c>
      <c r="AC56" s="29">
        <f t="shared" si="17"/>
        <v>21906609.312356282</v>
      </c>
    </row>
    <row r="57" spans="1:29" x14ac:dyDescent="0.2">
      <c r="A57" s="27" t="s">
        <v>155</v>
      </c>
      <c r="B57" s="27" t="s">
        <v>70</v>
      </c>
      <c r="C57" s="51">
        <v>6638706</v>
      </c>
      <c r="D57" s="51">
        <v>7255226</v>
      </c>
      <c r="E57" s="52">
        <f t="shared" si="0"/>
        <v>1.0928674955631414</v>
      </c>
      <c r="F57" s="45">
        <v>6638706</v>
      </c>
      <c r="G57" s="35">
        <f>Población!D25</f>
        <v>6851933</v>
      </c>
      <c r="H57" s="35">
        <f>'Fondos 2027'!$B$21</f>
        <v>263616731021.78818</v>
      </c>
      <c r="I57" s="30">
        <f t="shared" si="1"/>
        <v>7255226.0000000009</v>
      </c>
      <c r="J57" s="30">
        <f t="shared" si="2"/>
        <v>7488254.8574764421</v>
      </c>
      <c r="K57" s="53">
        <f t="shared" si="3"/>
        <v>4.9518906896844035</v>
      </c>
      <c r="L57" s="54">
        <v>4.9518909999999998</v>
      </c>
      <c r="M57" s="55">
        <f t="shared" si="4"/>
        <v>-3.1031559633021288E-7</v>
      </c>
      <c r="N57" s="53">
        <f t="shared" si="5"/>
        <v>5.1204724083503868</v>
      </c>
      <c r="O57" s="23">
        <f t="shared" si="6"/>
        <v>13054012359.918306</v>
      </c>
      <c r="P57" s="23">
        <f t="shared" si="7"/>
        <v>13498421975.765919</v>
      </c>
      <c r="Q57" s="29">
        <f t="shared" si="8"/>
        <v>444409615.84761238</v>
      </c>
      <c r="R57" s="35">
        <f>Población!K25</f>
        <v>6629599</v>
      </c>
      <c r="S57" s="30">
        <f t="shared" si="9"/>
        <v>7245273.2557179071</v>
      </c>
      <c r="T57" s="53">
        <f t="shared" si="10"/>
        <v>4.9600404061616841</v>
      </c>
      <c r="U57" s="29">
        <f t="shared" si="11"/>
        <v>422925599.68266171</v>
      </c>
      <c r="V57" s="35">
        <f>Población!L25</f>
        <v>6624540</v>
      </c>
      <c r="W57" s="30">
        <f t="shared" si="12"/>
        <v>7239744.4390578531</v>
      </c>
      <c r="X57" s="53">
        <f t="shared" si="13"/>
        <v>4.9471434586490659</v>
      </c>
      <c r="Y57" s="29">
        <f t="shared" si="14"/>
        <v>456924111.1170215</v>
      </c>
      <c r="Z57" s="35">
        <f>Población!M25</f>
        <v>6703850</v>
      </c>
      <c r="AA57" s="30">
        <f t="shared" si="15"/>
        <v>7326419.7601309661</v>
      </c>
      <c r="AB57" s="53">
        <f t="shared" si="16"/>
        <v>4.9975754499752094</v>
      </c>
      <c r="AC57" s="29">
        <f t="shared" si="17"/>
        <v>323976944.19385022</v>
      </c>
    </row>
    <row r="58" spans="1:29" x14ac:dyDescent="0.2">
      <c r="A58" s="27" t="s">
        <v>155</v>
      </c>
      <c r="B58" s="27" t="s">
        <v>71</v>
      </c>
      <c r="C58" s="51">
        <v>2535155</v>
      </c>
      <c r="D58" s="51">
        <v>2747979</v>
      </c>
      <c r="E58" s="52">
        <f t="shared" si="0"/>
        <v>1.0839491076482504</v>
      </c>
      <c r="F58" s="45">
        <v>2535155</v>
      </c>
      <c r="G58" s="35">
        <f>Población!D26</f>
        <v>2606836</v>
      </c>
      <c r="H58" s="35">
        <f>'Fondos 2027'!$B$21</f>
        <v>263616731021.78818</v>
      </c>
      <c r="I58" s="30">
        <f t="shared" si="1"/>
        <v>2747979</v>
      </c>
      <c r="J58" s="30">
        <f t="shared" si="2"/>
        <v>2825677.5559853343</v>
      </c>
      <c r="K58" s="53">
        <f t="shared" si="3"/>
        <v>1.8755710195034943</v>
      </c>
      <c r="L58" s="54">
        <v>1.8755710000000001</v>
      </c>
      <c r="M58" s="55">
        <f t="shared" si="4"/>
        <v>1.95034941530281E-8</v>
      </c>
      <c r="N58" s="53">
        <f t="shared" si="5"/>
        <v>1.9321997228595769</v>
      </c>
      <c r="O58" s="23">
        <f t="shared" si="6"/>
        <v>4944319009.6071367</v>
      </c>
      <c r="P58" s="23">
        <f t="shared" si="7"/>
        <v>5093601746.214467</v>
      </c>
      <c r="Q58" s="29">
        <f t="shared" si="8"/>
        <v>149282736.60733032</v>
      </c>
      <c r="R58" s="35">
        <f>Población!K26</f>
        <v>2528745</v>
      </c>
      <c r="S58" s="30">
        <f t="shared" si="9"/>
        <v>2741030.8862199751</v>
      </c>
      <c r="T58" s="53">
        <f t="shared" si="10"/>
        <v>1.8764818758849013</v>
      </c>
      <c r="U58" s="29">
        <f t="shared" si="11"/>
        <v>146881566.79036191</v>
      </c>
      <c r="V58" s="35">
        <f>Población!L26</f>
        <v>2498744</v>
      </c>
      <c r="W58" s="30">
        <f t="shared" si="12"/>
        <v>2708511.3290414196</v>
      </c>
      <c r="X58" s="53">
        <f t="shared" si="13"/>
        <v>1.8508103727882252</v>
      </c>
      <c r="Y58" s="29">
        <f t="shared" si="14"/>
        <v>214555944.05797657</v>
      </c>
      <c r="Z58" s="35">
        <f>Población!M26</f>
        <v>2567272</v>
      </c>
      <c r="AA58" s="30">
        <f t="shared" si="15"/>
        <v>2782792.193490339</v>
      </c>
      <c r="AB58" s="53">
        <f t="shared" si="16"/>
        <v>1.8982278389576435</v>
      </c>
      <c r="AC58" s="29">
        <f t="shared" si="17"/>
        <v>89555569.808793917</v>
      </c>
    </row>
    <row r="59" spans="1:29" x14ac:dyDescent="0.2">
      <c r="A59" s="27" t="s">
        <v>155</v>
      </c>
      <c r="B59" s="27" t="s">
        <v>72</v>
      </c>
      <c r="C59" s="51">
        <v>1975372</v>
      </c>
      <c r="D59" s="51">
        <v>2314635</v>
      </c>
      <c r="E59" s="52">
        <f t="shared" si="0"/>
        <v>1.1717463849847016</v>
      </c>
      <c r="F59" s="45">
        <v>1975372</v>
      </c>
      <c r="G59" s="35">
        <f>Población!D27</f>
        <v>2100792</v>
      </c>
      <c r="H59" s="35">
        <f>'Fondos 2027'!$B$21</f>
        <v>263616731021.78818</v>
      </c>
      <c r="I59" s="30">
        <f t="shared" si="1"/>
        <v>2314635</v>
      </c>
      <c r="J59" s="30">
        <f t="shared" si="2"/>
        <v>2461595.4316047812</v>
      </c>
      <c r="K59" s="53">
        <f t="shared" si="3"/>
        <v>1.5798018568294991</v>
      </c>
      <c r="L59" s="54">
        <v>1.5798019999999999</v>
      </c>
      <c r="M59" s="55">
        <f t="shared" si="4"/>
        <v>-1.4317050078815896E-7</v>
      </c>
      <c r="N59" s="53">
        <f t="shared" si="5"/>
        <v>1.6832401845229661</v>
      </c>
      <c r="O59" s="23">
        <f t="shared" si="6"/>
        <v>4164622011.5954361</v>
      </c>
      <c r="P59" s="23">
        <f t="shared" si="7"/>
        <v>4437302749.6845589</v>
      </c>
      <c r="Q59" s="29">
        <f t="shared" si="8"/>
        <v>272680738.08912277</v>
      </c>
      <c r="R59" s="35">
        <f>Población!K27</f>
        <v>1905221</v>
      </c>
      <c r="S59" s="30">
        <f t="shared" si="9"/>
        <v>2232435.8193469383</v>
      </c>
      <c r="T59" s="53">
        <f t="shared" si="10"/>
        <v>1.528302864130733</v>
      </c>
      <c r="U59" s="29">
        <f t="shared" si="11"/>
        <v>408440699.15075922</v>
      </c>
      <c r="V59" s="35">
        <f>Población!L27</f>
        <v>1920249</v>
      </c>
      <c r="W59" s="30">
        <f t="shared" si="12"/>
        <v>2250044.8240204882</v>
      </c>
      <c r="X59" s="53">
        <f t="shared" si="13"/>
        <v>1.5375258928709812</v>
      </c>
      <c r="Y59" s="29">
        <f t="shared" si="14"/>
        <v>384127252.28451699</v>
      </c>
      <c r="Z59" s="35">
        <f>Población!M27</f>
        <v>2025213</v>
      </c>
      <c r="AA59" s="30">
        <f t="shared" si="15"/>
        <v>2373036.0115740225</v>
      </c>
      <c r="AB59" s="53">
        <f t="shared" si="16"/>
        <v>1.618720589541736</v>
      </c>
      <c r="AC59" s="29">
        <f t="shared" si="17"/>
        <v>170084447.15801638</v>
      </c>
    </row>
    <row r="60" spans="1:29" x14ac:dyDescent="0.2">
      <c r="A60" s="27" t="s">
        <v>155</v>
      </c>
      <c r="B60" s="27" t="s">
        <v>73</v>
      </c>
      <c r="C60" s="51">
        <v>2951151</v>
      </c>
      <c r="D60" s="51">
        <v>3412006</v>
      </c>
      <c r="E60" s="52">
        <f t="shared" si="0"/>
        <v>1.1561611045995275</v>
      </c>
      <c r="F60" s="45">
        <v>2951151</v>
      </c>
      <c r="G60" s="35">
        <f>Población!D28</f>
        <v>2889524</v>
      </c>
      <c r="H60" s="35">
        <f>'Fondos 2027'!$B$21</f>
        <v>263616731021.78818</v>
      </c>
      <c r="I60" s="30">
        <f t="shared" si="1"/>
        <v>3412006</v>
      </c>
      <c r="J60" s="30">
        <f t="shared" si="2"/>
        <v>3340755.2596068452</v>
      </c>
      <c r="K60" s="53">
        <f t="shared" si="3"/>
        <v>2.3287876552084419</v>
      </c>
      <c r="L60" s="54">
        <v>2.3287870000000002</v>
      </c>
      <c r="M60" s="55">
        <f t="shared" si="4"/>
        <v>6.5520844172439752E-7</v>
      </c>
      <c r="N60" s="53">
        <f t="shared" si="5"/>
        <v>2.2844101136313526</v>
      </c>
      <c r="O60" s="23">
        <f t="shared" si="6"/>
        <v>6139073889.0994463</v>
      </c>
      <c r="P60" s="23">
        <f t="shared" si="7"/>
        <v>6022087264.6860886</v>
      </c>
      <c r="Q60" s="29">
        <f t="shared" si="8"/>
        <v>-116986624.41335773</v>
      </c>
      <c r="R60" s="35">
        <f>Población!K28</f>
        <v>2885526</v>
      </c>
      <c r="S60" s="30">
        <f t="shared" si="9"/>
        <v>3336132.927510656</v>
      </c>
      <c r="T60" s="53">
        <f t="shared" si="10"/>
        <v>2.2838826827849856</v>
      </c>
      <c r="U60" s="29">
        <f t="shared" si="11"/>
        <v>1390395.9555931611</v>
      </c>
      <c r="V60" s="35">
        <f>Población!L28</f>
        <v>2924773</v>
      </c>
      <c r="W60" s="30">
        <f t="shared" si="12"/>
        <v>3381508.7823828738</v>
      </c>
      <c r="X60" s="53">
        <f t="shared" si="13"/>
        <v>2.3106905490861234</v>
      </c>
      <c r="Y60" s="29">
        <f t="shared" si="14"/>
        <v>-69279624.844157696</v>
      </c>
      <c r="Z60" s="35">
        <f>Población!M28</f>
        <v>2936529</v>
      </c>
      <c r="AA60" s="30">
        <f t="shared" si="15"/>
        <v>3395100.6123285457</v>
      </c>
      <c r="AB60" s="53">
        <f t="shared" si="16"/>
        <v>2.3159021767632977</v>
      </c>
      <c r="AC60" s="29">
        <f t="shared" si="17"/>
        <v>-83018347.359751388</v>
      </c>
    </row>
    <row r="61" spans="1:29" x14ac:dyDescent="0.2">
      <c r="A61" s="27" t="s">
        <v>155</v>
      </c>
      <c r="B61" s="27" t="s">
        <v>74</v>
      </c>
      <c r="C61" s="51">
        <v>3085699</v>
      </c>
      <c r="D61" s="51">
        <v>3240121</v>
      </c>
      <c r="E61" s="52">
        <f t="shared" si="0"/>
        <v>1.0500444145718686</v>
      </c>
      <c r="F61" s="45">
        <v>3085699</v>
      </c>
      <c r="G61" s="35">
        <f>Población!D29</f>
        <v>3102935</v>
      </c>
      <c r="H61" s="35">
        <f>'Fondos 2027'!$B$21</f>
        <v>263616731021.78818</v>
      </c>
      <c r="I61" s="30">
        <f t="shared" si="1"/>
        <v>3240121.0000000005</v>
      </c>
      <c r="J61" s="30">
        <f t="shared" si="2"/>
        <v>3258219.5655295611</v>
      </c>
      <c r="K61" s="53">
        <f t="shared" si="3"/>
        <v>2.2114714294704152</v>
      </c>
      <c r="L61" s="54">
        <v>2.211471</v>
      </c>
      <c r="M61" s="55">
        <f t="shared" si="4"/>
        <v>4.2947041523078155E-7</v>
      </c>
      <c r="N61" s="53">
        <f t="shared" si="5"/>
        <v>2.2279721648341333</v>
      </c>
      <c r="O61" s="23">
        <f t="shared" si="6"/>
        <v>5829808689.8507185</v>
      </c>
      <c r="P61" s="23">
        <f t="shared" si="7"/>
        <v>5873307389.0111084</v>
      </c>
      <c r="Q61" s="29">
        <f t="shared" si="8"/>
        <v>43498699.1603899</v>
      </c>
      <c r="R61" s="35">
        <f>Población!K29</f>
        <v>3144666</v>
      </c>
      <c r="S61" s="30">
        <f t="shared" si="9"/>
        <v>3302038.9689940596</v>
      </c>
      <c r="T61" s="53">
        <f t="shared" si="10"/>
        <v>2.2605423054272564</v>
      </c>
      <c r="U61" s="29">
        <f t="shared" si="11"/>
        <v>-85860339.920791641</v>
      </c>
      <c r="V61" s="35">
        <f>Población!L29</f>
        <v>3135869</v>
      </c>
      <c r="W61" s="30">
        <f t="shared" si="12"/>
        <v>3292801.7282790709</v>
      </c>
      <c r="X61" s="53">
        <f t="shared" si="13"/>
        <v>2.2500742488645145</v>
      </c>
      <c r="Y61" s="29">
        <f t="shared" si="14"/>
        <v>-58264791.408579513</v>
      </c>
      <c r="Z61" s="35">
        <f>Población!M29</f>
        <v>3105420</v>
      </c>
      <c r="AA61" s="30">
        <f t="shared" si="15"/>
        <v>3260828.925899772</v>
      </c>
      <c r="AB61" s="53">
        <f t="shared" si="16"/>
        <v>2.2243113444477856</v>
      </c>
      <c r="AC61" s="29">
        <f t="shared" si="17"/>
        <v>9650535.0310691111</v>
      </c>
    </row>
    <row r="62" spans="1:29" x14ac:dyDescent="0.2">
      <c r="A62" s="27" t="s">
        <v>155</v>
      </c>
      <c r="B62" s="27" t="s">
        <v>75</v>
      </c>
      <c r="C62" s="51">
        <v>3035624</v>
      </c>
      <c r="D62" s="51">
        <v>3447305</v>
      </c>
      <c r="E62" s="52">
        <f t="shared" si="0"/>
        <v>1.1356165981030588</v>
      </c>
      <c r="F62" s="45">
        <v>3035624</v>
      </c>
      <c r="G62" s="35">
        <f>Población!D30</f>
        <v>3049889</v>
      </c>
      <c r="H62" s="35">
        <f>'Fondos 2027'!$B$21</f>
        <v>263616731021.78818</v>
      </c>
      <c r="I62" s="30">
        <f t="shared" si="1"/>
        <v>3447305</v>
      </c>
      <c r="J62" s="30">
        <f t="shared" si="2"/>
        <v>3463504.5707719401</v>
      </c>
      <c r="K62" s="53">
        <f t="shared" si="3"/>
        <v>2.3528801906380989</v>
      </c>
      <c r="L62" s="54">
        <v>2.3528799999999999</v>
      </c>
      <c r="M62" s="55">
        <f t="shared" si="4"/>
        <v>1.9063809908459461E-7</v>
      </c>
      <c r="N62" s="53">
        <f t="shared" si="5"/>
        <v>2.3683461538607178</v>
      </c>
      <c r="O62" s="23">
        <f t="shared" si="6"/>
        <v>6202585843.4193745</v>
      </c>
      <c r="P62" s="23">
        <f t="shared" si="7"/>
        <v>6243356710.0878744</v>
      </c>
      <c r="Q62" s="29">
        <f t="shared" si="8"/>
        <v>40770866.668499947</v>
      </c>
      <c r="R62" s="35">
        <f>Población!K30</f>
        <v>3042242</v>
      </c>
      <c r="S62" s="30">
        <f t="shared" si="9"/>
        <v>3454820.5106462459</v>
      </c>
      <c r="T62" s="53">
        <f t="shared" si="10"/>
        <v>2.3651349954700325</v>
      </c>
      <c r="U62" s="29">
        <f t="shared" si="11"/>
        <v>8465150.7774564736</v>
      </c>
      <c r="V62" s="35">
        <f>Población!L30</f>
        <v>3032476</v>
      </c>
      <c r="W62" s="30">
        <f t="shared" si="12"/>
        <v>3443730.0789491716</v>
      </c>
      <c r="X62" s="53">
        <f t="shared" si="13"/>
        <v>2.3532083040825529</v>
      </c>
      <c r="Y62" s="29">
        <f t="shared" si="14"/>
        <v>39905904.732187331</v>
      </c>
      <c r="Z62" s="35">
        <f>Población!M30</f>
        <v>3057789</v>
      </c>
      <c r="AA62" s="30">
        <f t="shared" si="15"/>
        <v>3472475.9418969541</v>
      </c>
      <c r="AB62" s="53">
        <f t="shared" si="16"/>
        <v>2.3686822603709978</v>
      </c>
      <c r="AC62" s="29">
        <f t="shared" si="17"/>
        <v>-886032.99515166017</v>
      </c>
    </row>
    <row r="63" spans="1:29" x14ac:dyDescent="0.2">
      <c r="A63" s="27" t="s">
        <v>155</v>
      </c>
      <c r="B63" s="27" t="s">
        <v>76</v>
      </c>
      <c r="C63" s="51">
        <v>2578825</v>
      </c>
      <c r="D63" s="51">
        <v>2872850</v>
      </c>
      <c r="E63" s="52">
        <f t="shared" si="0"/>
        <v>1.1140151037778834</v>
      </c>
      <c r="F63" s="45">
        <v>2578825</v>
      </c>
      <c r="G63" s="35">
        <f>Población!D31</f>
        <v>2527009</v>
      </c>
      <c r="H63" s="35">
        <f>'Fondos 2027'!$B$21</f>
        <v>263616731021.78818</v>
      </c>
      <c r="I63" s="30">
        <f t="shared" si="1"/>
        <v>2872850</v>
      </c>
      <c r="J63" s="30">
        <f t="shared" si="2"/>
        <v>2815126.1933826455</v>
      </c>
      <c r="K63" s="53">
        <f t="shared" si="3"/>
        <v>1.9607989010762501</v>
      </c>
      <c r="L63" s="54">
        <v>1.960799</v>
      </c>
      <c r="M63" s="55">
        <f t="shared" si="4"/>
        <v>-9.8923749858315091E-8</v>
      </c>
      <c r="N63" s="53">
        <f t="shared" si="5"/>
        <v>1.9249846958464902</v>
      </c>
      <c r="O63" s="23">
        <f t="shared" si="6"/>
        <v>5168993964.9283571</v>
      </c>
      <c r="P63" s="23">
        <f t="shared" si="7"/>
        <v>5074581727.8602295</v>
      </c>
      <c r="Q63" s="29">
        <f t="shared" si="8"/>
        <v>-94412237.068127632</v>
      </c>
      <c r="R63" s="35">
        <f>Población!K31</f>
        <v>2554147</v>
      </c>
      <c r="S63" s="30">
        <f t="shared" si="9"/>
        <v>2845358.3352689696</v>
      </c>
      <c r="T63" s="53">
        <f t="shared" si="10"/>
        <v>1.9479033867777316</v>
      </c>
      <c r="U63" s="29">
        <f t="shared" si="11"/>
        <v>-60417503.825925402</v>
      </c>
      <c r="V63" s="35">
        <f>Población!L31</f>
        <v>2567516</v>
      </c>
      <c r="W63" s="30">
        <f t="shared" si="12"/>
        <v>2860251.6031913762</v>
      </c>
      <c r="X63" s="53">
        <f t="shared" si="13"/>
        <v>1.9544992406748747</v>
      </c>
      <c r="Y63" s="29">
        <f t="shared" si="14"/>
        <v>-77805278.252547324</v>
      </c>
      <c r="Z63" s="35">
        <f>Población!M31</f>
        <v>2553100</v>
      </c>
      <c r="AA63" s="30">
        <f t="shared" si="15"/>
        <v>2844191.961455314</v>
      </c>
      <c r="AB63" s="53">
        <f t="shared" si="16"/>
        <v>1.9401105023952143</v>
      </c>
      <c r="AC63" s="29">
        <f t="shared" si="17"/>
        <v>-39874156.764425993</v>
      </c>
    </row>
    <row r="64" spans="1:29" x14ac:dyDescent="0.2">
      <c r="A64" s="27" t="s">
        <v>155</v>
      </c>
      <c r="B64" s="27" t="s">
        <v>77</v>
      </c>
      <c r="C64" s="51">
        <v>3602540</v>
      </c>
      <c r="D64" s="51">
        <v>3971843</v>
      </c>
      <c r="E64" s="52">
        <f t="shared" si="0"/>
        <v>1.1025118388692423</v>
      </c>
      <c r="F64" s="45">
        <v>3602540</v>
      </c>
      <c r="G64" s="35">
        <f>Población!D32</f>
        <v>3620715</v>
      </c>
      <c r="H64" s="35">
        <f>'Fondos 2027'!$B$21</f>
        <v>263616731021.78818</v>
      </c>
      <c r="I64" s="30">
        <f t="shared" si="1"/>
        <v>3971843</v>
      </c>
      <c r="J64" s="30">
        <f t="shared" si="2"/>
        <v>3991881.1526714489</v>
      </c>
      <c r="K64" s="53">
        <f t="shared" si="3"/>
        <v>2.7108917589318611</v>
      </c>
      <c r="L64" s="54">
        <v>2.7108910000000002</v>
      </c>
      <c r="M64" s="55">
        <f t="shared" si="4"/>
        <v>7.5893186091136045E-7</v>
      </c>
      <c r="N64" s="53">
        <f t="shared" si="5"/>
        <v>2.7296503242354286</v>
      </c>
      <c r="O64" s="23">
        <f t="shared" si="6"/>
        <v>7146364236.4352264</v>
      </c>
      <c r="P64" s="23">
        <f t="shared" si="7"/>
        <v>7195814953.075079</v>
      </c>
      <c r="Q64" s="29">
        <f t="shared" si="8"/>
        <v>49450716.639852524</v>
      </c>
      <c r="R64" s="35">
        <f>Población!K32</f>
        <v>3569939</v>
      </c>
      <c r="S64" s="30">
        <f t="shared" si="9"/>
        <v>3935900.0115410239</v>
      </c>
      <c r="T64" s="53">
        <f t="shared" si="10"/>
        <v>2.6944771305138762</v>
      </c>
      <c r="U64" s="29">
        <f t="shared" si="11"/>
        <v>92722423.484717473</v>
      </c>
      <c r="V64" s="35">
        <f>Población!L32</f>
        <v>3597414</v>
      </c>
      <c r="W64" s="30">
        <f t="shared" si="12"/>
        <v>3966191.5243139565</v>
      </c>
      <c r="X64" s="53">
        <f t="shared" si="13"/>
        <v>2.7102225251769498</v>
      </c>
      <c r="Y64" s="29">
        <f t="shared" si="14"/>
        <v>51214928.787443556</v>
      </c>
      <c r="Z64" s="35">
        <f>Población!M32</f>
        <v>3608877</v>
      </c>
      <c r="AA64" s="30">
        <f t="shared" si="15"/>
        <v>3978829.6175229144</v>
      </c>
      <c r="AB64" s="53">
        <f t="shared" si="16"/>
        <v>2.7140816206538672</v>
      </c>
      <c r="AC64" s="29">
        <f t="shared" si="17"/>
        <v>41041707.444184437</v>
      </c>
    </row>
    <row r="65" spans="1:29" x14ac:dyDescent="0.2">
      <c r="A65" s="27" t="s">
        <v>155</v>
      </c>
      <c r="B65" s="27" t="s">
        <v>78</v>
      </c>
      <c r="C65" s="51">
        <v>1426175</v>
      </c>
      <c r="D65" s="51">
        <v>1580852</v>
      </c>
      <c r="E65" s="52">
        <f t="shared" si="0"/>
        <v>1.1084558346626465</v>
      </c>
      <c r="F65" s="45">
        <v>1426175</v>
      </c>
      <c r="G65" s="35">
        <f>Población!D33</f>
        <v>1419482</v>
      </c>
      <c r="H65" s="35">
        <f>'Fondos 2027'!$B$21</f>
        <v>263616731021.78818</v>
      </c>
      <c r="I65" s="30">
        <f t="shared" si="1"/>
        <v>1580852</v>
      </c>
      <c r="J65" s="30">
        <f t="shared" si="2"/>
        <v>1573433.1050986028</v>
      </c>
      <c r="K65" s="53">
        <f t="shared" si="3"/>
        <v>1.0789748383536182</v>
      </c>
      <c r="L65" s="54">
        <v>1.078975</v>
      </c>
      <c r="M65" s="55">
        <f t="shared" si="4"/>
        <v>-1.6164638183546742E-7</v>
      </c>
      <c r="N65" s="53">
        <f t="shared" si="5"/>
        <v>1.075914342445017</v>
      </c>
      <c r="O65" s="23">
        <f t="shared" si="6"/>
        <v>2844358197.4154315</v>
      </c>
      <c r="P65" s="23">
        <f t="shared" si="7"/>
        <v>2836290218.1481214</v>
      </c>
      <c r="Q65" s="29">
        <f t="shared" si="8"/>
        <v>-8067979.2673101425</v>
      </c>
      <c r="R65" s="35">
        <f>Población!K33</f>
        <v>1476723</v>
      </c>
      <c r="S65" s="30">
        <f t="shared" si="9"/>
        <v>1636882.2255305273</v>
      </c>
      <c r="T65" s="53">
        <f t="shared" si="10"/>
        <v>1.1205929289625938</v>
      </c>
      <c r="U65" s="29">
        <f t="shared" si="11"/>
        <v>-117780229.24437715</v>
      </c>
      <c r="V65" s="35">
        <f>Población!L33</f>
        <v>1449354</v>
      </c>
      <c r="W65" s="30">
        <f t="shared" si="12"/>
        <v>1606544.8977916455</v>
      </c>
      <c r="X65" s="53">
        <f t="shared" si="13"/>
        <v>1.0978022980007651</v>
      </c>
      <c r="Y65" s="29">
        <f t="shared" si="14"/>
        <v>-57700312.923564933</v>
      </c>
      <c r="Z65" s="35">
        <f>Población!M33</f>
        <v>1440130</v>
      </c>
      <c r="AA65" s="30">
        <f t="shared" si="15"/>
        <v>1596320.5011727172</v>
      </c>
      <c r="AB65" s="53">
        <f t="shared" si="16"/>
        <v>1.0888991360236073</v>
      </c>
      <c r="AC65" s="29">
        <f t="shared" si="17"/>
        <v>-34230088.361806765</v>
      </c>
    </row>
    <row r="66" spans="1:29" x14ac:dyDescent="0.2">
      <c r="A66" s="27" t="s">
        <v>155</v>
      </c>
      <c r="B66" s="27" t="s">
        <v>79</v>
      </c>
      <c r="C66" s="51">
        <v>8066173</v>
      </c>
      <c r="D66" s="51">
        <v>8623233</v>
      </c>
      <c r="E66" s="52">
        <f t="shared" si="0"/>
        <v>1.0690612512278128</v>
      </c>
      <c r="F66" s="45">
        <v>8066173</v>
      </c>
      <c r="G66" s="35">
        <f>Población!D34</f>
        <v>7917876</v>
      </c>
      <c r="H66" s="35">
        <f>'Fondos 2027'!$B$21</f>
        <v>263616731021.78818</v>
      </c>
      <c r="I66" s="30">
        <f t="shared" si="1"/>
        <v>8623233</v>
      </c>
      <c r="J66" s="30">
        <f t="shared" si="2"/>
        <v>8464694.4236266688</v>
      </c>
      <c r="K66" s="53">
        <f t="shared" si="3"/>
        <v>5.8855929791407338</v>
      </c>
      <c r="L66" s="54">
        <v>5.8855930000000001</v>
      </c>
      <c r="M66" s="55">
        <f t="shared" si="4"/>
        <v>-2.0859266314232627E-8</v>
      </c>
      <c r="N66" s="53">
        <f t="shared" si="5"/>
        <v>5.7881622709492691</v>
      </c>
      <c r="O66" s="23">
        <f t="shared" si="6"/>
        <v>15515407812.858677</v>
      </c>
      <c r="P66" s="23">
        <f t="shared" si="7"/>
        <v>15258564164.91296</v>
      </c>
      <c r="Q66" s="29">
        <f t="shared" si="8"/>
        <v>-256843647.94571686</v>
      </c>
      <c r="R66" s="35">
        <f>Población!K34</f>
        <v>8113343</v>
      </c>
      <c r="S66" s="30">
        <f t="shared" si="9"/>
        <v>8673660.619220417</v>
      </c>
      <c r="T66" s="53">
        <f t="shared" si="10"/>
        <v>5.9378998724049881</v>
      </c>
      <c r="U66" s="29">
        <f t="shared" si="11"/>
        <v>-394733370.06800002</v>
      </c>
      <c r="V66" s="35">
        <f>Población!L34</f>
        <v>8068202</v>
      </c>
      <c r="W66" s="30">
        <f t="shared" si="12"/>
        <v>8625402.1252787411</v>
      </c>
      <c r="X66" s="53">
        <f t="shared" si="13"/>
        <v>5.8940066270962861</v>
      </c>
      <c r="Y66" s="29">
        <f t="shared" si="14"/>
        <v>-279023431.64582539</v>
      </c>
      <c r="Z66" s="35">
        <f>Población!M34</f>
        <v>8021469</v>
      </c>
      <c r="AA66" s="30">
        <f t="shared" si="15"/>
        <v>8575441.6858251132</v>
      </c>
      <c r="AB66" s="53">
        <f t="shared" si="16"/>
        <v>5.8495715840621605</v>
      </c>
      <c r="AC66" s="29">
        <f t="shared" si="17"/>
        <v>-161885223.77113873</v>
      </c>
    </row>
    <row r="67" spans="1:29" x14ac:dyDescent="0.2">
      <c r="A67" s="27" t="s">
        <v>155</v>
      </c>
      <c r="B67" s="27" t="s">
        <v>80</v>
      </c>
      <c r="C67" s="51">
        <v>2456821</v>
      </c>
      <c r="D67" s="51">
        <v>2722907</v>
      </c>
      <c r="E67" s="52">
        <f t="shared" si="0"/>
        <v>1.108305000649213</v>
      </c>
      <c r="F67" s="45">
        <v>2456821</v>
      </c>
      <c r="G67" s="35">
        <f>Población!D35</f>
        <v>2506448</v>
      </c>
      <c r="H67" s="35">
        <f>'Fondos 2027'!$B$21</f>
        <v>263616731021.78818</v>
      </c>
      <c r="I67" s="30">
        <f t="shared" si="1"/>
        <v>2722907</v>
      </c>
      <c r="J67" s="30">
        <f t="shared" si="2"/>
        <v>2777908.8522672188</v>
      </c>
      <c r="K67" s="53">
        <f t="shared" si="3"/>
        <v>1.8584586920071806</v>
      </c>
      <c r="L67" s="54">
        <v>1.8584590000000001</v>
      </c>
      <c r="M67" s="55">
        <f t="shared" si="4"/>
        <v>-3.0799281947047064E-7</v>
      </c>
      <c r="N67" s="53">
        <f t="shared" si="5"/>
        <v>1.8995354594194693</v>
      </c>
      <c r="O67" s="23">
        <f t="shared" si="6"/>
        <v>4899208051.2596121</v>
      </c>
      <c r="P67" s="23">
        <f t="shared" si="7"/>
        <v>5007493282.7213106</v>
      </c>
      <c r="Q67" s="29">
        <f t="shared" si="8"/>
        <v>108285231.46169853</v>
      </c>
      <c r="R67" s="35">
        <f>Población!K35</f>
        <v>2402017</v>
      </c>
      <c r="S67" s="30">
        <f t="shared" si="9"/>
        <v>2662167.4527444206</v>
      </c>
      <c r="T67" s="53">
        <f t="shared" si="10"/>
        <v>1.8224927711539389</v>
      </c>
      <c r="U67" s="29">
        <f t="shared" si="11"/>
        <v>203097416.29689804</v>
      </c>
      <c r="V67" s="35">
        <f>Población!L35</f>
        <v>2432221</v>
      </c>
      <c r="W67" s="30">
        <f t="shared" si="12"/>
        <v>2695642.6969840294</v>
      </c>
      <c r="X67" s="53">
        <f t="shared" si="13"/>
        <v>1.8420168346405217</v>
      </c>
      <c r="Y67" s="29">
        <f t="shared" si="14"/>
        <v>151628718.37095001</v>
      </c>
      <c r="Z67" s="35">
        <f>Población!M35</f>
        <v>2478837</v>
      </c>
      <c r="AA67" s="30">
        <f t="shared" si="15"/>
        <v>2747307.442894293</v>
      </c>
      <c r="AB67" s="53">
        <f t="shared" si="16"/>
        <v>1.8740226030807241</v>
      </c>
      <c r="AC67" s="29">
        <f t="shared" si="17"/>
        <v>67256157.870485246</v>
      </c>
    </row>
    <row r="68" spans="1:29" x14ac:dyDescent="0.2">
      <c r="A68" s="27" t="s">
        <v>155</v>
      </c>
      <c r="B68" s="27" t="s">
        <v>81</v>
      </c>
      <c r="C68" s="51">
        <v>1689186</v>
      </c>
      <c r="D68" s="51">
        <v>1865255</v>
      </c>
      <c r="E68" s="52">
        <f t="shared" si="0"/>
        <v>1.1042330447919886</v>
      </c>
      <c r="F68" s="45">
        <v>1689186</v>
      </c>
      <c r="G68" s="35">
        <f>Población!D36</f>
        <v>1686419</v>
      </c>
      <c r="H68" s="35">
        <f>'Fondos 2027'!$B$21</f>
        <v>263616731021.78818</v>
      </c>
      <c r="I68" s="30">
        <f t="shared" si="1"/>
        <v>1865255</v>
      </c>
      <c r="J68" s="30">
        <f t="shared" si="2"/>
        <v>1862199.5871650607</v>
      </c>
      <c r="K68" s="53">
        <f t="shared" si="3"/>
        <v>1.273087684434266</v>
      </c>
      <c r="L68" s="54">
        <v>1.273088</v>
      </c>
      <c r="M68" s="55">
        <f t="shared" si="4"/>
        <v>-3.1556573398816568E-7</v>
      </c>
      <c r="N68" s="53">
        <f t="shared" si="5"/>
        <v>1.2733730069830456</v>
      </c>
      <c r="O68" s="23">
        <f t="shared" si="6"/>
        <v>3356072136.7465906</v>
      </c>
      <c r="P68" s="23">
        <f t="shared" si="7"/>
        <v>3356824294.7225513</v>
      </c>
      <c r="Q68" s="29">
        <f t="shared" si="8"/>
        <v>752157.97596073151</v>
      </c>
      <c r="R68" s="35">
        <f>Población!K36</f>
        <v>1695685</v>
      </c>
      <c r="S68" s="30">
        <f t="shared" si="9"/>
        <v>1872431.4105581031</v>
      </c>
      <c r="T68" s="53">
        <f t="shared" si="10"/>
        <v>1.2818475061385743</v>
      </c>
      <c r="U68" s="29">
        <f t="shared" si="11"/>
        <v>-22340197.644274015</v>
      </c>
      <c r="V68" s="35">
        <f>Población!L36</f>
        <v>1703991</v>
      </c>
      <c r="W68" s="30">
        <f t="shared" si="12"/>
        <v>1881603.1702281453</v>
      </c>
      <c r="X68" s="53">
        <f t="shared" si="13"/>
        <v>1.2857582051030085</v>
      </c>
      <c r="Y68" s="29">
        <f t="shared" si="14"/>
        <v>-32649454.414418351</v>
      </c>
      <c r="Z68" s="35">
        <f>Población!M36</f>
        <v>1695141</v>
      </c>
      <c r="AA68" s="30">
        <f t="shared" si="15"/>
        <v>1871830.7077817363</v>
      </c>
      <c r="AB68" s="53">
        <f t="shared" si="16"/>
        <v>1.2768330914679265</v>
      </c>
      <c r="AC68" s="29">
        <f t="shared" si="17"/>
        <v>-9121361.6096350737</v>
      </c>
    </row>
    <row r="69" spans="1:29" x14ac:dyDescent="0.2">
      <c r="A69" s="27" t="s">
        <v>157</v>
      </c>
      <c r="B69" s="27" t="s">
        <v>50</v>
      </c>
      <c r="C69" s="51">
        <v>5999239609</v>
      </c>
      <c r="E69" s="52">
        <f t="shared" ref="E69:E132" si="18">IF(D69="",C69,D69/C69)</f>
        <v>5999239609</v>
      </c>
      <c r="F69" s="45">
        <v>1531396</v>
      </c>
      <c r="G69" s="35">
        <f>Población!D5</f>
        <v>1539174</v>
      </c>
      <c r="H69" s="35">
        <f>'Fondos 2027'!$B$22</f>
        <v>87872243673.929398</v>
      </c>
      <c r="I69" s="30">
        <f t="shared" ref="I69:I132" si="19">E69*F69</f>
        <v>9187211540264164</v>
      </c>
      <c r="J69" s="30">
        <f t="shared" ref="J69:J132" si="20">E69*G69</f>
        <v>9233873625942966</v>
      </c>
      <c r="K69" s="53">
        <f t="shared" ref="K69:K132" si="21">I69/SUMIFS($I$5:$I$260,$A$5:$A$260,A69)*100</f>
        <v>0.25028246893387673</v>
      </c>
      <c r="L69" s="54">
        <v>0.250282</v>
      </c>
      <c r="M69" s="55">
        <f t="shared" ref="M69:M132" si="22">K69-L69</f>
        <v>4.68933876729416E-7</v>
      </c>
      <c r="N69" s="53">
        <f t="shared" ref="N69:N132" si="23">J69/SUMIFS($J$5:$J$260,$A$5:$A$260,A69)*100</f>
        <v>0.25267133564607658</v>
      </c>
      <c r="O69" s="23">
        <f t="shared" ref="O69:O132" si="24">K69/100*H69</f>
        <v>219928820.97470281</v>
      </c>
      <c r="P69" s="23">
        <f t="shared" ref="P69:P132" si="25">N69/100*H69</f>
        <v>222027971.75309244</v>
      </c>
      <c r="Q69" s="29">
        <f t="shared" ref="Q69:Q132" si="26">P69-O69</f>
        <v>2099150.7783896327</v>
      </c>
      <c r="R69" s="35">
        <f>Población!K5</f>
        <v>1503564</v>
      </c>
      <c r="S69" s="30">
        <f t="shared" ref="S69:S132" si="27">E69*R69</f>
        <v>9020240703466476</v>
      </c>
      <c r="T69" s="53">
        <f t="shared" ref="T69:T132" si="28">S69/SUMIFS($S$5:$S$260,$A$5:$A$260,A69)*100</f>
        <v>0.24627694632460337</v>
      </c>
      <c r="U69" s="29">
        <f t="shared" ref="U69:U132" si="29">(N69-T69)/100*H69</f>
        <v>5618893.3660246599</v>
      </c>
      <c r="V69" s="35">
        <f>Población!L5</f>
        <v>1519678</v>
      </c>
      <c r="W69" s="30">
        <f t="shared" ref="W69:W132" si="30">E69*V69</f>
        <v>9116912450525902</v>
      </c>
      <c r="X69" s="53">
        <f t="shared" ref="X69:X132" si="31">W69/SUMIFS($W$5:$W$260,$A$5:$A$260,A69)*100</f>
        <v>0.24841432362744542</v>
      </c>
      <c r="Y69" s="29">
        <f t="shared" ref="Y69:Y132" si="32">(N69-X69)/100*H69</f>
        <v>3740731.9742400306</v>
      </c>
      <c r="Z69" s="35">
        <f>Población!M5</f>
        <v>1558219</v>
      </c>
      <c r="AA69" s="30">
        <f t="shared" ref="AA69:AA132" si="33">E69*Z69</f>
        <v>9348129144296372</v>
      </c>
      <c r="AB69" s="53">
        <f t="shared" ref="AB69:AB132" si="34">AA69/SUMIFS($AA$5:$AA$260,$A$5:$A$260,A69)*100</f>
        <v>0.25488298287944255</v>
      </c>
      <c r="AC69" s="29">
        <f t="shared" ref="AC69:AC132" si="35">(N69-AB69)/100*H69</f>
        <v>-1943424.0461110687</v>
      </c>
    </row>
    <row r="70" spans="1:29" x14ac:dyDescent="0.2">
      <c r="A70" s="27" t="s">
        <v>157</v>
      </c>
      <c r="B70" s="27" t="s">
        <v>51</v>
      </c>
      <c r="C70" s="51">
        <v>32050362891</v>
      </c>
      <c r="E70" s="52">
        <f t="shared" si="18"/>
        <v>32050362891</v>
      </c>
      <c r="F70" s="45">
        <v>3830329</v>
      </c>
      <c r="G70" s="35">
        <f>Población!D6</f>
        <v>4009678</v>
      </c>
      <c r="H70" s="35">
        <f>'Fondos 2027'!$B$22</f>
        <v>87872243673.929398</v>
      </c>
      <c r="I70" s="30">
        <f t="shared" si="19"/>
        <v>1.2276343444192114E+17</v>
      </c>
      <c r="J70" s="30">
        <f t="shared" si="20"/>
        <v>1.285116349760591E+17</v>
      </c>
      <c r="K70" s="53">
        <f t="shared" si="21"/>
        <v>3.3443809726452294</v>
      </c>
      <c r="L70" s="54">
        <v>3.3443809999999998</v>
      </c>
      <c r="M70" s="55">
        <f t="shared" si="22"/>
        <v>-2.7354770448795307E-8</v>
      </c>
      <c r="N70" s="53">
        <f t="shared" si="23"/>
        <v>3.5165313898419237</v>
      </c>
      <c r="O70" s="23">
        <f t="shared" si="24"/>
        <v>2938782597.667346</v>
      </c>
      <c r="P70" s="23">
        <f t="shared" si="25"/>
        <v>3090055031.7521114</v>
      </c>
      <c r="Q70" s="29">
        <f t="shared" si="26"/>
        <v>151272434.08476543</v>
      </c>
      <c r="R70" s="35">
        <f>Población!K6</f>
        <v>3778283</v>
      </c>
      <c r="S70" s="30">
        <f t="shared" si="27"/>
        <v>1.2109534125489616E+17</v>
      </c>
      <c r="T70" s="53">
        <f t="shared" si="28"/>
        <v>3.3062300484875773</v>
      </c>
      <c r="U70" s="29">
        <f t="shared" si="29"/>
        <v>184796507.12443334</v>
      </c>
      <c r="V70" s="35">
        <f>Población!L6</f>
        <v>3790412</v>
      </c>
      <c r="W70" s="30">
        <f t="shared" si="30"/>
        <v>1.2148408010640109E+17</v>
      </c>
      <c r="X70" s="53">
        <f t="shared" si="31"/>
        <v>3.3101541508598351</v>
      </c>
      <c r="Y70" s="29">
        <f t="shared" si="32"/>
        <v>181348310.32586849</v>
      </c>
      <c r="Z70" s="35">
        <f>Población!M6</f>
        <v>3862801</v>
      </c>
      <c r="AA70" s="30">
        <f t="shared" si="33"/>
        <v>1.238041738257177E+17</v>
      </c>
      <c r="AB70" s="53">
        <f t="shared" si="34"/>
        <v>3.3756034635953993</v>
      </c>
      <c r="AC70" s="29">
        <f t="shared" si="35"/>
        <v>123836530.75596143</v>
      </c>
    </row>
    <row r="71" spans="1:29" x14ac:dyDescent="0.2">
      <c r="A71" s="27" t="s">
        <v>157</v>
      </c>
      <c r="B71" s="27" t="s">
        <v>52</v>
      </c>
      <c r="C71" s="51">
        <v>6240882605</v>
      </c>
      <c r="E71" s="52">
        <f t="shared" si="18"/>
        <v>6240882605</v>
      </c>
      <c r="F71" s="45">
        <v>928591</v>
      </c>
      <c r="G71" s="35">
        <f>Población!D7</f>
        <v>961514</v>
      </c>
      <c r="H71" s="35">
        <f>'Fondos 2027'!$B$22</f>
        <v>87872243673.929398</v>
      </c>
      <c r="I71" s="30">
        <f t="shared" si="19"/>
        <v>5795227419059555</v>
      </c>
      <c r="J71" s="30">
        <f t="shared" si="20"/>
        <v>6000695997063970</v>
      </c>
      <c r="K71" s="53">
        <f t="shared" si="21"/>
        <v>0.15787639373696388</v>
      </c>
      <c r="L71" s="54">
        <v>0.15787599999999999</v>
      </c>
      <c r="M71" s="55">
        <f t="shared" si="22"/>
        <v>3.9373696389399804E-7</v>
      </c>
      <c r="N71" s="53">
        <f t="shared" si="23"/>
        <v>0.1642001974257454</v>
      </c>
      <c r="O71" s="23">
        <f t="shared" si="24"/>
        <v>138729529.40815711</v>
      </c>
      <c r="P71" s="23">
        <f t="shared" si="25"/>
        <v>144286397.59502414</v>
      </c>
      <c r="Q71" s="29">
        <f t="shared" si="26"/>
        <v>5556868.1868670285</v>
      </c>
      <c r="R71" s="35">
        <f>Población!K7</f>
        <v>881164</v>
      </c>
      <c r="S71" s="30">
        <f t="shared" si="27"/>
        <v>5499241079752220</v>
      </c>
      <c r="T71" s="53">
        <f t="shared" si="28"/>
        <v>0.15014414190784511</v>
      </c>
      <c r="U71" s="29">
        <f t="shared" si="29"/>
        <v>12351371.355632141</v>
      </c>
      <c r="V71" s="35">
        <f>Población!L7</f>
        <v>906940</v>
      </c>
      <c r="W71" s="30">
        <f t="shared" si="30"/>
        <v>5660106069778700</v>
      </c>
      <c r="X71" s="53">
        <f t="shared" si="31"/>
        <v>0.15422451719414801</v>
      </c>
      <c r="Y71" s="29">
        <f t="shared" si="32"/>
        <v>8765854.0412412677</v>
      </c>
      <c r="Z71" s="35">
        <f>Población!M7</f>
        <v>960359</v>
      </c>
      <c r="AA71" s="30">
        <f t="shared" si="33"/>
        <v>5993487777655195</v>
      </c>
      <c r="AB71" s="53">
        <f t="shared" si="34"/>
        <v>0.16341644611877273</v>
      </c>
      <c r="AC71" s="29">
        <f t="shared" si="35"/>
        <v>688699.85826062982</v>
      </c>
    </row>
    <row r="72" spans="1:29" x14ac:dyDescent="0.2">
      <c r="A72" s="27" t="s">
        <v>157</v>
      </c>
      <c r="B72" s="27" t="s">
        <v>53</v>
      </c>
      <c r="C72" s="51">
        <v>3313630825</v>
      </c>
      <c r="E72" s="52">
        <f t="shared" si="18"/>
        <v>3313630825</v>
      </c>
      <c r="F72" s="45">
        <v>935371</v>
      </c>
      <c r="G72" s="35">
        <f>Población!D8</f>
        <v>968673</v>
      </c>
      <c r="H72" s="35">
        <f>'Fondos 2027'!$B$22</f>
        <v>87872243673.929398</v>
      </c>
      <c r="I72" s="30">
        <f t="shared" si="19"/>
        <v>3099474178411075</v>
      </c>
      <c r="J72" s="30">
        <f t="shared" si="20"/>
        <v>3209824712145225</v>
      </c>
      <c r="K72" s="53">
        <f t="shared" si="21"/>
        <v>8.4437377584016926E-2</v>
      </c>
      <c r="L72" s="54">
        <v>8.4436999999999998E-2</v>
      </c>
      <c r="M72" s="55">
        <f t="shared" si="22"/>
        <v>3.775840169278899E-7</v>
      </c>
      <c r="N72" s="53">
        <f t="shared" si="23"/>
        <v>8.7832120089762933E-2</v>
      </c>
      <c r="O72" s="23">
        <f t="shared" si="24"/>
        <v>74197018.182503194</v>
      </c>
      <c r="P72" s="23">
        <f t="shared" si="25"/>
        <v>77180054.589254782</v>
      </c>
      <c r="Q72" s="29">
        <f t="shared" si="26"/>
        <v>2983036.406751588</v>
      </c>
      <c r="R72" s="35">
        <f>Población!K8</f>
        <v>925978</v>
      </c>
      <c r="S72" s="30">
        <f t="shared" si="27"/>
        <v>3068349244071850</v>
      </c>
      <c r="T72" s="53">
        <f t="shared" si="28"/>
        <v>8.3774225869274077E-2</v>
      </c>
      <c r="U72" s="29">
        <f t="shared" si="29"/>
        <v>3565762.6974582649</v>
      </c>
      <c r="V72" s="35">
        <f>Población!L8</f>
        <v>918817</v>
      </c>
      <c r="W72" s="30">
        <f t="shared" si="30"/>
        <v>3044620333734025</v>
      </c>
      <c r="X72" s="53">
        <f t="shared" si="31"/>
        <v>8.2958710529602242E-2</v>
      </c>
      <c r="Y72" s="29">
        <f t="shared" si="32"/>
        <v>4282374.3239329737</v>
      </c>
      <c r="Z72" s="35">
        <f>Población!M8</f>
        <v>952094</v>
      </c>
      <c r="AA72" s="30">
        <f t="shared" si="33"/>
        <v>3154888026697550</v>
      </c>
      <c r="AB72" s="53">
        <f t="shared" si="34"/>
        <v>8.6020128571494617E-2</v>
      </c>
      <c r="AC72" s="29">
        <f t="shared" si="35"/>
        <v>1592237.6022836675</v>
      </c>
    </row>
    <row r="73" spans="1:29" x14ac:dyDescent="0.2">
      <c r="A73" s="27" t="s">
        <v>157</v>
      </c>
      <c r="B73" s="27" t="s">
        <v>54</v>
      </c>
      <c r="C73" s="51">
        <v>16399735233</v>
      </c>
      <c r="E73" s="52">
        <f t="shared" si="18"/>
        <v>16399735233</v>
      </c>
      <c r="F73" s="45">
        <v>3590747</v>
      </c>
      <c r="G73" s="35">
        <f>Población!D9</f>
        <v>3415128</v>
      </c>
      <c r="H73" s="35">
        <f>'Fondos 2027'!$B$22</f>
        <v>87872243673.929398</v>
      </c>
      <c r="I73" s="30">
        <f t="shared" si="19"/>
        <v>5.8887300088689048E+16</v>
      </c>
      <c r="J73" s="30">
        <f t="shared" si="20"/>
        <v>5.6007194986804824E+16</v>
      </c>
      <c r="K73" s="53">
        <f t="shared" si="21"/>
        <v>1.6042363660022367</v>
      </c>
      <c r="L73" s="54">
        <v>1.604236</v>
      </c>
      <c r="M73" s="55">
        <f t="shared" si="22"/>
        <v>3.6600223674021493E-7</v>
      </c>
      <c r="N73" s="53">
        <f t="shared" si="23"/>
        <v>1.5325543034666638</v>
      </c>
      <c r="O73" s="23">
        <f t="shared" si="24"/>
        <v>1409678488.6392753</v>
      </c>
      <c r="P73" s="23">
        <f t="shared" si="25"/>
        <v>1346689851.9775183</v>
      </c>
      <c r="Q73" s="29">
        <f t="shared" si="26"/>
        <v>-62988636.661756992</v>
      </c>
      <c r="R73" s="35">
        <f>Población!K9</f>
        <v>3452989</v>
      </c>
      <c r="S73" s="30">
        <f t="shared" si="27"/>
        <v>5.662810536246144E+16</v>
      </c>
      <c r="T73" s="53">
        <f t="shared" si="28"/>
        <v>1.5461003007885787</v>
      </c>
      <c r="U73" s="29">
        <f t="shared" si="29"/>
        <v>-11903171.774777073</v>
      </c>
      <c r="V73" s="35">
        <f>Población!L9</f>
        <v>3582441</v>
      </c>
      <c r="W73" s="30">
        <f t="shared" si="30"/>
        <v>5.8751083887843752E+16</v>
      </c>
      <c r="X73" s="53">
        <f t="shared" si="31"/>
        <v>1.6008282239823561</v>
      </c>
      <c r="Y73" s="29">
        <f t="shared" si="32"/>
        <v>-59993825.801294073</v>
      </c>
      <c r="Z73" s="35">
        <f>Población!M9</f>
        <v>3510963</v>
      </c>
      <c r="AA73" s="30">
        <f t="shared" si="33"/>
        <v>5.7578863612859376E+16</v>
      </c>
      <c r="AB73" s="53">
        <f t="shared" si="34"/>
        <v>1.5699261619003697</v>
      </c>
      <c r="AC73" s="29">
        <f t="shared" si="35"/>
        <v>-32839490.50834202</v>
      </c>
    </row>
    <row r="74" spans="1:29" x14ac:dyDescent="0.2">
      <c r="A74" s="27" t="s">
        <v>157</v>
      </c>
      <c r="B74" s="27" t="s">
        <v>55</v>
      </c>
      <c r="C74" s="51">
        <v>3126852128</v>
      </c>
      <c r="E74" s="52">
        <f t="shared" si="18"/>
        <v>3126852128</v>
      </c>
      <c r="F74" s="45">
        <v>762355</v>
      </c>
      <c r="G74" s="35">
        <f>Población!D10</f>
        <v>762212</v>
      </c>
      <c r="H74" s="35">
        <f>'Fondos 2027'!$B$22</f>
        <v>87872243673.929398</v>
      </c>
      <c r="I74" s="30">
        <f t="shared" si="19"/>
        <v>2383771354041440</v>
      </c>
      <c r="J74" s="30">
        <f t="shared" si="20"/>
        <v>2383324214187136</v>
      </c>
      <c r="K74" s="53">
        <f t="shared" si="21"/>
        <v>6.4939854410513254E-2</v>
      </c>
      <c r="L74" s="54">
        <v>6.4939999999999998E-2</v>
      </c>
      <c r="M74" s="55">
        <f t="shared" si="22"/>
        <v>-1.4558948674414651E-7</v>
      </c>
      <c r="N74" s="53">
        <f t="shared" si="23"/>
        <v>6.521615270804651E-2</v>
      </c>
      <c r="O74" s="23">
        <f t="shared" si="24"/>
        <v>57064107.109101191</v>
      </c>
      <c r="P74" s="23">
        <f t="shared" si="25"/>
        <v>57306896.622376531</v>
      </c>
      <c r="Q74" s="29">
        <f t="shared" si="26"/>
        <v>242789.5132753402</v>
      </c>
      <c r="R74" s="35">
        <f>Población!K10</f>
        <v>728776</v>
      </c>
      <c r="S74" s="30">
        <f t="shared" si="27"/>
        <v>2278774786435328</v>
      </c>
      <c r="T74" s="53">
        <f t="shared" si="28"/>
        <v>6.2216709532941838E-2</v>
      </c>
      <c r="U74" s="29">
        <f t="shared" si="29"/>
        <v>2635678.0156890214</v>
      </c>
      <c r="V74" s="35">
        <f>Población!L10</f>
        <v>745394</v>
      </c>
      <c r="W74" s="30">
        <f t="shared" si="30"/>
        <v>2330736815098432</v>
      </c>
      <c r="X74" s="53">
        <f t="shared" si="31"/>
        <v>6.3507071348794714E-2</v>
      </c>
      <c r="Y74" s="29">
        <f t="shared" si="32"/>
        <v>1501808.1365874431</v>
      </c>
      <c r="Z74" s="35">
        <f>Población!M10</f>
        <v>771093</v>
      </c>
      <c r="AA74" s="30">
        <f t="shared" si="33"/>
        <v>2411093787935904</v>
      </c>
      <c r="AB74" s="53">
        <f t="shared" si="34"/>
        <v>6.5740082019101559E-2</v>
      </c>
      <c r="AC74" s="29">
        <f t="shared" si="35"/>
        <v>-460388.44088943233</v>
      </c>
    </row>
    <row r="75" spans="1:29" x14ac:dyDescent="0.2">
      <c r="A75" s="27" t="s">
        <v>157</v>
      </c>
      <c r="B75" s="27" t="s">
        <v>56</v>
      </c>
      <c r="C75" s="51">
        <v>8053623880</v>
      </c>
      <c r="E75" s="52">
        <f t="shared" si="18"/>
        <v>8053623880</v>
      </c>
      <c r="F75" s="45">
        <v>5891372</v>
      </c>
      <c r="G75" s="35">
        <f>Población!D11</f>
        <v>5860728</v>
      </c>
      <c r="H75" s="35">
        <f>'Fondos 2027'!$B$22</f>
        <v>87872243673.929398</v>
      </c>
      <c r="I75" s="30">
        <f t="shared" si="19"/>
        <v>4.744689422516336E+16</v>
      </c>
      <c r="J75" s="30">
        <f t="shared" si="20"/>
        <v>4.720009897498464E+16</v>
      </c>
      <c r="K75" s="53">
        <f t="shared" si="21"/>
        <v>1.292571285408427</v>
      </c>
      <c r="L75" s="54">
        <v>1.2925709999999999</v>
      </c>
      <c r="M75" s="55">
        <f t="shared" si="22"/>
        <v>2.8540842711421988E-7</v>
      </c>
      <c r="N75" s="53">
        <f t="shared" si="23"/>
        <v>1.2915611079113594</v>
      </c>
      <c r="O75" s="23">
        <f t="shared" si="24"/>
        <v>1135811389.5733345</v>
      </c>
      <c r="P75" s="23">
        <f t="shared" si="25"/>
        <v>1134923723.941572</v>
      </c>
      <c r="Q75" s="29">
        <f t="shared" si="26"/>
        <v>-887665.63176250458</v>
      </c>
      <c r="R75" s="35">
        <f>Población!K11</f>
        <v>5975155</v>
      </c>
      <c r="S75" s="30">
        <f t="shared" si="27"/>
        <v>4.81216509947014E+16</v>
      </c>
      <c r="T75" s="53">
        <f t="shared" si="28"/>
        <v>1.3138511098178276</v>
      </c>
      <c r="U75" s="29">
        <f t="shared" si="29"/>
        <v>-19586724.790175278</v>
      </c>
      <c r="V75" s="35">
        <f>Población!L11</f>
        <v>5900473</v>
      </c>
      <c r="W75" s="30">
        <f t="shared" si="30"/>
        <v>4.752019025609524E+16</v>
      </c>
      <c r="X75" s="53">
        <f t="shared" si="31"/>
        <v>1.294812907897835</v>
      </c>
      <c r="Y75" s="29">
        <f t="shared" si="32"/>
        <v>-2857429.6079046628</v>
      </c>
      <c r="Z75" s="35">
        <f>Población!M11</f>
        <v>5885528</v>
      </c>
      <c r="AA75" s="30">
        <f t="shared" si="33"/>
        <v>4.739982884720864E+16</v>
      </c>
      <c r="AB75" s="53">
        <f t="shared" si="34"/>
        <v>1.2923879824577398</v>
      </c>
      <c r="AC75" s="29">
        <f t="shared" si="35"/>
        <v>-726593.21627309953</v>
      </c>
    </row>
    <row r="76" spans="1:29" x14ac:dyDescent="0.2">
      <c r="A76" s="27" t="s">
        <v>157</v>
      </c>
      <c r="B76" s="27" t="s">
        <v>57</v>
      </c>
      <c r="C76" s="51">
        <v>29378013855</v>
      </c>
      <c r="E76" s="52">
        <f t="shared" si="18"/>
        <v>29378013855</v>
      </c>
      <c r="F76" s="45">
        <v>4015493</v>
      </c>
      <c r="G76" s="35">
        <f>Población!D12</f>
        <v>3903944</v>
      </c>
      <c r="H76" s="35">
        <f>'Fondos 2027'!$B$22</f>
        <v>87872243673.929398</v>
      </c>
      <c r="I76" s="30">
        <f t="shared" si="19"/>
        <v>1.1796720898865552E+17</v>
      </c>
      <c r="J76" s="30">
        <f t="shared" si="20"/>
        <v>1.1469012092114413E+17</v>
      </c>
      <c r="K76" s="53">
        <f t="shared" si="21"/>
        <v>3.2137198745801787</v>
      </c>
      <c r="L76" s="54">
        <v>3.2137199999999999</v>
      </c>
      <c r="M76" s="55">
        <f t="shared" si="22"/>
        <v>-1.2541982119529393E-7</v>
      </c>
      <c r="N76" s="53">
        <f t="shared" si="23"/>
        <v>3.1383260387209582</v>
      </c>
      <c r="O76" s="23">
        <f t="shared" si="24"/>
        <v>2823967759.1885929</v>
      </c>
      <c r="P76" s="23">
        <f t="shared" si="25"/>
        <v>2757717504.027256</v>
      </c>
      <c r="Q76" s="29">
        <f t="shared" si="26"/>
        <v>-66250255.161336899</v>
      </c>
      <c r="R76" s="35">
        <f>Población!K12</f>
        <v>3976037</v>
      </c>
      <c r="S76" s="30">
        <f t="shared" si="27"/>
        <v>1.1680807007399264E+17</v>
      </c>
      <c r="T76" s="53">
        <f t="shared" si="28"/>
        <v>3.189175959887411</v>
      </c>
      <c r="U76" s="29">
        <f t="shared" si="29"/>
        <v>-44682966.635386422</v>
      </c>
      <c r="V76" s="35">
        <f>Población!L12</f>
        <v>3991333</v>
      </c>
      <c r="W76" s="30">
        <f t="shared" si="30"/>
        <v>1.1725743617391872E+17</v>
      </c>
      <c r="X76" s="53">
        <f t="shared" si="31"/>
        <v>3.194988090047099</v>
      </c>
      <c r="Y76" s="29">
        <f t="shared" si="32"/>
        <v>-49790215.811953463</v>
      </c>
      <c r="Z76" s="35">
        <f>Población!M12</f>
        <v>3985958</v>
      </c>
      <c r="AA76" s="30">
        <f t="shared" si="33"/>
        <v>1.170995293494481E+17</v>
      </c>
      <c r="AB76" s="53">
        <f t="shared" si="34"/>
        <v>3.1927968552484836</v>
      </c>
      <c r="AC76" s="29">
        <f t="shared" si="35"/>
        <v>-47864728.630246118</v>
      </c>
    </row>
    <row r="77" spans="1:29" x14ac:dyDescent="0.2">
      <c r="A77" s="27" t="s">
        <v>157</v>
      </c>
      <c r="B77" s="27" t="s">
        <v>58</v>
      </c>
      <c r="C77" s="51">
        <v>103599810122</v>
      </c>
      <c r="E77" s="52">
        <f t="shared" si="18"/>
        <v>103599810122</v>
      </c>
      <c r="F77" s="45">
        <v>9336468</v>
      </c>
      <c r="G77" s="35">
        <f>Población!D13</f>
        <v>9216407</v>
      </c>
      <c r="H77" s="35">
        <f>'Fondos 2027'!$B$22</f>
        <v>87872243673.929398</v>
      </c>
      <c r="I77" s="30">
        <f t="shared" si="19"/>
        <v>9.6725631201012915E+17</v>
      </c>
      <c r="J77" s="30">
        <f t="shared" si="20"/>
        <v>9.5481801520707162E+17</v>
      </c>
      <c r="K77" s="53">
        <f t="shared" si="21"/>
        <v>26.350465187482826</v>
      </c>
      <c r="L77" s="54">
        <v>26.350465</v>
      </c>
      <c r="M77" s="55">
        <f t="shared" si="22"/>
        <v>1.8748282570868469E-7</v>
      </c>
      <c r="N77" s="53">
        <f t="shared" si="23"/>
        <v>26.127187026199916</v>
      </c>
      <c r="O77" s="23">
        <f t="shared" si="24"/>
        <v>23154744978.758842</v>
      </c>
      <c r="P77" s="23">
        <f t="shared" si="25"/>
        <v>22958545448.805656</v>
      </c>
      <c r="Q77" s="29">
        <f t="shared" si="26"/>
        <v>-196199529.95318604</v>
      </c>
      <c r="R77" s="35">
        <f>Población!K13</f>
        <v>9350964</v>
      </c>
      <c r="S77" s="30">
        <f t="shared" si="27"/>
        <v>9.687580948576576E+17</v>
      </c>
      <c r="T77" s="53">
        <f t="shared" si="28"/>
        <v>26.449713834919841</v>
      </c>
      <c r="U77" s="29">
        <f t="shared" si="29"/>
        <v>-283411543.27212042</v>
      </c>
      <c r="V77" s="35">
        <f>Población!L13</f>
        <v>9319955</v>
      </c>
      <c r="W77" s="30">
        <f t="shared" si="30"/>
        <v>9.6554556834558451E+17</v>
      </c>
      <c r="X77" s="53">
        <f t="shared" si="31"/>
        <v>26.308835430158144</v>
      </c>
      <c r="Y77" s="29">
        <f t="shared" si="32"/>
        <v>-159618528.15597755</v>
      </c>
      <c r="Z77" s="35">
        <f>Población!M13</f>
        <v>9296753</v>
      </c>
      <c r="AA77" s="30">
        <f t="shared" si="33"/>
        <v>9.6314184555113382E+17</v>
      </c>
      <c r="AB77" s="53">
        <f t="shared" si="34"/>
        <v>26.260705510242722</v>
      </c>
      <c r="AC77" s="29">
        <f t="shared" si="35"/>
        <v>-117325687.64783129</v>
      </c>
    </row>
    <row r="78" spans="1:29" x14ac:dyDescent="0.2">
      <c r="A78" s="27" t="s">
        <v>157</v>
      </c>
      <c r="B78" s="27" t="s">
        <v>59</v>
      </c>
      <c r="C78" s="51">
        <v>5695831479</v>
      </c>
      <c r="E78" s="52">
        <f t="shared" si="18"/>
        <v>5695831479</v>
      </c>
      <c r="F78" s="45">
        <v>1968132</v>
      </c>
      <c r="G78" s="35">
        <f>Población!D14</f>
        <v>1943290</v>
      </c>
      <c r="H78" s="35">
        <f>'Fondos 2027'!$B$22</f>
        <v>87872243673.929398</v>
      </c>
      <c r="I78" s="30">
        <f t="shared" si="19"/>
        <v>1.1210148200427228E+16</v>
      </c>
      <c r="J78" s="30">
        <f t="shared" si="20"/>
        <v>1.106865235482591E+16</v>
      </c>
      <c r="K78" s="53">
        <f t="shared" si="21"/>
        <v>0.30539228975203375</v>
      </c>
      <c r="L78" s="54">
        <v>0.305392</v>
      </c>
      <c r="M78" s="55">
        <f t="shared" si="22"/>
        <v>2.8975203375525282E-7</v>
      </c>
      <c r="N78" s="53">
        <f t="shared" si="23"/>
        <v>0.3028773500254992</v>
      </c>
      <c r="O78" s="23">
        <f t="shared" si="24"/>
        <v>268355057.01229963</v>
      </c>
      <c r="P78" s="23">
        <f t="shared" si="25"/>
        <v>266145123.04754674</v>
      </c>
      <c r="Q78" s="29">
        <f t="shared" si="26"/>
        <v>-2209933.9647528827</v>
      </c>
      <c r="R78" s="35">
        <f>Población!K14</f>
        <v>1944614</v>
      </c>
      <c r="S78" s="30">
        <f t="shared" si="27"/>
        <v>1.1076193635704106E+16</v>
      </c>
      <c r="T78" s="53">
        <f t="shared" si="28"/>
        <v>0.3024100171132813</v>
      </c>
      <c r="U78" s="29">
        <f t="shared" si="29"/>
        <v>410655.915392583</v>
      </c>
      <c r="V78" s="35">
        <f>Población!L14</f>
        <v>1954301</v>
      </c>
      <c r="W78" s="30">
        <f t="shared" si="30"/>
        <v>1.113136915524118E+16</v>
      </c>
      <c r="X78" s="53">
        <f t="shared" si="31"/>
        <v>0.30330350924749072</v>
      </c>
      <c r="Y78" s="29">
        <f t="shared" si="32"/>
        <v>-374475.66998730827</v>
      </c>
      <c r="Z78" s="35">
        <f>Población!M14</f>
        <v>1959669</v>
      </c>
      <c r="AA78" s="30">
        <f t="shared" si="33"/>
        <v>1.1161944378620452E+16</v>
      </c>
      <c r="AB78" s="53">
        <f t="shared" si="34"/>
        <v>0.30433786633050919</v>
      </c>
      <c r="AC78" s="29">
        <f t="shared" si="35"/>
        <v>-1283388.4464358434</v>
      </c>
    </row>
    <row r="79" spans="1:29" x14ac:dyDescent="0.2">
      <c r="A79" s="27" t="s">
        <v>157</v>
      </c>
      <c r="B79" s="27" t="s">
        <v>60</v>
      </c>
      <c r="C79" s="51">
        <v>22628728014</v>
      </c>
      <c r="E79" s="52">
        <f t="shared" si="18"/>
        <v>22628728014</v>
      </c>
      <c r="F79" s="45">
        <v>6402249</v>
      </c>
      <c r="G79" s="35">
        <f>Población!D15</f>
        <v>6446935</v>
      </c>
      <c r="H79" s="35">
        <f>'Fondos 2027'!$B$22</f>
        <v>87872243673.929398</v>
      </c>
      <c r="I79" s="30">
        <f t="shared" si="19"/>
        <v>1.4487475129890349E+17</v>
      </c>
      <c r="J79" s="30">
        <f t="shared" si="20"/>
        <v>1.4588593863893709E+17</v>
      </c>
      <c r="K79" s="53">
        <f t="shared" si="21"/>
        <v>3.9467481816825938</v>
      </c>
      <c r="L79" s="54">
        <v>3.9467479999999999</v>
      </c>
      <c r="M79" s="55">
        <f t="shared" si="22"/>
        <v>1.816825938583122E-7</v>
      </c>
      <c r="N79" s="53">
        <f t="shared" si="23"/>
        <v>3.9919535896959526</v>
      </c>
      <c r="O79" s="23">
        <f t="shared" si="24"/>
        <v>3468096179.4045067</v>
      </c>
      <c r="P79" s="23">
        <f t="shared" si="25"/>
        <v>3507819185.6877995</v>
      </c>
      <c r="Q79" s="29">
        <f t="shared" si="26"/>
        <v>39723006.28329277</v>
      </c>
      <c r="R79" s="35">
        <f>Población!K15</f>
        <v>6345807</v>
      </c>
      <c r="S79" s="30">
        <f t="shared" si="27"/>
        <v>1.435975406323373E+17</v>
      </c>
      <c r="T79" s="53">
        <f t="shared" si="28"/>
        <v>3.9206008984953709</v>
      </c>
      <c r="U79" s="29">
        <f t="shared" si="29"/>
        <v>62699210.679681569</v>
      </c>
      <c r="V79" s="35">
        <f>Población!L15</f>
        <v>6376710</v>
      </c>
      <c r="W79" s="30">
        <f t="shared" si="30"/>
        <v>1.4429683621415395E+17</v>
      </c>
      <c r="X79" s="53">
        <f t="shared" si="31"/>
        <v>3.9317478547961282</v>
      </c>
      <c r="Y79" s="29">
        <f t="shared" si="32"/>
        <v>52904130.076853648</v>
      </c>
      <c r="Z79" s="35">
        <f>Población!M15</f>
        <v>6432483</v>
      </c>
      <c r="AA79" s="30">
        <f t="shared" si="33"/>
        <v>1.4555890826167875E+17</v>
      </c>
      <c r="AB79" s="53">
        <f t="shared" si="34"/>
        <v>3.9687608236615075</v>
      </c>
      <c r="AC79" s="29">
        <f t="shared" si="35"/>
        <v>20380003.884511922</v>
      </c>
    </row>
    <row r="80" spans="1:29" x14ac:dyDescent="0.2">
      <c r="A80" s="27" t="s">
        <v>157</v>
      </c>
      <c r="B80" s="27" t="s">
        <v>61</v>
      </c>
      <c r="C80" s="51">
        <v>5343602918</v>
      </c>
      <c r="E80" s="52">
        <f t="shared" si="18"/>
        <v>5343602918</v>
      </c>
      <c r="F80" s="45">
        <v>3569633</v>
      </c>
      <c r="G80" s="35">
        <f>Población!D16</f>
        <v>3418902</v>
      </c>
      <c r="H80" s="35">
        <f>'Fondos 2027'!$B$22</f>
        <v>87872243673.929398</v>
      </c>
      <c r="I80" s="30">
        <f t="shared" si="19"/>
        <v>1.9074701314989096E+16</v>
      </c>
      <c r="J80" s="30">
        <f t="shared" si="20"/>
        <v>1.8269254703556036E+16</v>
      </c>
      <c r="K80" s="53">
        <f t="shared" si="21"/>
        <v>0.51964225688815091</v>
      </c>
      <c r="L80" s="54">
        <v>0.51964200000000005</v>
      </c>
      <c r="M80" s="55">
        <f t="shared" si="22"/>
        <v>2.5688815086244432E-7</v>
      </c>
      <c r="N80" s="53">
        <f t="shared" si="23"/>
        <v>0.49991121540116062</v>
      </c>
      <c r="O80" s="23">
        <f t="shared" si="24"/>
        <v>456621310.2054621</v>
      </c>
      <c r="P80" s="23">
        <f t="shared" si="25"/>
        <v>439283201.35060996</v>
      </c>
      <c r="Q80" s="29">
        <f t="shared" si="26"/>
        <v>-17338108.85485214</v>
      </c>
      <c r="R80" s="35">
        <f>Población!K16</f>
        <v>3606579</v>
      </c>
      <c r="S80" s="30">
        <f t="shared" si="27"/>
        <v>1.927212606839752E+16</v>
      </c>
      <c r="T80" s="53">
        <f t="shared" si="28"/>
        <v>0.52618112014280627</v>
      </c>
      <c r="U80" s="29">
        <f t="shared" si="29"/>
        <v>-23083954.707487993</v>
      </c>
      <c r="V80" s="35">
        <f>Población!L16</f>
        <v>3578620</v>
      </c>
      <c r="W80" s="30">
        <f t="shared" si="30"/>
        <v>1.912272427441316E+16</v>
      </c>
      <c r="X80" s="53">
        <f t="shared" si="31"/>
        <v>0.52104905496470533</v>
      </c>
      <c r="Y80" s="29">
        <f t="shared" si="32"/>
        <v>-18574293.888682257</v>
      </c>
      <c r="Z80" s="35">
        <f>Población!M16</f>
        <v>3538257</v>
      </c>
      <c r="AA80" s="30">
        <f t="shared" si="33"/>
        <v>1.8907040429833928E+16</v>
      </c>
      <c r="AB80" s="53">
        <f t="shared" si="34"/>
        <v>0.51551308157938569</v>
      </c>
      <c r="AC80" s="29">
        <f t="shared" si="35"/>
        <v>-13709709.865810305</v>
      </c>
    </row>
    <row r="81" spans="1:29" x14ac:dyDescent="0.2">
      <c r="A81" s="27" t="s">
        <v>157</v>
      </c>
      <c r="B81" s="27" t="s">
        <v>62</v>
      </c>
      <c r="C81" s="51">
        <v>6359045350</v>
      </c>
      <c r="E81" s="52">
        <f t="shared" si="18"/>
        <v>6359045350</v>
      </c>
      <c r="F81" s="45">
        <v>3215821</v>
      </c>
      <c r="G81" s="35">
        <f>Población!D17</f>
        <v>3245595</v>
      </c>
      <c r="H81" s="35">
        <f>'Fondos 2027'!$B$22</f>
        <v>87872243673.929398</v>
      </c>
      <c r="I81" s="30">
        <f t="shared" si="19"/>
        <v>2.0449551576482352E+16</v>
      </c>
      <c r="J81" s="30">
        <f t="shared" si="20"/>
        <v>2.0638885792733248E+16</v>
      </c>
      <c r="K81" s="53">
        <f t="shared" si="21"/>
        <v>0.55709659396886924</v>
      </c>
      <c r="L81" s="54">
        <v>0.55709699999999995</v>
      </c>
      <c r="M81" s="55">
        <f t="shared" si="22"/>
        <v>-4.0603113071746577E-7</v>
      </c>
      <c r="N81" s="53">
        <f t="shared" si="23"/>
        <v>0.5647526759349818</v>
      </c>
      <c r="O81" s="23">
        <f t="shared" si="24"/>
        <v>489533276.55148584</v>
      </c>
      <c r="P81" s="23">
        <f t="shared" si="25"/>
        <v>496260847.55262405</v>
      </c>
      <c r="Q81" s="29">
        <f t="shared" si="26"/>
        <v>6727571.0011382103</v>
      </c>
      <c r="R81" s="35">
        <f>Población!K17</f>
        <v>3248649</v>
      </c>
      <c r="S81" s="30">
        <f t="shared" si="27"/>
        <v>2.0658306317232152E+16</v>
      </c>
      <c r="T81" s="53">
        <f t="shared" si="28"/>
        <v>0.56402758676838949</v>
      </c>
      <c r="U81" s="29">
        <f t="shared" si="29"/>
        <v>637152.11932125641</v>
      </c>
      <c r="V81" s="35">
        <f>Población!L17</f>
        <v>3228160</v>
      </c>
      <c r="W81" s="30">
        <f t="shared" si="30"/>
        <v>2.0528015837056E+16</v>
      </c>
      <c r="X81" s="53">
        <f t="shared" si="31"/>
        <v>0.55933992974579849</v>
      </c>
      <c r="Y81" s="29">
        <f t="shared" si="32"/>
        <v>4756301.5208104802</v>
      </c>
      <c r="Z81" s="35">
        <f>Población!M17</f>
        <v>3229482</v>
      </c>
      <c r="AA81" s="30">
        <f t="shared" si="33"/>
        <v>2.05364224950087E+16</v>
      </c>
      <c r="AB81" s="53">
        <f t="shared" si="34"/>
        <v>0.55993927152728584</v>
      </c>
      <c r="AC81" s="29">
        <f t="shared" si="35"/>
        <v>4229646.4501422457</v>
      </c>
    </row>
    <row r="82" spans="1:29" x14ac:dyDescent="0.2">
      <c r="A82" s="27" t="s">
        <v>157</v>
      </c>
      <c r="B82" s="27" t="s">
        <v>63</v>
      </c>
      <c r="C82" s="51">
        <v>37400090365</v>
      </c>
      <c r="E82" s="52">
        <f t="shared" si="18"/>
        <v>37400090365</v>
      </c>
      <c r="F82" s="45">
        <v>8750952</v>
      </c>
      <c r="G82" s="35">
        <f>Población!D18</f>
        <v>8679851</v>
      </c>
      <c r="H82" s="35">
        <f>'Fondos 2027'!$B$22</f>
        <v>87872243673.929398</v>
      </c>
      <c r="I82" s="30">
        <f t="shared" si="19"/>
        <v>3.2728639557977747E+17</v>
      </c>
      <c r="J82" s="30">
        <f t="shared" si="20"/>
        <v>3.2462721175473562E+17</v>
      </c>
      <c r="K82" s="53">
        <f t="shared" si="21"/>
        <v>8.9160945924862034</v>
      </c>
      <c r="L82" s="54">
        <v>8.9160950000000003</v>
      </c>
      <c r="M82" s="55">
        <f t="shared" si="22"/>
        <v>-4.0751379692949286E-7</v>
      </c>
      <c r="N82" s="53">
        <f t="shared" si="23"/>
        <v>8.8829449593809517</v>
      </c>
      <c r="O82" s="23">
        <f t="shared" si="24"/>
        <v>7834772366.5075197</v>
      </c>
      <c r="P82" s="23">
        <f t="shared" si="25"/>
        <v>7805643040.1282587</v>
      </c>
      <c r="Q82" s="29">
        <f t="shared" si="26"/>
        <v>-29129326.379261017</v>
      </c>
      <c r="R82" s="35">
        <f>Población!K18</f>
        <v>8739649</v>
      </c>
      <c r="S82" s="30">
        <f t="shared" si="27"/>
        <v>3.2686366235838189E+17</v>
      </c>
      <c r="T82" s="53">
        <f t="shared" si="28"/>
        <v>8.9242612560397365</v>
      </c>
      <c r="U82" s="29">
        <f t="shared" si="29"/>
        <v>-36305556.877050914</v>
      </c>
      <c r="V82" s="35">
        <f>Población!L18</f>
        <v>8761130</v>
      </c>
      <c r="W82" s="30">
        <f t="shared" si="30"/>
        <v>3.2766705369951245E+17</v>
      </c>
      <c r="X82" s="53">
        <f t="shared" si="31"/>
        <v>8.9281530300389012</v>
      </c>
      <c r="Y82" s="29">
        <f t="shared" si="32"/>
        <v>-39725346.00883548</v>
      </c>
      <c r="Z82" s="35">
        <f>Población!M18</f>
        <v>8703341</v>
      </c>
      <c r="AA82" s="30">
        <f t="shared" si="33"/>
        <v>3.2550573987740947E+17</v>
      </c>
      <c r="AB82" s="53">
        <f t="shared" si="34"/>
        <v>8.8751313384405339</v>
      </c>
      <c r="AC82" s="29">
        <f t="shared" si="35"/>
        <v>6866004.0325211203</v>
      </c>
    </row>
    <row r="83" spans="1:29" x14ac:dyDescent="0.2">
      <c r="A83" s="27" t="s">
        <v>157</v>
      </c>
      <c r="B83" s="27" t="s">
        <v>64</v>
      </c>
      <c r="C83" s="51">
        <v>53147294196</v>
      </c>
      <c r="E83" s="52">
        <f t="shared" si="18"/>
        <v>53147294196</v>
      </c>
      <c r="F83" s="45">
        <v>17753727</v>
      </c>
      <c r="G83" s="35">
        <f>Población!D19</f>
        <v>17612480</v>
      </c>
      <c r="H83" s="35">
        <f>'Fondos 2027'!$B$22</f>
        <v>87872243673.929398</v>
      </c>
      <c r="I83" s="30">
        <f t="shared" si="19"/>
        <v>9.4356255194446848E+17</v>
      </c>
      <c r="J83" s="30">
        <f t="shared" si="20"/>
        <v>9.3605565608116608E+17</v>
      </c>
      <c r="K83" s="53">
        <f t="shared" si="21"/>
        <v>25.70498829369728</v>
      </c>
      <c r="L83" s="54">
        <v>25.704988</v>
      </c>
      <c r="M83" s="55">
        <f t="shared" si="22"/>
        <v>2.9369727982953009E-7</v>
      </c>
      <c r="N83" s="53">
        <f t="shared" si="23"/>
        <v>25.613782735405348</v>
      </c>
      <c r="O83" s="23">
        <f t="shared" si="24"/>
        <v>22587549949.792698</v>
      </c>
      <c r="P83" s="23">
        <f t="shared" si="25"/>
        <v>22507405579.366249</v>
      </c>
      <c r="Q83" s="29">
        <f t="shared" si="26"/>
        <v>-80144370.426448822</v>
      </c>
      <c r="R83" s="35">
        <f>Población!K19</f>
        <v>17788768</v>
      </c>
      <c r="S83" s="30">
        <f t="shared" si="27"/>
        <v>9.4542488628039053E+17</v>
      </c>
      <c r="T83" s="53">
        <f t="shared" si="28"/>
        <v>25.812654188146112</v>
      </c>
      <c r="U83" s="29">
        <f t="shared" si="29"/>
        <v>-174752807.55024788</v>
      </c>
      <c r="V83" s="35">
        <f>Población!L19</f>
        <v>17789139</v>
      </c>
      <c r="W83" s="30">
        <f t="shared" si="30"/>
        <v>9.4544460392653722E+17</v>
      </c>
      <c r="X83" s="53">
        <f t="shared" si="31"/>
        <v>25.76113164255306</v>
      </c>
      <c r="Y83" s="29">
        <f t="shared" si="32"/>
        <v>-129478790.73970993</v>
      </c>
      <c r="Z83" s="35">
        <f>Población!M19</f>
        <v>17729333</v>
      </c>
      <c r="AA83" s="30">
        <f t="shared" si="33"/>
        <v>9.4226607684985126E+17</v>
      </c>
      <c r="AB83" s="53">
        <f t="shared" si="34"/>
        <v>25.691513737819392</v>
      </c>
      <c r="AC83" s="29">
        <f t="shared" si="35"/>
        <v>-68303975.851456746</v>
      </c>
    </row>
    <row r="84" spans="1:29" x14ac:dyDescent="0.2">
      <c r="A84" s="27" t="s">
        <v>157</v>
      </c>
      <c r="B84" s="27" t="s">
        <v>65</v>
      </c>
      <c r="C84" s="51">
        <v>9995352838</v>
      </c>
      <c r="E84" s="52">
        <f t="shared" si="18"/>
        <v>9995352838</v>
      </c>
      <c r="F84" s="45">
        <v>4945881</v>
      </c>
      <c r="G84" s="35">
        <f>Población!D20</f>
        <v>4889574</v>
      </c>
      <c r="H84" s="35">
        <f>'Fondos 2027'!$B$22</f>
        <v>87872243673.929398</v>
      </c>
      <c r="I84" s="30">
        <f t="shared" si="19"/>
        <v>4.943582568976028E+16</v>
      </c>
      <c r="J84" s="30">
        <f t="shared" si="20"/>
        <v>4.8873017357511008E+16</v>
      </c>
      <c r="K84" s="53">
        <f t="shared" si="21"/>
        <v>1.3467547202099375</v>
      </c>
      <c r="L84" s="54">
        <v>1.3467549999999999</v>
      </c>
      <c r="M84" s="55">
        <f t="shared" si="22"/>
        <v>-2.7979006245182347E-7</v>
      </c>
      <c r="N84" s="53">
        <f t="shared" si="23"/>
        <v>1.3373380525895084</v>
      </c>
      <c r="O84" s="23">
        <f t="shared" si="24"/>
        <v>1183423589.4330225</v>
      </c>
      <c r="P84" s="23">
        <f t="shared" si="25"/>
        <v>1175148952.315635</v>
      </c>
      <c r="Q84" s="29">
        <f t="shared" si="26"/>
        <v>-8274637.1173875332</v>
      </c>
      <c r="R84" s="35">
        <f>Población!K20</f>
        <v>4950874</v>
      </c>
      <c r="S84" s="30">
        <f t="shared" si="27"/>
        <v>4.9485732486480416E+16</v>
      </c>
      <c r="T84" s="53">
        <f t="shared" si="28"/>
        <v>1.3510942206589989</v>
      </c>
      <c r="U84" s="29">
        <f t="shared" si="29"/>
        <v>-12087853.526217898</v>
      </c>
      <c r="V84" s="35">
        <f>Población!L20</f>
        <v>4940153</v>
      </c>
      <c r="W84" s="30">
        <f t="shared" si="30"/>
        <v>4.9378572308704216E+16</v>
      </c>
      <c r="X84" s="53">
        <f t="shared" si="31"/>
        <v>1.3454494280076243</v>
      </c>
      <c r="Y84" s="29">
        <f t="shared" si="32"/>
        <v>-7127647.5727140196</v>
      </c>
      <c r="Z84" s="35">
        <f>Población!M20</f>
        <v>4915546</v>
      </c>
      <c r="AA84" s="30">
        <f t="shared" si="33"/>
        <v>4.9132616661419552E+16</v>
      </c>
      <c r="AB84" s="53">
        <f t="shared" si="34"/>
        <v>1.3396335991972879</v>
      </c>
      <c r="AC84" s="29">
        <f t="shared" si="35"/>
        <v>-2017148.3088365521</v>
      </c>
    </row>
    <row r="85" spans="1:29" x14ac:dyDescent="0.2">
      <c r="A85" s="27" t="s">
        <v>157</v>
      </c>
      <c r="B85" s="27" t="s">
        <v>66</v>
      </c>
      <c r="C85" s="51">
        <v>5098806088</v>
      </c>
      <c r="E85" s="52">
        <f t="shared" si="18"/>
        <v>5098806088</v>
      </c>
      <c r="F85" s="45">
        <v>1988503</v>
      </c>
      <c r="G85" s="35">
        <f>Población!D21</f>
        <v>1997217</v>
      </c>
      <c r="H85" s="35">
        <f>'Fondos 2027'!$B$22</f>
        <v>87872243673.929398</v>
      </c>
      <c r="I85" s="30">
        <f t="shared" si="19"/>
        <v>1.0138991202406264E+16</v>
      </c>
      <c r="J85" s="30">
        <f t="shared" si="20"/>
        <v>1.0183422198657096E+16</v>
      </c>
      <c r="K85" s="53">
        <f t="shared" si="21"/>
        <v>0.27621131172561747</v>
      </c>
      <c r="L85" s="54">
        <v>0.27621099999999998</v>
      </c>
      <c r="M85" s="55">
        <f t="shared" si="22"/>
        <v>3.1172561748560312E-7</v>
      </c>
      <c r="N85" s="53">
        <f t="shared" si="23"/>
        <v>0.27865433214869589</v>
      </c>
      <c r="O85" s="23">
        <f t="shared" si="24"/>
        <v>242713076.89449131</v>
      </c>
      <c r="P85" s="23">
        <f t="shared" si="25"/>
        <v>244859813.75366265</v>
      </c>
      <c r="Q85" s="29">
        <f t="shared" si="26"/>
        <v>2146736.8591713309</v>
      </c>
      <c r="R85" s="35">
        <f>Población!K21</f>
        <v>1984308</v>
      </c>
      <c r="S85" s="30">
        <f t="shared" si="27"/>
        <v>1.0117601710867104E+16</v>
      </c>
      <c r="T85" s="53">
        <f t="shared" si="28"/>
        <v>0.27623786719165494</v>
      </c>
      <c r="U85" s="29">
        <f t="shared" si="29"/>
        <v>2123401.9753461401</v>
      </c>
      <c r="V85" s="35">
        <f>Población!L21</f>
        <v>1984462</v>
      </c>
      <c r="W85" s="30">
        <f t="shared" si="30"/>
        <v>1.0118386927004656E+16</v>
      </c>
      <c r="X85" s="53">
        <f t="shared" si="31"/>
        <v>0.27570213691452694</v>
      </c>
      <c r="Y85" s="29">
        <f t="shared" si="32"/>
        <v>2594160.189899073</v>
      </c>
      <c r="Z85" s="35">
        <f>Población!M21</f>
        <v>1994177</v>
      </c>
      <c r="AA85" s="30">
        <f t="shared" si="33"/>
        <v>1.0167921828149576E+16</v>
      </c>
      <c r="AB85" s="53">
        <f t="shared" si="34"/>
        <v>0.2772351777815355</v>
      </c>
      <c r="AC85" s="29">
        <f t="shared" si="35"/>
        <v>1247042.7836203896</v>
      </c>
    </row>
    <row r="86" spans="1:29" x14ac:dyDescent="0.2">
      <c r="A86" s="27" t="s">
        <v>157</v>
      </c>
      <c r="B86" s="27" t="s">
        <v>67</v>
      </c>
      <c r="C86" s="51">
        <v>4160780168</v>
      </c>
      <c r="E86" s="52">
        <f t="shared" si="18"/>
        <v>4160780168</v>
      </c>
      <c r="F86" s="45">
        <v>1279298</v>
      </c>
      <c r="G86" s="35">
        <f>Población!D22</f>
        <v>1299075</v>
      </c>
      <c r="H86" s="35">
        <f>'Fondos 2027'!$B$22</f>
        <v>87872243673.929398</v>
      </c>
      <c r="I86" s="30">
        <f t="shared" si="19"/>
        <v>5322877747362064</v>
      </c>
      <c r="J86" s="30">
        <f t="shared" si="20"/>
        <v>5405165496744600</v>
      </c>
      <c r="K86" s="53">
        <f t="shared" si="21"/>
        <v>0.1450084150783213</v>
      </c>
      <c r="L86" s="54">
        <v>0.145008</v>
      </c>
      <c r="M86" s="55">
        <f t="shared" si="22"/>
        <v>4.1507832129750177E-7</v>
      </c>
      <c r="N86" s="53">
        <f t="shared" si="23"/>
        <v>0.14790438344461079</v>
      </c>
      <c r="O86" s="23">
        <f t="shared" si="24"/>
        <v>127422147.84532546</v>
      </c>
      <c r="P86" s="23">
        <f t="shared" si="25"/>
        <v>129966900.22487128</v>
      </c>
      <c r="Q86" s="29">
        <f t="shared" si="26"/>
        <v>2544752.3795458227</v>
      </c>
      <c r="R86" s="35">
        <f>Población!K22</f>
        <v>1245276</v>
      </c>
      <c r="S86" s="30">
        <f t="shared" si="27"/>
        <v>5181319684486368</v>
      </c>
      <c r="T86" s="53">
        <f t="shared" si="28"/>
        <v>0.14146402870784572</v>
      </c>
      <c r="U86" s="29">
        <f t="shared" si="29"/>
        <v>5659284.2077556606</v>
      </c>
      <c r="V86" s="35">
        <f>Población!L22</f>
        <v>1257616</v>
      </c>
      <c r="W86" s="30">
        <f t="shared" si="30"/>
        <v>5232663711759488</v>
      </c>
      <c r="X86" s="53">
        <f t="shared" si="31"/>
        <v>0.1425777228618258</v>
      </c>
      <c r="Y86" s="29">
        <f t="shared" si="32"/>
        <v>4680656.1669879807</v>
      </c>
      <c r="Z86" s="35">
        <f>Población!M22</f>
        <v>1301047</v>
      </c>
      <c r="AA86" s="30">
        <f t="shared" si="33"/>
        <v>5413370555235896</v>
      </c>
      <c r="AB86" s="53">
        <f t="shared" si="34"/>
        <v>0.14759916270434922</v>
      </c>
      <c r="AC86" s="29">
        <f t="shared" si="35"/>
        <v>268204.3126260172</v>
      </c>
    </row>
    <row r="87" spans="1:29" x14ac:dyDescent="0.2">
      <c r="A87" s="27" t="s">
        <v>157</v>
      </c>
      <c r="B87" s="27" t="s">
        <v>68</v>
      </c>
      <c r="C87" s="51">
        <v>44971267966</v>
      </c>
      <c r="E87" s="52">
        <f t="shared" si="18"/>
        <v>44971267966</v>
      </c>
      <c r="F87" s="45">
        <v>6234433</v>
      </c>
      <c r="G87" s="35">
        <f>Población!D23</f>
        <v>6291899</v>
      </c>
      <c r="H87" s="35">
        <f>'Fondos 2027'!$B$22</f>
        <v>87872243673.929398</v>
      </c>
      <c r="I87" s="30">
        <f t="shared" si="19"/>
        <v>2.8037035705907328E+17</v>
      </c>
      <c r="J87" s="30">
        <f t="shared" si="20"/>
        <v>2.8295467594400742E+17</v>
      </c>
      <c r="K87" s="53">
        <f t="shared" si="21"/>
        <v>7.6379851354331336</v>
      </c>
      <c r="L87" s="54">
        <v>7.6379849999999996</v>
      </c>
      <c r="M87" s="55">
        <f t="shared" si="22"/>
        <v>1.3543313404085211E-7</v>
      </c>
      <c r="N87" s="53">
        <f t="shared" si="23"/>
        <v>7.7426374665999482</v>
      </c>
      <c r="O87" s="23">
        <f t="shared" si="24"/>
        <v>6711668909.98631</v>
      </c>
      <c r="P87" s="23">
        <f t="shared" si="25"/>
        <v>6803629261.4396601</v>
      </c>
      <c r="Q87" s="29">
        <f t="shared" si="26"/>
        <v>91960351.453350067</v>
      </c>
      <c r="R87" s="35">
        <f>Población!K23</f>
        <v>6152311</v>
      </c>
      <c r="S87" s="30">
        <f t="shared" si="27"/>
        <v>2.7667722659116944E+17</v>
      </c>
      <c r="T87" s="53">
        <f t="shared" si="28"/>
        <v>7.5540359423277552</v>
      </c>
      <c r="U87" s="29">
        <f t="shared" si="29"/>
        <v>165728390.98120654</v>
      </c>
      <c r="V87" s="35">
        <f>Población!L23</f>
        <v>6310265</v>
      </c>
      <c r="W87" s="30">
        <f t="shared" si="30"/>
        <v>2.8378061825147098E+17</v>
      </c>
      <c r="X87" s="53">
        <f t="shared" si="31"/>
        <v>7.732351355140084</v>
      </c>
      <c r="Y87" s="29">
        <f t="shared" si="32"/>
        <v>9038636.9265838843</v>
      </c>
      <c r="Z87" s="35">
        <f>Población!M23</f>
        <v>6282446</v>
      </c>
      <c r="AA87" s="30">
        <f t="shared" si="33"/>
        <v>2.8252956254792483E+17</v>
      </c>
      <c r="AB87" s="53">
        <f t="shared" si="34"/>
        <v>7.7033571682924586</v>
      </c>
      <c r="AC87" s="29">
        <f t="shared" si="35"/>
        <v>34516479.444603615</v>
      </c>
    </row>
    <row r="88" spans="1:29" x14ac:dyDescent="0.2">
      <c r="A88" s="27" t="s">
        <v>157</v>
      </c>
      <c r="B88" s="27" t="s">
        <v>69</v>
      </c>
      <c r="C88" s="51">
        <v>5676564891</v>
      </c>
      <c r="E88" s="52">
        <f t="shared" si="18"/>
        <v>5676564891</v>
      </c>
      <c r="F88" s="45">
        <v>4178688</v>
      </c>
      <c r="G88" s="35">
        <f>Población!D24</f>
        <v>4169180</v>
      </c>
      <c r="H88" s="35">
        <f>'Fondos 2027'!$B$22</f>
        <v>87872243673.929398</v>
      </c>
      <c r="I88" s="30">
        <f t="shared" si="19"/>
        <v>2.3720593591243008E+16</v>
      </c>
      <c r="J88" s="30">
        <f t="shared" si="20"/>
        <v>2.366662081225938E+16</v>
      </c>
      <c r="K88" s="53">
        <f t="shared" si="21"/>
        <v>0.64620790569307918</v>
      </c>
      <c r="L88" s="54">
        <v>0.646208</v>
      </c>
      <c r="M88" s="55">
        <f t="shared" si="22"/>
        <v>-9.4306920828124419E-8</v>
      </c>
      <c r="N88" s="53">
        <f t="shared" si="23"/>
        <v>0.64760218009287995</v>
      </c>
      <c r="O88" s="23">
        <f t="shared" si="24"/>
        <v>567837385.53081834</v>
      </c>
      <c r="P88" s="23">
        <f t="shared" si="25"/>
        <v>569062565.72889459</v>
      </c>
      <c r="Q88" s="29">
        <f t="shared" si="26"/>
        <v>1225180.1980762482</v>
      </c>
      <c r="R88" s="35">
        <f>Población!K24</f>
        <v>4232451</v>
      </c>
      <c r="S88" s="30">
        <f t="shared" si="27"/>
        <v>2.402578274947784E+16</v>
      </c>
      <c r="T88" s="53">
        <f t="shared" si="28"/>
        <v>0.65596879319704127</v>
      </c>
      <c r="U88" s="29">
        <f t="shared" si="29"/>
        <v>-7351930.6541435374</v>
      </c>
      <c r="V88" s="35">
        <f>Población!L24</f>
        <v>4190375</v>
      </c>
      <c r="W88" s="30">
        <f t="shared" si="30"/>
        <v>2.3786935605124124E+16</v>
      </c>
      <c r="X88" s="53">
        <f t="shared" si="31"/>
        <v>0.64813779353290291</v>
      </c>
      <c r="Y88" s="29">
        <f t="shared" si="32"/>
        <v>-470655.54716728482</v>
      </c>
      <c r="Z88" s="35">
        <f>Población!M24</f>
        <v>4168743</v>
      </c>
      <c r="AA88" s="30">
        <f t="shared" si="33"/>
        <v>2.3664140153402012E+16</v>
      </c>
      <c r="AB88" s="53">
        <f t="shared" si="34"/>
        <v>0.6452185818652687</v>
      </c>
      <c r="AC88" s="29">
        <f t="shared" si="35"/>
        <v>2094521.2427740199</v>
      </c>
    </row>
    <row r="89" spans="1:29" x14ac:dyDescent="0.2">
      <c r="A89" s="27" t="s">
        <v>157</v>
      </c>
      <c r="B89" s="27" t="s">
        <v>70</v>
      </c>
      <c r="C89" s="51">
        <v>12070661710</v>
      </c>
      <c r="E89" s="52">
        <f t="shared" si="18"/>
        <v>12070661710</v>
      </c>
      <c r="F89" s="45">
        <v>6638706</v>
      </c>
      <c r="G89" s="35">
        <f>Población!D25</f>
        <v>6851933</v>
      </c>
      <c r="H89" s="35">
        <f>'Fondos 2027'!$B$22</f>
        <v>87872243673.929398</v>
      </c>
      <c r="I89" s="30">
        <f t="shared" si="19"/>
        <v>8.0133574318147264E+16</v>
      </c>
      <c r="J89" s="30">
        <f t="shared" si="20"/>
        <v>8.2707365302585424E+16</v>
      </c>
      <c r="K89" s="53">
        <f t="shared" si="21"/>
        <v>2.1830376645779852</v>
      </c>
      <c r="L89" s="54">
        <v>2.1830379999999998</v>
      </c>
      <c r="M89" s="55">
        <f t="shared" si="22"/>
        <v>-3.3542201460790011E-7</v>
      </c>
      <c r="N89" s="53">
        <f t="shared" si="23"/>
        <v>2.2631650924980189</v>
      </c>
      <c r="O89" s="23">
        <f t="shared" si="24"/>
        <v>1918284176.1116247</v>
      </c>
      <c r="P89" s="23">
        <f t="shared" si="25"/>
        <v>1988693944.8231688</v>
      </c>
      <c r="Q89" s="29">
        <f t="shared" si="26"/>
        <v>70409768.711544037</v>
      </c>
      <c r="R89" s="35">
        <f>Población!K25</f>
        <v>6629599</v>
      </c>
      <c r="S89" s="30">
        <f t="shared" si="27"/>
        <v>8.0023646801954288E+16</v>
      </c>
      <c r="T89" s="53">
        <f t="shared" si="28"/>
        <v>2.1848618031412559</v>
      </c>
      <c r="U89" s="29">
        <f t="shared" si="29"/>
        <v>68806857.228276819</v>
      </c>
      <c r="V89" s="35">
        <f>Población!L25</f>
        <v>6624540</v>
      </c>
      <c r="W89" s="30">
        <f t="shared" si="30"/>
        <v>7.9962581324363392E+16</v>
      </c>
      <c r="X89" s="53">
        <f t="shared" si="31"/>
        <v>2.1787914124425423</v>
      </c>
      <c r="Y89" s="29">
        <f t="shared" si="32"/>
        <v>74141045.735009998</v>
      </c>
      <c r="Z89" s="35">
        <f>Población!M25</f>
        <v>6703850</v>
      </c>
      <c r="AA89" s="30">
        <f t="shared" si="33"/>
        <v>8.0919905504583504E+16</v>
      </c>
      <c r="AB89" s="53">
        <f t="shared" si="34"/>
        <v>2.2063352539277847</v>
      </c>
      <c r="AC89" s="29">
        <f t="shared" si="35"/>
        <v>49937654.227936871</v>
      </c>
    </row>
    <row r="90" spans="1:29" x14ac:dyDescent="0.2">
      <c r="A90" s="27" t="s">
        <v>157</v>
      </c>
      <c r="B90" s="27" t="s">
        <v>71</v>
      </c>
      <c r="C90" s="51">
        <v>16610144570</v>
      </c>
      <c r="E90" s="52">
        <f t="shared" si="18"/>
        <v>16610144570</v>
      </c>
      <c r="F90" s="45">
        <v>2535155</v>
      </c>
      <c r="G90" s="35">
        <f>Población!D26</f>
        <v>2606836</v>
      </c>
      <c r="H90" s="35">
        <f>'Fondos 2027'!$B$22</f>
        <v>87872243673.929398</v>
      </c>
      <c r="I90" s="30">
        <f t="shared" si="19"/>
        <v>4.2109291057358352E+16</v>
      </c>
      <c r="J90" s="30">
        <f t="shared" si="20"/>
        <v>4.329992283028052E+16</v>
      </c>
      <c r="K90" s="53">
        <f t="shared" si="21"/>
        <v>1.1471617132904102</v>
      </c>
      <c r="L90" s="54">
        <v>1.147162</v>
      </c>
      <c r="M90" s="55">
        <f t="shared" si="22"/>
        <v>-2.8670958984733375E-7</v>
      </c>
      <c r="N90" s="53">
        <f t="shared" si="23"/>
        <v>1.1848385388512139</v>
      </c>
      <c r="O90" s="23">
        <f t="shared" si="24"/>
        <v>1008036736.0365725</v>
      </c>
      <c r="P90" s="23">
        <f t="shared" si="25"/>
        <v>1041144208.0019633</v>
      </c>
      <c r="Q90" s="29">
        <f t="shared" si="26"/>
        <v>33107471.965390801</v>
      </c>
      <c r="R90" s="35">
        <f>Población!K26</f>
        <v>2528745</v>
      </c>
      <c r="S90" s="30">
        <f t="shared" si="27"/>
        <v>4.2002820030664648E+16</v>
      </c>
      <c r="T90" s="53">
        <f t="shared" si="28"/>
        <v>1.1467904897702619</v>
      </c>
      <c r="U90" s="29">
        <f t="shared" si="29"/>
        <v>33433674.40159044</v>
      </c>
      <c r="V90" s="35">
        <f>Población!L26</f>
        <v>2498744</v>
      </c>
      <c r="W90" s="30">
        <f t="shared" si="30"/>
        <v>4.150449908342008E+16</v>
      </c>
      <c r="X90" s="53">
        <f t="shared" si="31"/>
        <v>1.1308995367953747</v>
      </c>
      <c r="Y90" s="29">
        <f t="shared" si="32"/>
        <v>47397411.321792841</v>
      </c>
      <c r="Z90" s="35">
        <f>Población!M26</f>
        <v>2567272</v>
      </c>
      <c r="AA90" s="30">
        <f t="shared" si="33"/>
        <v>4.264275907051304E+16</v>
      </c>
      <c r="AB90" s="53">
        <f t="shared" si="34"/>
        <v>1.1626832986933306</v>
      </c>
      <c r="AC90" s="29">
        <f t="shared" si="35"/>
        <v>19468306.618079457</v>
      </c>
    </row>
    <row r="91" spans="1:29" x14ac:dyDescent="0.2">
      <c r="A91" s="27" t="s">
        <v>157</v>
      </c>
      <c r="B91" s="27" t="s">
        <v>72</v>
      </c>
      <c r="C91" s="51">
        <v>19369943128</v>
      </c>
      <c r="E91" s="52">
        <f t="shared" si="18"/>
        <v>19369943128</v>
      </c>
      <c r="F91" s="45">
        <v>1975372</v>
      </c>
      <c r="G91" s="35">
        <f>Población!D27</f>
        <v>2100792</v>
      </c>
      <c r="H91" s="35">
        <f>'Fondos 2027'!$B$22</f>
        <v>87872243673.929398</v>
      </c>
      <c r="I91" s="30">
        <f t="shared" si="19"/>
        <v>3.8262843296643616E+16</v>
      </c>
      <c r="J91" s="30">
        <f t="shared" si="20"/>
        <v>4.0692221563757376E+16</v>
      </c>
      <c r="K91" s="53">
        <f t="shared" si="21"/>
        <v>1.0423749193913348</v>
      </c>
      <c r="L91" s="54">
        <v>1.0423750000000001</v>
      </c>
      <c r="M91" s="55">
        <f t="shared" si="22"/>
        <v>-8.0608665298242954E-8</v>
      </c>
      <c r="N91" s="53">
        <f t="shared" si="23"/>
        <v>1.1134826389689385</v>
      </c>
      <c r="O91" s="23">
        <f t="shared" si="24"/>
        <v>915958229.16347873</v>
      </c>
      <c r="P91" s="23">
        <f t="shared" si="25"/>
        <v>978442177.78168523</v>
      </c>
      <c r="Q91" s="29">
        <f t="shared" si="26"/>
        <v>62483948.618206501</v>
      </c>
      <c r="R91" s="35">
        <f>Población!K27</f>
        <v>1905221</v>
      </c>
      <c r="S91" s="30">
        <f t="shared" si="27"/>
        <v>3.6904022416271288E+16</v>
      </c>
      <c r="T91" s="53">
        <f t="shared" si="28"/>
        <v>1.0075795365728157</v>
      </c>
      <c r="U91" s="29">
        <f t="shared" si="29"/>
        <v>93059432.195771962</v>
      </c>
      <c r="V91" s="35">
        <f>Población!L27</f>
        <v>1920249</v>
      </c>
      <c r="W91" s="30">
        <f t="shared" si="30"/>
        <v>3.7195113921598872E+16</v>
      </c>
      <c r="X91" s="53">
        <f t="shared" si="31"/>
        <v>1.0134789729769504</v>
      </c>
      <c r="Y91" s="29">
        <f t="shared" si="32"/>
        <v>87875465.063342214</v>
      </c>
      <c r="Z91" s="35">
        <f>Población!M27</f>
        <v>2025213</v>
      </c>
      <c r="AA91" s="30">
        <f t="shared" si="33"/>
        <v>3.9228260632086264E+16</v>
      </c>
      <c r="AB91" s="53">
        <f t="shared" si="34"/>
        <v>1.0695847189037675</v>
      </c>
      <c r="AC91" s="29">
        <f t="shared" si="35"/>
        <v>38574087.287453823</v>
      </c>
    </row>
    <row r="92" spans="1:29" x14ac:dyDescent="0.2">
      <c r="A92" s="27" t="s">
        <v>157</v>
      </c>
      <c r="B92" s="27" t="s">
        <v>73</v>
      </c>
      <c r="C92" s="51">
        <v>8859478216</v>
      </c>
      <c r="E92" s="52">
        <f t="shared" si="18"/>
        <v>8859478216</v>
      </c>
      <c r="F92" s="45">
        <v>2951151</v>
      </c>
      <c r="G92" s="35">
        <f>Población!D28</f>
        <v>2889524</v>
      </c>
      <c r="H92" s="35">
        <f>'Fondos 2027'!$B$22</f>
        <v>87872243673.929398</v>
      </c>
      <c r="I92" s="30">
        <f t="shared" si="19"/>
        <v>2.6145657996626616E+16</v>
      </c>
      <c r="J92" s="30">
        <f t="shared" si="20"/>
        <v>2.5599674932609184E+16</v>
      </c>
      <c r="K92" s="53">
        <f t="shared" si="21"/>
        <v>0.71227268541900912</v>
      </c>
      <c r="L92" s="54">
        <v>0.71227300000000004</v>
      </c>
      <c r="M92" s="55">
        <f t="shared" si="22"/>
        <v>-3.1458099092329661E-7</v>
      </c>
      <c r="N92" s="53">
        <f t="shared" si="23"/>
        <v>0.7004973556444144</v>
      </c>
      <c r="O92" s="23">
        <f t="shared" si="24"/>
        <v>625889989.75423229</v>
      </c>
      <c r="P92" s="23">
        <f t="shared" si="25"/>
        <v>615542743.2812916</v>
      </c>
      <c r="Q92" s="29">
        <f t="shared" si="26"/>
        <v>-10347246.472940683</v>
      </c>
      <c r="R92" s="35">
        <f>Población!K28</f>
        <v>2885526</v>
      </c>
      <c r="S92" s="30">
        <f t="shared" si="27"/>
        <v>2.5564254738701616E+16</v>
      </c>
      <c r="T92" s="53">
        <f t="shared" si="28"/>
        <v>0.69797323586855031</v>
      </c>
      <c r="U92" s="29">
        <f t="shared" si="29"/>
        <v>2218000.6800691304</v>
      </c>
      <c r="V92" s="35">
        <f>Población!L28</f>
        <v>2924773</v>
      </c>
      <c r="W92" s="30">
        <f t="shared" si="30"/>
        <v>2.5911962680244968E+16</v>
      </c>
      <c r="X92" s="53">
        <f t="shared" si="31"/>
        <v>0.70603976050042616</v>
      </c>
      <c r="Y92" s="29">
        <f t="shared" si="32"/>
        <v>-4870235.5004703514</v>
      </c>
      <c r="Z92" s="35">
        <f>Población!M28</f>
        <v>2936529</v>
      </c>
      <c r="AA92" s="30">
        <f t="shared" si="33"/>
        <v>2.6016114706152264E+16</v>
      </c>
      <c r="AB92" s="53">
        <f t="shared" si="34"/>
        <v>0.70934673846302931</v>
      </c>
      <c r="AC92" s="29">
        <f t="shared" si="35"/>
        <v>-7776151.234012139</v>
      </c>
    </row>
    <row r="93" spans="1:29" x14ac:dyDescent="0.2">
      <c r="A93" s="27" t="s">
        <v>157</v>
      </c>
      <c r="B93" s="27" t="s">
        <v>74</v>
      </c>
      <c r="C93" s="51">
        <v>13161541989</v>
      </c>
      <c r="E93" s="52">
        <f t="shared" si="18"/>
        <v>13161541989</v>
      </c>
      <c r="F93" s="45">
        <v>3085699</v>
      </c>
      <c r="G93" s="35">
        <f>Población!D29</f>
        <v>3102935</v>
      </c>
      <c r="H93" s="35">
        <f>'Fondos 2027'!$B$22</f>
        <v>87872243673.929398</v>
      </c>
      <c r="I93" s="30">
        <f t="shared" si="19"/>
        <v>4.0612556953915312E+16</v>
      </c>
      <c r="J93" s="30">
        <f t="shared" si="20"/>
        <v>4.0839409291637712E+16</v>
      </c>
      <c r="K93" s="53">
        <f t="shared" si="21"/>
        <v>1.1063869575219709</v>
      </c>
      <c r="L93" s="54">
        <v>1.106387</v>
      </c>
      <c r="M93" s="55">
        <f t="shared" si="22"/>
        <v>-4.2478029094183967E-8</v>
      </c>
      <c r="N93" s="53">
        <f t="shared" si="23"/>
        <v>1.1175102141016271</v>
      </c>
      <c r="O93" s="23">
        <f t="shared" si="24"/>
        <v>972207043.29027998</v>
      </c>
      <c r="P93" s="23">
        <f t="shared" si="25"/>
        <v>981981298.4164319</v>
      </c>
      <c r="Q93" s="29">
        <f t="shared" si="26"/>
        <v>9774255.1261519194</v>
      </c>
      <c r="R93" s="35">
        <f>Población!K29</f>
        <v>3144666</v>
      </c>
      <c r="S93" s="30">
        <f t="shared" si="27"/>
        <v>4.1388653600380672E+16</v>
      </c>
      <c r="T93" s="53">
        <f t="shared" si="28"/>
        <v>1.1300220865803898</v>
      </c>
      <c r="U93" s="29">
        <f t="shared" si="29"/>
        <v>-10994463.072709698</v>
      </c>
      <c r="V93" s="35">
        <f>Población!L29</f>
        <v>3135869</v>
      </c>
      <c r="W93" s="30">
        <f t="shared" si="30"/>
        <v>4.127287151550344E+16</v>
      </c>
      <c r="X93" s="53">
        <f t="shared" si="31"/>
        <v>1.1245882328391583</v>
      </c>
      <c r="Y93" s="29">
        <f t="shared" si="32"/>
        <v>-6219613.8723298162</v>
      </c>
      <c r="Z93" s="35">
        <f>Población!M29</f>
        <v>3105420</v>
      </c>
      <c r="AA93" s="30">
        <f t="shared" si="33"/>
        <v>4.0872115723480384E+16</v>
      </c>
      <c r="AB93" s="53">
        <f t="shared" si="34"/>
        <v>1.1144055255752001</v>
      </c>
      <c r="AC93" s="29">
        <f t="shared" si="35"/>
        <v>2728159.4672584431</v>
      </c>
    </row>
    <row r="94" spans="1:29" x14ac:dyDescent="0.2">
      <c r="A94" s="27" t="s">
        <v>157</v>
      </c>
      <c r="B94" s="27" t="s">
        <v>75</v>
      </c>
      <c r="C94" s="51">
        <v>16407372864</v>
      </c>
      <c r="E94" s="52">
        <f t="shared" si="18"/>
        <v>16407372864</v>
      </c>
      <c r="F94" s="45">
        <v>3035624</v>
      </c>
      <c r="G94" s="35">
        <f>Población!D30</f>
        <v>3049889</v>
      </c>
      <c r="H94" s="35">
        <f>'Fondos 2027'!$B$22</f>
        <v>87872243673.929398</v>
      </c>
      <c r="I94" s="30">
        <f t="shared" si="19"/>
        <v>4.9806614842907136E+16</v>
      </c>
      <c r="J94" s="30">
        <f t="shared" si="20"/>
        <v>5.0040666016812096E+16</v>
      </c>
      <c r="K94" s="53">
        <f t="shared" si="21"/>
        <v>1.3568559380056504</v>
      </c>
      <c r="L94" s="54">
        <v>1.3568560000000001</v>
      </c>
      <c r="M94" s="55">
        <f t="shared" si="22"/>
        <v>-6.1994349653815561E-8</v>
      </c>
      <c r="N94" s="53">
        <f t="shared" si="23"/>
        <v>1.3692890363545509</v>
      </c>
      <c r="O94" s="23">
        <f t="shared" si="24"/>
        <v>1192299756.1485054</v>
      </c>
      <c r="P94" s="23">
        <f t="shared" si="25"/>
        <v>1203224998.6258707</v>
      </c>
      <c r="Q94" s="29">
        <f t="shared" si="26"/>
        <v>10925242.477365255</v>
      </c>
      <c r="R94" s="35">
        <f>Población!K30</f>
        <v>3042242</v>
      </c>
      <c r="S94" s="30">
        <f t="shared" si="27"/>
        <v>4.9915198836521088E+16</v>
      </c>
      <c r="T94" s="53">
        <f t="shared" si="28"/>
        <v>1.3628198125488631</v>
      </c>
      <c r="U94" s="29">
        <f t="shared" si="29"/>
        <v>5684652.1063458482</v>
      </c>
      <c r="V94" s="35">
        <f>Población!L30</f>
        <v>3032476</v>
      </c>
      <c r="W94" s="30">
        <f t="shared" si="30"/>
        <v>4.9754964433131264E+16</v>
      </c>
      <c r="X94" s="53">
        <f t="shared" si="31"/>
        <v>1.355705224091621</v>
      </c>
      <c r="Y94" s="29">
        <f t="shared" si="32"/>
        <v>11936400.61189089</v>
      </c>
      <c r="Z94" s="35">
        <f>Población!M30</f>
        <v>3057789</v>
      </c>
      <c r="AA94" s="30">
        <f t="shared" si="33"/>
        <v>5.0170284262437696E+16</v>
      </c>
      <c r="AB94" s="53">
        <f t="shared" si="34"/>
        <v>1.3679262991913002</v>
      </c>
      <c r="AC94" s="29">
        <f t="shared" si="35"/>
        <v>1197467.7207268912</v>
      </c>
    </row>
    <row r="95" spans="1:29" x14ac:dyDescent="0.2">
      <c r="A95" s="27" t="s">
        <v>157</v>
      </c>
      <c r="B95" s="27" t="s">
        <v>76</v>
      </c>
      <c r="C95" s="51">
        <v>4819016505</v>
      </c>
      <c r="E95" s="52">
        <f t="shared" si="18"/>
        <v>4819016505</v>
      </c>
      <c r="F95" s="45">
        <v>2578825</v>
      </c>
      <c r="G95" s="35">
        <f>Población!D31</f>
        <v>2527009</v>
      </c>
      <c r="H95" s="35">
        <f>'Fondos 2027'!$B$22</f>
        <v>87872243673.929398</v>
      </c>
      <c r="I95" s="30">
        <f t="shared" si="19"/>
        <v>1.2427400238506624E+16</v>
      </c>
      <c r="J95" s="30">
        <f t="shared" si="20"/>
        <v>1.2177698079283544E+16</v>
      </c>
      <c r="K95" s="53">
        <f t="shared" si="21"/>
        <v>0.3385532596578758</v>
      </c>
      <c r="L95" s="54">
        <v>0.33855299999999999</v>
      </c>
      <c r="M95" s="55">
        <f t="shared" si="22"/>
        <v>2.5965787581183619E-7</v>
      </c>
      <c r="N95" s="53">
        <f t="shared" si="23"/>
        <v>0.33322475089353576</v>
      </c>
      <c r="O95" s="23">
        <f t="shared" si="24"/>
        <v>297494345.2925995</v>
      </c>
      <c r="P95" s="23">
        <f t="shared" si="25"/>
        <v>292812065.08701193</v>
      </c>
      <c r="Q95" s="29">
        <f t="shared" si="26"/>
        <v>-4682280.2055875659</v>
      </c>
      <c r="R95" s="35">
        <f>Población!K31</f>
        <v>2554147</v>
      </c>
      <c r="S95" s="30">
        <f t="shared" si="27"/>
        <v>1.2308476549196236E+16</v>
      </c>
      <c r="T95" s="53">
        <f t="shared" si="28"/>
        <v>0.33605467061196215</v>
      </c>
      <c r="U95" s="29">
        <f t="shared" si="29"/>
        <v>-2486713.9507522122</v>
      </c>
      <c r="V95" s="35">
        <f>Población!L31</f>
        <v>2567516</v>
      </c>
      <c r="W95" s="30">
        <f t="shared" si="30"/>
        <v>1.237290198085158E+16</v>
      </c>
      <c r="X95" s="53">
        <f t="shared" si="31"/>
        <v>0.33713234535937947</v>
      </c>
      <c r="Y95" s="29">
        <f t="shared" si="32"/>
        <v>-3433690.9308151659</v>
      </c>
      <c r="Z95" s="35">
        <f>Población!M31</f>
        <v>2553100</v>
      </c>
      <c r="AA95" s="30">
        <f t="shared" si="33"/>
        <v>1.23034310389155E+16</v>
      </c>
      <c r="AB95" s="53">
        <f t="shared" si="34"/>
        <v>0.33546126229585171</v>
      </c>
      <c r="AC95" s="29">
        <f t="shared" si="35"/>
        <v>-1965272.7492382915</v>
      </c>
    </row>
    <row r="96" spans="1:29" x14ac:dyDescent="0.2">
      <c r="A96" s="27" t="s">
        <v>157</v>
      </c>
      <c r="B96" s="27" t="s">
        <v>77</v>
      </c>
      <c r="C96" s="51">
        <v>15297439759</v>
      </c>
      <c r="E96" s="52">
        <f t="shared" si="18"/>
        <v>15297439759</v>
      </c>
      <c r="F96" s="45">
        <v>3602540</v>
      </c>
      <c r="G96" s="35">
        <f>Población!D32</f>
        <v>3620715</v>
      </c>
      <c r="H96" s="35">
        <f>'Fondos 2027'!$B$22</f>
        <v>87872243673.929398</v>
      </c>
      <c r="I96" s="30">
        <f t="shared" si="19"/>
        <v>5.5109638629387856E+16</v>
      </c>
      <c r="J96" s="30">
        <f t="shared" si="20"/>
        <v>5.5387669597007688E+16</v>
      </c>
      <c r="K96" s="53">
        <f t="shared" si="21"/>
        <v>1.5013234818603451</v>
      </c>
      <c r="L96" s="54">
        <v>1.501323</v>
      </c>
      <c r="M96" s="55">
        <f t="shared" si="22"/>
        <v>4.8186034518060694E-7</v>
      </c>
      <c r="N96" s="53">
        <f t="shared" si="23"/>
        <v>1.5156019047174647</v>
      </c>
      <c r="O96" s="23">
        <f t="shared" si="24"/>
        <v>1319246628.3142436</v>
      </c>
      <c r="P96" s="23">
        <f t="shared" si="25"/>
        <v>1331793398.8400459</v>
      </c>
      <c r="Q96" s="29">
        <f t="shared" si="26"/>
        <v>12546770.525802374</v>
      </c>
      <c r="R96" s="35">
        <f>Población!K32</f>
        <v>3569939</v>
      </c>
      <c r="S96" s="30">
        <f t="shared" si="27"/>
        <v>5.4610926795804704E+16</v>
      </c>
      <c r="T96" s="53">
        <f t="shared" si="28"/>
        <v>1.4910258749590388</v>
      </c>
      <c r="U96" s="29">
        <f t="shared" si="29"/>
        <v>21595508.754701387</v>
      </c>
      <c r="V96" s="35">
        <f>Población!L32</f>
        <v>3597414</v>
      </c>
      <c r="W96" s="30">
        <f t="shared" si="30"/>
        <v>5.5031223953183224E+16</v>
      </c>
      <c r="X96" s="53">
        <f t="shared" si="31"/>
        <v>1.4994708297250248</v>
      </c>
      <c r="Y96" s="29">
        <f t="shared" si="32"/>
        <v>14174737.524581105</v>
      </c>
      <c r="Z96" s="35">
        <f>Población!M32</f>
        <v>3608877</v>
      </c>
      <c r="AA96" s="30">
        <f t="shared" si="33"/>
        <v>5.520657850514064E+16</v>
      </c>
      <c r="AB96" s="53">
        <f t="shared" si="34"/>
        <v>1.5052442244600048</v>
      </c>
      <c r="AC96" s="29">
        <f t="shared" si="35"/>
        <v>9101526.0348016117</v>
      </c>
    </row>
    <row r="97" spans="1:29" x14ac:dyDescent="0.2">
      <c r="A97" s="27" t="s">
        <v>157</v>
      </c>
      <c r="B97" s="27" t="s">
        <v>78</v>
      </c>
      <c r="C97" s="51">
        <v>2196216088</v>
      </c>
      <c r="E97" s="52">
        <f t="shared" si="18"/>
        <v>2196216088</v>
      </c>
      <c r="F97" s="45">
        <v>1426175</v>
      </c>
      <c r="G97" s="35">
        <f>Población!D33</f>
        <v>1419482</v>
      </c>
      <c r="H97" s="35">
        <f>'Fondos 2027'!$B$22</f>
        <v>87872243673.929398</v>
      </c>
      <c r="I97" s="30">
        <f t="shared" si="19"/>
        <v>3132188479303400</v>
      </c>
      <c r="J97" s="30">
        <f t="shared" si="20"/>
        <v>3117489205026416</v>
      </c>
      <c r="K97" s="53">
        <f t="shared" si="21"/>
        <v>8.5328596422387284E-2</v>
      </c>
      <c r="L97" s="54">
        <v>8.5329000000000002E-2</v>
      </c>
      <c r="M97" s="55">
        <f t="shared" si="22"/>
        <v>-4.0357761271758719E-7</v>
      </c>
      <c r="N97" s="53">
        <f t="shared" si="23"/>
        <v>8.5305495093973616E-2</v>
      </c>
      <c r="O97" s="23">
        <f t="shared" si="24"/>
        <v>74980152.171823949</v>
      </c>
      <c r="P97" s="23">
        <f t="shared" si="25"/>
        <v>74959852.516228378</v>
      </c>
      <c r="Q97" s="29">
        <f t="shared" si="26"/>
        <v>-20299.655595570803</v>
      </c>
      <c r="R97" s="35">
        <f>Población!K33</f>
        <v>1476723</v>
      </c>
      <c r="S97" s="30">
        <f t="shared" si="27"/>
        <v>3243202810119624</v>
      </c>
      <c r="T97" s="53">
        <f t="shared" si="28"/>
        <v>8.8548200723810311E-2</v>
      </c>
      <c r="U97" s="29">
        <f t="shared" si="29"/>
        <v>-2849438.1926783277</v>
      </c>
      <c r="V97" s="35">
        <f>Población!L33</f>
        <v>1449354</v>
      </c>
      <c r="W97" s="30">
        <f t="shared" si="30"/>
        <v>3183094572007152</v>
      </c>
      <c r="X97" s="53">
        <f t="shared" si="31"/>
        <v>8.6731806347634402E-2</v>
      </c>
      <c r="Y97" s="29">
        <f t="shared" si="32"/>
        <v>-1253331.7003654835</v>
      </c>
      <c r="Z97" s="35">
        <f>Población!M33</f>
        <v>1440130</v>
      </c>
      <c r="AA97" s="30">
        <f t="shared" si="33"/>
        <v>3162836674811440</v>
      </c>
      <c r="AB97" s="53">
        <f t="shared" si="34"/>
        <v>8.6236853769644392E-2</v>
      </c>
      <c r="AC97" s="29">
        <f t="shared" si="35"/>
        <v>-818405.76496370649</v>
      </c>
    </row>
    <row r="98" spans="1:29" x14ac:dyDescent="0.2">
      <c r="A98" s="27" t="s">
        <v>157</v>
      </c>
      <c r="B98" s="27" t="s">
        <v>79</v>
      </c>
      <c r="C98" s="51">
        <v>15085123820</v>
      </c>
      <c r="E98" s="52">
        <f t="shared" si="18"/>
        <v>15085123820</v>
      </c>
      <c r="F98" s="45">
        <v>8066173</v>
      </c>
      <c r="G98" s="35">
        <f>Población!D34</f>
        <v>7917876</v>
      </c>
      <c r="H98" s="35">
        <f>'Fondos 2027'!$B$22</f>
        <v>87872243673.929398</v>
      </c>
      <c r="I98" s="30">
        <f t="shared" si="19"/>
        <v>1.2167921845854086E+17</v>
      </c>
      <c r="J98" s="30">
        <f t="shared" si="20"/>
        <v>1.1944213985140632E+17</v>
      </c>
      <c r="K98" s="53">
        <f t="shared" si="21"/>
        <v>3.314844235411226</v>
      </c>
      <c r="L98" s="54">
        <v>3.3148439999999999</v>
      </c>
      <c r="M98" s="55">
        <f t="shared" si="22"/>
        <v>2.354112260682939E-7</v>
      </c>
      <c r="N98" s="53">
        <f t="shared" si="23"/>
        <v>3.2683580294936467</v>
      </c>
      <c r="O98" s="23">
        <f t="shared" si="24"/>
        <v>2912828003.9517546</v>
      </c>
      <c r="P98" s="23">
        <f t="shared" si="25"/>
        <v>2871979531.8130946</v>
      </c>
      <c r="Q98" s="29">
        <f t="shared" si="26"/>
        <v>-40848472.138659954</v>
      </c>
      <c r="R98" s="35">
        <f>Población!K34</f>
        <v>8113343</v>
      </c>
      <c r="S98" s="30">
        <f t="shared" si="27"/>
        <v>1.2239078374913026E+17</v>
      </c>
      <c r="T98" s="53">
        <f t="shared" si="28"/>
        <v>3.3415991292147131</v>
      </c>
      <c r="U98" s="29">
        <f t="shared" si="29"/>
        <v>-64358597.616361097</v>
      </c>
      <c r="V98" s="35">
        <f>Población!L34</f>
        <v>8068202</v>
      </c>
      <c r="W98" s="30">
        <f t="shared" si="30"/>
        <v>1.2170982617477165E+17</v>
      </c>
      <c r="X98" s="53">
        <f t="shared" si="31"/>
        <v>3.3163051978497169</v>
      </c>
      <c r="Y98" s="29">
        <f t="shared" si="32"/>
        <v>-42132252.612595133</v>
      </c>
      <c r="Z98" s="35">
        <f>Población!M34</f>
        <v>8021469</v>
      </c>
      <c r="AA98" s="30">
        <f t="shared" si="33"/>
        <v>1.2100485308329158E+17</v>
      </c>
      <c r="AB98" s="53">
        <f t="shared" si="34"/>
        <v>3.2992781144423873</v>
      </c>
      <c r="AC98" s="29">
        <f t="shared" si="35"/>
        <v>-27170172.39034326</v>
      </c>
    </row>
    <row r="99" spans="1:29" x14ac:dyDescent="0.2">
      <c r="A99" s="27" t="s">
        <v>157</v>
      </c>
      <c r="B99" s="27" t="s">
        <v>80</v>
      </c>
      <c r="C99" s="51">
        <v>8921829182</v>
      </c>
      <c r="E99" s="52">
        <f t="shared" si="18"/>
        <v>8921829182</v>
      </c>
      <c r="F99" s="45">
        <v>2456821</v>
      </c>
      <c r="G99" s="35">
        <f>Población!D35</f>
        <v>2506448</v>
      </c>
      <c r="H99" s="35">
        <f>'Fondos 2027'!$B$22</f>
        <v>87872243673.929398</v>
      </c>
      <c r="I99" s="30">
        <f t="shared" si="19"/>
        <v>2.1919337292750424E+16</v>
      </c>
      <c r="J99" s="30">
        <f t="shared" si="20"/>
        <v>2.2362100909565536E+16</v>
      </c>
      <c r="K99" s="53">
        <f t="shared" si="21"/>
        <v>0.59713720871460763</v>
      </c>
      <c r="L99" s="54">
        <v>0.59713700000000003</v>
      </c>
      <c r="M99" s="55">
        <f t="shared" si="22"/>
        <v>2.0871460759686045E-7</v>
      </c>
      <c r="N99" s="53">
        <f t="shared" si="23"/>
        <v>0.61190591658062266</v>
      </c>
      <c r="O99" s="23">
        <f t="shared" si="24"/>
        <v>524717863.10940033</v>
      </c>
      <c r="P99" s="23">
        <f t="shared" si="25"/>
        <v>537695458.07291591</v>
      </c>
      <c r="Q99" s="29">
        <f t="shared" si="26"/>
        <v>12977594.96351558</v>
      </c>
      <c r="R99" s="35">
        <f>Población!K35</f>
        <v>2402017</v>
      </c>
      <c r="S99" s="30">
        <f t="shared" si="27"/>
        <v>2.1430385366260096E+16</v>
      </c>
      <c r="T99" s="53">
        <f t="shared" si="28"/>
        <v>0.58510743117240116</v>
      </c>
      <c r="U99" s="29">
        <f t="shared" si="29"/>
        <v>23548430.398834806</v>
      </c>
      <c r="V99" s="35">
        <f>Población!L35</f>
        <v>2432221</v>
      </c>
      <c r="W99" s="30">
        <f t="shared" si="30"/>
        <v>2.1699860294873224E+16</v>
      </c>
      <c r="X99" s="53">
        <f t="shared" si="31"/>
        <v>0.59126992248894961</v>
      </c>
      <c r="Y99" s="29">
        <f t="shared" si="32"/>
        <v>18133311.012772616</v>
      </c>
      <c r="Z99" s="35">
        <f>Población!M35</f>
        <v>2478837</v>
      </c>
      <c r="AA99" s="30">
        <f t="shared" si="33"/>
        <v>2.2115760284021336E+16</v>
      </c>
      <c r="AB99" s="53">
        <f t="shared" si="34"/>
        <v>0.60300097087098525</v>
      </c>
      <c r="AC99" s="29">
        <f t="shared" si="35"/>
        <v>7824975.5930036996</v>
      </c>
    </row>
    <row r="100" spans="1:29" x14ac:dyDescent="0.2">
      <c r="A100" s="27" t="s">
        <v>157</v>
      </c>
      <c r="B100" s="27" t="s">
        <v>81</v>
      </c>
      <c r="C100" s="51">
        <v>5425831297</v>
      </c>
      <c r="E100" s="52">
        <f t="shared" si="18"/>
        <v>5425831297</v>
      </c>
      <c r="F100" s="45">
        <v>1689186</v>
      </c>
      <c r="G100" s="35">
        <f>Población!D36</f>
        <v>1686419</v>
      </c>
      <c r="H100" s="35">
        <f>'Fondos 2027'!$B$22</f>
        <v>87872243673.929398</v>
      </c>
      <c r="I100" s="30">
        <f t="shared" si="19"/>
        <v>9165238265254242</v>
      </c>
      <c r="J100" s="30">
        <f t="shared" si="20"/>
        <v>9150224990055444</v>
      </c>
      <c r="K100" s="53">
        <f t="shared" si="21"/>
        <v>0.24968386232773254</v>
      </c>
      <c r="L100" s="54">
        <v>0.24968399999999999</v>
      </c>
      <c r="M100" s="55">
        <f t="shared" si="22"/>
        <v>-1.3767226744731964E-7</v>
      </c>
      <c r="N100" s="53">
        <f t="shared" si="23"/>
        <v>0.2503824140720049</v>
      </c>
      <c r="O100" s="23">
        <f t="shared" si="24"/>
        <v>219402811.91910356</v>
      </c>
      <c r="P100" s="23">
        <f t="shared" si="25"/>
        <v>220016645.01001903</v>
      </c>
      <c r="Q100" s="29">
        <f t="shared" si="26"/>
        <v>613833.09091547132</v>
      </c>
      <c r="R100" s="35">
        <f>Población!K36</f>
        <v>1695685</v>
      </c>
      <c r="S100" s="30">
        <f t="shared" si="27"/>
        <v>9200500742853444</v>
      </c>
      <c r="T100" s="53">
        <f t="shared" si="28"/>
        <v>0.25119853251104673</v>
      </c>
      <c r="U100" s="29">
        <f t="shared" si="29"/>
        <v>-717141.5834227103</v>
      </c>
      <c r="V100" s="35">
        <f>Población!L36</f>
        <v>1703991</v>
      </c>
      <c r="W100" s="30">
        <f t="shared" si="30"/>
        <v>9245567697606328</v>
      </c>
      <c r="X100" s="53">
        <f t="shared" si="31"/>
        <v>0.25191987513493658</v>
      </c>
      <c r="Y100" s="29">
        <f t="shared" si="32"/>
        <v>-1351001.5316111087</v>
      </c>
      <c r="Z100" s="35">
        <f>Población!M36</f>
        <v>1695141</v>
      </c>
      <c r="AA100" s="30">
        <f t="shared" si="33"/>
        <v>9197549090627876</v>
      </c>
      <c r="AB100" s="53">
        <f t="shared" si="34"/>
        <v>0.25077731717363766</v>
      </c>
      <c r="AC100" s="29">
        <f t="shared" si="35"/>
        <v>-347010.21574264369</v>
      </c>
    </row>
    <row r="101" spans="1:29" x14ac:dyDescent="0.2">
      <c r="A101" s="27" t="s">
        <v>44</v>
      </c>
      <c r="B101" s="27" t="s">
        <v>50</v>
      </c>
      <c r="C101" s="51">
        <v>2325992855</v>
      </c>
      <c r="D101" s="51">
        <v>2685180317</v>
      </c>
      <c r="E101" s="52">
        <f t="shared" si="18"/>
        <v>1.1544232869107416</v>
      </c>
      <c r="F101" s="45">
        <v>1531396</v>
      </c>
      <c r="G101" s="35">
        <f>Población!D5</f>
        <v>1539174</v>
      </c>
      <c r="H101" s="35">
        <f>'Fondos 2027'!$B$23</f>
        <v>25121609440.735291</v>
      </c>
      <c r="I101" s="30">
        <f t="shared" si="19"/>
        <v>1767879.203881962</v>
      </c>
      <c r="J101" s="30">
        <f t="shared" si="20"/>
        <v>1776858.3082075538</v>
      </c>
      <c r="K101" s="53">
        <f t="shared" si="21"/>
        <v>1.2177254192393179</v>
      </c>
      <c r="L101" s="54">
        <v>1.2177249999999999</v>
      </c>
      <c r="M101" s="55">
        <f t="shared" si="22"/>
        <v>4.1923931792808844E-7</v>
      </c>
      <c r="N101" s="53">
        <f t="shared" si="23"/>
        <v>1.2261685643627052</v>
      </c>
      <c r="O101" s="23">
        <f t="shared" si="24"/>
        <v>305912223.88185787</v>
      </c>
      <c r="P101" s="23">
        <f t="shared" si="25"/>
        <v>308033277.82426971</v>
      </c>
      <c r="Q101" s="29">
        <f t="shared" si="26"/>
        <v>2121053.94241184</v>
      </c>
      <c r="R101" s="35">
        <f>Población!K5</f>
        <v>1503564</v>
      </c>
      <c r="S101" s="30">
        <f t="shared" si="27"/>
        <v>1735749.2949606623</v>
      </c>
      <c r="T101" s="53">
        <f t="shared" si="28"/>
        <v>1.1991385001470714</v>
      </c>
      <c r="U101" s="29">
        <f t="shared" si="29"/>
        <v>6790387.1638314743</v>
      </c>
      <c r="V101" s="35">
        <f>Población!L5</f>
        <v>1519678</v>
      </c>
      <c r="W101" s="30">
        <f t="shared" si="30"/>
        <v>1754351.671805942</v>
      </c>
      <c r="X101" s="53">
        <f t="shared" si="31"/>
        <v>1.2098092190070879</v>
      </c>
      <c r="Y101" s="29">
        <f t="shared" si="32"/>
        <v>4109730.8472992275</v>
      </c>
      <c r="Z101" s="35">
        <f>Población!M5</f>
        <v>1558219</v>
      </c>
      <c r="AA101" s="30">
        <f t="shared" si="33"/>
        <v>1798844.2997067689</v>
      </c>
      <c r="AB101" s="53">
        <f t="shared" si="34"/>
        <v>1.2383173062469985</v>
      </c>
      <c r="AC101" s="29">
        <f t="shared" si="35"/>
        <v>-3051959.4881352079</v>
      </c>
    </row>
    <row r="102" spans="1:29" x14ac:dyDescent="0.2">
      <c r="A102" s="27" t="s">
        <v>44</v>
      </c>
      <c r="B102" s="27" t="s">
        <v>51</v>
      </c>
      <c r="C102" s="51">
        <v>13420132605</v>
      </c>
      <c r="D102" s="51">
        <v>15205577447</v>
      </c>
      <c r="E102" s="52">
        <f t="shared" si="18"/>
        <v>1.1330422652705225</v>
      </c>
      <c r="F102" s="45">
        <v>3830329</v>
      </c>
      <c r="G102" s="35">
        <f>Población!D6</f>
        <v>4009678</v>
      </c>
      <c r="H102" s="35">
        <f>'Fondos 2027'!$B$23</f>
        <v>25121609440.735291</v>
      </c>
      <c r="I102" s="30">
        <f t="shared" si="19"/>
        <v>4339924.6468913751</v>
      </c>
      <c r="J102" s="30">
        <f t="shared" si="20"/>
        <v>4543134.6441253787</v>
      </c>
      <c r="K102" s="53">
        <f t="shared" si="21"/>
        <v>2.9893651944647841</v>
      </c>
      <c r="L102" s="54">
        <v>2.9893649999999998</v>
      </c>
      <c r="M102" s="55">
        <f t="shared" si="22"/>
        <v>1.944647842755387E-7</v>
      </c>
      <c r="N102" s="53">
        <f t="shared" si="23"/>
        <v>3.1351114821942123</v>
      </c>
      <c r="O102" s="23">
        <f t="shared" si="24"/>
        <v>750976648.91071999</v>
      </c>
      <c r="P102" s="23">
        <f t="shared" si="25"/>
        <v>787590462.08847737</v>
      </c>
      <c r="Q102" s="29">
        <f t="shared" si="26"/>
        <v>36613813.177757382</v>
      </c>
      <c r="R102" s="35">
        <f>Población!K6</f>
        <v>3778283</v>
      </c>
      <c r="S102" s="30">
        <f t="shared" si="27"/>
        <v>4280954.3291531056</v>
      </c>
      <c r="T102" s="53">
        <f t="shared" si="28"/>
        <v>2.957487678873064</v>
      </c>
      <c r="U102" s="29">
        <f t="shared" si="29"/>
        <v>44621958.144118689</v>
      </c>
      <c r="V102" s="35">
        <f>Población!L6</f>
        <v>3790412</v>
      </c>
      <c r="W102" s="30">
        <f t="shared" si="30"/>
        <v>4294696.9987885719</v>
      </c>
      <c r="X102" s="53">
        <f t="shared" si="31"/>
        <v>2.9616433839789553</v>
      </c>
      <c r="Y102" s="29">
        <f t="shared" si="32"/>
        <v>43577978.137907967</v>
      </c>
      <c r="Z102" s="35">
        <f>Población!M6</f>
        <v>3862801</v>
      </c>
      <c r="AA102" s="30">
        <f t="shared" si="33"/>
        <v>4376716.7953292402</v>
      </c>
      <c r="AB102" s="53">
        <f t="shared" si="34"/>
        <v>3.012914543566434</v>
      </c>
      <c r="AC102" s="29">
        <f t="shared" si="35"/>
        <v>30697837.670605481</v>
      </c>
    </row>
    <row r="103" spans="1:29" x14ac:dyDescent="0.2">
      <c r="A103" s="27" t="s">
        <v>44</v>
      </c>
      <c r="B103" s="27" t="s">
        <v>52</v>
      </c>
      <c r="C103" s="51">
        <v>2519870154</v>
      </c>
      <c r="D103" s="51">
        <v>2654174283</v>
      </c>
      <c r="E103" s="52">
        <f t="shared" si="18"/>
        <v>1.0532980355304451</v>
      </c>
      <c r="F103" s="45">
        <v>928591</v>
      </c>
      <c r="G103" s="35">
        <f>Población!D7</f>
        <v>961514</v>
      </c>
      <c r="H103" s="35">
        <f>'Fondos 2027'!$B$23</f>
        <v>25121609440.735291</v>
      </c>
      <c r="I103" s="30">
        <f t="shared" si="19"/>
        <v>978083.07611125149</v>
      </c>
      <c r="J103" s="30">
        <f t="shared" si="20"/>
        <v>1012760.8073350204</v>
      </c>
      <c r="K103" s="53">
        <f t="shared" si="21"/>
        <v>0.6737092790577216</v>
      </c>
      <c r="L103" s="54">
        <v>0.673709</v>
      </c>
      <c r="M103" s="55">
        <f t="shared" si="22"/>
        <v>2.7905772159719788E-7</v>
      </c>
      <c r="N103" s="53">
        <f t="shared" si="23"/>
        <v>0.6988826624141492</v>
      </c>
      <c r="O103" s="23">
        <f t="shared" si="24"/>
        <v>169246613.85087425</v>
      </c>
      <c r="P103" s="23">
        <f t="shared" si="25"/>
        <v>175570572.90069506</v>
      </c>
      <c r="Q103" s="29">
        <f t="shared" si="26"/>
        <v>6323959.0498208106</v>
      </c>
      <c r="R103" s="35">
        <f>Población!K7</f>
        <v>881164</v>
      </c>
      <c r="S103" s="30">
        <f t="shared" si="27"/>
        <v>928128.31018014916</v>
      </c>
      <c r="T103" s="53">
        <f t="shared" si="28"/>
        <v>0.64119535755806423</v>
      </c>
      <c r="U103" s="29">
        <f t="shared" si="29"/>
        <v>14491979.422831992</v>
      </c>
      <c r="V103" s="35">
        <f>Población!L7</f>
        <v>906940</v>
      </c>
      <c r="W103" s="30">
        <f t="shared" si="30"/>
        <v>955278.12034398189</v>
      </c>
      <c r="X103" s="53">
        <f t="shared" si="31"/>
        <v>0.65876431463608531</v>
      </c>
      <c r="Y103" s="29">
        <f t="shared" si="32"/>
        <v>10078374.642881114</v>
      </c>
      <c r="Z103" s="35">
        <f>Población!M7</f>
        <v>960359</v>
      </c>
      <c r="AA103" s="30">
        <f t="shared" si="33"/>
        <v>1011544.2481039828</v>
      </c>
      <c r="AB103" s="53">
        <f t="shared" si="34"/>
        <v>0.69634306241288302</v>
      </c>
      <c r="AC103" s="29">
        <f t="shared" si="35"/>
        <v>637988.39367499936</v>
      </c>
    </row>
    <row r="104" spans="1:29" x14ac:dyDescent="0.2">
      <c r="A104" s="27" t="s">
        <v>44</v>
      </c>
      <c r="B104" s="27" t="s">
        <v>53</v>
      </c>
      <c r="C104" s="51">
        <v>517415843</v>
      </c>
      <c r="D104" s="51">
        <v>550844550</v>
      </c>
      <c r="E104" s="52">
        <f t="shared" si="18"/>
        <v>1.0646070418064102</v>
      </c>
      <c r="F104" s="45">
        <v>935371</v>
      </c>
      <c r="G104" s="35">
        <f>Población!D8</f>
        <v>968673</v>
      </c>
      <c r="H104" s="35">
        <f>'Fondos 2027'!$B$23</f>
        <v>25121609440.735291</v>
      </c>
      <c r="I104" s="30">
        <f t="shared" si="19"/>
        <v>995802.55330150377</v>
      </c>
      <c r="J104" s="30">
        <f t="shared" si="20"/>
        <v>1031256.0970077408</v>
      </c>
      <c r="K104" s="53">
        <f t="shared" si="21"/>
        <v>0.68591455741770291</v>
      </c>
      <c r="L104" s="54">
        <v>0.68591500000000005</v>
      </c>
      <c r="M104" s="55">
        <f t="shared" si="22"/>
        <v>-4.4258229714433384E-7</v>
      </c>
      <c r="N104" s="53">
        <f t="shared" si="23"/>
        <v>0.71164583136280279</v>
      </c>
      <c r="O104" s="23">
        <f t="shared" si="24"/>
        <v>172312776.21162334</v>
      </c>
      <c r="P104" s="23">
        <f t="shared" si="25"/>
        <v>178776886.35623702</v>
      </c>
      <c r="Q104" s="29">
        <f t="shared" si="26"/>
        <v>6464110.1446136832</v>
      </c>
      <c r="R104" s="35">
        <f>Población!K8</f>
        <v>925978</v>
      </c>
      <c r="S104" s="30">
        <f t="shared" si="27"/>
        <v>985802.69935781613</v>
      </c>
      <c r="T104" s="53">
        <f t="shared" si="28"/>
        <v>0.68103957972551354</v>
      </c>
      <c r="U104" s="29">
        <f t="shared" si="29"/>
        <v>7688783.0007684547</v>
      </c>
      <c r="V104" s="35">
        <f>Población!L8</f>
        <v>918817</v>
      </c>
      <c r="W104" s="30">
        <f t="shared" si="30"/>
        <v>978179.04833144043</v>
      </c>
      <c r="X104" s="53">
        <f t="shared" si="31"/>
        <v>0.6745569030026608</v>
      </c>
      <c r="Y104" s="29">
        <f t="shared" si="32"/>
        <v>9317335.72838898</v>
      </c>
      <c r="Z104" s="35">
        <f>Población!M8</f>
        <v>952094</v>
      </c>
      <c r="AA104" s="30">
        <f t="shared" si="33"/>
        <v>1013605.9768616323</v>
      </c>
      <c r="AB104" s="53">
        <f t="shared" si="34"/>
        <v>0.69776234834096518</v>
      </c>
      <c r="AC104" s="29">
        <f t="shared" si="35"/>
        <v>3487754.3815168403</v>
      </c>
    </row>
    <row r="105" spans="1:29" x14ac:dyDescent="0.2">
      <c r="A105" s="27" t="s">
        <v>44</v>
      </c>
      <c r="B105" s="27" t="s">
        <v>54</v>
      </c>
      <c r="C105" s="51">
        <v>4784874505</v>
      </c>
      <c r="D105" s="51">
        <v>5238424574</v>
      </c>
      <c r="E105" s="52">
        <f t="shared" si="18"/>
        <v>1.0947882893325747</v>
      </c>
      <c r="F105" s="45">
        <v>3590747</v>
      </c>
      <c r="G105" s="35">
        <f>Población!D9</f>
        <v>3415128</v>
      </c>
      <c r="H105" s="35">
        <f>'Fondos 2027'!$B$23</f>
        <v>25121609440.735291</v>
      </c>
      <c r="I105" s="30">
        <f t="shared" si="19"/>
        <v>3931107.7655560747</v>
      </c>
      <c r="J105" s="30">
        <f t="shared" si="20"/>
        <v>3738842.140971777</v>
      </c>
      <c r="K105" s="53">
        <f t="shared" si="21"/>
        <v>2.7077697624222572</v>
      </c>
      <c r="L105" s="54">
        <v>2.70777</v>
      </c>
      <c r="M105" s="55">
        <f t="shared" si="22"/>
        <v>-2.3757774281207844E-7</v>
      </c>
      <c r="N105" s="53">
        <f t="shared" si="23"/>
        <v>2.5800879446593665</v>
      </c>
      <c r="O105" s="23">
        <f t="shared" si="24"/>
        <v>680235344.27004528</v>
      </c>
      <c r="P105" s="23">
        <f t="shared" si="25"/>
        <v>648159616.68482053</v>
      </c>
      <c r="Q105" s="29">
        <f t="shared" si="26"/>
        <v>-32075727.585224748</v>
      </c>
      <c r="R105" s="35">
        <f>Población!K9</f>
        <v>3452989</v>
      </c>
      <c r="S105" s="30">
        <f t="shared" si="27"/>
        <v>3780291.9203941976</v>
      </c>
      <c r="T105" s="53">
        <f t="shared" si="28"/>
        <v>2.6116061787842031</v>
      </c>
      <c r="U105" s="29">
        <f t="shared" si="29"/>
        <v>-7917887.6794579932</v>
      </c>
      <c r="V105" s="35">
        <f>Población!L9</f>
        <v>3582441</v>
      </c>
      <c r="W105" s="30">
        <f t="shared" si="30"/>
        <v>3922014.4540248783</v>
      </c>
      <c r="X105" s="53">
        <f t="shared" si="31"/>
        <v>2.7046397366121733</v>
      </c>
      <c r="Y105" s="29">
        <f t="shared" si="32"/>
        <v>-31289414.725821275</v>
      </c>
      <c r="Z105" s="35">
        <f>Población!M9</f>
        <v>3510963</v>
      </c>
      <c r="AA105" s="30">
        <f t="shared" si="33"/>
        <v>3843761.1766799642</v>
      </c>
      <c r="AB105" s="53">
        <f t="shared" si="34"/>
        <v>2.6460300021180405</v>
      </c>
      <c r="AC105" s="29">
        <f t="shared" si="35"/>
        <v>-16565706.131953333</v>
      </c>
    </row>
    <row r="106" spans="1:29" x14ac:dyDescent="0.2">
      <c r="A106" s="27" t="s">
        <v>44</v>
      </c>
      <c r="B106" s="27" t="s">
        <v>55</v>
      </c>
      <c r="C106" s="51">
        <v>1573298254</v>
      </c>
      <c r="D106" s="51">
        <v>1761626340</v>
      </c>
      <c r="E106" s="52">
        <f t="shared" si="18"/>
        <v>1.1197027235752592</v>
      </c>
      <c r="F106" s="45">
        <v>762355</v>
      </c>
      <c r="G106" s="35">
        <f>Población!D10</f>
        <v>762212</v>
      </c>
      <c r="H106" s="35">
        <f>'Fondos 2027'!$B$23</f>
        <v>25121609440.735291</v>
      </c>
      <c r="I106" s="30">
        <f t="shared" si="19"/>
        <v>853610.96983121673</v>
      </c>
      <c r="J106" s="30">
        <f t="shared" si="20"/>
        <v>853450.85234174551</v>
      </c>
      <c r="K106" s="53">
        <f t="shared" si="21"/>
        <v>0.58797217243266031</v>
      </c>
      <c r="L106" s="54">
        <v>0.58797200000000005</v>
      </c>
      <c r="M106" s="55">
        <f t="shared" si="22"/>
        <v>1.7243266026145676E-7</v>
      </c>
      <c r="N106" s="53">
        <f t="shared" si="23"/>
        <v>0.58894657021113861</v>
      </c>
      <c r="O106" s="23">
        <f t="shared" si="24"/>
        <v>147708072.77873957</v>
      </c>
      <c r="P106" s="23">
        <f t="shared" si="25"/>
        <v>147952857.1830481</v>
      </c>
      <c r="Q106" s="29">
        <f t="shared" si="26"/>
        <v>244784.40430852771</v>
      </c>
      <c r="R106" s="35">
        <f>Población!K10</f>
        <v>728776</v>
      </c>
      <c r="S106" s="30">
        <f t="shared" si="27"/>
        <v>816012.47207628319</v>
      </c>
      <c r="T106" s="53">
        <f t="shared" si="28"/>
        <v>0.56374038273138649</v>
      </c>
      <c r="U106" s="29">
        <f t="shared" si="29"/>
        <v>6332199.973562845</v>
      </c>
      <c r="V106" s="35">
        <f>Población!L10</f>
        <v>745394</v>
      </c>
      <c r="W106" s="30">
        <f t="shared" si="30"/>
        <v>834619.69193665683</v>
      </c>
      <c r="X106" s="53">
        <f t="shared" si="31"/>
        <v>0.57555769113862976</v>
      </c>
      <c r="Y106" s="29">
        <f t="shared" si="32"/>
        <v>3363501.9090880151</v>
      </c>
      <c r="Z106" s="35">
        <f>Población!M10</f>
        <v>771093</v>
      </c>
      <c r="AA106" s="30">
        <f t="shared" si="33"/>
        <v>863394.93222981738</v>
      </c>
      <c r="AB106" s="53">
        <f t="shared" si="34"/>
        <v>0.594357658903787</v>
      </c>
      <c r="AC106" s="29">
        <f t="shared" si="35"/>
        <v>-1359352.5678589181</v>
      </c>
    </row>
    <row r="107" spans="1:29" x14ac:dyDescent="0.2">
      <c r="A107" s="27" t="s">
        <v>44</v>
      </c>
      <c r="B107" s="27" t="s">
        <v>56</v>
      </c>
      <c r="C107" s="51">
        <v>1815319906</v>
      </c>
      <c r="D107" s="51">
        <v>2015743275</v>
      </c>
      <c r="E107" s="52">
        <f t="shared" si="18"/>
        <v>1.1104066387073486</v>
      </c>
      <c r="F107" s="45">
        <v>5891372</v>
      </c>
      <c r="G107" s="35">
        <f>Población!D11</f>
        <v>5860728</v>
      </c>
      <c r="H107" s="35">
        <f>'Fondos 2027'!$B$23</f>
        <v>25121609440.735291</v>
      </c>
      <c r="I107" s="30">
        <f t="shared" si="19"/>
        <v>6541818.5798945893</v>
      </c>
      <c r="J107" s="30">
        <f t="shared" si="20"/>
        <v>6507791.2788580414</v>
      </c>
      <c r="K107" s="53">
        <f t="shared" si="21"/>
        <v>4.5060424690201755</v>
      </c>
      <c r="L107" s="54">
        <v>4.5060419999999999</v>
      </c>
      <c r="M107" s="55">
        <f t="shared" si="22"/>
        <v>4.6902017558636544E-7</v>
      </c>
      <c r="N107" s="53">
        <f t="shared" si="23"/>
        <v>4.4908753009232063</v>
      </c>
      <c r="O107" s="23">
        <f t="shared" si="24"/>
        <v>1131990390.3009138</v>
      </c>
      <c r="P107" s="23">
        <f t="shared" si="25"/>
        <v>1128180153.5683737</v>
      </c>
      <c r="Q107" s="29">
        <f t="shared" si="26"/>
        <v>-3810236.7325401306</v>
      </c>
      <c r="R107" s="35">
        <f>Población!K11</f>
        <v>5975155</v>
      </c>
      <c r="S107" s="30">
        <f t="shared" si="27"/>
        <v>6634851.7793054078</v>
      </c>
      <c r="T107" s="53">
        <f t="shared" si="28"/>
        <v>4.5836724430383393</v>
      </c>
      <c r="U107" s="29">
        <f t="shared" si="29"/>
        <v>-23312135.6143278</v>
      </c>
      <c r="V107" s="35">
        <f>Población!L11</f>
        <v>5900473</v>
      </c>
      <c r="W107" s="30">
        <f t="shared" si="30"/>
        <v>6551924.3907134654</v>
      </c>
      <c r="X107" s="53">
        <f t="shared" si="31"/>
        <v>4.5182380804886586</v>
      </c>
      <c r="Y107" s="29">
        <f t="shared" si="32"/>
        <v>-6873970.6145622516</v>
      </c>
      <c r="Z107" s="35">
        <f>Población!M11</f>
        <v>5885528</v>
      </c>
      <c r="AA107" s="30">
        <f t="shared" si="33"/>
        <v>6535329.3634979837</v>
      </c>
      <c r="AB107" s="53">
        <f t="shared" si="34"/>
        <v>4.4988949038907649</v>
      </c>
      <c r="AC107" s="29">
        <f t="shared" si="35"/>
        <v>-2014653.3362076757</v>
      </c>
    </row>
    <row r="108" spans="1:29" x14ac:dyDescent="0.2">
      <c r="A108" s="27" t="s">
        <v>44</v>
      </c>
      <c r="B108" s="27" t="s">
        <v>57</v>
      </c>
      <c r="C108" s="51">
        <v>9521809148</v>
      </c>
      <c r="D108" s="51">
        <v>10593672612</v>
      </c>
      <c r="E108" s="52">
        <f t="shared" si="18"/>
        <v>1.1125693077166054</v>
      </c>
      <c r="F108" s="45">
        <v>4015493</v>
      </c>
      <c r="G108" s="35">
        <f>Población!D12</f>
        <v>3903944</v>
      </c>
      <c r="H108" s="35">
        <f>'Fondos 2027'!$B$23</f>
        <v>25121609440.735291</v>
      </c>
      <c r="I108" s="30">
        <f t="shared" si="19"/>
        <v>4467514.2671508752</v>
      </c>
      <c r="J108" s="30">
        <f t="shared" si="20"/>
        <v>4343408.2734443955</v>
      </c>
      <c r="K108" s="53">
        <f t="shared" si="21"/>
        <v>3.0772496627474135</v>
      </c>
      <c r="L108" s="54">
        <v>3.0772499999999998</v>
      </c>
      <c r="M108" s="55">
        <f t="shared" si="22"/>
        <v>-3.3725258630212807E-7</v>
      </c>
      <c r="N108" s="53">
        <f t="shared" si="23"/>
        <v>2.9972849621661064</v>
      </c>
      <c r="O108" s="23">
        <f t="shared" si="24"/>
        <v>773054641.79174912</v>
      </c>
      <c r="P108" s="23">
        <f t="shared" si="25"/>
        <v>752966222.02125978</v>
      </c>
      <c r="Q108" s="29">
        <f t="shared" si="26"/>
        <v>-20088419.770489335</v>
      </c>
      <c r="R108" s="35">
        <f>Población!K12</f>
        <v>3976037</v>
      </c>
      <c r="S108" s="30">
        <f t="shared" si="27"/>
        <v>4423616.7325456087</v>
      </c>
      <c r="T108" s="53">
        <f t="shared" si="28"/>
        <v>3.0560456796904227</v>
      </c>
      <c r="U108" s="29">
        <f t="shared" si="29"/>
        <v>-14761637.961032446</v>
      </c>
      <c r="V108" s="35">
        <f>Población!L12</f>
        <v>3991333</v>
      </c>
      <c r="W108" s="30">
        <f t="shared" si="30"/>
        <v>4440634.5926764421</v>
      </c>
      <c r="X108" s="53">
        <f t="shared" si="31"/>
        <v>3.0622826396781897</v>
      </c>
      <c r="Y108" s="29">
        <f t="shared" si="32"/>
        <v>-16328462.690134197</v>
      </c>
      <c r="Z108" s="35">
        <f>Población!M12</f>
        <v>3985958</v>
      </c>
      <c r="AA108" s="30">
        <f t="shared" si="33"/>
        <v>4434654.5326474654</v>
      </c>
      <c r="AB108" s="53">
        <f t="shared" si="34"/>
        <v>3.052798652945798</v>
      </c>
      <c r="AC108" s="29">
        <f t="shared" si="35"/>
        <v>-13945932.583811598</v>
      </c>
    </row>
    <row r="109" spans="1:29" x14ac:dyDescent="0.2">
      <c r="A109" s="27" t="s">
        <v>44</v>
      </c>
      <c r="B109" s="27" t="s">
        <v>58</v>
      </c>
      <c r="C109" s="51">
        <v>33493698824</v>
      </c>
      <c r="D109" s="51">
        <v>38907672159</v>
      </c>
      <c r="E109" s="52">
        <f t="shared" si="18"/>
        <v>1.1616415482640157</v>
      </c>
      <c r="F109" s="45">
        <v>9336468</v>
      </c>
      <c r="G109" s="35">
        <f>Población!D13</f>
        <v>9216407</v>
      </c>
      <c r="H109" s="35">
        <f>'Fondos 2027'!$B$23</f>
        <v>25121609440.735291</v>
      </c>
      <c r="I109" s="30">
        <f t="shared" si="19"/>
        <v>10845629.142837439</v>
      </c>
      <c r="J109" s="30">
        <f t="shared" si="20"/>
        <v>10706161.296911312</v>
      </c>
      <c r="K109" s="53">
        <f t="shared" si="21"/>
        <v>7.4705320736142848</v>
      </c>
      <c r="L109" s="54">
        <v>7.4705320000000004</v>
      </c>
      <c r="M109" s="55">
        <f t="shared" si="22"/>
        <v>7.3614284445966405E-8</v>
      </c>
      <c r="N109" s="53">
        <f t="shared" si="23"/>
        <v>7.3880727386259757</v>
      </c>
      <c r="O109" s="23">
        <f t="shared" si="24"/>
        <v>1876717890.6782441</v>
      </c>
      <c r="P109" s="23">
        <f t="shared" si="25"/>
        <v>1856002778.5950534</v>
      </c>
      <c r="Q109" s="29">
        <f t="shared" si="26"/>
        <v>-20715112.08319068</v>
      </c>
      <c r="R109" s="35">
        <f>Población!K13</f>
        <v>9350964</v>
      </c>
      <c r="S109" s="30">
        <f t="shared" si="27"/>
        <v>10862468.298721073</v>
      </c>
      <c r="T109" s="53">
        <f t="shared" si="28"/>
        <v>7.5043118159058215</v>
      </c>
      <c r="U109" s="29">
        <f t="shared" si="29"/>
        <v>-29201127.011757344</v>
      </c>
      <c r="V109" s="35">
        <f>Población!L13</f>
        <v>9319955</v>
      </c>
      <c r="W109" s="30">
        <f t="shared" si="30"/>
        <v>10826446.955950955</v>
      </c>
      <c r="X109" s="53">
        <f t="shared" si="31"/>
        <v>7.4659690795731866</v>
      </c>
      <c r="Y109" s="29">
        <f t="shared" si="32"/>
        <v>-19568814.541381877</v>
      </c>
      <c r="Z109" s="35">
        <f>Población!M13</f>
        <v>9296753</v>
      </c>
      <c r="AA109" s="30">
        <f t="shared" si="33"/>
        <v>10799494.548748132</v>
      </c>
      <c r="AB109" s="53">
        <f t="shared" si="34"/>
        <v>7.4343293639226635</v>
      </c>
      <c r="AC109" s="29">
        <f t="shared" si="35"/>
        <v>-11620408.747498281</v>
      </c>
    </row>
    <row r="110" spans="1:29" x14ac:dyDescent="0.2">
      <c r="A110" s="27" t="s">
        <v>44</v>
      </c>
      <c r="B110" s="27" t="s">
        <v>59</v>
      </c>
      <c r="C110" s="51">
        <v>1513863761</v>
      </c>
      <c r="D110" s="51">
        <v>1682810165</v>
      </c>
      <c r="E110" s="52">
        <f t="shared" si="18"/>
        <v>1.1115994770152899</v>
      </c>
      <c r="F110" s="45">
        <v>1968132</v>
      </c>
      <c r="G110" s="35">
        <f>Población!D14</f>
        <v>1943290</v>
      </c>
      <c r="H110" s="35">
        <f>'Fondos 2027'!$B$23</f>
        <v>25121609440.735291</v>
      </c>
      <c r="I110" s="30">
        <f t="shared" si="19"/>
        <v>2187774.5018970566</v>
      </c>
      <c r="J110" s="30">
        <f t="shared" si="20"/>
        <v>2160160.1476890426</v>
      </c>
      <c r="K110" s="53">
        <f t="shared" si="21"/>
        <v>1.5069517287571197</v>
      </c>
      <c r="L110" s="54">
        <v>1.5069520000000001</v>
      </c>
      <c r="M110" s="55">
        <f t="shared" si="22"/>
        <v>-2.7124288037860822E-7</v>
      </c>
      <c r="N110" s="53">
        <f t="shared" si="23"/>
        <v>1.4906762429230269</v>
      </c>
      <c r="O110" s="23">
        <f t="shared" si="24"/>
        <v>378570527.75877225</v>
      </c>
      <c r="P110" s="23">
        <f t="shared" si="25"/>
        <v>374481863.77294928</v>
      </c>
      <c r="Q110" s="29">
        <f t="shared" si="26"/>
        <v>-4088663.9858229756</v>
      </c>
      <c r="R110" s="35">
        <f>Población!K14</f>
        <v>1944614</v>
      </c>
      <c r="S110" s="30">
        <f t="shared" si="27"/>
        <v>2161631.905396611</v>
      </c>
      <c r="T110" s="53">
        <f t="shared" si="28"/>
        <v>1.4933585445967836</v>
      </c>
      <c r="U110" s="29">
        <f t="shared" si="29"/>
        <v>-673837.35050346761</v>
      </c>
      <c r="V110" s="35">
        <f>Población!L14</f>
        <v>1954301</v>
      </c>
      <c r="W110" s="30">
        <f t="shared" si="30"/>
        <v>2172399.9695304581</v>
      </c>
      <c r="X110" s="53">
        <f t="shared" si="31"/>
        <v>1.4980973044037338</v>
      </c>
      <c r="Y110" s="29">
        <f t="shared" si="32"/>
        <v>-1864290.0815400272</v>
      </c>
      <c r="Z110" s="35">
        <f>Población!M14</f>
        <v>1959669</v>
      </c>
      <c r="AA110" s="30">
        <f t="shared" si="33"/>
        <v>2178367.0355230761</v>
      </c>
      <c r="AB110" s="53">
        <f t="shared" si="34"/>
        <v>1.4995792575743874</v>
      </c>
      <c r="AC110" s="29">
        <f t="shared" si="35"/>
        <v>-2236580.5691662133</v>
      </c>
    </row>
    <row r="111" spans="1:29" x14ac:dyDescent="0.2">
      <c r="A111" s="27" t="s">
        <v>44</v>
      </c>
      <c r="B111" s="27" t="s">
        <v>60</v>
      </c>
      <c r="C111" s="51">
        <v>8649635331</v>
      </c>
      <c r="D111" s="51">
        <v>9505316553</v>
      </c>
      <c r="E111" s="52">
        <f t="shared" si="18"/>
        <v>1.0989268552089435</v>
      </c>
      <c r="F111" s="45">
        <v>6402249</v>
      </c>
      <c r="G111" s="35">
        <f>Población!D15</f>
        <v>6446935</v>
      </c>
      <c r="H111" s="35">
        <f>'Fondos 2027'!$B$23</f>
        <v>25121609440.735291</v>
      </c>
      <c r="I111" s="30">
        <f t="shared" si="19"/>
        <v>7035603.359834603</v>
      </c>
      <c r="J111" s="30">
        <f t="shared" si="20"/>
        <v>7084710.0052864701</v>
      </c>
      <c r="K111" s="53">
        <f t="shared" si="21"/>
        <v>4.846164280989063</v>
      </c>
      <c r="L111" s="54">
        <v>4.8461639999999999</v>
      </c>
      <c r="M111" s="55">
        <f t="shared" si="22"/>
        <v>2.8098906312834515E-7</v>
      </c>
      <c r="N111" s="53">
        <f t="shared" si="23"/>
        <v>4.8889934869772826</v>
      </c>
      <c r="O111" s="23">
        <f t="shared" si="24"/>
        <v>1217434463.52649</v>
      </c>
      <c r="P111" s="23">
        <f t="shared" si="25"/>
        <v>1228193849.3814185</v>
      </c>
      <c r="Q111" s="29">
        <f t="shared" si="26"/>
        <v>10759385.854928493</v>
      </c>
      <c r="R111" s="35">
        <f>Población!K15</f>
        <v>6345807</v>
      </c>
      <c r="S111" s="30">
        <f t="shared" si="27"/>
        <v>6973577.7302729003</v>
      </c>
      <c r="T111" s="53">
        <f t="shared" si="28"/>
        <v>4.8176805051376848</v>
      </c>
      <c r="U111" s="29">
        <f t="shared" si="29"/>
        <v>17914968.778286267</v>
      </c>
      <c r="V111" s="35">
        <f>Población!L15</f>
        <v>6376710</v>
      </c>
      <c r="W111" s="30">
        <f t="shared" si="30"/>
        <v>7007537.8668794222</v>
      </c>
      <c r="X111" s="53">
        <f t="shared" si="31"/>
        <v>4.8324312907941085</v>
      </c>
      <c r="Y111" s="29">
        <f t="shared" si="32"/>
        <v>14209334.016239494</v>
      </c>
      <c r="Z111" s="35">
        <f>Población!M15</f>
        <v>6432483</v>
      </c>
      <c r="AA111" s="30">
        <f t="shared" si="33"/>
        <v>7068828.3143749908</v>
      </c>
      <c r="AB111" s="53">
        <f t="shared" si="34"/>
        <v>4.8661534730972864</v>
      </c>
      <c r="AC111" s="29">
        <f t="shared" si="35"/>
        <v>5737779.0831423849</v>
      </c>
    </row>
    <row r="112" spans="1:29" x14ac:dyDescent="0.2">
      <c r="A112" s="27" t="s">
        <v>44</v>
      </c>
      <c r="B112" s="27" t="s">
        <v>61</v>
      </c>
      <c r="C112" s="51">
        <v>1892957129</v>
      </c>
      <c r="D112" s="51">
        <v>2078450286</v>
      </c>
      <c r="E112" s="52">
        <f t="shared" si="18"/>
        <v>1.0979912086535162</v>
      </c>
      <c r="F112" s="45">
        <v>3569633</v>
      </c>
      <c r="G112" s="35">
        <f>Población!D16</f>
        <v>3418902</v>
      </c>
      <c r="H112" s="35">
        <f>'Fondos 2027'!$B$23</f>
        <v>25121609440.735291</v>
      </c>
      <c r="I112" s="30">
        <f t="shared" si="19"/>
        <v>3919425.6521194768</v>
      </c>
      <c r="J112" s="30">
        <f t="shared" si="20"/>
        <v>3753924.3392479238</v>
      </c>
      <c r="K112" s="53">
        <f t="shared" si="21"/>
        <v>2.6997230551297311</v>
      </c>
      <c r="L112" s="54">
        <v>2.6997230000000001</v>
      </c>
      <c r="M112" s="55">
        <f t="shared" si="22"/>
        <v>5.5129731002523386E-8</v>
      </c>
      <c r="N112" s="53">
        <f t="shared" si="23"/>
        <v>2.5904958186706328</v>
      </c>
      <c r="O112" s="23">
        <f t="shared" si="24"/>
        <v>678213881.89117777</v>
      </c>
      <c r="P112" s="23">
        <f t="shared" si="25"/>
        <v>650774242.14501464</v>
      </c>
      <c r="Q112" s="29">
        <f t="shared" si="26"/>
        <v>-27439639.74616313</v>
      </c>
      <c r="R112" s="35">
        <f>Población!K16</f>
        <v>3606579</v>
      </c>
      <c r="S112" s="30">
        <f t="shared" si="27"/>
        <v>3959992.03531439</v>
      </c>
      <c r="T112" s="53">
        <f t="shared" si="28"/>
        <v>2.7357515993857073</v>
      </c>
      <c r="U112" s="29">
        <f t="shared" si="29"/>
        <v>-36490589.921331905</v>
      </c>
      <c r="V112" s="35">
        <f>Población!L16</f>
        <v>3578620</v>
      </c>
      <c r="W112" s="30">
        <f t="shared" si="30"/>
        <v>3929293.2991116461</v>
      </c>
      <c r="X112" s="53">
        <f t="shared" si="31"/>
        <v>2.7096592626463298</v>
      </c>
      <c r="Y112" s="29">
        <f t="shared" si="32"/>
        <v>-29935774.991704006</v>
      </c>
      <c r="Z112" s="35">
        <f>Población!M16</f>
        <v>3538257</v>
      </c>
      <c r="AA112" s="30">
        <f t="shared" si="33"/>
        <v>3884975.0799567644</v>
      </c>
      <c r="AB112" s="53">
        <f t="shared" si="34"/>
        <v>2.6744014902418156</v>
      </c>
      <c r="AC112" s="29">
        <f t="shared" si="35"/>
        <v>-21078455.110738602</v>
      </c>
    </row>
    <row r="113" spans="1:29" x14ac:dyDescent="0.2">
      <c r="A113" s="27" t="s">
        <v>44</v>
      </c>
      <c r="B113" s="27" t="s">
        <v>62</v>
      </c>
      <c r="C113" s="51">
        <v>2561806971</v>
      </c>
      <c r="D113" s="51">
        <v>2753891044</v>
      </c>
      <c r="E113" s="52">
        <f t="shared" si="18"/>
        <v>1.0749799165879466</v>
      </c>
      <c r="F113" s="45">
        <v>3215821</v>
      </c>
      <c r="G113" s="35">
        <f>Población!D17</f>
        <v>3245595</v>
      </c>
      <c r="H113" s="35">
        <f>'Fondos 2027'!$B$23</f>
        <v>25121609440.735291</v>
      </c>
      <c r="I113" s="30">
        <f t="shared" si="19"/>
        <v>3456942.9903417667</v>
      </c>
      <c r="J113" s="30">
        <f t="shared" si="20"/>
        <v>3488949.4423782565</v>
      </c>
      <c r="K113" s="53">
        <f t="shared" si="21"/>
        <v>2.3811623231704786</v>
      </c>
      <c r="L113" s="54">
        <v>2.3811619999999998</v>
      </c>
      <c r="M113" s="55">
        <f t="shared" si="22"/>
        <v>3.2317047882202132E-7</v>
      </c>
      <c r="N113" s="53">
        <f t="shared" si="23"/>
        <v>2.4076428092966946</v>
      </c>
      <c r="O113" s="23">
        <f t="shared" si="24"/>
        <v>598186298.97682667</v>
      </c>
      <c r="P113" s="23">
        <f t="shared" si="25"/>
        <v>604838623.27946281</v>
      </c>
      <c r="Q113" s="29">
        <f t="shared" si="26"/>
        <v>6652324.3026361465</v>
      </c>
      <c r="R113" s="35">
        <f>Población!K17</f>
        <v>3248649</v>
      </c>
      <c r="S113" s="30">
        <f t="shared" si="27"/>
        <v>3492232.4310435159</v>
      </c>
      <c r="T113" s="53">
        <f t="shared" si="28"/>
        <v>2.4126009278438958</v>
      </c>
      <c r="U113" s="29">
        <f t="shared" si="29"/>
        <v>-1245559.1770365401</v>
      </c>
      <c r="V113" s="35">
        <f>Población!L17</f>
        <v>3228160</v>
      </c>
      <c r="W113" s="30">
        <f t="shared" si="30"/>
        <v>3470207.1675325455</v>
      </c>
      <c r="X113" s="53">
        <f t="shared" si="31"/>
        <v>2.3930712927263893</v>
      </c>
      <c r="Y113" s="29">
        <f t="shared" si="32"/>
        <v>3660599.4823841257</v>
      </c>
      <c r="Z113" s="35">
        <f>Población!M17</f>
        <v>3229482</v>
      </c>
      <c r="AA113" s="30">
        <f t="shared" si="33"/>
        <v>3471628.2909822748</v>
      </c>
      <c r="AB113" s="53">
        <f t="shared" si="34"/>
        <v>2.3898551944049973</v>
      </c>
      <c r="AC113" s="29">
        <f t="shared" si="35"/>
        <v>4468535.1419142736</v>
      </c>
    </row>
    <row r="114" spans="1:29" x14ac:dyDescent="0.2">
      <c r="A114" s="27" t="s">
        <v>44</v>
      </c>
      <c r="B114" s="27" t="s">
        <v>63</v>
      </c>
      <c r="C114" s="51">
        <v>12962869372</v>
      </c>
      <c r="D114" s="51">
        <v>14385676589</v>
      </c>
      <c r="E114" s="52">
        <f t="shared" si="18"/>
        <v>1.1097602063377485</v>
      </c>
      <c r="F114" s="45">
        <v>8750952</v>
      </c>
      <c r="G114" s="35">
        <f>Población!D18</f>
        <v>8679851</v>
      </c>
      <c r="H114" s="35">
        <f>'Fondos 2027'!$B$23</f>
        <v>25121609440.735291</v>
      </c>
      <c r="I114" s="30">
        <f t="shared" si="19"/>
        <v>9711458.2971717324</v>
      </c>
      <c r="J114" s="30">
        <f t="shared" si="20"/>
        <v>9632553.2367409132</v>
      </c>
      <c r="K114" s="53">
        <f t="shared" si="21"/>
        <v>6.6893086362354168</v>
      </c>
      <c r="L114" s="54">
        <v>6.6893089999999997</v>
      </c>
      <c r="M114" s="55">
        <f t="shared" si="22"/>
        <v>-3.6376458290021674E-7</v>
      </c>
      <c r="N114" s="53">
        <f t="shared" si="23"/>
        <v>6.6472008031730354</v>
      </c>
      <c r="O114" s="23">
        <f t="shared" si="24"/>
        <v>1680461989.8804376</v>
      </c>
      <c r="P114" s="23">
        <f t="shared" si="25"/>
        <v>1669883824.5145493</v>
      </c>
      <c r="Q114" s="29">
        <f t="shared" si="26"/>
        <v>-10578165.365888357</v>
      </c>
      <c r="R114" s="35">
        <f>Población!K18</f>
        <v>8739649</v>
      </c>
      <c r="S114" s="30">
        <f t="shared" si="27"/>
        <v>9698914.6775594968</v>
      </c>
      <c r="T114" s="53">
        <f t="shared" si="28"/>
        <v>6.7004734112633999</v>
      </c>
      <c r="U114" s="29">
        <f t="shared" si="29"/>
        <v>-13382936.543354919</v>
      </c>
      <c r="V114" s="35">
        <f>Población!L18</f>
        <v>8761130</v>
      </c>
      <c r="W114" s="30">
        <f t="shared" si="30"/>
        <v>9722753.4365518391</v>
      </c>
      <c r="X114" s="53">
        <f t="shared" si="31"/>
        <v>6.704856803063139</v>
      </c>
      <c r="Y114" s="29">
        <f t="shared" si="32"/>
        <v>-14484115.111542597</v>
      </c>
      <c r="Z114" s="35">
        <f>Población!M18</f>
        <v>8703341</v>
      </c>
      <c r="AA114" s="30">
        <f t="shared" si="33"/>
        <v>9658621.5039877873</v>
      </c>
      <c r="AB114" s="53">
        <f t="shared" si="34"/>
        <v>6.6489568690448477</v>
      </c>
      <c r="AC114" s="29">
        <f t="shared" si="35"/>
        <v>-441152.00983873376</v>
      </c>
    </row>
    <row r="115" spans="1:29" x14ac:dyDescent="0.2">
      <c r="A115" s="27" t="s">
        <v>44</v>
      </c>
      <c r="B115" s="27" t="s">
        <v>64</v>
      </c>
      <c r="C115" s="51">
        <v>16658474505</v>
      </c>
      <c r="D115" s="51">
        <v>17892416722</v>
      </c>
      <c r="E115" s="52">
        <f t="shared" si="18"/>
        <v>1.0740729420709942</v>
      </c>
      <c r="F115" s="45">
        <v>17753727</v>
      </c>
      <c r="G115" s="35">
        <f>Población!D19</f>
        <v>17612480</v>
      </c>
      <c r="H115" s="35">
        <f>'Fondos 2027'!$B$23</f>
        <v>25121609440.735291</v>
      </c>
      <c r="I115" s="30">
        <f t="shared" si="19"/>
        <v>19068797.791615248</v>
      </c>
      <c r="J115" s="30">
        <f t="shared" si="20"/>
        <v>18917088.210766546</v>
      </c>
      <c r="K115" s="53">
        <f t="shared" si="21"/>
        <v>13.134698193290614</v>
      </c>
      <c r="L115" s="54">
        <v>13.134698</v>
      </c>
      <c r="M115" s="55">
        <f t="shared" si="22"/>
        <v>1.9329061373696277E-7</v>
      </c>
      <c r="N115" s="53">
        <f t="shared" si="23"/>
        <v>13.054242302931456</v>
      </c>
      <c r="O115" s="23">
        <f t="shared" si="24"/>
        <v>3299647581.3377824</v>
      </c>
      <c r="P115" s="23">
        <f t="shared" si="25"/>
        <v>3279435766.7896891</v>
      </c>
      <c r="Q115" s="29">
        <f t="shared" si="26"/>
        <v>-20211814.548093319</v>
      </c>
      <c r="R115" s="35">
        <f>Población!K19</f>
        <v>17788768</v>
      </c>
      <c r="S115" s="30">
        <f t="shared" si="27"/>
        <v>19106434.381578356</v>
      </c>
      <c r="T115" s="53">
        <f t="shared" si="28"/>
        <v>13.199637259828787</v>
      </c>
      <c r="U115" s="29">
        <f t="shared" si="29"/>
        <v>-36525553.218272842</v>
      </c>
      <c r="V115" s="35">
        <f>Población!L19</f>
        <v>17789139</v>
      </c>
      <c r="W115" s="30">
        <f t="shared" si="30"/>
        <v>19106832.862639863</v>
      </c>
      <c r="X115" s="53">
        <f t="shared" si="31"/>
        <v>13.176162405029041</v>
      </c>
      <c r="Y115" s="29">
        <f t="shared" si="32"/>
        <v>-30628291.878700979</v>
      </c>
      <c r="Z115" s="35">
        <f>Población!M19</f>
        <v>17729333</v>
      </c>
      <c r="AA115" s="30">
        <f t="shared" si="33"/>
        <v>19042596.856266368</v>
      </c>
      <c r="AB115" s="53">
        <f t="shared" si="34"/>
        <v>13.108848412752149</v>
      </c>
      <c r="AC115" s="29">
        <f t="shared" si="35"/>
        <v>-13717933.639933418</v>
      </c>
    </row>
    <row r="116" spans="1:29" x14ac:dyDescent="0.2">
      <c r="A116" s="27" t="s">
        <v>44</v>
      </c>
      <c r="B116" s="27" t="s">
        <v>65</v>
      </c>
      <c r="C116" s="51">
        <v>3596469228</v>
      </c>
      <c r="D116" s="51">
        <v>4081188314</v>
      </c>
      <c r="E116" s="52">
        <f t="shared" si="18"/>
        <v>1.1347763751810418</v>
      </c>
      <c r="F116" s="45">
        <v>4945881</v>
      </c>
      <c r="G116" s="35">
        <f>Población!D20</f>
        <v>4889574</v>
      </c>
      <c r="H116" s="35">
        <f>'Fondos 2027'!$B$23</f>
        <v>25121609440.735291</v>
      </c>
      <c r="I116" s="30">
        <f t="shared" si="19"/>
        <v>5612468.9132567858</v>
      </c>
      <c r="J116" s="30">
        <f t="shared" si="20"/>
        <v>5548573.059899467</v>
      </c>
      <c r="K116" s="53">
        <f t="shared" si="21"/>
        <v>3.8659010442319688</v>
      </c>
      <c r="L116" s="54">
        <v>3.865901</v>
      </c>
      <c r="M116" s="55">
        <f t="shared" si="22"/>
        <v>4.4231968754360196E-8</v>
      </c>
      <c r="N116" s="53">
        <f t="shared" si="23"/>
        <v>3.8289411326115714</v>
      </c>
      <c r="O116" s="23">
        <f t="shared" si="24"/>
        <v>971176561.69726241</v>
      </c>
      <c r="P116" s="23">
        <f t="shared" si="25"/>
        <v>961891637.0503453</v>
      </c>
      <c r="Q116" s="29">
        <f t="shared" si="26"/>
        <v>-9284924.6469171047</v>
      </c>
      <c r="R116" s="35">
        <f>Población!K20</f>
        <v>4950874</v>
      </c>
      <c r="S116" s="30">
        <f t="shared" si="27"/>
        <v>5618134.8516980652</v>
      </c>
      <c r="T116" s="53">
        <f t="shared" si="28"/>
        <v>3.8812758381917631</v>
      </c>
      <c r="U116" s="29">
        <f t="shared" si="29"/>
        <v>-13147320.33781446</v>
      </c>
      <c r="V116" s="35">
        <f>Población!L20</f>
        <v>4940153</v>
      </c>
      <c r="W116" s="30">
        <f t="shared" si="30"/>
        <v>5605968.9141797489</v>
      </c>
      <c r="X116" s="53">
        <f t="shared" si="31"/>
        <v>3.8659027051629962</v>
      </c>
      <c r="Y116" s="29">
        <f t="shared" si="32"/>
        <v>-9285341.8995229397</v>
      </c>
      <c r="Z116" s="35">
        <f>Población!M20</f>
        <v>4915546</v>
      </c>
      <c r="AA116" s="30">
        <f t="shared" si="33"/>
        <v>5578045.4719156697</v>
      </c>
      <c r="AB116" s="53">
        <f t="shared" si="34"/>
        <v>3.8399044564512113</v>
      </c>
      <c r="AC116" s="29">
        <f t="shared" si="35"/>
        <v>-2754163.3967173416</v>
      </c>
    </row>
    <row r="117" spans="1:29" x14ac:dyDescent="0.2">
      <c r="A117" s="27" t="s">
        <v>44</v>
      </c>
      <c r="B117" s="27" t="s">
        <v>66</v>
      </c>
      <c r="C117" s="51">
        <v>2040265749</v>
      </c>
      <c r="D117" s="51">
        <v>2177978663</v>
      </c>
      <c r="E117" s="52">
        <f t="shared" si="18"/>
        <v>1.0674975375474971</v>
      </c>
      <c r="F117" s="45">
        <v>1988503</v>
      </c>
      <c r="G117" s="35">
        <f>Población!D21</f>
        <v>1997217</v>
      </c>
      <c r="H117" s="35">
        <f>'Fondos 2027'!$B$23</f>
        <v>25121609440.735291</v>
      </c>
      <c r="I117" s="30">
        <f t="shared" si="19"/>
        <v>2122722.0559058106</v>
      </c>
      <c r="J117" s="30">
        <f t="shared" si="20"/>
        <v>2132024.2294479995</v>
      </c>
      <c r="K117" s="53">
        <f t="shared" si="21"/>
        <v>1.4621432277615267</v>
      </c>
      <c r="L117" s="54">
        <v>1.462143</v>
      </c>
      <c r="M117" s="55">
        <f t="shared" si="22"/>
        <v>2.2776152674985894E-7</v>
      </c>
      <c r="N117" s="53">
        <f t="shared" si="23"/>
        <v>1.4712603005728189</v>
      </c>
      <c r="O117" s="23">
        <f t="shared" si="24"/>
        <v>367313911.14241141</v>
      </c>
      <c r="P117" s="23">
        <f t="shared" si="25"/>
        <v>369604266.56649166</v>
      </c>
      <c r="Q117" s="29">
        <f t="shared" si="26"/>
        <v>2290355.4240802526</v>
      </c>
      <c r="R117" s="35">
        <f>Población!K21</f>
        <v>1984308</v>
      </c>
      <c r="S117" s="30">
        <f t="shared" si="27"/>
        <v>2118243.9037357988</v>
      </c>
      <c r="T117" s="53">
        <f t="shared" si="28"/>
        <v>1.4633840411434471</v>
      </c>
      <c r="U117" s="29">
        <f t="shared" si="29"/>
        <v>1978643.1323858588</v>
      </c>
      <c r="V117" s="35">
        <f>Población!L21</f>
        <v>1984462</v>
      </c>
      <c r="W117" s="30">
        <f t="shared" si="30"/>
        <v>2118408.298356581</v>
      </c>
      <c r="X117" s="53">
        <f t="shared" si="31"/>
        <v>1.4608643923339917</v>
      </c>
      <c r="Y117" s="29">
        <f t="shared" si="32"/>
        <v>2611619.4655753891</v>
      </c>
      <c r="Z117" s="35">
        <f>Población!M21</f>
        <v>1994177</v>
      </c>
      <c r="AA117" s="30">
        <f t="shared" si="33"/>
        <v>2128779.0369338552</v>
      </c>
      <c r="AB117" s="53">
        <f t="shared" si="34"/>
        <v>1.4654430753349386</v>
      </c>
      <c r="AC117" s="29">
        <f t="shared" si="35"/>
        <v>1461380.6045481756</v>
      </c>
    </row>
    <row r="118" spans="1:29" x14ac:dyDescent="0.2">
      <c r="A118" s="27" t="s">
        <v>44</v>
      </c>
      <c r="B118" s="27" t="s">
        <v>67</v>
      </c>
      <c r="C118" s="51">
        <v>1039445326</v>
      </c>
      <c r="D118" s="51">
        <v>1264832168</v>
      </c>
      <c r="E118" s="52">
        <f t="shared" si="18"/>
        <v>1.2168337635105206</v>
      </c>
      <c r="F118" s="45">
        <v>1279298</v>
      </c>
      <c r="G118" s="35">
        <f>Población!D22</f>
        <v>1299075</v>
      </c>
      <c r="H118" s="35">
        <f>'Fondos 2027'!$B$23</f>
        <v>25121609440.735291</v>
      </c>
      <c r="I118" s="30">
        <f t="shared" si="19"/>
        <v>1556692.9999914821</v>
      </c>
      <c r="J118" s="30">
        <f t="shared" si="20"/>
        <v>1580758.3213324295</v>
      </c>
      <c r="K118" s="53">
        <f t="shared" si="21"/>
        <v>1.0722591407145181</v>
      </c>
      <c r="L118" s="54">
        <v>1.0722590000000001</v>
      </c>
      <c r="M118" s="55">
        <f t="shared" si="22"/>
        <v>1.4071451803765456E-7</v>
      </c>
      <c r="N118" s="53">
        <f t="shared" si="23"/>
        <v>1.0908445273995229</v>
      </c>
      <c r="O118" s="23">
        <f t="shared" si="24"/>
        <v>269368753.52288544</v>
      </c>
      <c r="P118" s="23">
        <f t="shared" si="25"/>
        <v>274037701.77894282</v>
      </c>
      <c r="Q118" s="29">
        <f t="shared" si="26"/>
        <v>4668948.2560573816</v>
      </c>
      <c r="R118" s="35">
        <f>Población!K22</f>
        <v>1245276</v>
      </c>
      <c r="S118" s="30">
        <f t="shared" si="27"/>
        <v>1515293.8816893271</v>
      </c>
      <c r="T118" s="53">
        <f t="shared" si="28"/>
        <v>1.0468373732579586</v>
      </c>
      <c r="U118" s="29">
        <f t="shared" si="29"/>
        <v>11055305.389426151</v>
      </c>
      <c r="V118" s="35">
        <f>Población!L22</f>
        <v>1257616</v>
      </c>
      <c r="W118" s="30">
        <f t="shared" si="30"/>
        <v>1530309.6103310469</v>
      </c>
      <c r="X118" s="53">
        <f t="shared" si="31"/>
        <v>1.0553087526674847</v>
      </c>
      <c r="Y118" s="29">
        <f t="shared" si="32"/>
        <v>8927158.5399221275</v>
      </c>
      <c r="Z118" s="35">
        <f>Población!M22</f>
        <v>1301047</v>
      </c>
      <c r="AA118" s="30">
        <f t="shared" si="33"/>
        <v>1583157.9175140723</v>
      </c>
      <c r="AB118" s="53">
        <f t="shared" si="34"/>
        <v>1.0898396532146828</v>
      </c>
      <c r="AC118" s="29">
        <f t="shared" si="35"/>
        <v>252440.56808629649</v>
      </c>
    </row>
    <row r="119" spans="1:29" x14ac:dyDescent="0.2">
      <c r="A119" s="27" t="s">
        <v>44</v>
      </c>
      <c r="B119" s="27" t="s">
        <v>68</v>
      </c>
      <c r="C119" s="51">
        <v>14903709928</v>
      </c>
      <c r="D119" s="51">
        <v>16472101478</v>
      </c>
      <c r="E119" s="52">
        <f t="shared" si="18"/>
        <v>1.105234975558228</v>
      </c>
      <c r="F119" s="45">
        <v>6234433</v>
      </c>
      <c r="G119" s="35">
        <f>Población!D23</f>
        <v>6291899</v>
      </c>
      <c r="H119" s="35">
        <f>'Fondos 2027'!$B$23</f>
        <v>25121609440.735291</v>
      </c>
      <c r="I119" s="30">
        <f t="shared" si="19"/>
        <v>6890513.4043744104</v>
      </c>
      <c r="J119" s="30">
        <f t="shared" si="20"/>
        <v>6954026.8374798391</v>
      </c>
      <c r="K119" s="53">
        <f t="shared" si="21"/>
        <v>4.7462254806161539</v>
      </c>
      <c r="L119" s="54">
        <v>4.7462249999999999</v>
      </c>
      <c r="M119" s="55">
        <f t="shared" si="22"/>
        <v>4.8061615398609092E-7</v>
      </c>
      <c r="N119" s="53">
        <f t="shared" si="23"/>
        <v>4.7988120743594846</v>
      </c>
      <c r="O119" s="23">
        <f t="shared" si="24"/>
        <v>1192328228.4170516</v>
      </c>
      <c r="P119" s="23">
        <f t="shared" si="25"/>
        <v>1205538827.1154373</v>
      </c>
      <c r="Q119" s="29">
        <f t="shared" si="26"/>
        <v>13210598.698385715</v>
      </c>
      <c r="R119" s="35">
        <f>Población!K23</f>
        <v>6152311</v>
      </c>
      <c r="S119" s="30">
        <f t="shared" si="27"/>
        <v>6799749.2977116173</v>
      </c>
      <c r="T119" s="53">
        <f t="shared" si="28"/>
        <v>4.6975915231000007</v>
      </c>
      <c r="U119" s="29">
        <f t="shared" si="29"/>
        <v>25428231.561166819</v>
      </c>
      <c r="V119" s="35">
        <f>Población!L23</f>
        <v>6310265</v>
      </c>
      <c r="W119" s="30">
        <f t="shared" si="30"/>
        <v>6974325.5830409415</v>
      </c>
      <c r="X119" s="53">
        <f t="shared" si="31"/>
        <v>4.8095279426126618</v>
      </c>
      <c r="Y119" s="29">
        <f t="shared" si="32"/>
        <v>-2691998.5707469098</v>
      </c>
      <c r="Z119" s="35">
        <f>Población!M23</f>
        <v>6282446</v>
      </c>
      <c r="AA119" s="30">
        <f t="shared" si="33"/>
        <v>6943579.0512558874</v>
      </c>
      <c r="AB119" s="53">
        <f t="shared" si="34"/>
        <v>4.7799323753956386</v>
      </c>
      <c r="AC119" s="29">
        <f t="shared" si="35"/>
        <v>4742884.2372839404</v>
      </c>
    </row>
    <row r="120" spans="1:29" x14ac:dyDescent="0.2">
      <c r="A120" s="27" t="s">
        <v>44</v>
      </c>
      <c r="B120" s="27" t="s">
        <v>69</v>
      </c>
      <c r="C120" s="51">
        <v>780859947</v>
      </c>
      <c r="D120" s="51">
        <v>959523539</v>
      </c>
      <c r="E120" s="52">
        <f t="shared" si="18"/>
        <v>1.2288036320551603</v>
      </c>
      <c r="F120" s="45">
        <v>4178688</v>
      </c>
      <c r="G120" s="35">
        <f>Población!D24</f>
        <v>4169180</v>
      </c>
      <c r="H120" s="35">
        <f>'Fondos 2027'!$B$23</f>
        <v>25121609440.735291</v>
      </c>
      <c r="I120" s="30">
        <f t="shared" si="19"/>
        <v>5134786.9916253136</v>
      </c>
      <c r="J120" s="30">
        <f t="shared" si="20"/>
        <v>5123103.5266917329</v>
      </c>
      <c r="K120" s="53">
        <f t="shared" si="21"/>
        <v>3.5368709741884699</v>
      </c>
      <c r="L120" s="54">
        <v>3.5368710000000001</v>
      </c>
      <c r="M120" s="55">
        <f t="shared" si="22"/>
        <v>-2.581153024650007E-8</v>
      </c>
      <c r="N120" s="53">
        <f t="shared" si="23"/>
        <v>3.5353345100105424</v>
      </c>
      <c r="O120" s="23">
        <f t="shared" si="24"/>
        <v>888518912.55835688</v>
      </c>
      <c r="P120" s="23">
        <f t="shared" si="25"/>
        <v>888132928.02838123</v>
      </c>
      <c r="Q120" s="29">
        <f t="shared" si="26"/>
        <v>-385984.52997565269</v>
      </c>
      <c r="R120" s="35">
        <f>Población!K24</f>
        <v>4232451</v>
      </c>
      <c r="S120" s="30">
        <f t="shared" si="27"/>
        <v>5200851.161295495</v>
      </c>
      <c r="T120" s="53">
        <f t="shared" si="28"/>
        <v>3.5929963383251002</v>
      </c>
      <c r="U120" s="29">
        <f t="shared" si="29"/>
        <v>-14485579.305570526</v>
      </c>
      <c r="V120" s="35">
        <f>Población!L24</f>
        <v>4190375</v>
      </c>
      <c r="W120" s="30">
        <f t="shared" si="30"/>
        <v>5149148.0196731426</v>
      </c>
      <c r="X120" s="53">
        <f t="shared" si="31"/>
        <v>3.5508768534532082</v>
      </c>
      <c r="Y120" s="29">
        <f t="shared" si="32"/>
        <v>-3904486.8176042358</v>
      </c>
      <c r="Z120" s="35">
        <f>Población!M24</f>
        <v>4168743</v>
      </c>
      <c r="AA120" s="30">
        <f t="shared" si="33"/>
        <v>5122566.5395045253</v>
      </c>
      <c r="AB120" s="53">
        <f t="shared" si="34"/>
        <v>3.5263545595937842</v>
      </c>
      <c r="AC120" s="29">
        <f t="shared" si="35"/>
        <v>2255908.0716696894</v>
      </c>
    </row>
    <row r="121" spans="1:29" x14ac:dyDescent="0.2">
      <c r="A121" s="27" t="s">
        <v>44</v>
      </c>
      <c r="B121" s="27" t="s">
        <v>70</v>
      </c>
      <c r="C121" s="51">
        <v>3842817237</v>
      </c>
      <c r="D121" s="51">
        <v>4275370590</v>
      </c>
      <c r="E121" s="52">
        <f t="shared" si="18"/>
        <v>1.1125615209683208</v>
      </c>
      <c r="F121" s="45">
        <v>6638706</v>
      </c>
      <c r="G121" s="35">
        <f>Población!D25</f>
        <v>6851933</v>
      </c>
      <c r="H121" s="35">
        <f>'Fondos 2027'!$B$23</f>
        <v>25121609440.735291</v>
      </c>
      <c r="I121" s="30">
        <f t="shared" si="19"/>
        <v>7385968.8446215177</v>
      </c>
      <c r="J121" s="30">
        <f t="shared" si="20"/>
        <v>7623197.0000530295</v>
      </c>
      <c r="K121" s="53">
        <f t="shared" si="21"/>
        <v>5.0874980530659588</v>
      </c>
      <c r="L121" s="54">
        <v>5.0874980000000001</v>
      </c>
      <c r="M121" s="55">
        <f t="shared" si="22"/>
        <v>5.3065958738329755E-8</v>
      </c>
      <c r="N121" s="53">
        <f t="shared" si="23"/>
        <v>5.2605908294614832</v>
      </c>
      <c r="O121" s="23">
        <f t="shared" si="24"/>
        <v>1278061391.1962419</v>
      </c>
      <c r="P121" s="23">
        <f t="shared" si="25"/>
        <v>1321545082.452451</v>
      </c>
      <c r="Q121" s="29">
        <f t="shared" si="26"/>
        <v>43483691.256209135</v>
      </c>
      <c r="R121" s="35">
        <f>Población!K25</f>
        <v>6629599</v>
      </c>
      <c r="S121" s="30">
        <f t="shared" si="27"/>
        <v>7375836.7468500584</v>
      </c>
      <c r="T121" s="53">
        <f t="shared" si="28"/>
        <v>5.0955802428529182</v>
      </c>
      <c r="U121" s="29">
        <f t="shared" si="29"/>
        <v>41453315.103669934</v>
      </c>
      <c r="V121" s="35">
        <f>Población!L25</f>
        <v>6624540</v>
      </c>
      <c r="W121" s="30">
        <f t="shared" si="30"/>
        <v>7370208.2981154798</v>
      </c>
      <c r="X121" s="53">
        <f t="shared" si="31"/>
        <v>5.0825305372690144</v>
      </c>
      <c r="Y121" s="29">
        <f t="shared" si="32"/>
        <v>44731611.173624076</v>
      </c>
      <c r="Z121" s="35">
        <f>Población!M25</f>
        <v>6703850</v>
      </c>
      <c r="AA121" s="30">
        <f t="shared" si="33"/>
        <v>7458445.5523434775</v>
      </c>
      <c r="AB121" s="53">
        <f t="shared" si="34"/>
        <v>5.1343644398091808</v>
      </c>
      <c r="AC121" s="29">
        <f t="shared" si="35"/>
        <v>31710100.619592108</v>
      </c>
    </row>
    <row r="122" spans="1:29" x14ac:dyDescent="0.2">
      <c r="A122" s="27" t="s">
        <v>44</v>
      </c>
      <c r="B122" s="27" t="s">
        <v>71</v>
      </c>
      <c r="C122" s="51">
        <v>6342492623</v>
      </c>
      <c r="D122" s="51">
        <v>6951984946</v>
      </c>
      <c r="E122" s="52">
        <f t="shared" si="18"/>
        <v>1.0960966546164794</v>
      </c>
      <c r="F122" s="45">
        <v>2535155</v>
      </c>
      <c r="G122" s="35">
        <f>Población!D26</f>
        <v>2606836</v>
      </c>
      <c r="H122" s="35">
        <f>'Fondos 2027'!$B$23</f>
        <v>25121609440.735291</v>
      </c>
      <c r="I122" s="30">
        <f t="shared" si="19"/>
        <v>2778774.9144342411</v>
      </c>
      <c r="J122" s="30">
        <f t="shared" si="20"/>
        <v>2857344.2187338048</v>
      </c>
      <c r="K122" s="53">
        <f t="shared" si="21"/>
        <v>1.9140362306547416</v>
      </c>
      <c r="L122" s="54">
        <v>1.9140360000000001</v>
      </c>
      <c r="M122" s="55">
        <f t="shared" si="22"/>
        <v>2.3065474152872412E-7</v>
      </c>
      <c r="N122" s="53">
        <f t="shared" si="23"/>
        <v>1.9717867442729444</v>
      </c>
      <c r="O122" s="23">
        <f t="shared" si="24"/>
        <v>480836706.4192555</v>
      </c>
      <c r="P122" s="23">
        <f t="shared" si="25"/>
        <v>495344564.90043902</v>
      </c>
      <c r="Q122" s="29">
        <f t="shared" si="26"/>
        <v>14507858.481183529</v>
      </c>
      <c r="R122" s="35">
        <f>Población!K26</f>
        <v>2528745</v>
      </c>
      <c r="S122" s="30">
        <f t="shared" si="27"/>
        <v>2771748.9348781491</v>
      </c>
      <c r="T122" s="53">
        <f t="shared" si="28"/>
        <v>1.9148565234643244</v>
      </c>
      <c r="U122" s="29">
        <f t="shared" si="29"/>
        <v>14301787.725289723</v>
      </c>
      <c r="V122" s="35">
        <f>Población!L26</f>
        <v>2498744</v>
      </c>
      <c r="W122" s="30">
        <f t="shared" si="30"/>
        <v>2738864.9391430002</v>
      </c>
      <c r="X122" s="53">
        <f t="shared" si="31"/>
        <v>1.8887342294259306</v>
      </c>
      <c r="Y122" s="29">
        <f t="shared" si="32"/>
        <v>20864128.410575502</v>
      </c>
      <c r="Z122" s="35">
        <f>Población!M26</f>
        <v>2567272</v>
      </c>
      <c r="AA122" s="30">
        <f t="shared" si="33"/>
        <v>2813978.2506905585</v>
      </c>
      <c r="AB122" s="53">
        <f t="shared" si="34"/>
        <v>1.9371315059345608</v>
      </c>
      <c r="AC122" s="29">
        <f t="shared" si="35"/>
        <v>8705953.6261246838</v>
      </c>
    </row>
    <row r="123" spans="1:29" x14ac:dyDescent="0.2">
      <c r="A123" s="27" t="s">
        <v>44</v>
      </c>
      <c r="B123" s="27" t="s">
        <v>72</v>
      </c>
      <c r="C123" s="51">
        <v>6088161317</v>
      </c>
      <c r="D123" s="51">
        <v>6371125057</v>
      </c>
      <c r="E123" s="52">
        <f t="shared" si="18"/>
        <v>1.0464777007813311</v>
      </c>
      <c r="F123" s="45">
        <v>1975372</v>
      </c>
      <c r="G123" s="35">
        <f>Población!D27</f>
        <v>2100792</v>
      </c>
      <c r="H123" s="35">
        <f>'Fondos 2027'!$B$23</f>
        <v>25121609440.735291</v>
      </c>
      <c r="I123" s="30">
        <f t="shared" si="19"/>
        <v>2067182.7487478196</v>
      </c>
      <c r="J123" s="30">
        <f t="shared" si="20"/>
        <v>2198431.9819798139</v>
      </c>
      <c r="K123" s="53">
        <f t="shared" si="21"/>
        <v>1.4238874318085464</v>
      </c>
      <c r="L123" s="54">
        <v>1.4238869999999999</v>
      </c>
      <c r="M123" s="55">
        <f t="shared" si="22"/>
        <v>4.3180854647495437E-7</v>
      </c>
      <c r="N123" s="53">
        <f t="shared" si="23"/>
        <v>1.5170867450385175</v>
      </c>
      <c r="O123" s="23">
        <f t="shared" si="24"/>
        <v>357703439.49465907</v>
      </c>
      <c r="P123" s="23">
        <f t="shared" si="25"/>
        <v>381116606.96573991</v>
      </c>
      <c r="Q123" s="29">
        <f t="shared" si="26"/>
        <v>23413167.47108084</v>
      </c>
      <c r="R123" s="35">
        <f>Población!K27</f>
        <v>1905221</v>
      </c>
      <c r="S123" s="30">
        <f t="shared" si="27"/>
        <v>1993771.2915603083</v>
      </c>
      <c r="T123" s="53">
        <f t="shared" si="28"/>
        <v>1.3773924167153995</v>
      </c>
      <c r="U123" s="29">
        <f t="shared" si="29"/>
        <v>35093463.57219217</v>
      </c>
      <c r="V123" s="35">
        <f>Población!L27</f>
        <v>1920249</v>
      </c>
      <c r="W123" s="30">
        <f t="shared" si="30"/>
        <v>2009497.7584476501</v>
      </c>
      <c r="X123" s="53">
        <f t="shared" si="31"/>
        <v>1.3857591683664228</v>
      </c>
      <c r="Y123" s="29">
        <f t="shared" si="32"/>
        <v>32991600.899545822</v>
      </c>
      <c r="Z123" s="35">
        <f>Población!M27</f>
        <v>2025213</v>
      </c>
      <c r="AA123" s="30">
        <f t="shared" si="33"/>
        <v>2119340.243832462</v>
      </c>
      <c r="AB123" s="53">
        <f t="shared" si="34"/>
        <v>1.4589454474693999</v>
      </c>
      <c r="AC123" s="29">
        <f t="shared" si="35"/>
        <v>14606029.699089436</v>
      </c>
    </row>
    <row r="124" spans="1:29" x14ac:dyDescent="0.2">
      <c r="A124" s="27" t="s">
        <v>44</v>
      </c>
      <c r="B124" s="27" t="s">
        <v>73</v>
      </c>
      <c r="C124" s="51">
        <v>2527538116</v>
      </c>
      <c r="D124" s="51">
        <v>2740573920</v>
      </c>
      <c r="E124" s="52">
        <f t="shared" si="18"/>
        <v>1.0842858917345009</v>
      </c>
      <c r="F124" s="45">
        <v>2951151</v>
      </c>
      <c r="G124" s="35">
        <f>Población!D28</f>
        <v>2889524</v>
      </c>
      <c r="H124" s="35">
        <f>'Fondos 2027'!$B$23</f>
        <v>25121609440.735291</v>
      </c>
      <c r="I124" s="30">
        <f t="shared" si="19"/>
        <v>3199891.3936781641</v>
      </c>
      <c r="J124" s="30">
        <f t="shared" si="20"/>
        <v>3133070.1070282417</v>
      </c>
      <c r="K124" s="53">
        <f t="shared" si="21"/>
        <v>2.2041036968650238</v>
      </c>
      <c r="L124" s="54">
        <v>2.2041040000000001</v>
      </c>
      <c r="M124" s="55">
        <f t="shared" si="22"/>
        <v>-3.0313497623168928E-7</v>
      </c>
      <c r="N124" s="53">
        <f t="shared" si="23"/>
        <v>2.1620587626133791</v>
      </c>
      <c r="O124" s="23">
        <f t="shared" si="24"/>
        <v>553706322.39523947</v>
      </c>
      <c r="P124" s="23">
        <f t="shared" si="25"/>
        <v>543143958.22292721</v>
      </c>
      <c r="Q124" s="29">
        <f t="shared" si="26"/>
        <v>-10562364.17231226</v>
      </c>
      <c r="R124" s="35">
        <f>Población!K28</f>
        <v>2885526</v>
      </c>
      <c r="S124" s="30">
        <f t="shared" si="27"/>
        <v>3128735.1320330873</v>
      </c>
      <c r="T124" s="53">
        <f t="shared" si="28"/>
        <v>2.16147963561099</v>
      </c>
      <c r="U124" s="29">
        <f t="shared" si="29"/>
        <v>145486.02370604177</v>
      </c>
      <c r="V124" s="35">
        <f>Población!L28</f>
        <v>2924773</v>
      </c>
      <c r="W124" s="30">
        <f t="shared" si="30"/>
        <v>3171290.1004259912</v>
      </c>
      <c r="X124" s="53">
        <f t="shared" si="31"/>
        <v>2.1869366680010041</v>
      </c>
      <c r="Y124" s="29">
        <f t="shared" si="32"/>
        <v>-6249730.2285147728</v>
      </c>
      <c r="Z124" s="35">
        <f>Población!M28</f>
        <v>2936529</v>
      </c>
      <c r="AA124" s="30">
        <f t="shared" si="33"/>
        <v>3184036.9653692222</v>
      </c>
      <c r="AB124" s="53">
        <f t="shared" si="34"/>
        <v>2.1918784625159664</v>
      </c>
      <c r="AC124" s="29">
        <f t="shared" si="35"/>
        <v>-7491188.5459272927</v>
      </c>
    </row>
    <row r="125" spans="1:29" x14ac:dyDescent="0.2">
      <c r="A125" s="27" t="s">
        <v>44</v>
      </c>
      <c r="B125" s="27" t="s">
        <v>74</v>
      </c>
      <c r="C125" s="51">
        <v>5096208896</v>
      </c>
      <c r="D125" s="51">
        <v>5225519381</v>
      </c>
      <c r="E125" s="52">
        <f t="shared" si="18"/>
        <v>1.0253738588113011</v>
      </c>
      <c r="F125" s="45">
        <v>3085699</v>
      </c>
      <c r="G125" s="35">
        <f>Población!D29</f>
        <v>3102935</v>
      </c>
      <c r="H125" s="35">
        <f>'Fondos 2027'!$B$23</f>
        <v>25121609440.735291</v>
      </c>
      <c r="I125" s="30">
        <f t="shared" si="19"/>
        <v>3163995.0907601728</v>
      </c>
      <c r="J125" s="30">
        <f t="shared" si="20"/>
        <v>3181668.4345906442</v>
      </c>
      <c r="K125" s="53">
        <f t="shared" si="21"/>
        <v>2.1793781158276042</v>
      </c>
      <c r="L125" s="54">
        <v>2.1793779999999998</v>
      </c>
      <c r="M125" s="55">
        <f t="shared" si="22"/>
        <v>1.1582760439665662E-7</v>
      </c>
      <c r="N125" s="53">
        <f t="shared" si="23"/>
        <v>2.1955953373995434</v>
      </c>
      <c r="O125" s="23">
        <f t="shared" si="24"/>
        <v>547494858.49506629</v>
      </c>
      <c r="P125" s="23">
        <f t="shared" si="25"/>
        <v>551568885.56050754</v>
      </c>
      <c r="Q125" s="29">
        <f t="shared" si="26"/>
        <v>4074027.0654412508</v>
      </c>
      <c r="R125" s="35">
        <f>Población!K29</f>
        <v>3144666</v>
      </c>
      <c r="S125" s="30">
        <f t="shared" si="27"/>
        <v>3224458.3110926989</v>
      </c>
      <c r="T125" s="53">
        <f t="shared" si="28"/>
        <v>2.2276097787717015</v>
      </c>
      <c r="U125" s="29">
        <f t="shared" si="29"/>
        <v>-8042542.9261467448</v>
      </c>
      <c r="V125" s="35">
        <f>Población!L29</f>
        <v>3135869</v>
      </c>
      <c r="W125" s="30">
        <f t="shared" si="30"/>
        <v>3215438.0972567359</v>
      </c>
      <c r="X125" s="53">
        <f t="shared" si="31"/>
        <v>2.2173813356379952</v>
      </c>
      <c r="Y125" s="29">
        <f t="shared" si="32"/>
        <v>-5472993.3902293425</v>
      </c>
      <c r="Z125" s="35">
        <f>Población!M29</f>
        <v>3105420</v>
      </c>
      <c r="AA125" s="30">
        <f t="shared" si="33"/>
        <v>3184216.4886297905</v>
      </c>
      <c r="AB125" s="53">
        <f t="shared" si="34"/>
        <v>2.1920020456190019</v>
      </c>
      <c r="AC125" s="29">
        <f t="shared" si="35"/>
        <v>902692.72717366938</v>
      </c>
    </row>
    <row r="126" spans="1:29" x14ac:dyDescent="0.2">
      <c r="A126" s="27" t="s">
        <v>44</v>
      </c>
      <c r="B126" s="27" t="s">
        <v>75</v>
      </c>
      <c r="C126" s="51">
        <v>5072399122</v>
      </c>
      <c r="D126" s="51">
        <v>5527852624</v>
      </c>
      <c r="E126" s="52">
        <f t="shared" si="18"/>
        <v>1.0897905490174478</v>
      </c>
      <c r="F126" s="45">
        <v>3035624</v>
      </c>
      <c r="G126" s="35">
        <f>Población!D30</f>
        <v>3049889</v>
      </c>
      <c r="H126" s="35">
        <f>'Fondos 2027'!$B$23</f>
        <v>25121609440.735291</v>
      </c>
      <c r="I126" s="30">
        <f t="shared" si="19"/>
        <v>3308194.345570541</v>
      </c>
      <c r="J126" s="30">
        <f t="shared" si="20"/>
        <v>3323740.2077522748</v>
      </c>
      <c r="K126" s="53">
        <f t="shared" si="21"/>
        <v>2.2787033964420127</v>
      </c>
      <c r="L126" s="54">
        <v>2.2787030000000001</v>
      </c>
      <c r="M126" s="55">
        <f t="shared" si="22"/>
        <v>3.9644201255129019E-7</v>
      </c>
      <c r="N126" s="53">
        <f t="shared" si="23"/>
        <v>2.2936357615174305</v>
      </c>
      <c r="O126" s="23">
        <f t="shared" si="24"/>
        <v>572446967.56693232</v>
      </c>
      <c r="P126" s="23">
        <f t="shared" si="25"/>
        <v>576198218.00144362</v>
      </c>
      <c r="Q126" s="29">
        <f t="shared" si="26"/>
        <v>3751250.4345113039</v>
      </c>
      <c r="R126" s="35">
        <f>Población!K30</f>
        <v>3042242</v>
      </c>
      <c r="S126" s="30">
        <f t="shared" si="27"/>
        <v>3315406.5794239384</v>
      </c>
      <c r="T126" s="53">
        <f t="shared" si="28"/>
        <v>2.2904411855850726</v>
      </c>
      <c r="U126" s="29">
        <f t="shared" si="29"/>
        <v>802528.88901469111</v>
      </c>
      <c r="V126" s="35">
        <f>Población!L30</f>
        <v>3032476</v>
      </c>
      <c r="W126" s="30">
        <f t="shared" si="30"/>
        <v>3304763.6849222337</v>
      </c>
      <c r="X126" s="53">
        <f t="shared" si="31"/>
        <v>2.278980683811842</v>
      </c>
      <c r="Y126" s="29">
        <f t="shared" si="32"/>
        <v>3681591.3844342115</v>
      </c>
      <c r="Z126" s="35">
        <f>Población!M30</f>
        <v>3057789</v>
      </c>
      <c r="AA126" s="30">
        <f t="shared" si="33"/>
        <v>3332349.5530895125</v>
      </c>
      <c r="AB126" s="53">
        <f t="shared" si="34"/>
        <v>2.2939762617186266</v>
      </c>
      <c r="AC126" s="29">
        <f t="shared" si="35"/>
        <v>-85539.130689383441</v>
      </c>
    </row>
    <row r="127" spans="1:29" x14ac:dyDescent="0.2">
      <c r="A127" s="27" t="s">
        <v>44</v>
      </c>
      <c r="B127" s="27" t="s">
        <v>76</v>
      </c>
      <c r="C127" s="51">
        <v>567303935</v>
      </c>
      <c r="D127" s="51">
        <v>665596908</v>
      </c>
      <c r="E127" s="52">
        <f t="shared" si="18"/>
        <v>1.1732633372268078</v>
      </c>
      <c r="F127" s="45">
        <v>2578825</v>
      </c>
      <c r="G127" s="35">
        <f>Población!D31</f>
        <v>2527009</v>
      </c>
      <c r="H127" s="35">
        <f>'Fondos 2027'!$B$23</f>
        <v>25121609440.735291</v>
      </c>
      <c r="I127" s="30">
        <f t="shared" si="19"/>
        <v>3025640.8256239225</v>
      </c>
      <c r="J127" s="30">
        <f t="shared" si="20"/>
        <v>2964847.0125421784</v>
      </c>
      <c r="K127" s="53">
        <f t="shared" si="21"/>
        <v>2.0840788979021712</v>
      </c>
      <c r="L127" s="54">
        <v>2.084079</v>
      </c>
      <c r="M127" s="55">
        <f t="shared" si="22"/>
        <v>-1.0209782885794993E-7</v>
      </c>
      <c r="N127" s="53">
        <f t="shared" si="23"/>
        <v>2.0459719202884514</v>
      </c>
      <c r="O127" s="23">
        <f t="shared" si="24"/>
        <v>523554161.16776377</v>
      </c>
      <c r="P127" s="23">
        <f t="shared" si="25"/>
        <v>513981075.08197677</v>
      </c>
      <c r="Q127" s="29">
        <f t="shared" si="26"/>
        <v>-9573086.0857869983</v>
      </c>
      <c r="R127" s="35">
        <f>Población!K31</f>
        <v>2554147</v>
      </c>
      <c r="S127" s="30">
        <f t="shared" si="27"/>
        <v>2996687.0329878395</v>
      </c>
      <c r="T127" s="53">
        <f t="shared" si="28"/>
        <v>2.0702545031012982</v>
      </c>
      <c r="U127" s="29">
        <f t="shared" si="29"/>
        <v>-6100175.6163664842</v>
      </c>
      <c r="V127" s="35">
        <f>Población!L31</f>
        <v>2567516</v>
      </c>
      <c r="W127" s="30">
        <f t="shared" si="30"/>
        <v>3012372.3905432248</v>
      </c>
      <c r="X127" s="53">
        <f t="shared" si="31"/>
        <v>2.0773462628562078</v>
      </c>
      <c r="Y127" s="29">
        <f t="shared" si="32"/>
        <v>-7881739.8044701219</v>
      </c>
      <c r="Z127" s="35">
        <f>Población!M31</f>
        <v>2553100</v>
      </c>
      <c r="AA127" s="30">
        <f t="shared" si="33"/>
        <v>2995458.6262737629</v>
      </c>
      <c r="AB127" s="53">
        <f t="shared" si="34"/>
        <v>2.0620618792111811</v>
      </c>
      <c r="AC127" s="29">
        <f t="shared" si="35"/>
        <v>-4042056.6397428908</v>
      </c>
    </row>
    <row r="128" spans="1:29" x14ac:dyDescent="0.2">
      <c r="A128" s="27" t="s">
        <v>44</v>
      </c>
      <c r="B128" s="27" t="s">
        <v>77</v>
      </c>
      <c r="C128" s="51">
        <v>5005541870</v>
      </c>
      <c r="D128" s="51">
        <v>5440571346</v>
      </c>
      <c r="E128" s="52">
        <f t="shared" si="18"/>
        <v>1.0869095668957016</v>
      </c>
      <c r="F128" s="45">
        <v>3602540</v>
      </c>
      <c r="G128" s="35">
        <f>Población!D32</f>
        <v>3620715</v>
      </c>
      <c r="H128" s="35">
        <f>'Fondos 2027'!$B$23</f>
        <v>25121609440.735291</v>
      </c>
      <c r="I128" s="30">
        <f t="shared" si="19"/>
        <v>3915635.1911244411</v>
      </c>
      <c r="J128" s="30">
        <f t="shared" si="20"/>
        <v>3935389.7725027702</v>
      </c>
      <c r="K128" s="53">
        <f t="shared" si="21"/>
        <v>2.6971121636762003</v>
      </c>
      <c r="L128" s="54">
        <v>2.6971120000000002</v>
      </c>
      <c r="M128" s="55">
        <f t="shared" si="22"/>
        <v>1.6367620014889894E-7</v>
      </c>
      <c r="N128" s="53">
        <f t="shared" si="23"/>
        <v>2.7157208907812</v>
      </c>
      <c r="O128" s="23">
        <f t="shared" si="24"/>
        <v>677557983.93730021</v>
      </c>
      <c r="P128" s="23">
        <f t="shared" si="25"/>
        <v>682232795.6825105</v>
      </c>
      <c r="Q128" s="29">
        <f t="shared" si="26"/>
        <v>4674811.74521029</v>
      </c>
      <c r="R128" s="35">
        <f>Población!K32</f>
        <v>3569939</v>
      </c>
      <c r="S128" s="30">
        <f t="shared" si="27"/>
        <v>3880200.8523340742</v>
      </c>
      <c r="T128" s="53">
        <f t="shared" si="28"/>
        <v>2.6806280399167433</v>
      </c>
      <c r="U128" s="29">
        <f t="shared" si="29"/>
        <v>8815888.9357885346</v>
      </c>
      <c r="V128" s="35">
        <f>Población!L32</f>
        <v>3597414</v>
      </c>
      <c r="W128" s="30">
        <f t="shared" si="30"/>
        <v>3910063.6926845335</v>
      </c>
      <c r="X128" s="53">
        <f t="shared" si="31"/>
        <v>2.6963984350099586</v>
      </c>
      <c r="Y128" s="29">
        <f t="shared" si="32"/>
        <v>4854111.8732100995</v>
      </c>
      <c r="Z128" s="35">
        <f>Población!M32</f>
        <v>3608877</v>
      </c>
      <c r="AA128" s="30">
        <f t="shared" si="33"/>
        <v>3922522.9370498587</v>
      </c>
      <c r="AB128" s="53">
        <f t="shared" si="34"/>
        <v>2.7002492866622436</v>
      </c>
      <c r="AC128" s="29">
        <f t="shared" si="35"/>
        <v>3886715.9609809485</v>
      </c>
    </row>
    <row r="129" spans="1:29" x14ac:dyDescent="0.2">
      <c r="A129" s="27" t="s">
        <v>44</v>
      </c>
      <c r="B129" s="27" t="s">
        <v>78</v>
      </c>
      <c r="C129" s="51">
        <v>461261777</v>
      </c>
      <c r="D129" s="51">
        <v>558824590</v>
      </c>
      <c r="E129" s="52">
        <f t="shared" si="18"/>
        <v>1.2115128932523711</v>
      </c>
      <c r="F129" s="45">
        <v>1426175</v>
      </c>
      <c r="G129" s="35">
        <f>Población!D33</f>
        <v>1419482</v>
      </c>
      <c r="H129" s="35">
        <f>'Fondos 2027'!$B$23</f>
        <v>25121609440.735291</v>
      </c>
      <c r="I129" s="30">
        <f t="shared" si="19"/>
        <v>1727829.4005342002</v>
      </c>
      <c r="J129" s="30">
        <f t="shared" si="20"/>
        <v>1719720.7447396622</v>
      </c>
      <c r="K129" s="53">
        <f t="shared" si="21"/>
        <v>1.1901388830862734</v>
      </c>
      <c r="L129" s="54">
        <v>1.1901390000000001</v>
      </c>
      <c r="M129" s="55">
        <f t="shared" si="22"/>
        <v>-1.1691372669986322E-7</v>
      </c>
      <c r="N129" s="53">
        <f t="shared" si="23"/>
        <v>1.1867392616180856</v>
      </c>
      <c r="O129" s="23">
        <f t="shared" si="24"/>
        <v>298982042.01126277</v>
      </c>
      <c r="P129" s="23">
        <f t="shared" si="25"/>
        <v>298128002.38356125</v>
      </c>
      <c r="Q129" s="29">
        <f t="shared" si="26"/>
        <v>-854039.62770152092</v>
      </c>
      <c r="R129" s="35">
        <f>Población!K33</f>
        <v>1476723</v>
      </c>
      <c r="S129" s="30">
        <f t="shared" si="27"/>
        <v>1789068.9542623211</v>
      </c>
      <c r="T129" s="53">
        <f t="shared" si="28"/>
        <v>1.2359742669648783</v>
      </c>
      <c r="U129" s="29">
        <f t="shared" si="29"/>
        <v>-12368625.751346402</v>
      </c>
      <c r="V129" s="35">
        <f>Población!L33</f>
        <v>1449354</v>
      </c>
      <c r="W129" s="30">
        <f t="shared" si="30"/>
        <v>1755911.0578868971</v>
      </c>
      <c r="X129" s="53">
        <f t="shared" si="31"/>
        <v>1.210884579031563</v>
      </c>
      <c r="Y129" s="29">
        <f t="shared" si="32"/>
        <v>-6065692.3388396315</v>
      </c>
      <c r="Z129" s="35">
        <f>Población!M33</f>
        <v>1440130</v>
      </c>
      <c r="AA129" s="30">
        <f t="shared" si="33"/>
        <v>1744736.0629595371</v>
      </c>
      <c r="AB129" s="53">
        <f t="shared" si="34"/>
        <v>1.2010694099251606</v>
      </c>
      <c r="AC129" s="29">
        <f t="shared" si="35"/>
        <v>-3599963.889981526</v>
      </c>
    </row>
    <row r="130" spans="1:29" x14ac:dyDescent="0.2">
      <c r="A130" s="27" t="s">
        <v>44</v>
      </c>
      <c r="B130" s="27" t="s">
        <v>79</v>
      </c>
      <c r="C130" s="51">
        <v>4968141044</v>
      </c>
      <c r="D130" s="51">
        <v>5256423850</v>
      </c>
      <c r="E130" s="52">
        <f t="shared" si="18"/>
        <v>1.0580262926206891</v>
      </c>
      <c r="F130" s="45">
        <v>8066173</v>
      </c>
      <c r="G130" s="35">
        <f>Población!D34</f>
        <v>7917876</v>
      </c>
      <c r="H130" s="35">
        <f>'Fondos 2027'!$B$23</f>
        <v>25121609440.735291</v>
      </c>
      <c r="I130" s="30">
        <f t="shared" si="19"/>
        <v>8534223.1148271021</v>
      </c>
      <c r="J130" s="30">
        <f t="shared" si="20"/>
        <v>8377320.9897103319</v>
      </c>
      <c r="K130" s="53">
        <f t="shared" si="21"/>
        <v>5.8784222347120201</v>
      </c>
      <c r="L130" s="54">
        <v>5.8784219999999996</v>
      </c>
      <c r="M130" s="55">
        <f t="shared" si="22"/>
        <v>2.3471202048597206E-7</v>
      </c>
      <c r="N130" s="53">
        <f t="shared" si="23"/>
        <v>5.7809942434412758</v>
      </c>
      <c r="O130" s="23">
        <f t="shared" si="24"/>
        <v>1476754275.0816972</v>
      </c>
      <c r="P130" s="23">
        <f t="shared" si="25"/>
        <v>1452278795.6287072</v>
      </c>
      <c r="Q130" s="29">
        <f t="shared" si="26"/>
        <v>-24475479.452990055</v>
      </c>
      <c r="R130" s="35">
        <f>Población!K34</f>
        <v>8113343</v>
      </c>
      <c r="S130" s="30">
        <f t="shared" si="27"/>
        <v>8584130.2150500193</v>
      </c>
      <c r="T130" s="53">
        <f t="shared" si="28"/>
        <v>5.9303270702901374</v>
      </c>
      <c r="U130" s="29">
        <f t="shared" si="29"/>
        <v>-37514809.527780503</v>
      </c>
      <c r="V130" s="35">
        <f>Población!L34</f>
        <v>8068202</v>
      </c>
      <c r="W130" s="30">
        <f t="shared" si="30"/>
        <v>8536369.8501748294</v>
      </c>
      <c r="X130" s="53">
        <f t="shared" si="31"/>
        <v>5.8867210648618631</v>
      </c>
      <c r="Y130" s="29">
        <f t="shared" si="32"/>
        <v>-26560279.151383605</v>
      </c>
      <c r="Z130" s="35">
        <f>Población!M34</f>
        <v>8021469</v>
      </c>
      <c r="AA130" s="30">
        <f t="shared" si="33"/>
        <v>8486925.1074417867</v>
      </c>
      <c r="AB130" s="53">
        <f t="shared" si="34"/>
        <v>5.8423657006226133</v>
      </c>
      <c r="AC130" s="29">
        <f t="shared" si="35"/>
        <v>-15417497.781183703</v>
      </c>
    </row>
    <row r="131" spans="1:29" x14ac:dyDescent="0.2">
      <c r="A131" s="27" t="s">
        <v>44</v>
      </c>
      <c r="B131" s="27" t="s">
        <v>80</v>
      </c>
      <c r="C131" s="51">
        <v>1981620237</v>
      </c>
      <c r="D131" s="51">
        <v>2285077031</v>
      </c>
      <c r="E131" s="52">
        <f t="shared" si="18"/>
        <v>1.1531356958987293</v>
      </c>
      <c r="F131" s="45">
        <v>2456821</v>
      </c>
      <c r="G131" s="35">
        <f>Población!D35</f>
        <v>2506448</v>
      </c>
      <c r="H131" s="35">
        <f>'Fondos 2027'!$B$23</f>
        <v>25121609440.735291</v>
      </c>
      <c r="I131" s="30">
        <f t="shared" si="19"/>
        <v>2833047.9935336122</v>
      </c>
      <c r="J131" s="30">
        <f t="shared" si="20"/>
        <v>2890274.6587139782</v>
      </c>
      <c r="K131" s="53">
        <f t="shared" si="21"/>
        <v>1.9514198413983763</v>
      </c>
      <c r="L131" s="54">
        <v>1.9514199999999999</v>
      </c>
      <c r="M131" s="55">
        <f t="shared" si="22"/>
        <v>-1.5860162361214236E-7</v>
      </c>
      <c r="N131" s="53">
        <f t="shared" si="23"/>
        <v>1.9945112744888929</v>
      </c>
      <c r="O131" s="23">
        <f t="shared" si="24"/>
        <v>490228071.10511613</v>
      </c>
      <c r="P131" s="23">
        <f t="shared" si="25"/>
        <v>501053332.62853152</v>
      </c>
      <c r="Q131" s="29">
        <f t="shared" si="26"/>
        <v>10825261.523415387</v>
      </c>
      <c r="R131" s="35">
        <f>Población!K35</f>
        <v>2402017</v>
      </c>
      <c r="S131" s="30">
        <f t="shared" si="27"/>
        <v>2769851.5448555783</v>
      </c>
      <c r="T131" s="53">
        <f t="shared" si="28"/>
        <v>1.9135457158307192</v>
      </c>
      <c r="U131" s="29">
        <f t="shared" si="29"/>
        <v>20339851.427615829</v>
      </c>
      <c r="V131" s="35">
        <f>Población!L35</f>
        <v>2432221</v>
      </c>
      <c r="W131" s="30">
        <f t="shared" si="30"/>
        <v>2804680.8554145033</v>
      </c>
      <c r="X131" s="53">
        <f t="shared" si="31"/>
        <v>1.9341211968979068</v>
      </c>
      <c r="Y131" s="29">
        <f t="shared" si="32"/>
        <v>15170959.433364512</v>
      </c>
      <c r="Z131" s="35">
        <f>Población!M35</f>
        <v>2478837</v>
      </c>
      <c r="AA131" s="30">
        <f t="shared" si="33"/>
        <v>2858435.4290145184</v>
      </c>
      <c r="AB131" s="53">
        <f t="shared" si="34"/>
        <v>1.9677356517822269</v>
      </c>
      <c r="AC131" s="29">
        <f t="shared" si="35"/>
        <v>6726467.3616934689</v>
      </c>
    </row>
    <row r="132" spans="1:29" x14ac:dyDescent="0.2">
      <c r="A132" s="27" t="s">
        <v>44</v>
      </c>
      <c r="B132" s="27" t="s">
        <v>81</v>
      </c>
      <c r="C132" s="51">
        <v>1504822070</v>
      </c>
      <c r="D132" s="51">
        <v>1621236790</v>
      </c>
      <c r="E132" s="52">
        <f t="shared" si="18"/>
        <v>1.0773611195109598</v>
      </c>
      <c r="F132" s="45">
        <v>1689186</v>
      </c>
      <c r="G132" s="35">
        <f>Población!D36</f>
        <v>1686419</v>
      </c>
      <c r="H132" s="35">
        <f>'Fondos 2027'!$B$23</f>
        <v>25121609440.735291</v>
      </c>
      <c r="I132" s="30">
        <f t="shared" si="19"/>
        <v>1819863.32002224</v>
      </c>
      <c r="J132" s="30">
        <f t="shared" si="20"/>
        <v>1816882.2618045532</v>
      </c>
      <c r="K132" s="53">
        <f t="shared" si="21"/>
        <v>1.2535323790597086</v>
      </c>
      <c r="L132" s="54">
        <v>1.2535320000000001</v>
      </c>
      <c r="M132" s="55">
        <f t="shared" si="22"/>
        <v>3.7905970851070947E-7</v>
      </c>
      <c r="N132" s="53">
        <f t="shared" si="23"/>
        <v>1.2537881632330612</v>
      </c>
      <c r="O132" s="23">
        <f t="shared" si="24"/>
        <v>314907508.48053741</v>
      </c>
      <c r="P132" s="23">
        <f t="shared" si="25"/>
        <v>314971765.58157831</v>
      </c>
      <c r="Q132" s="29">
        <f t="shared" si="26"/>
        <v>64257.101040899754</v>
      </c>
      <c r="R132" s="35">
        <f>Población!K36</f>
        <v>1695685</v>
      </c>
      <c r="S132" s="30">
        <f t="shared" si="27"/>
        <v>1826865.0899379419</v>
      </c>
      <c r="T132" s="53">
        <f t="shared" si="28"/>
        <v>1.2620856423674225</v>
      </c>
      <c r="U132" s="29">
        <f t="shared" si="29"/>
        <v>-2084460.3015607481</v>
      </c>
      <c r="V132" s="35">
        <f>Población!L36</f>
        <v>1703991</v>
      </c>
      <c r="W132" s="30">
        <f t="shared" si="30"/>
        <v>1835813.6513965998</v>
      </c>
      <c r="X132" s="53">
        <f t="shared" si="31"/>
        <v>1.265985785821593</v>
      </c>
      <c r="Y132" s="29">
        <f t="shared" si="32"/>
        <v>-3064239.1077458784</v>
      </c>
      <c r="Z132" s="35">
        <f>Población!M36</f>
        <v>1695141</v>
      </c>
      <c r="AA132" s="30">
        <f t="shared" si="33"/>
        <v>1826279.0054889279</v>
      </c>
      <c r="AB132" s="53">
        <f t="shared" si="34"/>
        <v>1.2572032492757421</v>
      </c>
      <c r="AC132" s="29">
        <f t="shared" si="35"/>
        <v>-857924.57770736469</v>
      </c>
    </row>
    <row r="133" spans="1:29" x14ac:dyDescent="0.2">
      <c r="A133" s="27" t="s">
        <v>160</v>
      </c>
      <c r="B133" s="27" t="s">
        <v>50</v>
      </c>
      <c r="C133" s="51">
        <v>435924518</v>
      </c>
      <c r="D133" s="51">
        <v>75650090</v>
      </c>
      <c r="E133" s="52">
        <f t="shared" ref="E133:E196" si="36">IF(D133="",C133,D133/C133)</f>
        <v>0.17353942454780669</v>
      </c>
      <c r="F133" s="45">
        <v>1531396</v>
      </c>
      <c r="G133" s="35">
        <f>Población!D5</f>
        <v>1539174</v>
      </c>
      <c r="H133" s="35">
        <f>'Fondos 2027'!$B$24</f>
        <v>13458005057.686762</v>
      </c>
      <c r="I133" s="30">
        <f t="shared" ref="I133:I196" si="37">E133*F133</f>
        <v>265757.58059481299</v>
      </c>
      <c r="J133" s="30">
        <f t="shared" ref="J133:J196" si="38">E133*G133</f>
        <v>267107.37023894582</v>
      </c>
      <c r="K133" s="53">
        <f t="shared" ref="K133:K196" si="39">I133/SUMIFS($I$5:$I$260,$A$5:$A$260,A133)*100</f>
        <v>1.667648187161519</v>
      </c>
      <c r="L133" s="54">
        <v>1.667648</v>
      </c>
      <c r="M133" s="55">
        <f t="shared" ref="M133:M196" si="40">K133-L133</f>
        <v>1.8716151894970778E-7</v>
      </c>
      <c r="N133" s="53">
        <f t="shared" ref="N133:N196" si="41">J133/SUMIFS($J$5:$J$260,$A$5:$A$260,A133)*100</f>
        <v>1.6707958158094092</v>
      </c>
      <c r="O133" s="23">
        <f t="shared" ref="O133:O196" si="42">K133/100*H133</f>
        <v>224432177.37261882</v>
      </c>
      <c r="P133" s="23">
        <f t="shared" ref="P133:P196" si="43">N133/100*H133</f>
        <v>224855785.39524907</v>
      </c>
      <c r="Q133" s="29">
        <f t="shared" ref="Q133:Q196" si="44">P133-O133</f>
        <v>423608.02263024449</v>
      </c>
      <c r="R133" s="35">
        <f>Población!K5</f>
        <v>1503564</v>
      </c>
      <c r="S133" s="30">
        <f t="shared" ref="S133:S196" si="45">E133*R133</f>
        <v>260927.63133079841</v>
      </c>
      <c r="T133" s="53">
        <f t="shared" ref="T133:T196" si="46">S133/SUMIFS($S$5:$S$260,$A$5:$A$260,A133)*100</f>
        <v>1.640937092686318</v>
      </c>
      <c r="U133" s="29">
        <f t="shared" ref="U133:U196" si="47">(N133-T133)/100*H133</f>
        <v>4018388.4680662905</v>
      </c>
      <c r="V133" s="35">
        <f>Población!L5</f>
        <v>1519678</v>
      </c>
      <c r="W133" s="30">
        <f t="shared" ref="W133:W196" si="48">E133*V133</f>
        <v>263724.04561796179</v>
      </c>
      <c r="X133" s="53">
        <f t="shared" ref="X133:X196" si="49">W133/SUMIFS($W$5:$W$260,$A$5:$A$260,A133)*100</f>
        <v>1.6579876721987379</v>
      </c>
      <c r="Y133" s="29">
        <f t="shared" ref="Y133:Y196" si="50">(N133-X133)/100*H133</f>
        <v>1723720.6149199256</v>
      </c>
      <c r="Z133" s="35">
        <f>Población!M5</f>
        <v>1558219</v>
      </c>
      <c r="AA133" s="30">
        <f t="shared" ref="AA133:AA196" si="51">E133*Z133</f>
        <v>270412.42857945879</v>
      </c>
      <c r="AB133" s="53">
        <f t="shared" ref="AB133:AB196" si="52">AA133/SUMIFS($AA$5:$AA$260,$A$5:$A$260,A133)*100</f>
        <v>1.6920350132850464</v>
      </c>
      <c r="AC133" s="29">
        <f t="shared" ref="AC133:AC196" si="53">(N133-AB133)/100*H133</f>
        <v>-2858372.2704833313</v>
      </c>
    </row>
    <row r="134" spans="1:29" x14ac:dyDescent="0.2">
      <c r="A134" s="27" t="s">
        <v>160</v>
      </c>
      <c r="B134" s="27" t="s">
        <v>51</v>
      </c>
      <c r="C134" s="51">
        <v>1294477582</v>
      </c>
      <c r="D134" s="51">
        <v>85480161</v>
      </c>
      <c r="E134" s="52">
        <f t="shared" si="36"/>
        <v>6.603448540833827E-2</v>
      </c>
      <c r="F134" s="45">
        <v>3830329</v>
      </c>
      <c r="G134" s="35">
        <f>Población!D6</f>
        <v>4009678</v>
      </c>
      <c r="H134" s="35">
        <f>'Fondos 2027'!$B$24</f>
        <v>13458005057.686762</v>
      </c>
      <c r="I134" s="30">
        <f t="shared" si="37"/>
        <v>252933.80445963491</v>
      </c>
      <c r="J134" s="30">
        <f t="shared" si="38"/>
        <v>264777.02338313498</v>
      </c>
      <c r="K134" s="53">
        <f t="shared" si="39"/>
        <v>1.5871780572915444</v>
      </c>
      <c r="L134" s="54">
        <v>1.587178</v>
      </c>
      <c r="M134" s="55">
        <f t="shared" si="40"/>
        <v>5.7291544397486405E-8</v>
      </c>
      <c r="N134" s="53">
        <f t="shared" si="41"/>
        <v>1.6562191540999613</v>
      </c>
      <c r="O134" s="23">
        <f t="shared" si="42"/>
        <v>213602503.22479051</v>
      </c>
      <c r="P134" s="23">
        <f t="shared" si="43"/>
        <v>222894057.5251497</v>
      </c>
      <c r="Q134" s="29">
        <f t="shared" si="44"/>
        <v>9291554.3003591895</v>
      </c>
      <c r="R134" s="35">
        <f>Población!K6</f>
        <v>3778283</v>
      </c>
      <c r="S134" s="30">
        <f t="shared" si="45"/>
        <v>249496.97363207254</v>
      </c>
      <c r="T134" s="53">
        <f t="shared" si="46"/>
        <v>1.5690512977018074</v>
      </c>
      <c r="U134" s="29">
        <f t="shared" si="47"/>
        <v>11731054.52274069</v>
      </c>
      <c r="V134" s="35">
        <f>Población!L6</f>
        <v>3790412</v>
      </c>
      <c r="W134" s="30">
        <f t="shared" si="48"/>
        <v>250297.90590559028</v>
      </c>
      <c r="X134" s="53">
        <f t="shared" si="49"/>
        <v>1.5735798432646373</v>
      </c>
      <c r="Y134" s="29">
        <f t="shared" si="50"/>
        <v>11121602.631855397</v>
      </c>
      <c r="Z134" s="35">
        <f>Población!M6</f>
        <v>3862801</v>
      </c>
      <c r="AA134" s="30">
        <f t="shared" si="51"/>
        <v>255078.07626981448</v>
      </c>
      <c r="AB134" s="53">
        <f t="shared" si="52"/>
        <v>1.5960843162321465</v>
      </c>
      <c r="AC134" s="29">
        <f t="shared" si="53"/>
        <v>8092949.5216822512</v>
      </c>
    </row>
    <row r="135" spans="1:29" x14ac:dyDescent="0.2">
      <c r="A135" s="27" t="s">
        <v>160</v>
      </c>
      <c r="B135" s="27" t="s">
        <v>52</v>
      </c>
      <c r="C135" s="51">
        <v>252768859</v>
      </c>
      <c r="D135" s="51">
        <v>36876038</v>
      </c>
      <c r="E135" s="52">
        <f t="shared" si="36"/>
        <v>0.14588837464349197</v>
      </c>
      <c r="F135" s="45">
        <v>928591</v>
      </c>
      <c r="G135" s="35">
        <f>Población!D7</f>
        <v>961514</v>
      </c>
      <c r="H135" s="35">
        <f>'Fondos 2027'!$B$24</f>
        <v>13458005057.686762</v>
      </c>
      <c r="I135" s="30">
        <f t="shared" si="37"/>
        <v>135470.63169857484</v>
      </c>
      <c r="J135" s="30">
        <f t="shared" si="38"/>
        <v>140273.71465696255</v>
      </c>
      <c r="K135" s="53">
        <f t="shared" si="39"/>
        <v>0.85008808727153029</v>
      </c>
      <c r="L135" s="54">
        <v>0.85008799999999995</v>
      </c>
      <c r="M135" s="55">
        <f t="shared" si="40"/>
        <v>8.727153033571966E-8</v>
      </c>
      <c r="N135" s="53">
        <f t="shared" si="41"/>
        <v>0.87743267925268087</v>
      </c>
      <c r="O135" s="23">
        <f t="shared" si="42"/>
        <v>114404897.7797952</v>
      </c>
      <c r="P135" s="23">
        <f t="shared" si="43"/>
        <v>118084934.35162225</v>
      </c>
      <c r="Q135" s="29">
        <f t="shared" si="44"/>
        <v>3680036.571827054</v>
      </c>
      <c r="R135" s="35">
        <f>Población!K7</f>
        <v>881164</v>
      </c>
      <c r="S135" s="30">
        <f t="shared" si="45"/>
        <v>128551.58375435795</v>
      </c>
      <c r="T135" s="53">
        <f t="shared" si="46"/>
        <v>0.80844278940571923</v>
      </c>
      <c r="U135" s="29">
        <f t="shared" si="47"/>
        <v>9284662.8648966234</v>
      </c>
      <c r="V135" s="35">
        <f>Población!L7</f>
        <v>906940</v>
      </c>
      <c r="W135" s="30">
        <f t="shared" si="48"/>
        <v>132312.00249916859</v>
      </c>
      <c r="X135" s="53">
        <f t="shared" si="49"/>
        <v>0.83182278094329798</v>
      </c>
      <c r="Y135" s="29">
        <f t="shared" si="50"/>
        <v>6138182.4212825382</v>
      </c>
      <c r="Z135" s="35">
        <f>Población!M7</f>
        <v>960359</v>
      </c>
      <c r="AA135" s="30">
        <f t="shared" si="51"/>
        <v>140105.21358424932</v>
      </c>
      <c r="AB135" s="53">
        <f t="shared" si="52"/>
        <v>0.87667171281171441</v>
      </c>
      <c r="AC135" s="29">
        <f t="shared" si="53"/>
        <v>102410.90211256508</v>
      </c>
    </row>
    <row r="136" spans="1:29" x14ac:dyDescent="0.2">
      <c r="A136" s="27" t="s">
        <v>160</v>
      </c>
      <c r="B136" s="27" t="s">
        <v>53</v>
      </c>
      <c r="C136" s="51">
        <v>522953325</v>
      </c>
      <c r="D136" s="51">
        <v>582284</v>
      </c>
      <c r="E136" s="52">
        <f t="shared" si="36"/>
        <v>1.1134530983238323E-3</v>
      </c>
      <c r="F136" s="45">
        <v>935371</v>
      </c>
      <c r="G136" s="35">
        <f>Población!D8</f>
        <v>968673</v>
      </c>
      <c r="H136" s="35">
        <f>'Fondos 2027'!$B$24</f>
        <v>13458005057.686762</v>
      </c>
      <c r="I136" s="30">
        <f t="shared" si="37"/>
        <v>1041.4917380322613</v>
      </c>
      <c r="J136" s="30">
        <f t="shared" si="38"/>
        <v>1078.5719531126415</v>
      </c>
      <c r="K136" s="53">
        <f t="shared" si="39"/>
        <v>6.5354365620948146E-3</v>
      </c>
      <c r="L136" s="54">
        <v>6.535E-3</v>
      </c>
      <c r="M136" s="55">
        <f t="shared" si="40"/>
        <v>4.3656209481462982E-7</v>
      </c>
      <c r="N136" s="53">
        <f t="shared" si="41"/>
        <v>6.7466259156305037E-3</v>
      </c>
      <c r="O136" s="23">
        <f t="shared" si="42"/>
        <v>879539.38306863001</v>
      </c>
      <c r="P136" s="23">
        <f t="shared" si="43"/>
        <v>907961.25694875896</v>
      </c>
      <c r="Q136" s="29">
        <f t="shared" si="44"/>
        <v>28421.873880128958</v>
      </c>
      <c r="R136" s="35">
        <f>Población!K8</f>
        <v>925978</v>
      </c>
      <c r="S136" s="30">
        <f t="shared" si="45"/>
        <v>1031.0330730797057</v>
      </c>
      <c r="T136" s="53">
        <f t="shared" si="46"/>
        <v>6.4840216606187953E-3</v>
      </c>
      <c r="U136" s="29">
        <f t="shared" si="47"/>
        <v>35341.293921176359</v>
      </c>
      <c r="V136" s="35">
        <f>Población!L8</f>
        <v>918817</v>
      </c>
      <c r="W136" s="30">
        <f t="shared" si="48"/>
        <v>1023.0596354426086</v>
      </c>
      <c r="X136" s="53">
        <f t="shared" si="49"/>
        <v>6.4317997985863353E-3</v>
      </c>
      <c r="Y136" s="29">
        <f t="shared" si="50"/>
        <v>42369.314754723033</v>
      </c>
      <c r="Z136" s="35">
        <f>Población!M8</f>
        <v>952094</v>
      </c>
      <c r="AA136" s="30">
        <f t="shared" si="51"/>
        <v>1060.1120141955307</v>
      </c>
      <c r="AB136" s="53">
        <f t="shared" si="52"/>
        <v>6.6333735303734098E-3</v>
      </c>
      <c r="AC136" s="29">
        <f t="shared" si="53"/>
        <v>15241.511735850594</v>
      </c>
    </row>
    <row r="137" spans="1:29" x14ac:dyDescent="0.2">
      <c r="A137" s="27" t="s">
        <v>160</v>
      </c>
      <c r="B137" s="27" t="s">
        <v>54</v>
      </c>
      <c r="C137" s="51">
        <v>1238076976</v>
      </c>
      <c r="D137" s="51">
        <v>35665380</v>
      </c>
      <c r="E137" s="52">
        <f t="shared" si="36"/>
        <v>2.8807077985755224E-2</v>
      </c>
      <c r="F137" s="45">
        <v>3590747</v>
      </c>
      <c r="G137" s="35">
        <f>Población!D9</f>
        <v>3415128</v>
      </c>
      <c r="H137" s="35">
        <f>'Fondos 2027'!$B$24</f>
        <v>13458005057.686762</v>
      </c>
      <c r="I137" s="30">
        <f t="shared" si="37"/>
        <v>103438.92885611662</v>
      </c>
      <c r="J137" s="30">
        <f t="shared" si="38"/>
        <v>98379.858627336274</v>
      </c>
      <c r="K137" s="53">
        <f t="shared" si="39"/>
        <v>0.64908681740233687</v>
      </c>
      <c r="L137" s="54">
        <v>0.64908699999999997</v>
      </c>
      <c r="M137" s="55">
        <f t="shared" si="40"/>
        <v>-1.8259766310091408E-7</v>
      </c>
      <c r="N137" s="53">
        <f t="shared" si="41"/>
        <v>0.61538045920422213</v>
      </c>
      <c r="O137" s="23">
        <f t="shared" si="42"/>
        <v>87354136.714784533</v>
      </c>
      <c r="P137" s="23">
        <f t="shared" si="43"/>
        <v>82817933.323720232</v>
      </c>
      <c r="Q137" s="29">
        <f t="shared" si="44"/>
        <v>-4536203.3910643011</v>
      </c>
      <c r="R137" s="35">
        <f>Población!K9</f>
        <v>3452989</v>
      </c>
      <c r="S137" s="30">
        <f t="shared" si="45"/>
        <v>99470.523406954948</v>
      </c>
      <c r="T137" s="53">
        <f t="shared" si="46"/>
        <v>0.62555610019109864</v>
      </c>
      <c r="U137" s="29">
        <f t="shared" si="47"/>
        <v>-1369438.2786658881</v>
      </c>
      <c r="V137" s="35">
        <f>Población!L9</f>
        <v>3582441</v>
      </c>
      <c r="W137" s="30">
        <f t="shared" si="48"/>
        <v>103199.65726636694</v>
      </c>
      <c r="X137" s="53">
        <f t="shared" si="49"/>
        <v>0.64879847843164484</v>
      </c>
      <c r="Y137" s="29">
        <f t="shared" si="50"/>
        <v>-4497398.7178052831</v>
      </c>
      <c r="Z137" s="35">
        <f>Población!M9</f>
        <v>3510963</v>
      </c>
      <c r="AA137" s="30">
        <f t="shared" si="51"/>
        <v>101140.58494610112</v>
      </c>
      <c r="AB137" s="53">
        <f t="shared" si="52"/>
        <v>0.63286074494407796</v>
      </c>
      <c r="AC137" s="29">
        <f t="shared" si="53"/>
        <v>-2352497.738967895</v>
      </c>
    </row>
    <row r="138" spans="1:29" x14ac:dyDescent="0.2">
      <c r="A138" s="27" t="s">
        <v>160</v>
      </c>
      <c r="B138" s="27" t="s">
        <v>55</v>
      </c>
      <c r="C138" s="51">
        <v>214770793</v>
      </c>
      <c r="D138" s="51">
        <v>7646292</v>
      </c>
      <c r="E138" s="52">
        <f t="shared" si="36"/>
        <v>3.5602103494584571E-2</v>
      </c>
      <c r="F138" s="45">
        <v>762355</v>
      </c>
      <c r="G138" s="35">
        <f>Población!D10</f>
        <v>762212</v>
      </c>
      <c r="H138" s="35">
        <f>'Fondos 2027'!$B$24</f>
        <v>13458005057.686762</v>
      </c>
      <c r="I138" s="30">
        <f t="shared" si="37"/>
        <v>27141.441609614019</v>
      </c>
      <c r="J138" s="30">
        <f t="shared" si="38"/>
        <v>27136.350508814296</v>
      </c>
      <c r="K138" s="53">
        <f t="shared" si="39"/>
        <v>0.17031452422135146</v>
      </c>
      <c r="L138" s="54">
        <v>0.17031499999999999</v>
      </c>
      <c r="M138" s="55">
        <f t="shared" si="40"/>
        <v>-4.7577864853431961E-7</v>
      </c>
      <c r="N138" s="53">
        <f t="shared" si="41"/>
        <v>0.16974185641491418</v>
      </c>
      <c r="O138" s="23">
        <f t="shared" si="42"/>
        <v>22920937.283684622</v>
      </c>
      <c r="P138" s="23">
        <f t="shared" si="43"/>
        <v>22843867.621330552</v>
      </c>
      <c r="Q138" s="29">
        <f t="shared" si="44"/>
        <v>-77069.662354070693</v>
      </c>
      <c r="R138" s="35">
        <f>Población!K10</f>
        <v>728776</v>
      </c>
      <c r="S138" s="30">
        <f t="shared" si="45"/>
        <v>25945.958576369365</v>
      </c>
      <c r="T138" s="53">
        <f t="shared" si="46"/>
        <v>0.16317047610527169</v>
      </c>
      <c r="U138" s="29">
        <f t="shared" si="47"/>
        <v>884376.69443151879</v>
      </c>
      <c r="V138" s="35">
        <f>Población!L10</f>
        <v>745394</v>
      </c>
      <c r="W138" s="30">
        <f t="shared" si="48"/>
        <v>26537.59433224237</v>
      </c>
      <c r="X138" s="53">
        <f t="shared" si="49"/>
        <v>0.16683728686767973</v>
      </c>
      <c r="Y138" s="29">
        <f t="shared" si="50"/>
        <v>390897.11657084146</v>
      </c>
      <c r="Z138" s="35">
        <f>Población!M10</f>
        <v>771093</v>
      </c>
      <c r="AA138" s="30">
        <f t="shared" si="51"/>
        <v>27452.532789949699</v>
      </c>
      <c r="AB138" s="53">
        <f t="shared" si="52"/>
        <v>0.17177704045619158</v>
      </c>
      <c r="AC138" s="29">
        <f t="shared" si="53"/>
        <v>-273895.17120834551</v>
      </c>
    </row>
    <row r="139" spans="1:29" x14ac:dyDescent="0.2">
      <c r="A139" s="27" t="s">
        <v>160</v>
      </c>
      <c r="B139" s="27" t="s">
        <v>56</v>
      </c>
      <c r="C139" s="51">
        <v>530926151</v>
      </c>
      <c r="D139" s="51">
        <v>16278682</v>
      </c>
      <c r="E139" s="52">
        <f t="shared" si="36"/>
        <v>3.0660915777719903E-2</v>
      </c>
      <c r="F139" s="45">
        <v>5891372</v>
      </c>
      <c r="G139" s="35">
        <f>Población!D11</f>
        <v>5860728</v>
      </c>
      <c r="H139" s="35">
        <f>'Fondos 2027'!$B$24</f>
        <v>13458005057.686762</v>
      </c>
      <c r="I139" s="30">
        <f t="shared" si="37"/>
        <v>180634.86070721725</v>
      </c>
      <c r="J139" s="30">
        <f t="shared" si="38"/>
        <v>179695.28760412481</v>
      </c>
      <c r="K139" s="53">
        <f t="shared" si="39"/>
        <v>1.1334969159575641</v>
      </c>
      <c r="L139" s="54">
        <v>1.133497</v>
      </c>
      <c r="M139" s="55">
        <f t="shared" si="40"/>
        <v>-8.4042435899434054E-8</v>
      </c>
      <c r="N139" s="53">
        <f t="shared" si="41"/>
        <v>1.1240204056558236</v>
      </c>
      <c r="O139" s="23">
        <f t="shared" si="42"/>
        <v>152546072.27829245</v>
      </c>
      <c r="P139" s="23">
        <f t="shared" si="43"/>
        <v>151270723.04259199</v>
      </c>
      <c r="Q139" s="29">
        <f t="shared" si="44"/>
        <v>-1275349.2357004583</v>
      </c>
      <c r="R139" s="35">
        <f>Población!K11</f>
        <v>5975155</v>
      </c>
      <c r="S139" s="30">
        <f t="shared" si="45"/>
        <v>183203.72421382196</v>
      </c>
      <c r="T139" s="53">
        <f t="shared" si="46"/>
        <v>1.152142396907011</v>
      </c>
      <c r="U139" s="29">
        <f t="shared" si="47"/>
        <v>-3784659.0049070311</v>
      </c>
      <c r="V139" s="35">
        <f>Población!L11</f>
        <v>5900473</v>
      </c>
      <c r="W139" s="30">
        <f t="shared" si="48"/>
        <v>180913.90570171029</v>
      </c>
      <c r="X139" s="53">
        <f t="shared" si="49"/>
        <v>1.1373745790980363</v>
      </c>
      <c r="Y139" s="29">
        <f t="shared" si="50"/>
        <v>-1797205.3372652449</v>
      </c>
      <c r="Z139" s="35">
        <f>Población!M11</f>
        <v>5885528</v>
      </c>
      <c r="AA139" s="30">
        <f t="shared" si="51"/>
        <v>180455.67831541225</v>
      </c>
      <c r="AB139" s="53">
        <f t="shared" si="52"/>
        <v>1.1291541874010402</v>
      </c>
      <c r="AC139" s="29">
        <f t="shared" si="53"/>
        <v>-690904.60692185163</v>
      </c>
    </row>
    <row r="140" spans="1:29" x14ac:dyDescent="0.2">
      <c r="A140" s="27" t="s">
        <v>160</v>
      </c>
      <c r="B140" s="27" t="s">
        <v>57</v>
      </c>
      <c r="C140" s="51">
        <v>1286224656</v>
      </c>
      <c r="D140" s="51">
        <v>180009961</v>
      </c>
      <c r="E140" s="52">
        <f t="shared" si="36"/>
        <v>0.13995219276841478</v>
      </c>
      <c r="F140" s="45">
        <v>4015493</v>
      </c>
      <c r="G140" s="35">
        <f>Población!D12</f>
        <v>3903944</v>
      </c>
      <c r="H140" s="35">
        <f>'Fondos 2027'!$B$24</f>
        <v>13458005057.686762</v>
      </c>
      <c r="I140" s="30">
        <f t="shared" si="37"/>
        <v>561977.05039622018</v>
      </c>
      <c r="J140" s="30">
        <f t="shared" si="38"/>
        <v>546365.52324509632</v>
      </c>
      <c r="K140" s="53">
        <f t="shared" si="39"/>
        <v>3.526446949216115</v>
      </c>
      <c r="L140" s="54">
        <v>3.5264470000000001</v>
      </c>
      <c r="M140" s="55">
        <f t="shared" si="40"/>
        <v>-5.0783885097160919E-8</v>
      </c>
      <c r="N140" s="53">
        <f t="shared" si="41"/>
        <v>3.417596561726489</v>
      </c>
      <c r="O140" s="23">
        <f t="shared" si="42"/>
        <v>474589408.78214532</v>
      </c>
      <c r="P140" s="23">
        <f t="shared" si="43"/>
        <v>459940318.12847972</v>
      </c>
      <c r="Q140" s="29">
        <f t="shared" si="44"/>
        <v>-14649090.653665602</v>
      </c>
      <c r="R140" s="35">
        <f>Población!K12</f>
        <v>3976037</v>
      </c>
      <c r="S140" s="30">
        <f t="shared" si="45"/>
        <v>556455.09667834954</v>
      </c>
      <c r="T140" s="53">
        <f t="shared" si="46"/>
        <v>3.4994676642591234</v>
      </c>
      <c r="U140" s="29">
        <f t="shared" si="47"/>
        <v>-11018217.119625853</v>
      </c>
      <c r="V140" s="35">
        <f>Población!L12</f>
        <v>3991333</v>
      </c>
      <c r="W140" s="30">
        <f t="shared" si="48"/>
        <v>558595.80541893526</v>
      </c>
      <c r="X140" s="53">
        <f t="shared" si="49"/>
        <v>3.5117956610909871</v>
      </c>
      <c r="Y140" s="29">
        <f t="shared" si="50"/>
        <v>-12677319.556769533</v>
      </c>
      <c r="Z140" s="35">
        <f>Población!M12</f>
        <v>3985958</v>
      </c>
      <c r="AA140" s="30">
        <f t="shared" si="51"/>
        <v>557843.56238280504</v>
      </c>
      <c r="AB140" s="53">
        <f t="shared" si="52"/>
        <v>3.490560121240919</v>
      </c>
      <c r="AC140" s="29">
        <f t="shared" si="53"/>
        <v>-9819439.5297202822</v>
      </c>
    </row>
    <row r="141" spans="1:29" x14ac:dyDescent="0.2">
      <c r="A141" s="27" t="s">
        <v>160</v>
      </c>
      <c r="B141" s="27" t="s">
        <v>58</v>
      </c>
      <c r="C141" s="51">
        <v>5021817466</v>
      </c>
      <c r="D141" s="51">
        <v>123702300</v>
      </c>
      <c r="E141" s="52">
        <f t="shared" si="36"/>
        <v>2.4632974184649506E-2</v>
      </c>
      <c r="F141" s="45">
        <v>9336468</v>
      </c>
      <c r="G141" s="35">
        <f>Población!D13</f>
        <v>9216407</v>
      </c>
      <c r="H141" s="35">
        <f>'Fondos 2027'!$B$24</f>
        <v>13458005057.686762</v>
      </c>
      <c r="I141" s="30">
        <f t="shared" si="37"/>
        <v>229984.97521980619</v>
      </c>
      <c r="J141" s="30">
        <f t="shared" si="38"/>
        <v>227027.515706223</v>
      </c>
      <c r="K141" s="53">
        <f t="shared" si="39"/>
        <v>1.4431724812563349</v>
      </c>
      <c r="L141" s="54">
        <v>1.4431719999999999</v>
      </c>
      <c r="M141" s="55">
        <f t="shared" si="40"/>
        <v>4.8125633500539777E-7</v>
      </c>
      <c r="N141" s="53">
        <f t="shared" si="41"/>
        <v>1.4200904414439692</v>
      </c>
      <c r="O141" s="23">
        <f t="shared" si="42"/>
        <v>194222225.51862109</v>
      </c>
      <c r="P141" s="23">
        <f t="shared" si="43"/>
        <v>191115843.43325564</v>
      </c>
      <c r="Q141" s="29">
        <f t="shared" si="44"/>
        <v>-3106382.0853654444</v>
      </c>
      <c r="R141" s="35">
        <f>Población!K13</f>
        <v>9350964</v>
      </c>
      <c r="S141" s="30">
        <f t="shared" si="45"/>
        <v>230342.05481358687</v>
      </c>
      <c r="T141" s="53">
        <f t="shared" si="46"/>
        <v>1.4485887133586435</v>
      </c>
      <c r="U141" s="29">
        <f t="shared" si="47"/>
        <v>-3835298.8756301859</v>
      </c>
      <c r="V141" s="35">
        <f>Población!L13</f>
        <v>9319955</v>
      </c>
      <c r="W141" s="30">
        <f t="shared" si="48"/>
        <v>229578.21091709507</v>
      </c>
      <c r="X141" s="53">
        <f t="shared" si="49"/>
        <v>1.4433186879644198</v>
      </c>
      <c r="Y141" s="29">
        <f t="shared" si="50"/>
        <v>-3126058.5915341806</v>
      </c>
      <c r="Z141" s="35">
        <f>Población!M13</f>
        <v>9296753</v>
      </c>
      <c r="AA141" s="30">
        <f t="shared" si="51"/>
        <v>229006.67665006284</v>
      </c>
      <c r="AB141" s="53">
        <f t="shared" si="52"/>
        <v>1.4329493551887278</v>
      </c>
      <c r="AC141" s="29">
        <f t="shared" si="53"/>
        <v>-1730553.2621331851</v>
      </c>
    </row>
    <row r="142" spans="1:29" x14ac:dyDescent="0.2">
      <c r="A142" s="27" t="s">
        <v>160</v>
      </c>
      <c r="B142" s="27" t="s">
        <v>59</v>
      </c>
      <c r="C142" s="51">
        <v>454692285</v>
      </c>
      <c r="D142" s="51">
        <v>209500394</v>
      </c>
      <c r="E142" s="52">
        <f t="shared" si="36"/>
        <v>0.46075203145353566</v>
      </c>
      <c r="F142" s="45">
        <v>1968132</v>
      </c>
      <c r="G142" s="35">
        <f>Población!D14</f>
        <v>1943290</v>
      </c>
      <c r="H142" s="35">
        <f>'Fondos 2027'!$B$24</f>
        <v>13458005057.686762</v>
      </c>
      <c r="I142" s="30">
        <f t="shared" si="37"/>
        <v>906820.81716871005</v>
      </c>
      <c r="J142" s="30">
        <f t="shared" si="38"/>
        <v>895374.81520334131</v>
      </c>
      <c r="K142" s="53">
        <f t="shared" si="39"/>
        <v>5.6903667185975371</v>
      </c>
      <c r="L142" s="54">
        <v>5.6903670000000002</v>
      </c>
      <c r="M142" s="55">
        <f t="shared" si="40"/>
        <v>-2.8140246310925932E-7</v>
      </c>
      <c r="N142" s="53">
        <f t="shared" si="41"/>
        <v>5.6007009221969488</v>
      </c>
      <c r="O142" s="23">
        <f t="shared" si="42"/>
        <v>765809840.78978074</v>
      </c>
      <c r="P142" s="23">
        <f t="shared" si="43"/>
        <v>753742613.37517452</v>
      </c>
      <c r="Q142" s="29">
        <f t="shared" si="44"/>
        <v>-12067227.414606214</v>
      </c>
      <c r="R142" s="35">
        <f>Población!K14</f>
        <v>1944614</v>
      </c>
      <c r="S142" s="30">
        <f t="shared" si="45"/>
        <v>895984.85089298582</v>
      </c>
      <c r="T142" s="53">
        <f t="shared" si="46"/>
        <v>5.6347224278879189</v>
      </c>
      <c r="U142" s="29">
        <f t="shared" si="47"/>
        <v>-4578615.9565919414</v>
      </c>
      <c r="V142" s="35">
        <f>Población!L14</f>
        <v>1954301</v>
      </c>
      <c r="W142" s="30">
        <f t="shared" si="48"/>
        <v>900448.15582167625</v>
      </c>
      <c r="X142" s="53">
        <f t="shared" si="49"/>
        <v>5.6609625349412829</v>
      </c>
      <c r="Y142" s="29">
        <f t="shared" si="50"/>
        <v>-8110010.8909760872</v>
      </c>
      <c r="Z142" s="35">
        <f>Población!M14</f>
        <v>1959669</v>
      </c>
      <c r="AA142" s="30">
        <f t="shared" si="51"/>
        <v>902921.47272651875</v>
      </c>
      <c r="AB142" s="53">
        <f t="shared" si="52"/>
        <v>5.6497948490235279</v>
      </c>
      <c r="AC142" s="29">
        <f t="shared" si="53"/>
        <v>-6607063.1553380517</v>
      </c>
    </row>
    <row r="143" spans="1:29" x14ac:dyDescent="0.2">
      <c r="A143" s="27" t="s">
        <v>160</v>
      </c>
      <c r="B143" s="27" t="s">
        <v>60</v>
      </c>
      <c r="C143" s="51">
        <v>1520603357</v>
      </c>
      <c r="D143" s="51">
        <v>260054762</v>
      </c>
      <c r="E143" s="52">
        <f t="shared" si="36"/>
        <v>0.1710207733021597</v>
      </c>
      <c r="F143" s="45">
        <v>6402249</v>
      </c>
      <c r="G143" s="35">
        <f>Población!D15</f>
        <v>6446935</v>
      </c>
      <c r="H143" s="35">
        <f>'Fondos 2027'!$B$24</f>
        <v>13458005057.686762</v>
      </c>
      <c r="I143" s="30">
        <f t="shared" si="37"/>
        <v>1094917.5748529786</v>
      </c>
      <c r="J143" s="30">
        <f t="shared" si="38"/>
        <v>1102559.809128759</v>
      </c>
      <c r="K143" s="53">
        <f t="shared" si="39"/>
        <v>6.8706875819236553</v>
      </c>
      <c r="L143" s="54">
        <v>6.8706880000000004</v>
      </c>
      <c r="M143" s="55">
        <f t="shared" si="40"/>
        <v>-4.1807634509893887E-7</v>
      </c>
      <c r="N143" s="53">
        <f t="shared" si="41"/>
        <v>6.8966734767521398</v>
      </c>
      <c r="O143" s="23">
        <f t="shared" si="42"/>
        <v>924657482.27314186</v>
      </c>
      <c r="P143" s="23">
        <f t="shared" si="43"/>
        <v>928154665.31344438</v>
      </c>
      <c r="Q143" s="29">
        <f t="shared" si="44"/>
        <v>3497183.040302515</v>
      </c>
      <c r="R143" s="35">
        <f>Población!K15</f>
        <v>6345807</v>
      </c>
      <c r="S143" s="30">
        <f t="shared" si="45"/>
        <v>1085264.820366258</v>
      </c>
      <c r="T143" s="53">
        <f t="shared" si="46"/>
        <v>6.8250774747149023</v>
      </c>
      <c r="U143" s="29">
        <f t="shared" si="47"/>
        <v>9635393.5752729382</v>
      </c>
      <c r="V143" s="35">
        <f>Población!L15</f>
        <v>6376710</v>
      </c>
      <c r="W143" s="30">
        <f t="shared" si="48"/>
        <v>1090549.8753236148</v>
      </c>
      <c r="X143" s="53">
        <f t="shared" si="49"/>
        <v>6.8560993176318714</v>
      </c>
      <c r="Y143" s="29">
        <f t="shared" si="50"/>
        <v>5460472.3865195969</v>
      </c>
      <c r="Z143" s="35">
        <f>Población!M15</f>
        <v>6432483</v>
      </c>
      <c r="AA143" s="30">
        <f t="shared" si="51"/>
        <v>1100088.216912996</v>
      </c>
      <c r="AB143" s="53">
        <f t="shared" si="52"/>
        <v>6.8835141583447905</v>
      </c>
      <c r="AC143" s="29">
        <f t="shared" si="53"/>
        <v>1770981.7368181734</v>
      </c>
    </row>
    <row r="144" spans="1:29" x14ac:dyDescent="0.2">
      <c r="A144" s="27" t="s">
        <v>160</v>
      </c>
      <c r="B144" s="27" t="s">
        <v>61</v>
      </c>
      <c r="C144" s="51">
        <v>432049345</v>
      </c>
      <c r="D144" s="51">
        <v>14039942</v>
      </c>
      <c r="E144" s="52">
        <f t="shared" si="36"/>
        <v>3.2496153882608014E-2</v>
      </c>
      <c r="F144" s="45">
        <v>3569633</v>
      </c>
      <c r="G144" s="35">
        <f>Población!D16</f>
        <v>3418902</v>
      </c>
      <c r="H144" s="35">
        <f>'Fondos 2027'!$B$24</f>
        <v>13458005057.686762</v>
      </c>
      <c r="I144" s="30">
        <f t="shared" si="37"/>
        <v>115999.3432724357</v>
      </c>
      <c r="J144" s="30">
        <f t="shared" si="38"/>
        <v>111101.1655015563</v>
      </c>
      <c r="K144" s="53">
        <f t="shared" si="39"/>
        <v>0.72790433329215742</v>
      </c>
      <c r="L144" s="54">
        <v>0.727904</v>
      </c>
      <c r="M144" s="55">
        <f t="shared" si="40"/>
        <v>3.3329215742838869E-7</v>
      </c>
      <c r="N144" s="53">
        <f t="shared" si="41"/>
        <v>0.69495410136190761</v>
      </c>
      <c r="O144" s="23">
        <f t="shared" si="42"/>
        <v>97961401.989579663</v>
      </c>
      <c r="P144" s="23">
        <f t="shared" si="43"/>
        <v>93526958.109887123</v>
      </c>
      <c r="Q144" s="29">
        <f t="shared" si="44"/>
        <v>-4434443.8796925396</v>
      </c>
      <c r="R144" s="35">
        <f>Población!K16</f>
        <v>3606579</v>
      </c>
      <c r="S144" s="30">
        <f t="shared" si="45"/>
        <v>117199.94617378253</v>
      </c>
      <c r="T144" s="53">
        <f t="shared" si="46"/>
        <v>0.73705394080546183</v>
      </c>
      <c r="U144" s="29">
        <f t="shared" si="47"/>
        <v>-5665798.5215915339</v>
      </c>
      <c r="V144" s="35">
        <f>Población!L16</f>
        <v>3578620</v>
      </c>
      <c r="W144" s="30">
        <f t="shared" si="48"/>
        <v>116291.38620737869</v>
      </c>
      <c r="X144" s="53">
        <f t="shared" si="49"/>
        <v>0.73110392441819982</v>
      </c>
      <c r="Y144" s="29">
        <f t="shared" si="50"/>
        <v>-4865045.0152606219</v>
      </c>
      <c r="Z144" s="35">
        <f>Población!M16</f>
        <v>3538257</v>
      </c>
      <c r="AA144" s="30">
        <f t="shared" si="51"/>
        <v>114979.74394821498</v>
      </c>
      <c r="AB144" s="53">
        <f t="shared" si="52"/>
        <v>0.71945566112085002</v>
      </c>
      <c r="AC144" s="29">
        <f t="shared" si="53"/>
        <v>-3297421.1515706144</v>
      </c>
    </row>
    <row r="145" spans="1:29" x14ac:dyDescent="0.2">
      <c r="A145" s="27" t="s">
        <v>160</v>
      </c>
      <c r="B145" s="27" t="s">
        <v>62</v>
      </c>
      <c r="C145" s="51">
        <v>587732486</v>
      </c>
      <c r="D145" s="51">
        <v>128416431</v>
      </c>
      <c r="E145" s="52">
        <f t="shared" si="36"/>
        <v>0.21849469624178644</v>
      </c>
      <c r="F145" s="45">
        <v>3215821</v>
      </c>
      <c r="G145" s="35">
        <f>Población!D17</f>
        <v>3245595</v>
      </c>
      <c r="H145" s="35">
        <f>'Fondos 2027'!$B$24</f>
        <v>13458005057.686762</v>
      </c>
      <c r="I145" s="30">
        <f t="shared" si="37"/>
        <v>702639.83256295789</v>
      </c>
      <c r="J145" s="30">
        <f t="shared" si="38"/>
        <v>709145.29364886088</v>
      </c>
      <c r="K145" s="53">
        <f t="shared" si="39"/>
        <v>4.4091161590893861</v>
      </c>
      <c r="L145" s="54">
        <v>4.409116</v>
      </c>
      <c r="M145" s="55">
        <f t="shared" si="40"/>
        <v>1.5908938610920131E-7</v>
      </c>
      <c r="N145" s="53">
        <f t="shared" si="41"/>
        <v>4.4358079238679702</v>
      </c>
      <c r="O145" s="23">
        <f t="shared" si="42"/>
        <v>593379075.68953383</v>
      </c>
      <c r="P145" s="23">
        <f t="shared" si="43"/>
        <v>596971254.74342155</v>
      </c>
      <c r="Q145" s="29">
        <f t="shared" si="44"/>
        <v>3592179.0538877249</v>
      </c>
      <c r="R145" s="35">
        <f>Población!K17</f>
        <v>3248649</v>
      </c>
      <c r="S145" s="30">
        <f t="shared" si="45"/>
        <v>709812.5764511833</v>
      </c>
      <c r="T145" s="53">
        <f t="shared" si="46"/>
        <v>4.4639112370484622</v>
      </c>
      <c r="U145" s="29">
        <f t="shared" si="47"/>
        <v>-3782145.3092081598</v>
      </c>
      <c r="V145" s="35">
        <f>Población!L17</f>
        <v>3228160</v>
      </c>
      <c r="W145" s="30">
        <f t="shared" si="48"/>
        <v>705335.83861988527</v>
      </c>
      <c r="X145" s="53">
        <f t="shared" si="49"/>
        <v>4.4343249871337473</v>
      </c>
      <c r="Y145" s="29">
        <f t="shared" si="50"/>
        <v>199573.70069400463</v>
      </c>
      <c r="Z145" s="35">
        <f>Población!M17</f>
        <v>3229482</v>
      </c>
      <c r="AA145" s="30">
        <f t="shared" si="51"/>
        <v>705624.68860831694</v>
      </c>
      <c r="AB145" s="53">
        <f t="shared" si="52"/>
        <v>4.4152618488569173</v>
      </c>
      <c r="AC145" s="29">
        <f t="shared" si="53"/>
        <v>2765091.8141436125</v>
      </c>
    </row>
    <row r="146" spans="1:29" x14ac:dyDescent="0.2">
      <c r="A146" s="27" t="s">
        <v>160</v>
      </c>
      <c r="B146" s="27" t="s">
        <v>63</v>
      </c>
      <c r="C146" s="51">
        <v>2534263696</v>
      </c>
      <c r="D146" s="51">
        <v>91882236</v>
      </c>
      <c r="E146" s="52">
        <f t="shared" si="36"/>
        <v>3.625598872959588E-2</v>
      </c>
      <c r="F146" s="45">
        <v>8750952</v>
      </c>
      <c r="G146" s="35">
        <f>Población!D18</f>
        <v>8679851</v>
      </c>
      <c r="H146" s="35">
        <f>'Fondos 2027'!$B$24</f>
        <v>13458005057.686762</v>
      </c>
      <c r="I146" s="30">
        <f t="shared" si="37"/>
        <v>317274.41708523454</v>
      </c>
      <c r="J146" s="30">
        <f t="shared" si="38"/>
        <v>314696.58003057155</v>
      </c>
      <c r="K146" s="53">
        <f t="shared" si="39"/>
        <v>1.9909200907860987</v>
      </c>
      <c r="L146" s="54">
        <v>1.99092</v>
      </c>
      <c r="M146" s="55">
        <f t="shared" si="40"/>
        <v>9.0786098638773183E-8</v>
      </c>
      <c r="N146" s="53">
        <f t="shared" si="41"/>
        <v>1.9684733097939282</v>
      </c>
      <c r="O146" s="23">
        <f t="shared" si="42"/>
        <v>267938126.51249501</v>
      </c>
      <c r="P146" s="23">
        <f t="shared" si="43"/>
        <v>264917237.59128085</v>
      </c>
      <c r="Q146" s="29">
        <f t="shared" si="44"/>
        <v>-3020888.9212141633</v>
      </c>
      <c r="R146" s="35">
        <f>Población!K18</f>
        <v>8739649</v>
      </c>
      <c r="S146" s="30">
        <f t="shared" si="45"/>
        <v>316864.61564462387</v>
      </c>
      <c r="T146" s="53">
        <f t="shared" si="46"/>
        <v>1.992716902074158</v>
      </c>
      <c r="U146" s="29">
        <f t="shared" si="47"/>
        <v>-3262703.8752382789</v>
      </c>
      <c r="V146" s="35">
        <f>Población!L18</f>
        <v>8761130</v>
      </c>
      <c r="W146" s="30">
        <f t="shared" si="48"/>
        <v>317643.43053852435</v>
      </c>
      <c r="X146" s="53">
        <f t="shared" si="49"/>
        <v>1.9969695624596484</v>
      </c>
      <c r="Y146" s="29">
        <f t="shared" si="50"/>
        <v>-3835027.1250038231</v>
      </c>
      <c r="Z146" s="35">
        <f>Población!M18</f>
        <v>8703341</v>
      </c>
      <c r="AA146" s="30">
        <f t="shared" si="51"/>
        <v>315548.23320582975</v>
      </c>
      <c r="AB146" s="53">
        <f t="shared" si="52"/>
        <v>1.9744605000935107</v>
      </c>
      <c r="AC146" s="29">
        <f t="shared" si="53"/>
        <v>-805756.3733311441</v>
      </c>
    </row>
    <row r="147" spans="1:29" x14ac:dyDescent="0.2">
      <c r="A147" s="27" t="s">
        <v>160</v>
      </c>
      <c r="B147" s="27" t="s">
        <v>64</v>
      </c>
      <c r="C147" s="51">
        <v>3059207706</v>
      </c>
      <c r="D147" s="51">
        <v>834987922</v>
      </c>
      <c r="E147" s="52">
        <f t="shared" si="36"/>
        <v>0.27294254011008956</v>
      </c>
      <c r="F147" s="45">
        <v>17753727</v>
      </c>
      <c r="G147" s="35">
        <f>Población!D19</f>
        <v>17612480</v>
      </c>
      <c r="H147" s="35">
        <f>'Fondos 2027'!$B$24</f>
        <v>13458005057.686762</v>
      </c>
      <c r="I147" s="30">
        <f t="shared" si="37"/>
        <v>4845747.3438010802</v>
      </c>
      <c r="J147" s="30">
        <f t="shared" si="38"/>
        <v>4807195.0288381502</v>
      </c>
      <c r="K147" s="53">
        <f t="shared" si="39"/>
        <v>30.407417749837617</v>
      </c>
      <c r="L147" s="54">
        <v>30.407418</v>
      </c>
      <c r="M147" s="55">
        <f t="shared" si="40"/>
        <v>-2.5016238325292761E-7</v>
      </c>
      <c r="N147" s="53">
        <f t="shared" si="41"/>
        <v>30.069710666454252</v>
      </c>
      <c r="O147" s="23">
        <f t="shared" si="42"/>
        <v>4092231818.6850886</v>
      </c>
      <c r="P147" s="23">
        <f t="shared" si="43"/>
        <v>4046783182.3231888</v>
      </c>
      <c r="Q147" s="29">
        <f t="shared" si="44"/>
        <v>-45448636.361899853</v>
      </c>
      <c r="R147" s="35">
        <f>Población!K19</f>
        <v>17788768</v>
      </c>
      <c r="S147" s="30">
        <f t="shared" si="45"/>
        <v>4855311.5233490774</v>
      </c>
      <c r="T147" s="53">
        <f t="shared" si="46"/>
        <v>30.534369758295515</v>
      </c>
      <c r="U147" s="29">
        <f t="shared" si="47"/>
        <v>-62533844.08099851</v>
      </c>
      <c r="V147" s="35">
        <f>Población!L19</f>
        <v>17789139</v>
      </c>
      <c r="W147" s="30">
        <f t="shared" si="48"/>
        <v>4855412.7850314584</v>
      </c>
      <c r="X147" s="53">
        <f t="shared" si="49"/>
        <v>30.525144274026761</v>
      </c>
      <c r="Y147" s="29">
        <f t="shared" si="50"/>
        <v>-61292277.941513531</v>
      </c>
      <c r="Z147" s="35">
        <f>Población!M19</f>
        <v>17729333</v>
      </c>
      <c r="AA147" s="30">
        <f t="shared" si="51"/>
        <v>4839089.1834776346</v>
      </c>
      <c r="AB147" s="53">
        <f t="shared" si="52"/>
        <v>30.279334325963291</v>
      </c>
      <c r="AC147" s="29">
        <f t="shared" si="53"/>
        <v>-28211162.69883443</v>
      </c>
    </row>
    <row r="148" spans="1:29" x14ac:dyDescent="0.2">
      <c r="A148" s="27" t="s">
        <v>160</v>
      </c>
      <c r="B148" s="27" t="s">
        <v>65</v>
      </c>
      <c r="C148" s="51">
        <v>924007246</v>
      </c>
      <c r="D148" s="51">
        <v>115022582</v>
      </c>
      <c r="E148" s="52">
        <f t="shared" si="36"/>
        <v>0.12448233766339967</v>
      </c>
      <c r="F148" s="45">
        <v>4945881</v>
      </c>
      <c r="G148" s="35">
        <f>Población!D20</f>
        <v>4889574</v>
      </c>
      <c r="H148" s="35">
        <f>'Fondos 2027'!$B$24</f>
        <v>13458005057.686762</v>
      </c>
      <c r="I148" s="30">
        <f t="shared" si="37"/>
        <v>615674.82868499286</v>
      </c>
      <c r="J148" s="30">
        <f t="shared" si="38"/>
        <v>608665.60169817973</v>
      </c>
      <c r="K148" s="53">
        <f t="shared" si="39"/>
        <v>3.8634044215766257</v>
      </c>
      <c r="L148" s="54">
        <v>3.8634040000000001</v>
      </c>
      <c r="M148" s="55">
        <f t="shared" si="40"/>
        <v>4.2157662560882159E-7</v>
      </c>
      <c r="N148" s="53">
        <f t="shared" si="41"/>
        <v>3.807292698942371</v>
      </c>
      <c r="O148" s="23">
        <f t="shared" si="42"/>
        <v>519937162.45467627</v>
      </c>
      <c r="P148" s="23">
        <f t="shared" si="43"/>
        <v>512385643.98460311</v>
      </c>
      <c r="Q148" s="29">
        <f t="shared" si="44"/>
        <v>-7551518.4700731635</v>
      </c>
      <c r="R148" s="35">
        <f>Población!K20</f>
        <v>4950874</v>
      </c>
      <c r="S148" s="30">
        <f t="shared" si="45"/>
        <v>616296.36899694614</v>
      </c>
      <c r="T148" s="53">
        <f t="shared" si="46"/>
        <v>3.8758009905546342</v>
      </c>
      <c r="U148" s="29">
        <f t="shared" si="47"/>
        <v>-9219849.3501131814</v>
      </c>
      <c r="V148" s="35">
        <f>Población!L20</f>
        <v>4940153</v>
      </c>
      <c r="W148" s="30">
        <f t="shared" si="48"/>
        <v>614961.79385485686</v>
      </c>
      <c r="X148" s="53">
        <f t="shared" si="49"/>
        <v>3.8661589264469076</v>
      </c>
      <c r="Y148" s="29">
        <f t="shared" si="50"/>
        <v>-7922219.8748299349</v>
      </c>
      <c r="Z148" s="35">
        <f>Población!M20</f>
        <v>4915546</v>
      </c>
      <c r="AA148" s="30">
        <f t="shared" si="51"/>
        <v>611898.6569719736</v>
      </c>
      <c r="AB148" s="53">
        <f t="shared" si="52"/>
        <v>3.8287957310898664</v>
      </c>
      <c r="AC148" s="29">
        <f t="shared" si="53"/>
        <v>-2893879.1539659388</v>
      </c>
    </row>
    <row r="149" spans="1:29" x14ac:dyDescent="0.2">
      <c r="A149" s="27" t="s">
        <v>160</v>
      </c>
      <c r="B149" s="27" t="s">
        <v>66</v>
      </c>
      <c r="C149" s="51">
        <v>353709556</v>
      </c>
      <c r="D149" s="51">
        <v>1965070</v>
      </c>
      <c r="E149" s="52">
        <f t="shared" si="36"/>
        <v>5.5556033662828158E-3</v>
      </c>
      <c r="F149" s="45">
        <v>1988503</v>
      </c>
      <c r="G149" s="35">
        <f>Población!D21</f>
        <v>1997217</v>
      </c>
      <c r="H149" s="35">
        <f>'Fondos 2027'!$B$24</f>
        <v>13458005057.686762</v>
      </c>
      <c r="I149" s="30">
        <f t="shared" si="37"/>
        <v>11047.333960663478</v>
      </c>
      <c r="J149" s="30">
        <f t="shared" si="38"/>
        <v>11095.745488397266</v>
      </c>
      <c r="K149" s="53">
        <f t="shared" si="39"/>
        <v>6.9322825754336778E-2</v>
      </c>
      <c r="L149" s="54">
        <v>6.9322999999999996E-2</v>
      </c>
      <c r="M149" s="55">
        <f t="shared" si="40"/>
        <v>-1.7424566321755375E-7</v>
      </c>
      <c r="N149" s="53">
        <f t="shared" si="41"/>
        <v>6.9405517035026482E-2</v>
      </c>
      <c r="O149" s="23">
        <f t="shared" si="42"/>
        <v>9329469.3961500246</v>
      </c>
      <c r="P149" s="23">
        <f t="shared" si="43"/>
        <v>9340597.99288751</v>
      </c>
      <c r="Q149" s="29">
        <f t="shared" si="44"/>
        <v>11128.596737485379</v>
      </c>
      <c r="R149" s="35">
        <f>Población!K21</f>
        <v>1984308</v>
      </c>
      <c r="S149" s="30">
        <f t="shared" si="45"/>
        <v>11024.028204541921</v>
      </c>
      <c r="T149" s="53">
        <f t="shared" si="46"/>
        <v>6.9328559414695373E-2</v>
      </c>
      <c r="U149" s="29">
        <f t="shared" si="47"/>
        <v>10356.960436435947</v>
      </c>
      <c r="V149" s="35">
        <f>Población!L21</f>
        <v>1984462</v>
      </c>
      <c r="W149" s="30">
        <f t="shared" si="48"/>
        <v>11024.883767460329</v>
      </c>
      <c r="X149" s="53">
        <f t="shared" si="49"/>
        <v>6.9311546207481076E-2</v>
      </c>
      <c r="Y149" s="29">
        <f t="shared" si="50"/>
        <v>12646.598723810841</v>
      </c>
      <c r="Z149" s="35">
        <f>Población!M21</f>
        <v>1994177</v>
      </c>
      <c r="AA149" s="30">
        <f t="shared" si="51"/>
        <v>11078.856454163766</v>
      </c>
      <c r="AB149" s="53">
        <f t="shared" si="52"/>
        <v>6.9323045268593425E-2</v>
      </c>
      <c r="AC149" s="29">
        <f t="shared" si="53"/>
        <v>11099.054497724361</v>
      </c>
    </row>
    <row r="150" spans="1:29" x14ac:dyDescent="0.2">
      <c r="A150" s="27" t="s">
        <v>160</v>
      </c>
      <c r="B150" s="27" t="s">
        <v>67</v>
      </c>
      <c r="C150" s="51">
        <v>224668851</v>
      </c>
      <c r="D150" s="51">
        <v>3024897</v>
      </c>
      <c r="E150" s="52">
        <f t="shared" si="36"/>
        <v>1.3463802331904034E-2</v>
      </c>
      <c r="F150" s="45">
        <v>1279298</v>
      </c>
      <c r="G150" s="35">
        <f>Población!D22</f>
        <v>1299075</v>
      </c>
      <c r="H150" s="35">
        <f>'Fondos 2027'!$B$24</f>
        <v>13458005057.686762</v>
      </c>
      <c r="I150" s="30">
        <f t="shared" si="37"/>
        <v>17224.215395600168</v>
      </c>
      <c r="J150" s="30">
        <f t="shared" si="38"/>
        <v>17490.489014318235</v>
      </c>
      <c r="K150" s="53">
        <f t="shared" si="39"/>
        <v>0.10808320694169042</v>
      </c>
      <c r="L150" s="54">
        <v>0.108083</v>
      </c>
      <c r="M150" s="55">
        <f t="shared" si="40"/>
        <v>2.0694169042267951E-7</v>
      </c>
      <c r="N150" s="53">
        <f t="shared" si="41"/>
        <v>0.10940557662426663</v>
      </c>
      <c r="O150" s="23">
        <f t="shared" si="42"/>
        <v>14545843.456722746</v>
      </c>
      <c r="P150" s="23">
        <f t="shared" si="43"/>
        <v>14723808.035485169</v>
      </c>
      <c r="Q150" s="29">
        <f t="shared" si="44"/>
        <v>177964.57876242325</v>
      </c>
      <c r="R150" s="35">
        <f>Población!K22</f>
        <v>1245276</v>
      </c>
      <c r="S150" s="30">
        <f t="shared" si="45"/>
        <v>16766.149912664128</v>
      </c>
      <c r="T150" s="53">
        <f t="shared" si="46"/>
        <v>0.10543995341892583</v>
      </c>
      <c r="U150" s="29">
        <f t="shared" si="47"/>
        <v>533693.77154356486</v>
      </c>
      <c r="V150" s="35">
        <f>Población!L22</f>
        <v>1257616</v>
      </c>
      <c r="W150" s="30">
        <f t="shared" si="48"/>
        <v>16932.293233439825</v>
      </c>
      <c r="X150" s="53">
        <f t="shared" si="49"/>
        <v>0.10645041250339933</v>
      </c>
      <c r="Y150" s="29">
        <f t="shared" si="50"/>
        <v>397706.1368492656</v>
      </c>
      <c r="Z150" s="35">
        <f>Población!M22</f>
        <v>1301047</v>
      </c>
      <c r="AA150" s="30">
        <f t="shared" si="51"/>
        <v>17517.039632516749</v>
      </c>
      <c r="AB150" s="53">
        <f t="shared" si="52"/>
        <v>0.10960829183415591</v>
      </c>
      <c r="AC150" s="29">
        <f t="shared" si="53"/>
        <v>-27281.423199599463</v>
      </c>
    </row>
    <row r="151" spans="1:29" x14ac:dyDescent="0.2">
      <c r="A151" s="27" t="s">
        <v>160</v>
      </c>
      <c r="B151" s="27" t="s">
        <v>68</v>
      </c>
      <c r="C151" s="51">
        <v>2704699152</v>
      </c>
      <c r="D151" s="51">
        <v>26301340</v>
      </c>
      <c r="E151" s="52">
        <f t="shared" si="36"/>
        <v>9.724312584100666E-3</v>
      </c>
      <c r="F151" s="45">
        <v>6234433</v>
      </c>
      <c r="G151" s="35">
        <f>Población!D23</f>
        <v>6291899</v>
      </c>
      <c r="H151" s="35">
        <f>'Fondos 2027'!$B$24</f>
        <v>13458005057.686762</v>
      </c>
      <c r="I151" s="30">
        <f t="shared" si="37"/>
        <v>60625.575276632466</v>
      </c>
      <c r="J151" s="30">
        <f t="shared" si="38"/>
        <v>61184.392623590393</v>
      </c>
      <c r="K151" s="53">
        <f t="shared" si="39"/>
        <v>0.38042990337064209</v>
      </c>
      <c r="L151" s="54">
        <v>0.38042999999999999</v>
      </c>
      <c r="M151" s="55">
        <f t="shared" si="40"/>
        <v>-9.662935790410998E-8</v>
      </c>
      <c r="N151" s="53">
        <f t="shared" si="41"/>
        <v>0.38271735855467481</v>
      </c>
      <c r="O151" s="23">
        <f t="shared" si="42"/>
        <v>51198275.636573873</v>
      </c>
      <c r="P151" s="23">
        <f t="shared" si="43"/>
        <v>51506121.470933311</v>
      </c>
      <c r="Q151" s="29">
        <f t="shared" si="44"/>
        <v>307845.83435943723</v>
      </c>
      <c r="R151" s="35">
        <f>Población!K23</f>
        <v>6152311</v>
      </c>
      <c r="S151" s="30">
        <f t="shared" si="45"/>
        <v>59826.995278600953</v>
      </c>
      <c r="T151" s="53">
        <f t="shared" si="46"/>
        <v>0.37624354000349142</v>
      </c>
      <c r="U151" s="29">
        <f t="shared" si="47"/>
        <v>871246.82804372534</v>
      </c>
      <c r="V151" s="35">
        <f>Población!L23</f>
        <v>6310265</v>
      </c>
      <c r="W151" s="30">
        <f t="shared" si="48"/>
        <v>61362.989348509989</v>
      </c>
      <c r="X151" s="53">
        <f t="shared" si="49"/>
        <v>0.38577854981215548</v>
      </c>
      <c r="Y151" s="29">
        <f t="shared" si="50"/>
        <v>-411975.27425721311</v>
      </c>
      <c r="Z151" s="35">
        <f>Población!M23</f>
        <v>6282446</v>
      </c>
      <c r="AA151" s="30">
        <f t="shared" si="51"/>
        <v>61092.468696732896</v>
      </c>
      <c r="AB151" s="53">
        <f t="shared" si="52"/>
        <v>0.38227013686435646</v>
      </c>
      <c r="AC151" s="29">
        <f t="shared" si="53"/>
        <v>60187.117702116528</v>
      </c>
    </row>
    <row r="152" spans="1:29" x14ac:dyDescent="0.2">
      <c r="A152" s="27" t="s">
        <v>160</v>
      </c>
      <c r="B152" s="27" t="s">
        <v>69</v>
      </c>
      <c r="C152" s="51">
        <v>632287912</v>
      </c>
      <c r="D152" s="51">
        <v>131933855</v>
      </c>
      <c r="E152" s="52">
        <f t="shared" si="36"/>
        <v>0.20866104269284211</v>
      </c>
      <c r="F152" s="45">
        <v>4178688</v>
      </c>
      <c r="G152" s="35">
        <f>Población!D24</f>
        <v>4169180</v>
      </c>
      <c r="H152" s="35">
        <f>'Fondos 2027'!$B$24</f>
        <v>13458005057.686762</v>
      </c>
      <c r="I152" s="30">
        <f t="shared" si="37"/>
        <v>871929.39516806696</v>
      </c>
      <c r="J152" s="30">
        <f t="shared" si="38"/>
        <v>869945.44597414345</v>
      </c>
      <c r="K152" s="53">
        <f t="shared" si="39"/>
        <v>5.4714205025888427</v>
      </c>
      <c r="L152" s="54">
        <v>5.4714210000000003</v>
      </c>
      <c r="M152" s="55">
        <f t="shared" si="40"/>
        <v>-4.974111575961615E-7</v>
      </c>
      <c r="N152" s="53">
        <f t="shared" si="41"/>
        <v>5.4416364842939116</v>
      </c>
      <c r="O152" s="23">
        <f t="shared" si="42"/>
        <v>736344047.96571684</v>
      </c>
      <c r="P152" s="23">
        <f t="shared" si="43"/>
        <v>732335713.27720273</v>
      </c>
      <c r="Q152" s="29">
        <f t="shared" si="44"/>
        <v>-4008334.6885141134</v>
      </c>
      <c r="R152" s="35">
        <f>Población!K24</f>
        <v>4232451</v>
      </c>
      <c r="S152" s="30">
        <f t="shared" si="45"/>
        <v>883147.63880636229</v>
      </c>
      <c r="T152" s="53">
        <f t="shared" si="46"/>
        <v>5.5539910106279509</v>
      </c>
      <c r="U152" s="29">
        <f t="shared" si="47"/>
        <v>-15120677.836575015</v>
      </c>
      <c r="V152" s="35">
        <f>Población!L24</f>
        <v>4190375</v>
      </c>
      <c r="W152" s="30">
        <f t="shared" si="48"/>
        <v>874368.0167740183</v>
      </c>
      <c r="X152" s="53">
        <f t="shared" si="49"/>
        <v>5.4970011906925098</v>
      </c>
      <c r="Y152" s="29">
        <f t="shared" si="50"/>
        <v>-7450984.9872967787</v>
      </c>
      <c r="Z152" s="35">
        <f>Población!M24</f>
        <v>4168743</v>
      </c>
      <c r="AA152" s="30">
        <f t="shared" si="51"/>
        <v>869854.26109848672</v>
      </c>
      <c r="AB152" s="53">
        <f t="shared" si="52"/>
        <v>5.4428854249254561</v>
      </c>
      <c r="AC152" s="29">
        <f t="shared" si="53"/>
        <v>-168082.49336077328</v>
      </c>
    </row>
    <row r="153" spans="1:29" x14ac:dyDescent="0.2">
      <c r="A153" s="27" t="s">
        <v>160</v>
      </c>
      <c r="B153" s="27" t="s">
        <v>70</v>
      </c>
      <c r="C153" s="51">
        <v>1191656203</v>
      </c>
      <c r="D153" s="51">
        <v>100344282</v>
      </c>
      <c r="E153" s="52">
        <f t="shared" si="36"/>
        <v>8.4205731273317597E-2</v>
      </c>
      <c r="F153" s="45">
        <v>6638706</v>
      </c>
      <c r="G153" s="35">
        <f>Población!D25</f>
        <v>6851933</v>
      </c>
      <c r="H153" s="35">
        <f>'Fondos 2027'!$B$24</f>
        <v>13458005057.686762</v>
      </c>
      <c r="I153" s="30">
        <f t="shared" si="37"/>
        <v>559017.09343856119</v>
      </c>
      <c r="J153" s="30">
        <f t="shared" si="38"/>
        <v>576972.02890077687</v>
      </c>
      <c r="K153" s="53">
        <f t="shared" si="39"/>
        <v>3.5078730035793884</v>
      </c>
      <c r="L153" s="54">
        <v>3.507873</v>
      </c>
      <c r="M153" s="55">
        <f t="shared" si="40"/>
        <v>3.5793883412793548E-9</v>
      </c>
      <c r="N153" s="53">
        <f t="shared" si="41"/>
        <v>3.6090447480506334</v>
      </c>
      <c r="O153" s="23">
        <f t="shared" si="42"/>
        <v>472089726.23894262</v>
      </c>
      <c r="P153" s="23">
        <f t="shared" si="43"/>
        <v>485705424.72683269</v>
      </c>
      <c r="Q153" s="29">
        <f t="shared" si="44"/>
        <v>13615698.487890065</v>
      </c>
      <c r="R153" s="35">
        <f>Población!K25</f>
        <v>6629599</v>
      </c>
      <c r="S153" s="30">
        <f t="shared" si="45"/>
        <v>558250.23184385512</v>
      </c>
      <c r="T153" s="53">
        <f t="shared" si="46"/>
        <v>3.5107570162700235</v>
      </c>
      <c r="U153" s="29">
        <f t="shared" si="47"/>
        <v>13227567.914120078</v>
      </c>
      <c r="V153" s="35">
        <f>Población!L25</f>
        <v>6624540</v>
      </c>
      <c r="W153" s="30">
        <f t="shared" si="48"/>
        <v>557824.23504934332</v>
      </c>
      <c r="X153" s="53">
        <f t="shared" si="49"/>
        <v>3.5069449310105361</v>
      </c>
      <c r="Y153" s="29">
        <f t="shared" si="50"/>
        <v>13740598.541145226</v>
      </c>
      <c r="Z153" s="35">
        <f>Población!M25</f>
        <v>6703850</v>
      </c>
      <c r="AA153" s="30">
        <f t="shared" si="51"/>
        <v>564502.59159663017</v>
      </c>
      <c r="AB153" s="53">
        <f t="shared" si="52"/>
        <v>3.5322272540848867</v>
      </c>
      <c r="AC153" s="29">
        <f t="shared" si="53"/>
        <v>10338102.22309841</v>
      </c>
    </row>
    <row r="154" spans="1:29" x14ac:dyDescent="0.2">
      <c r="A154" s="27" t="s">
        <v>160</v>
      </c>
      <c r="B154" s="27" t="s">
        <v>71</v>
      </c>
      <c r="C154" s="51">
        <v>803693959</v>
      </c>
      <c r="D154" s="51">
        <v>227505951</v>
      </c>
      <c r="E154" s="52">
        <f t="shared" si="36"/>
        <v>0.283075352815984</v>
      </c>
      <c r="F154" s="45">
        <v>2535155</v>
      </c>
      <c r="G154" s="35">
        <f>Población!D26</f>
        <v>2606836</v>
      </c>
      <c r="H154" s="35">
        <f>'Fondos 2027'!$B$24</f>
        <v>13458005057.686762</v>
      </c>
      <c r="I154" s="30">
        <f t="shared" si="37"/>
        <v>717639.89606820594</v>
      </c>
      <c r="J154" s="30">
        <f t="shared" si="38"/>
        <v>737931.02043340844</v>
      </c>
      <c r="K154" s="53">
        <f t="shared" si="39"/>
        <v>4.5032426508186045</v>
      </c>
      <c r="L154" s="54">
        <v>4.5032430000000003</v>
      </c>
      <c r="M154" s="55">
        <f t="shared" si="40"/>
        <v>-3.4918139579787066E-7</v>
      </c>
      <c r="N154" s="53">
        <f t="shared" si="41"/>
        <v>4.6158668710382811</v>
      </c>
      <c r="O154" s="23">
        <f t="shared" si="42"/>
        <v>606046623.70707512</v>
      </c>
      <c r="P154" s="23">
        <f t="shared" si="43"/>
        <v>621203596.96041954</v>
      </c>
      <c r="Q154" s="29">
        <f t="shared" si="44"/>
        <v>15156973.253344417</v>
      </c>
      <c r="R154" s="35">
        <f>Población!K26</f>
        <v>2528745</v>
      </c>
      <c r="S154" s="30">
        <f t="shared" si="45"/>
        <v>715825.38305665553</v>
      </c>
      <c r="T154" s="53">
        <f t="shared" si="46"/>
        <v>4.5017249302159748</v>
      </c>
      <c r="U154" s="29">
        <f t="shared" si="47"/>
        <v>15361228.168807816</v>
      </c>
      <c r="V154" s="35">
        <f>Población!L26</f>
        <v>2498744</v>
      </c>
      <c r="W154" s="30">
        <f t="shared" si="48"/>
        <v>707332.83939682308</v>
      </c>
      <c r="X154" s="53">
        <f t="shared" si="49"/>
        <v>4.4468797872156882</v>
      </c>
      <c r="Y154" s="29">
        <f t="shared" si="50"/>
        <v>22742290.287681915</v>
      </c>
      <c r="Z154" s="35">
        <f>Población!M26</f>
        <v>2567272</v>
      </c>
      <c r="AA154" s="30">
        <f t="shared" si="51"/>
        <v>726731.42717459693</v>
      </c>
      <c r="AB154" s="53">
        <f t="shared" si="52"/>
        <v>4.5473317424561515</v>
      </c>
      <c r="AC154" s="29">
        <f t="shared" si="53"/>
        <v>9223461.0708751306</v>
      </c>
    </row>
    <row r="155" spans="1:29" x14ac:dyDescent="0.2">
      <c r="A155" s="27" t="s">
        <v>160</v>
      </c>
      <c r="B155" s="27" t="s">
        <v>72</v>
      </c>
      <c r="C155" s="51">
        <v>515654002</v>
      </c>
      <c r="D155" s="51">
        <v>263173410</v>
      </c>
      <c r="E155" s="52">
        <f t="shared" si="36"/>
        <v>0.51036821003863753</v>
      </c>
      <c r="F155" s="45">
        <v>1975372</v>
      </c>
      <c r="G155" s="35">
        <f>Población!D27</f>
        <v>2100792</v>
      </c>
      <c r="H155" s="35">
        <f>'Fondos 2027'!$B$24</f>
        <v>13458005057.686762</v>
      </c>
      <c r="I155" s="30">
        <f t="shared" si="37"/>
        <v>1008167.0718004435</v>
      </c>
      <c r="J155" s="30">
        <f t="shared" si="38"/>
        <v>1072177.4527034895</v>
      </c>
      <c r="K155" s="53">
        <f t="shared" si="39"/>
        <v>6.3263218527237042</v>
      </c>
      <c r="L155" s="54">
        <v>6.3263220000000002</v>
      </c>
      <c r="M155" s="55">
        <f t="shared" si="40"/>
        <v>-1.4727629604749382E-7</v>
      </c>
      <c r="N155" s="53">
        <f t="shared" si="41"/>
        <v>6.7066273767723468</v>
      </c>
      <c r="O155" s="23">
        <f t="shared" si="42"/>
        <v>851396714.90509892</v>
      </c>
      <c r="P155" s="23">
        <f t="shared" si="43"/>
        <v>902578251.56622744</v>
      </c>
      <c r="Q155" s="29">
        <f t="shared" si="44"/>
        <v>51181536.661128521</v>
      </c>
      <c r="R155" s="35">
        <f>Población!K27</f>
        <v>1905221</v>
      </c>
      <c r="S155" s="30">
        <f t="shared" si="45"/>
        <v>972364.23149802303</v>
      </c>
      <c r="T155" s="53">
        <f t="shared" si="46"/>
        <v>6.1150615859601274</v>
      </c>
      <c r="U155" s="29">
        <f t="shared" si="47"/>
        <v>79612954.047053173</v>
      </c>
      <c r="V155" s="35">
        <f>Población!L27</f>
        <v>1920249</v>
      </c>
      <c r="W155" s="30">
        <f t="shared" si="48"/>
        <v>980034.04495848366</v>
      </c>
      <c r="X155" s="53">
        <f t="shared" si="49"/>
        <v>6.1613053184770408</v>
      </c>
      <c r="Y155" s="29">
        <f t="shared" si="50"/>
        <v>73389470.186063826</v>
      </c>
      <c r="Z155" s="35">
        <f>Población!M27</f>
        <v>2025213</v>
      </c>
      <c r="AA155" s="30">
        <f t="shared" si="51"/>
        <v>1033604.3337569792</v>
      </c>
      <c r="AB155" s="53">
        <f t="shared" si="52"/>
        <v>6.4675086562675173</v>
      </c>
      <c r="AC155" s="29">
        <f t="shared" si="53"/>
        <v>32180609.499415826</v>
      </c>
    </row>
    <row r="156" spans="1:29" x14ac:dyDescent="0.2">
      <c r="A156" s="27" t="s">
        <v>160</v>
      </c>
      <c r="B156" s="27" t="s">
        <v>73</v>
      </c>
      <c r="C156" s="51">
        <v>780605507</v>
      </c>
      <c r="D156" s="51">
        <v>32269789</v>
      </c>
      <c r="E156" s="52">
        <f t="shared" si="36"/>
        <v>4.133943292818712E-2</v>
      </c>
      <c r="F156" s="45">
        <v>2951151</v>
      </c>
      <c r="G156" s="35">
        <f>Población!D28</f>
        <v>2889524</v>
      </c>
      <c r="H156" s="35">
        <f>'Fondos 2027'!$B$24</f>
        <v>13458005057.686762</v>
      </c>
      <c r="I156" s="30">
        <f t="shared" si="37"/>
        <v>121998.90882545235</v>
      </c>
      <c r="J156" s="30">
        <f t="shared" si="38"/>
        <v>119451.28359238696</v>
      </c>
      <c r="K156" s="53">
        <f t="shared" si="39"/>
        <v>0.76555204439733671</v>
      </c>
      <c r="L156" s="54">
        <v>0.76555200000000001</v>
      </c>
      <c r="M156" s="55">
        <f t="shared" si="40"/>
        <v>4.4397336695922718E-8</v>
      </c>
      <c r="N156" s="53">
        <f t="shared" si="41"/>
        <v>0.74718531593001891</v>
      </c>
      <c r="O156" s="23">
        <f t="shared" si="42"/>
        <v>103028032.85421799</v>
      </c>
      <c r="P156" s="23">
        <f t="shared" si="43"/>
        <v>100556237.60815476</v>
      </c>
      <c r="Q156" s="29">
        <f t="shared" si="44"/>
        <v>-2471795.2460632324</v>
      </c>
      <c r="R156" s="35">
        <f>Población!K28</f>
        <v>2885526</v>
      </c>
      <c r="S156" s="30">
        <f t="shared" si="45"/>
        <v>119286.00853954007</v>
      </c>
      <c r="T156" s="53">
        <f t="shared" si="46"/>
        <v>0.75017289296920864</v>
      </c>
      <c r="U156" s="29">
        <f t="shared" si="47"/>
        <v>-402068.26903644175</v>
      </c>
      <c r="V156" s="35">
        <f>Población!L28</f>
        <v>2924773</v>
      </c>
      <c r="W156" s="30">
        <f t="shared" si="48"/>
        <v>120908.45726367262</v>
      </c>
      <c r="X156" s="53">
        <f t="shared" si="49"/>
        <v>0.76013065527644808</v>
      </c>
      <c r="Y156" s="29">
        <f t="shared" si="50"/>
        <v>-1742184.4239771513</v>
      </c>
      <c r="Z156" s="35">
        <f>Población!M28</f>
        <v>2936529</v>
      </c>
      <c r="AA156" s="30">
        <f t="shared" si="51"/>
        <v>121394.44363717639</v>
      </c>
      <c r="AB156" s="53">
        <f t="shared" si="52"/>
        <v>0.75959396589644601</v>
      </c>
      <c r="AC156" s="29">
        <f t="shared" si="53"/>
        <v>-1669956.7400724057</v>
      </c>
    </row>
    <row r="157" spans="1:29" x14ac:dyDescent="0.2">
      <c r="A157" s="27" t="s">
        <v>160</v>
      </c>
      <c r="B157" s="27" t="s">
        <v>74</v>
      </c>
      <c r="C157" s="51">
        <v>711064348</v>
      </c>
      <c r="D157" s="51">
        <v>277114874</v>
      </c>
      <c r="E157" s="52">
        <f t="shared" si="36"/>
        <v>0.38971841968935278</v>
      </c>
      <c r="F157" s="45">
        <v>3085699</v>
      </c>
      <c r="G157" s="35">
        <f>Población!D29</f>
        <v>3102935</v>
      </c>
      <c r="H157" s="35">
        <f>'Fondos 2027'!$B$24</f>
        <v>13458005057.686762</v>
      </c>
      <c r="I157" s="30">
        <f t="shared" si="37"/>
        <v>1202553.7379170163</v>
      </c>
      <c r="J157" s="30">
        <f t="shared" si="38"/>
        <v>1209270.9245987819</v>
      </c>
      <c r="K157" s="53">
        <f t="shared" si="39"/>
        <v>7.5461123498832841</v>
      </c>
      <c r="L157" s="54">
        <v>7.5461119999999999</v>
      </c>
      <c r="M157" s="55">
        <f t="shared" si="40"/>
        <v>3.4988328412310921E-7</v>
      </c>
      <c r="N157" s="53">
        <f t="shared" si="41"/>
        <v>7.5641671706482461</v>
      </c>
      <c r="O157" s="23">
        <f t="shared" si="42"/>
        <v>1015556181.7060177</v>
      </c>
      <c r="P157" s="23">
        <f t="shared" si="43"/>
        <v>1017986000.3977226</v>
      </c>
      <c r="Q157" s="29">
        <f t="shared" si="44"/>
        <v>2429818.6917048693</v>
      </c>
      <c r="R157" s="35">
        <f>Población!K29</f>
        <v>3144666</v>
      </c>
      <c r="S157" s="30">
        <f t="shared" si="45"/>
        <v>1225534.2639708382</v>
      </c>
      <c r="T157" s="53">
        <f t="shared" si="46"/>
        <v>7.7072122329514423</v>
      </c>
      <c r="U157" s="29">
        <f t="shared" si="47"/>
        <v>-19251011.719535328</v>
      </c>
      <c r="V157" s="35">
        <f>Población!L29</f>
        <v>3135869</v>
      </c>
      <c r="W157" s="30">
        <f t="shared" si="48"/>
        <v>1222105.9110328311</v>
      </c>
      <c r="X157" s="53">
        <f t="shared" si="49"/>
        <v>7.6831694655136076</v>
      </c>
      <c r="Y157" s="29">
        <f t="shared" si="50"/>
        <v>-16015334.861743666</v>
      </c>
      <c r="Z157" s="35">
        <f>Población!M29</f>
        <v>3105420</v>
      </c>
      <c r="AA157" s="30">
        <f t="shared" si="51"/>
        <v>1210239.3748717098</v>
      </c>
      <c r="AB157" s="53">
        <f t="shared" si="52"/>
        <v>7.5727562061276243</v>
      </c>
      <c r="AC157" s="29">
        <f t="shared" si="53"/>
        <v>-1155912.8292212395</v>
      </c>
    </row>
    <row r="158" spans="1:29" x14ac:dyDescent="0.2">
      <c r="A158" s="27" t="s">
        <v>160</v>
      </c>
      <c r="B158" s="27" t="s">
        <v>75</v>
      </c>
      <c r="C158" s="51">
        <v>1106799464</v>
      </c>
      <c r="D158" s="51">
        <v>100508531</v>
      </c>
      <c r="E158" s="52">
        <f t="shared" si="36"/>
        <v>9.0810064758036421E-2</v>
      </c>
      <c r="F158" s="45">
        <v>3035624</v>
      </c>
      <c r="G158" s="35">
        <f>Población!D30</f>
        <v>3049889</v>
      </c>
      <c r="H158" s="35">
        <f>'Fondos 2027'!$B$24</f>
        <v>13458005057.686762</v>
      </c>
      <c r="I158" s="30">
        <f t="shared" si="37"/>
        <v>275665.21202104958</v>
      </c>
      <c r="J158" s="30">
        <f t="shared" si="38"/>
        <v>276960.61759482295</v>
      </c>
      <c r="K158" s="53">
        <f t="shared" si="39"/>
        <v>1.7298192964485908</v>
      </c>
      <c r="L158" s="54">
        <v>1.729819</v>
      </c>
      <c r="M158" s="55">
        <f t="shared" si="40"/>
        <v>2.9644859078636898E-7</v>
      </c>
      <c r="N158" s="53">
        <f t="shared" si="41"/>
        <v>1.7324293246100371</v>
      </c>
      <c r="O158" s="23">
        <f t="shared" si="42"/>
        <v>232799168.40489292</v>
      </c>
      <c r="P158" s="23">
        <f t="shared" si="43"/>
        <v>233150426.12686738</v>
      </c>
      <c r="Q158" s="29">
        <f t="shared" si="44"/>
        <v>351257.72197446227</v>
      </c>
      <c r="R158" s="35">
        <f>Población!K30</f>
        <v>3042242</v>
      </c>
      <c r="S158" s="30">
        <f t="shared" si="45"/>
        <v>276266.19302961824</v>
      </c>
      <c r="T158" s="53">
        <f t="shared" si="46"/>
        <v>1.7373991450633681</v>
      </c>
      <c r="U158" s="29">
        <f t="shared" si="47"/>
        <v>-668838.6879672443</v>
      </c>
      <c r="V158" s="35">
        <f>Población!L30</f>
        <v>3032476</v>
      </c>
      <c r="W158" s="30">
        <f t="shared" si="48"/>
        <v>275379.34193719126</v>
      </c>
      <c r="X158" s="53">
        <f t="shared" si="49"/>
        <v>1.7312625135876785</v>
      </c>
      <c r="Y158" s="29">
        <f t="shared" si="50"/>
        <v>157029.48640266765</v>
      </c>
      <c r="Z158" s="35">
        <f>Población!M30</f>
        <v>3057789</v>
      </c>
      <c r="AA158" s="30">
        <f t="shared" si="51"/>
        <v>277678.01710641145</v>
      </c>
      <c r="AB158" s="53">
        <f t="shared" si="52"/>
        <v>1.7374975323131376</v>
      </c>
      <c r="AC158" s="29">
        <f t="shared" si="53"/>
        <v>-682079.64901734469</v>
      </c>
    </row>
    <row r="159" spans="1:29" x14ac:dyDescent="0.2">
      <c r="A159" s="27" t="s">
        <v>160</v>
      </c>
      <c r="B159" s="27" t="s">
        <v>76</v>
      </c>
      <c r="C159" s="51">
        <v>695544144</v>
      </c>
      <c r="D159" s="51">
        <v>29737675</v>
      </c>
      <c r="E159" s="52">
        <f t="shared" si="36"/>
        <v>4.2754547294412991E-2</v>
      </c>
      <c r="F159" s="45">
        <v>2578825</v>
      </c>
      <c r="G159" s="35">
        <f>Población!D31</f>
        <v>2527009</v>
      </c>
      <c r="H159" s="35">
        <f>'Fondos 2027'!$B$24</f>
        <v>13458005057.686762</v>
      </c>
      <c r="I159" s="30">
        <f t="shared" si="37"/>
        <v>110256.49542651458</v>
      </c>
      <c r="J159" s="30">
        <f t="shared" si="38"/>
        <v>108041.12580390727</v>
      </c>
      <c r="K159" s="53">
        <f t="shared" si="39"/>
        <v>0.69186754450908805</v>
      </c>
      <c r="L159" s="54">
        <v>0.69186800000000004</v>
      </c>
      <c r="M159" s="55">
        <f t="shared" si="40"/>
        <v>-4.5549091198804348E-7</v>
      </c>
      <c r="N159" s="53">
        <f t="shared" si="41"/>
        <v>0.6758131037980103</v>
      </c>
      <c r="O159" s="23">
        <f t="shared" si="42"/>
        <v>93111569.132526278</v>
      </c>
      <c r="P159" s="23">
        <f t="shared" si="43"/>
        <v>90950961.68964611</v>
      </c>
      <c r="Q159" s="29">
        <f t="shared" si="44"/>
        <v>-2160607.4428801686</v>
      </c>
      <c r="R159" s="35">
        <f>Población!K31</f>
        <v>2554147</v>
      </c>
      <c r="S159" s="30">
        <f t="shared" si="45"/>
        <v>109201.39870838306</v>
      </c>
      <c r="T159" s="53">
        <f t="shared" si="46"/>
        <v>0.68675220328289788</v>
      </c>
      <c r="U159" s="29">
        <f t="shared" si="47"/>
        <v>-1472184.5619415573</v>
      </c>
      <c r="V159" s="35">
        <f>Población!L31</f>
        <v>2567516</v>
      </c>
      <c r="W159" s="30">
        <f t="shared" si="48"/>
        <v>109772.98425116207</v>
      </c>
      <c r="X159" s="53">
        <f t="shared" si="49"/>
        <v>0.69012385352432604</v>
      </c>
      <c r="Y159" s="29">
        <f t="shared" si="50"/>
        <v>-1925941.421960467</v>
      </c>
      <c r="Z159" s="35">
        <f>Población!M31</f>
        <v>2553100</v>
      </c>
      <c r="AA159" s="30">
        <f t="shared" si="51"/>
        <v>109156.63469736581</v>
      </c>
      <c r="AB159" s="53">
        <f t="shared" si="52"/>
        <v>0.68301907871086043</v>
      </c>
      <c r="AC159" s="29">
        <f t="shared" si="53"/>
        <v>-969780.46822701022</v>
      </c>
    </row>
    <row r="160" spans="1:29" x14ac:dyDescent="0.2">
      <c r="A160" s="27" t="s">
        <v>160</v>
      </c>
      <c r="B160" s="27" t="s">
        <v>77</v>
      </c>
      <c r="C160" s="51">
        <v>1007948890</v>
      </c>
      <c r="D160" s="51">
        <v>25985781</v>
      </c>
      <c r="E160" s="52">
        <f t="shared" si="36"/>
        <v>2.5780851844581128E-2</v>
      </c>
      <c r="F160" s="45">
        <v>3602540</v>
      </c>
      <c r="G160" s="35">
        <f>Población!D32</f>
        <v>3620715</v>
      </c>
      <c r="H160" s="35">
        <f>'Fondos 2027'!$B$24</f>
        <v>13458005057.686762</v>
      </c>
      <c r="I160" s="30">
        <f t="shared" si="37"/>
        <v>92876.55000417729</v>
      </c>
      <c r="J160" s="30">
        <f t="shared" si="38"/>
        <v>93345.116986452558</v>
      </c>
      <c r="K160" s="53">
        <f t="shared" si="39"/>
        <v>0.58280712029971515</v>
      </c>
      <c r="L160" s="54">
        <v>0.58280699999999996</v>
      </c>
      <c r="M160" s="55">
        <f t="shared" si="40"/>
        <v>1.2029971518945359E-7</v>
      </c>
      <c r="N160" s="53">
        <f t="shared" si="41"/>
        <v>0.58388741107251096</v>
      </c>
      <c r="O160" s="23">
        <f t="shared" si="42"/>
        <v>78434211.726494238</v>
      </c>
      <c r="P160" s="23">
        <f t="shared" si="43"/>
        <v>78579597.313334823</v>
      </c>
      <c r="Q160" s="29">
        <f t="shared" si="44"/>
        <v>145385.58684058487</v>
      </c>
      <c r="R160" s="35">
        <f>Población!K32</f>
        <v>3569939</v>
      </c>
      <c r="S160" s="30">
        <f t="shared" si="45"/>
        <v>92036.0684531921</v>
      </c>
      <c r="T160" s="53">
        <f t="shared" si="46"/>
        <v>0.57880186095888497</v>
      </c>
      <c r="U160" s="29">
        <f t="shared" si="47"/>
        <v>684413.59150298079</v>
      </c>
      <c r="V160" s="35">
        <f>Población!L32</f>
        <v>3597414</v>
      </c>
      <c r="W160" s="30">
        <f t="shared" si="48"/>
        <v>92744.397357621972</v>
      </c>
      <c r="X160" s="53">
        <f t="shared" si="49"/>
        <v>0.58306805935774519</v>
      </c>
      <c r="Y160" s="29">
        <f t="shared" si="50"/>
        <v>110268.39521342058</v>
      </c>
      <c r="Z160" s="35">
        <f>Población!M32</f>
        <v>3608877</v>
      </c>
      <c r="AA160" s="30">
        <f t="shared" si="51"/>
        <v>93039.923262316413</v>
      </c>
      <c r="AB160" s="53">
        <f t="shared" si="52"/>
        <v>0.58217297414987157</v>
      </c>
      <c r="AC160" s="29">
        <f t="shared" si="53"/>
        <v>230729.00775965909</v>
      </c>
    </row>
    <row r="161" spans="1:29" x14ac:dyDescent="0.2">
      <c r="A161" s="27" t="s">
        <v>160</v>
      </c>
      <c r="B161" s="27" t="s">
        <v>78</v>
      </c>
      <c r="C161" s="51">
        <v>200248308</v>
      </c>
      <c r="D161" s="51">
        <v>19309536</v>
      </c>
      <c r="E161" s="52">
        <f t="shared" si="36"/>
        <v>9.642796082951173E-2</v>
      </c>
      <c r="F161" s="45">
        <v>1426175</v>
      </c>
      <c r="G161" s="35">
        <f>Población!D33</f>
        <v>1419482</v>
      </c>
      <c r="H161" s="35">
        <f>'Fondos 2027'!$B$24</f>
        <v>13458005057.686762</v>
      </c>
      <c r="I161" s="30">
        <f t="shared" si="37"/>
        <v>137523.14703602888</v>
      </c>
      <c r="J161" s="30">
        <f t="shared" si="38"/>
        <v>136877.75469419698</v>
      </c>
      <c r="K161" s="53">
        <f t="shared" si="39"/>
        <v>0.86296777060536201</v>
      </c>
      <c r="L161" s="54">
        <v>0.86296799999999996</v>
      </c>
      <c r="M161" s="55">
        <f t="shared" si="40"/>
        <v>-2.2939463795168535E-7</v>
      </c>
      <c r="N161" s="53">
        <f t="shared" si="41"/>
        <v>0.85619045111285352</v>
      </c>
      <c r="O161" s="23">
        <f t="shared" si="42"/>
        <v>116138246.21427631</v>
      </c>
      <c r="P161" s="23">
        <f t="shared" si="43"/>
        <v>115226154.21419893</v>
      </c>
      <c r="Q161" s="29">
        <f t="shared" si="44"/>
        <v>-912092.00007738173</v>
      </c>
      <c r="R161" s="35">
        <f>Población!K33</f>
        <v>1476723</v>
      </c>
      <c r="S161" s="30">
        <f t="shared" si="45"/>
        <v>142397.38760003904</v>
      </c>
      <c r="T161" s="53">
        <f t="shared" si="46"/>
        <v>0.89551709806578195</v>
      </c>
      <c r="U161" s="29">
        <f t="shared" si="47"/>
        <v>-5292582.1359437238</v>
      </c>
      <c r="V161" s="35">
        <f>Población!L33</f>
        <v>1449354</v>
      </c>
      <c r="W161" s="30">
        <f t="shared" si="48"/>
        <v>139758.25074009615</v>
      </c>
      <c r="X161" s="53">
        <f t="shared" si="49"/>
        <v>0.87863606169159136</v>
      </c>
      <c r="Y161" s="29">
        <f t="shared" si="50"/>
        <v>-3020731.4069152134</v>
      </c>
      <c r="Z161" s="35">
        <f>Población!M33</f>
        <v>1440130</v>
      </c>
      <c r="AA161" s="30">
        <f t="shared" si="51"/>
        <v>138868.79922940471</v>
      </c>
      <c r="AB161" s="53">
        <f t="shared" si="52"/>
        <v>0.86893517351758742</v>
      </c>
      <c r="AC161" s="29">
        <f t="shared" si="53"/>
        <v>-1715185.385817226</v>
      </c>
    </row>
    <row r="162" spans="1:29" x14ac:dyDescent="0.2">
      <c r="A162" s="27" t="s">
        <v>160</v>
      </c>
      <c r="B162" s="27" t="s">
        <v>79</v>
      </c>
      <c r="C162" s="51">
        <v>1447774025</v>
      </c>
      <c r="D162" s="51">
        <v>16711771</v>
      </c>
      <c r="E162" s="52">
        <f t="shared" si="36"/>
        <v>1.1543079728896228E-2</v>
      </c>
      <c r="F162" s="45">
        <v>8066173</v>
      </c>
      <c r="G162" s="35">
        <f>Población!D34</f>
        <v>7917876</v>
      </c>
      <c r="H162" s="35">
        <f>'Fondos 2027'!$B$24</f>
        <v>13458005057.686762</v>
      </c>
      <c r="I162" s="30">
        <f t="shared" si="37"/>
        <v>93108.478046070071</v>
      </c>
      <c r="J162" s="30">
        <f t="shared" si="38"/>
        <v>91396.673951513949</v>
      </c>
      <c r="K162" s="53">
        <f t="shared" si="39"/>
        <v>0.58426248566595895</v>
      </c>
      <c r="L162" s="54">
        <v>0.58426199999999995</v>
      </c>
      <c r="M162" s="55">
        <f t="shared" si="40"/>
        <v>4.8566595900467746E-7</v>
      </c>
      <c r="N162" s="53">
        <f t="shared" si="41"/>
        <v>0.57169961383125112</v>
      </c>
      <c r="O162" s="23">
        <f t="shared" si="42"/>
        <v>78630074.871091157</v>
      </c>
      <c r="P162" s="23">
        <f t="shared" si="43"/>
        <v>76939362.944185466</v>
      </c>
      <c r="Q162" s="29">
        <f t="shared" si="44"/>
        <v>-1690711.9269056916</v>
      </c>
      <c r="R162" s="35">
        <f>Población!K34</f>
        <v>8113343</v>
      </c>
      <c r="S162" s="30">
        <f t="shared" si="45"/>
        <v>93652.9651168821</v>
      </c>
      <c r="T162" s="53">
        <f t="shared" si="46"/>
        <v>0.58897029615663521</v>
      </c>
      <c r="U162" s="29">
        <f t="shared" si="47"/>
        <v>-2324289.3008472044</v>
      </c>
      <c r="V162" s="35">
        <f>Población!L34</f>
        <v>8068202</v>
      </c>
      <c r="W162" s="30">
        <f t="shared" si="48"/>
        <v>93131.898954839999</v>
      </c>
      <c r="X162" s="53">
        <f t="shared" si="49"/>
        <v>0.58550421518737139</v>
      </c>
      <c r="Y162" s="29">
        <f t="shared" si="50"/>
        <v>-1857823.9487001614</v>
      </c>
      <c r="Z162" s="35">
        <f>Población!M34</f>
        <v>8021469</v>
      </c>
      <c r="AA162" s="30">
        <f t="shared" si="51"/>
        <v>92592.456209869488</v>
      </c>
      <c r="AB162" s="53">
        <f t="shared" si="52"/>
        <v>0.57937306615744288</v>
      </c>
      <c r="AC162" s="29">
        <f t="shared" si="53"/>
        <v>-1032693.6021580703</v>
      </c>
    </row>
    <row r="163" spans="1:29" x14ac:dyDescent="0.2">
      <c r="A163" s="27" t="s">
        <v>160</v>
      </c>
      <c r="B163" s="27" t="s">
        <v>80</v>
      </c>
      <c r="C163" s="51">
        <v>548664528</v>
      </c>
      <c r="D163" s="51">
        <v>57506618</v>
      </c>
      <c r="E163" s="52">
        <f t="shared" si="36"/>
        <v>0.10481198449191526</v>
      </c>
      <c r="F163" s="45">
        <v>2456821</v>
      </c>
      <c r="G163" s="35">
        <f>Población!D35</f>
        <v>2506448</v>
      </c>
      <c r="H163" s="35">
        <f>'Fondos 2027'!$B$24</f>
        <v>13458005057.686762</v>
      </c>
      <c r="I163" s="30">
        <f t="shared" si="37"/>
        <v>257504.28455141172</v>
      </c>
      <c r="J163" s="30">
        <f t="shared" si="38"/>
        <v>262705.788905792</v>
      </c>
      <c r="K163" s="53">
        <f t="shared" si="39"/>
        <v>1.6158581529729172</v>
      </c>
      <c r="L163" s="54">
        <v>1.615858</v>
      </c>
      <c r="M163" s="55">
        <f t="shared" si="40"/>
        <v>1.5297291722227158E-7</v>
      </c>
      <c r="N163" s="53">
        <f t="shared" si="41"/>
        <v>1.643263278359022</v>
      </c>
      <c r="O163" s="23">
        <f t="shared" si="42"/>
        <v>217462271.95213908</v>
      </c>
      <c r="P163" s="23">
        <f t="shared" si="43"/>
        <v>221150455.11266646</v>
      </c>
      <c r="Q163" s="29">
        <f t="shared" si="44"/>
        <v>3688183.1605273783</v>
      </c>
      <c r="R163" s="35">
        <f>Población!K35</f>
        <v>2402017</v>
      </c>
      <c r="S163" s="30">
        <f t="shared" si="45"/>
        <v>251760.16855331682</v>
      </c>
      <c r="T163" s="53">
        <f t="shared" si="46"/>
        <v>1.5832842115381378</v>
      </c>
      <c r="U163" s="29">
        <f t="shared" si="47"/>
        <v>8071985.8463079138</v>
      </c>
      <c r="V163" s="35">
        <f>Población!L35</f>
        <v>2432221</v>
      </c>
      <c r="W163" s="30">
        <f t="shared" si="48"/>
        <v>254925.9097329106</v>
      </c>
      <c r="X163" s="53">
        <f t="shared" si="49"/>
        <v>1.6026753065721482</v>
      </c>
      <c r="Y163" s="29">
        <f t="shared" si="50"/>
        <v>5462331.2958899504</v>
      </c>
      <c r="Z163" s="35">
        <f>Población!M35</f>
        <v>2478837</v>
      </c>
      <c r="AA163" s="30">
        <f t="shared" si="51"/>
        <v>259811.82520198575</v>
      </c>
      <c r="AB163" s="53">
        <f t="shared" si="52"/>
        <v>1.6257045114998387</v>
      </c>
      <c r="AC163" s="29">
        <f t="shared" si="53"/>
        <v>2363059.7319763061</v>
      </c>
    </row>
    <row r="164" spans="1:29" x14ac:dyDescent="0.2">
      <c r="A164" s="27" t="s">
        <v>160</v>
      </c>
      <c r="B164" s="27" t="s">
        <v>81</v>
      </c>
      <c r="C164" s="51">
        <v>347383977</v>
      </c>
      <c r="D164" s="51">
        <v>8529933</v>
      </c>
      <c r="E164" s="52">
        <f t="shared" si="36"/>
        <v>2.4554768108950516E-2</v>
      </c>
      <c r="F164" s="45">
        <v>1689186</v>
      </c>
      <c r="G164" s="35">
        <f>Población!D36</f>
        <v>1686419</v>
      </c>
      <c r="H164" s="35">
        <f>'Fondos 2027'!$B$24</f>
        <v>13458005057.686762</v>
      </c>
      <c r="I164" s="30">
        <f t="shared" si="37"/>
        <v>41477.57052288569</v>
      </c>
      <c r="J164" s="30">
        <f t="shared" si="38"/>
        <v>41409.627479528222</v>
      </c>
      <c r="K164" s="53">
        <f t="shared" si="39"/>
        <v>0.26027477799707371</v>
      </c>
      <c r="L164" s="54">
        <v>0.26027499999999998</v>
      </c>
      <c r="M164" s="55">
        <f t="shared" si="40"/>
        <v>-2.2200292626450846E-7</v>
      </c>
      <c r="N164" s="53">
        <f t="shared" si="41"/>
        <v>0.2590232993763128</v>
      </c>
      <c r="O164" s="23">
        <f t="shared" si="42"/>
        <v>35027792.786729172</v>
      </c>
      <c r="P164" s="23">
        <f t="shared" si="43"/>
        <v>34859368.730651297</v>
      </c>
      <c r="Q164" s="29">
        <f t="shared" si="44"/>
        <v>-168424.0560778752</v>
      </c>
      <c r="R164" s="35">
        <f>Población!K36</f>
        <v>1695685</v>
      </c>
      <c r="S164" s="30">
        <f t="shared" si="45"/>
        <v>41637.151960825759</v>
      </c>
      <c r="T164" s="53">
        <f t="shared" si="46"/>
        <v>0.26185017944579514</v>
      </c>
      <c r="U164" s="29">
        <f t="shared" si="47"/>
        <v>-380441.66272567242</v>
      </c>
      <c r="V164" s="35">
        <f>Población!L36</f>
        <v>1703991</v>
      </c>
      <c r="W164" s="30">
        <f t="shared" si="48"/>
        <v>41841.103864738696</v>
      </c>
      <c r="X164" s="53">
        <f t="shared" si="49"/>
        <v>0.26304781665384447</v>
      </c>
      <c r="Y164" s="29">
        <f t="shared" si="50"/>
        <v>-541619.73875768972</v>
      </c>
      <c r="Z164" s="35">
        <f>Población!M36</f>
        <v>1695141</v>
      </c>
      <c r="AA164" s="30">
        <f t="shared" si="51"/>
        <v>41623.794166974491</v>
      </c>
      <c r="AB164" s="53">
        <f t="shared" si="52"/>
        <v>0.26045000034307103</v>
      </c>
      <c r="AC164" s="29">
        <f t="shared" si="53"/>
        <v>-192005.48826438878</v>
      </c>
    </row>
    <row r="165" spans="1:29" x14ac:dyDescent="0.2">
      <c r="A165" s="27" t="s">
        <v>162</v>
      </c>
      <c r="B165" s="27" t="s">
        <v>50</v>
      </c>
      <c r="C165" s="51">
        <v>1520480</v>
      </c>
      <c r="E165" s="52">
        <f t="shared" si="36"/>
        <v>1520480</v>
      </c>
      <c r="F165" s="45">
        <v>1531396</v>
      </c>
      <c r="G165" s="35">
        <f>Población!D5</f>
        <v>1539174</v>
      </c>
      <c r="H165" s="35">
        <f>'Fondos 2027'!$B$25</f>
        <v>4486001685.895587</v>
      </c>
      <c r="I165" s="30">
        <f t="shared" si="37"/>
        <v>2328456990080</v>
      </c>
      <c r="J165" s="30">
        <f t="shared" si="38"/>
        <v>2340283283520</v>
      </c>
      <c r="K165" s="53">
        <f t="shared" si="39"/>
        <v>7.6385632586681393E-2</v>
      </c>
      <c r="L165" s="54">
        <v>7.6385999999999996E-2</v>
      </c>
      <c r="M165" s="55">
        <f t="shared" si="40"/>
        <v>-3.6741331860268289E-7</v>
      </c>
      <c r="N165" s="53">
        <f t="shared" si="41"/>
        <v>7.654462589945106E-2</v>
      </c>
      <c r="O165" s="23">
        <f t="shared" si="42"/>
        <v>3426660.7656205362</v>
      </c>
      <c r="P165" s="23">
        <f t="shared" si="43"/>
        <v>3433793.2083118451</v>
      </c>
      <c r="Q165" s="29">
        <f t="shared" si="44"/>
        <v>7132.4426913089119</v>
      </c>
      <c r="R165" s="35">
        <f>Población!K5</f>
        <v>1503564</v>
      </c>
      <c r="S165" s="30">
        <f t="shared" si="45"/>
        <v>2286138990720</v>
      </c>
      <c r="T165" s="53">
        <f t="shared" si="46"/>
        <v>7.5362208288279942E-2</v>
      </c>
      <c r="U165" s="29">
        <f t="shared" si="47"/>
        <v>53043.273971462717</v>
      </c>
      <c r="V165" s="35">
        <f>Población!L5</f>
        <v>1519678</v>
      </c>
      <c r="W165" s="30">
        <f t="shared" si="48"/>
        <v>2310640005440</v>
      </c>
      <c r="X165" s="53">
        <f t="shared" si="49"/>
        <v>7.570805026398672E-2</v>
      </c>
      <c r="Y165" s="29">
        <f t="shared" si="50"/>
        <v>37528.797110722015</v>
      </c>
      <c r="Z165" s="35">
        <f>Población!M5</f>
        <v>1558219</v>
      </c>
      <c r="AA165" s="30">
        <f t="shared" si="51"/>
        <v>2369240825120</v>
      </c>
      <c r="AB165" s="53">
        <f t="shared" si="52"/>
        <v>7.7541152091949547E-2</v>
      </c>
      <c r="AC165" s="29">
        <f t="shared" si="53"/>
        <v>-44704.181795873228</v>
      </c>
    </row>
    <row r="166" spans="1:29" x14ac:dyDescent="0.2">
      <c r="A166" s="27" t="s">
        <v>162</v>
      </c>
      <c r="B166" s="27" t="s">
        <v>51</v>
      </c>
      <c r="C166" s="51">
        <v>54279803</v>
      </c>
      <c r="E166" s="52">
        <f t="shared" si="36"/>
        <v>54279803</v>
      </c>
      <c r="F166" s="45">
        <v>3830329</v>
      </c>
      <c r="G166" s="35">
        <f>Población!D6</f>
        <v>4009678</v>
      </c>
      <c r="H166" s="35">
        <f>'Fondos 2027'!$B$25</f>
        <v>4486001685.895587</v>
      </c>
      <c r="I166" s="30">
        <f t="shared" si="37"/>
        <v>207909503545187</v>
      </c>
      <c r="J166" s="30">
        <f t="shared" si="38"/>
        <v>217644531933434</v>
      </c>
      <c r="K166" s="53">
        <f t="shared" si="39"/>
        <v>6.8205249299177932</v>
      </c>
      <c r="L166" s="54">
        <v>6.8205249999999999</v>
      </c>
      <c r="M166" s="55">
        <f t="shared" si="40"/>
        <v>-7.0082206704569217E-8</v>
      </c>
      <c r="N166" s="53">
        <f t="shared" si="41"/>
        <v>7.1185908959057285</v>
      </c>
      <c r="O166" s="23">
        <f t="shared" si="42"/>
        <v>305968863.343041</v>
      </c>
      <c r="P166" s="23">
        <f t="shared" si="43"/>
        <v>319340107.60234076</v>
      </c>
      <c r="Q166" s="29">
        <f t="shared" si="44"/>
        <v>13371244.259299755</v>
      </c>
      <c r="R166" s="35">
        <f>Población!K6</f>
        <v>3778283</v>
      </c>
      <c r="S166" s="30">
        <f t="shared" si="45"/>
        <v>205084456918249</v>
      </c>
      <c r="T166" s="53">
        <f t="shared" si="46"/>
        <v>6.7605765098710124</v>
      </c>
      <c r="U166" s="29">
        <f t="shared" si="47"/>
        <v>16060531.393266097</v>
      </c>
      <c r="V166" s="35">
        <f>Población!L6</f>
        <v>3790412</v>
      </c>
      <c r="W166" s="30">
        <f t="shared" si="48"/>
        <v>205742816648836</v>
      </c>
      <c r="X166" s="53">
        <f t="shared" si="49"/>
        <v>6.7411571978466496</v>
      </c>
      <c r="Y166" s="29">
        <f t="shared" si="50"/>
        <v>16931682.058068339</v>
      </c>
      <c r="Z166" s="35">
        <f>Población!M6</f>
        <v>3862801</v>
      </c>
      <c r="AA166" s="30">
        <f t="shared" si="51"/>
        <v>209672077308203</v>
      </c>
      <c r="AB166" s="53">
        <f t="shared" si="52"/>
        <v>6.8622042401143029</v>
      </c>
      <c r="AC166" s="29">
        <f t="shared" si="53"/>
        <v>11501509.701214669</v>
      </c>
    </row>
    <row r="167" spans="1:29" x14ac:dyDescent="0.2">
      <c r="A167" s="27" t="s">
        <v>162</v>
      </c>
      <c r="B167" s="27" t="s">
        <v>52</v>
      </c>
      <c r="C167" s="51">
        <v>500253</v>
      </c>
      <c r="E167" s="52">
        <f t="shared" si="36"/>
        <v>500253</v>
      </c>
      <c r="F167" s="45">
        <v>928591</v>
      </c>
      <c r="G167" s="35">
        <f>Población!D7</f>
        <v>961514</v>
      </c>
      <c r="H167" s="35">
        <f>'Fondos 2027'!$B$25</f>
        <v>4486001685.895587</v>
      </c>
      <c r="I167" s="30">
        <f t="shared" si="37"/>
        <v>464530433523</v>
      </c>
      <c r="J167" s="30">
        <f t="shared" si="38"/>
        <v>481000263042</v>
      </c>
      <c r="K167" s="53">
        <f t="shared" si="39"/>
        <v>1.5239040777472374E-2</v>
      </c>
      <c r="L167" s="54">
        <v>1.5239000000000001E-2</v>
      </c>
      <c r="M167" s="55">
        <f t="shared" si="40"/>
        <v>4.0777472372702239E-8</v>
      </c>
      <c r="N167" s="53">
        <f t="shared" si="41"/>
        <v>1.5732277135573874E-2</v>
      </c>
      <c r="O167" s="23">
        <f t="shared" si="42"/>
        <v>683623.62619172665</v>
      </c>
      <c r="P167" s="23">
        <f t="shared" si="43"/>
        <v>705750.21753160993</v>
      </c>
      <c r="Q167" s="29">
        <f t="shared" si="44"/>
        <v>22126.591339883278</v>
      </c>
      <c r="R167" s="35">
        <f>Población!K7</f>
        <v>881164</v>
      </c>
      <c r="S167" s="30">
        <f t="shared" si="45"/>
        <v>440804934492</v>
      </c>
      <c r="T167" s="53">
        <f t="shared" si="46"/>
        <v>1.4531064568924277E-2</v>
      </c>
      <c r="U167" s="29">
        <f t="shared" si="47"/>
        <v>53886.41599109058</v>
      </c>
      <c r="V167" s="35">
        <f>Población!L7</f>
        <v>906940</v>
      </c>
      <c r="W167" s="30">
        <f t="shared" si="48"/>
        <v>453699455820</v>
      </c>
      <c r="X167" s="53">
        <f t="shared" si="49"/>
        <v>1.4865449020659184E-2</v>
      </c>
      <c r="Y167" s="29">
        <f t="shared" si="50"/>
        <v>38885.923848889957</v>
      </c>
      <c r="Z167" s="35">
        <f>Población!M7</f>
        <v>960359</v>
      </c>
      <c r="AA167" s="30">
        <f t="shared" si="51"/>
        <v>480422470827</v>
      </c>
      <c r="AB167" s="53">
        <f t="shared" si="52"/>
        <v>1.5723396070089161E-2</v>
      </c>
      <c r="AC167" s="29">
        <f t="shared" si="53"/>
        <v>398.40474736974545</v>
      </c>
    </row>
    <row r="168" spans="1:29" x14ac:dyDescent="0.2">
      <c r="A168" s="27" t="s">
        <v>162</v>
      </c>
      <c r="B168" s="27" t="s">
        <v>53</v>
      </c>
      <c r="C168" s="51">
        <v>0</v>
      </c>
      <c r="E168" s="52">
        <f t="shared" si="36"/>
        <v>0</v>
      </c>
      <c r="F168" s="45">
        <v>935371</v>
      </c>
      <c r="G168" s="35">
        <f>Población!D8</f>
        <v>968673</v>
      </c>
      <c r="H168" s="35">
        <f>'Fondos 2027'!$B$25</f>
        <v>4486001685.895587</v>
      </c>
      <c r="I168" s="30">
        <f t="shared" si="37"/>
        <v>0</v>
      </c>
      <c r="J168" s="30">
        <f t="shared" si="38"/>
        <v>0</v>
      </c>
      <c r="K168" s="53">
        <f t="shared" si="39"/>
        <v>0</v>
      </c>
      <c r="L168" s="54">
        <v>0</v>
      </c>
      <c r="M168" s="55">
        <f t="shared" si="40"/>
        <v>0</v>
      </c>
      <c r="N168" s="53">
        <f t="shared" si="41"/>
        <v>0</v>
      </c>
      <c r="O168" s="23">
        <f t="shared" si="42"/>
        <v>0</v>
      </c>
      <c r="P168" s="23">
        <f t="shared" si="43"/>
        <v>0</v>
      </c>
      <c r="Q168" s="29">
        <f t="shared" si="44"/>
        <v>0</v>
      </c>
      <c r="R168" s="35">
        <f>Población!K8</f>
        <v>925978</v>
      </c>
      <c r="S168" s="30">
        <f t="shared" si="45"/>
        <v>0</v>
      </c>
      <c r="T168" s="53">
        <f t="shared" si="46"/>
        <v>0</v>
      </c>
      <c r="U168" s="29">
        <f t="shared" si="47"/>
        <v>0</v>
      </c>
      <c r="V168" s="35">
        <f>Población!L8</f>
        <v>918817</v>
      </c>
      <c r="W168" s="30">
        <f t="shared" si="48"/>
        <v>0</v>
      </c>
      <c r="X168" s="53">
        <f t="shared" si="49"/>
        <v>0</v>
      </c>
      <c r="Y168" s="29">
        <f t="shared" si="50"/>
        <v>0</v>
      </c>
      <c r="Z168" s="35">
        <f>Población!M8</f>
        <v>952094</v>
      </c>
      <c r="AA168" s="30">
        <f t="shared" si="51"/>
        <v>0</v>
      </c>
      <c r="AB168" s="53">
        <f t="shared" si="52"/>
        <v>0</v>
      </c>
      <c r="AC168" s="29">
        <f t="shared" si="53"/>
        <v>0</v>
      </c>
    </row>
    <row r="169" spans="1:29" x14ac:dyDescent="0.2">
      <c r="A169" s="27" t="s">
        <v>162</v>
      </c>
      <c r="B169" s="27" t="s">
        <v>54</v>
      </c>
      <c r="C169" s="51">
        <v>272163</v>
      </c>
      <c r="E169" s="52">
        <f t="shared" si="36"/>
        <v>272163</v>
      </c>
      <c r="F169" s="45">
        <v>3590747</v>
      </c>
      <c r="G169" s="35">
        <f>Población!D9</f>
        <v>3415128</v>
      </c>
      <c r="H169" s="35">
        <f>'Fondos 2027'!$B$25</f>
        <v>4486001685.895587</v>
      </c>
      <c r="I169" s="30">
        <f t="shared" si="37"/>
        <v>977268475761</v>
      </c>
      <c r="J169" s="30">
        <f t="shared" si="38"/>
        <v>929471481864</v>
      </c>
      <c r="K169" s="53">
        <f t="shared" si="39"/>
        <v>3.2059544602308129E-2</v>
      </c>
      <c r="L169" s="54">
        <v>3.2058999999999997E-2</v>
      </c>
      <c r="M169" s="55">
        <f t="shared" si="40"/>
        <v>5.4460230813208055E-7</v>
      </c>
      <c r="N169" s="53">
        <f t="shared" si="41"/>
        <v>3.0400613192638003E-2</v>
      </c>
      <c r="O169" s="23">
        <f t="shared" si="42"/>
        <v>1438191.7113499902</v>
      </c>
      <c r="P169" s="23">
        <f t="shared" si="43"/>
        <v>1363772.020344337</v>
      </c>
      <c r="Q169" s="29">
        <f t="shared" si="44"/>
        <v>-74419.691005653236</v>
      </c>
      <c r="R169" s="35">
        <f>Población!K9</f>
        <v>3452989</v>
      </c>
      <c r="S169" s="30">
        <f t="shared" si="45"/>
        <v>939775845207</v>
      </c>
      <c r="T169" s="53">
        <f t="shared" si="46"/>
        <v>3.0979561294512094E-2</v>
      </c>
      <c r="U169" s="29">
        <f t="shared" si="47"/>
        <v>-25971.621610532256</v>
      </c>
      <c r="V169" s="35">
        <f>Población!L9</f>
        <v>3582441</v>
      </c>
      <c r="W169" s="30">
        <f t="shared" si="48"/>
        <v>975007889883</v>
      </c>
      <c r="X169" s="53">
        <f t="shared" si="49"/>
        <v>3.1946104179473647E-2</v>
      </c>
      <c r="Y169" s="29">
        <f t="shared" si="50"/>
        <v>-69330.751724811358</v>
      </c>
      <c r="Z169" s="35">
        <f>Población!M9</f>
        <v>3510963</v>
      </c>
      <c r="AA169" s="30">
        <f t="shared" si="51"/>
        <v>955554222969</v>
      </c>
      <c r="AB169" s="53">
        <f t="shared" si="52"/>
        <v>3.1273636073526241E-2</v>
      </c>
      <c r="AC169" s="29">
        <f t="shared" si="53"/>
        <v>-39163.821154900601</v>
      </c>
    </row>
    <row r="170" spans="1:29" x14ac:dyDescent="0.2">
      <c r="A170" s="27" t="s">
        <v>162</v>
      </c>
      <c r="B170" s="27" t="s">
        <v>55</v>
      </c>
      <c r="C170" s="51">
        <v>0</v>
      </c>
      <c r="E170" s="52">
        <f t="shared" si="36"/>
        <v>0</v>
      </c>
      <c r="F170" s="45">
        <v>762355</v>
      </c>
      <c r="G170" s="35">
        <f>Población!D10</f>
        <v>762212</v>
      </c>
      <c r="H170" s="35">
        <f>'Fondos 2027'!$B$25</f>
        <v>4486001685.895587</v>
      </c>
      <c r="I170" s="30">
        <f t="shared" si="37"/>
        <v>0</v>
      </c>
      <c r="J170" s="30">
        <f t="shared" si="38"/>
        <v>0</v>
      </c>
      <c r="K170" s="53">
        <f t="shared" si="39"/>
        <v>0</v>
      </c>
      <c r="L170" s="54">
        <v>0</v>
      </c>
      <c r="M170" s="55">
        <f t="shared" si="40"/>
        <v>0</v>
      </c>
      <c r="N170" s="53">
        <f t="shared" si="41"/>
        <v>0</v>
      </c>
      <c r="O170" s="23">
        <f t="shared" si="42"/>
        <v>0</v>
      </c>
      <c r="P170" s="23">
        <f t="shared" si="43"/>
        <v>0</v>
      </c>
      <c r="Q170" s="29">
        <f t="shared" si="44"/>
        <v>0</v>
      </c>
      <c r="R170" s="35">
        <f>Población!K10</f>
        <v>728776</v>
      </c>
      <c r="S170" s="30">
        <f t="shared" si="45"/>
        <v>0</v>
      </c>
      <c r="T170" s="53">
        <f t="shared" si="46"/>
        <v>0</v>
      </c>
      <c r="U170" s="29">
        <f t="shared" si="47"/>
        <v>0</v>
      </c>
      <c r="V170" s="35">
        <f>Población!L10</f>
        <v>745394</v>
      </c>
      <c r="W170" s="30">
        <f t="shared" si="48"/>
        <v>0</v>
      </c>
      <c r="X170" s="53">
        <f t="shared" si="49"/>
        <v>0</v>
      </c>
      <c r="Y170" s="29">
        <f t="shared" si="50"/>
        <v>0</v>
      </c>
      <c r="Z170" s="35">
        <f>Población!M10</f>
        <v>771093</v>
      </c>
      <c r="AA170" s="30">
        <f t="shared" si="51"/>
        <v>0</v>
      </c>
      <c r="AB170" s="53">
        <f t="shared" si="52"/>
        <v>0</v>
      </c>
      <c r="AC170" s="29">
        <f t="shared" si="53"/>
        <v>0</v>
      </c>
    </row>
    <row r="171" spans="1:29" x14ac:dyDescent="0.2">
      <c r="A171" s="27" t="s">
        <v>162</v>
      </c>
      <c r="B171" s="27" t="s">
        <v>56</v>
      </c>
      <c r="C171" s="51">
        <v>936036</v>
      </c>
      <c r="E171" s="52">
        <f t="shared" si="36"/>
        <v>936036</v>
      </c>
      <c r="F171" s="45">
        <v>5891372</v>
      </c>
      <c r="G171" s="35">
        <f>Población!D11</f>
        <v>5860728</v>
      </c>
      <c r="H171" s="35">
        <f>'Fondos 2027'!$B$25</f>
        <v>4486001685.895587</v>
      </c>
      <c r="I171" s="30">
        <f t="shared" si="37"/>
        <v>5514536281392</v>
      </c>
      <c r="J171" s="30">
        <f t="shared" si="38"/>
        <v>5485852394208</v>
      </c>
      <c r="K171" s="53">
        <f t="shared" si="39"/>
        <v>0.18090578613687905</v>
      </c>
      <c r="L171" s="54">
        <v>0.18090600000000001</v>
      </c>
      <c r="M171" s="55">
        <f t="shared" si="40"/>
        <v>-2.138631209624986E-7</v>
      </c>
      <c r="N171" s="53">
        <f t="shared" si="41"/>
        <v>0.17942807275137754</v>
      </c>
      <c r="O171" s="23">
        <f t="shared" si="42"/>
        <v>8115436.6159830596</v>
      </c>
      <c r="P171" s="23">
        <f t="shared" si="43"/>
        <v>8049146.3685967568</v>
      </c>
      <c r="Q171" s="29">
        <f t="shared" si="44"/>
        <v>-66290.247386302799</v>
      </c>
      <c r="R171" s="35">
        <f>Población!K11</f>
        <v>5975155</v>
      </c>
      <c r="S171" s="30">
        <f t="shared" si="45"/>
        <v>5592960185580</v>
      </c>
      <c r="T171" s="53">
        <f t="shared" si="46"/>
        <v>0.18437104312760516</v>
      </c>
      <c r="U171" s="29">
        <f t="shared" si="47"/>
        <v>-221741.73441089064</v>
      </c>
      <c r="V171" s="35">
        <f>Población!L11</f>
        <v>5900473</v>
      </c>
      <c r="W171" s="30">
        <f t="shared" si="48"/>
        <v>5523055145028</v>
      </c>
      <c r="X171" s="53">
        <f t="shared" si="49"/>
        <v>0.18096273566895446</v>
      </c>
      <c r="Y171" s="29">
        <f t="shared" si="50"/>
        <v>-68845.004355315177</v>
      </c>
      <c r="Z171" s="35">
        <f>Población!M11</f>
        <v>5885528</v>
      </c>
      <c r="AA171" s="30">
        <f t="shared" si="51"/>
        <v>5509066087008</v>
      </c>
      <c r="AB171" s="53">
        <f t="shared" si="52"/>
        <v>0.18030219925644428</v>
      </c>
      <c r="AC171" s="29">
        <f t="shared" si="53"/>
        <v>-39213.329754154191</v>
      </c>
    </row>
    <row r="172" spans="1:29" x14ac:dyDescent="0.2">
      <c r="A172" s="27" t="s">
        <v>162</v>
      </c>
      <c r="B172" s="27" t="s">
        <v>57</v>
      </c>
      <c r="C172" s="51">
        <v>15598564</v>
      </c>
      <c r="E172" s="52">
        <f t="shared" si="36"/>
        <v>15598564</v>
      </c>
      <c r="F172" s="45">
        <v>4015493</v>
      </c>
      <c r="G172" s="35">
        <f>Población!D12</f>
        <v>3903944</v>
      </c>
      <c r="H172" s="35">
        <f>'Fondos 2027'!$B$25</f>
        <v>4486001685.895587</v>
      </c>
      <c r="I172" s="30">
        <f t="shared" si="37"/>
        <v>62635924552052</v>
      </c>
      <c r="J172" s="30">
        <f t="shared" si="38"/>
        <v>60895920336416</v>
      </c>
      <c r="K172" s="53">
        <f t="shared" si="39"/>
        <v>2.0547876726706287</v>
      </c>
      <c r="L172" s="54">
        <v>2.0547879999999998</v>
      </c>
      <c r="M172" s="55">
        <f t="shared" si="40"/>
        <v>-3.2732937116364269E-7</v>
      </c>
      <c r="N172" s="53">
        <f t="shared" si="41"/>
        <v>1.9917483809664196</v>
      </c>
      <c r="O172" s="23">
        <f t="shared" si="42"/>
        <v>92177809.637579083</v>
      </c>
      <c r="P172" s="23">
        <f t="shared" si="43"/>
        <v>89349865.948951647</v>
      </c>
      <c r="Q172" s="29">
        <f t="shared" si="44"/>
        <v>-2827943.6886274368</v>
      </c>
      <c r="R172" s="35">
        <f>Población!K12</f>
        <v>3976037</v>
      </c>
      <c r="S172" s="30">
        <f t="shared" si="45"/>
        <v>62020467610868</v>
      </c>
      <c r="T172" s="53">
        <f t="shared" si="46"/>
        <v>2.0444948523251063</v>
      </c>
      <c r="U172" s="29">
        <f t="shared" si="47"/>
        <v>-2366207.5944011183</v>
      </c>
      <c r="V172" s="35">
        <f>Población!L12</f>
        <v>3991333</v>
      </c>
      <c r="W172" s="30">
        <f t="shared" si="48"/>
        <v>62259063245812</v>
      </c>
      <c r="X172" s="53">
        <f t="shared" si="49"/>
        <v>2.0399163342214788</v>
      </c>
      <c r="Y172" s="29">
        <f t="shared" si="50"/>
        <v>-2160815.1950833532</v>
      </c>
      <c r="Z172" s="35">
        <f>Población!M12</f>
        <v>3985958</v>
      </c>
      <c r="AA172" s="30">
        <f t="shared" si="51"/>
        <v>62175220964312</v>
      </c>
      <c r="AB172" s="53">
        <f t="shared" si="52"/>
        <v>2.0348873841898705</v>
      </c>
      <c r="AC172" s="29">
        <f t="shared" si="53"/>
        <v>-1935216.4118825579</v>
      </c>
    </row>
    <row r="173" spans="1:29" x14ac:dyDescent="0.2">
      <c r="A173" s="27" t="s">
        <v>162</v>
      </c>
      <c r="B173" s="27" t="s">
        <v>58</v>
      </c>
      <c r="C173" s="51">
        <v>17669651</v>
      </c>
      <c r="E173" s="52">
        <f t="shared" si="36"/>
        <v>17669651</v>
      </c>
      <c r="F173" s="45">
        <v>9336468</v>
      </c>
      <c r="G173" s="35">
        <f>Población!D13</f>
        <v>9216407</v>
      </c>
      <c r="H173" s="35">
        <f>'Fondos 2027'!$B$25</f>
        <v>4486001685.895587</v>
      </c>
      <c r="I173" s="30">
        <f t="shared" si="37"/>
        <v>164972131132668</v>
      </c>
      <c r="J173" s="30">
        <f t="shared" si="38"/>
        <v>162850695163957</v>
      </c>
      <c r="K173" s="53">
        <f t="shared" si="39"/>
        <v>5.4119533448237949</v>
      </c>
      <c r="L173" s="54">
        <v>5.4119529999999996</v>
      </c>
      <c r="M173" s="55">
        <f t="shared" si="40"/>
        <v>3.4482379529521268E-7</v>
      </c>
      <c r="N173" s="53">
        <f t="shared" si="41"/>
        <v>5.3264259188492824</v>
      </c>
      <c r="O173" s="23">
        <f t="shared" si="42"/>
        <v>242780318.28867805</v>
      </c>
      <c r="P173" s="23">
        <f t="shared" si="43"/>
        <v>238943556.51755834</v>
      </c>
      <c r="Q173" s="29">
        <f t="shared" si="44"/>
        <v>-3836761.7711197138</v>
      </c>
      <c r="R173" s="35">
        <f>Población!K13</f>
        <v>9350964</v>
      </c>
      <c r="S173" s="30">
        <f t="shared" si="45"/>
        <v>165228270393564</v>
      </c>
      <c r="T173" s="53">
        <f t="shared" si="46"/>
        <v>5.4467236589978141</v>
      </c>
      <c r="U173" s="29">
        <f t="shared" si="47"/>
        <v>-5396558.6511574239</v>
      </c>
      <c r="V173" s="35">
        <f>Población!L13</f>
        <v>9319955</v>
      </c>
      <c r="W173" s="30">
        <f t="shared" si="48"/>
        <v>164680352185705</v>
      </c>
      <c r="X173" s="53">
        <f t="shared" si="49"/>
        <v>5.3957467850524212</v>
      </c>
      <c r="Y173" s="29">
        <f t="shared" si="50"/>
        <v>-3109735.2265502317</v>
      </c>
      <c r="Z173" s="35">
        <f>Población!M13</f>
        <v>9296753</v>
      </c>
      <c r="AA173" s="30">
        <f t="shared" si="51"/>
        <v>164270380943203</v>
      </c>
      <c r="AB173" s="53">
        <f t="shared" si="52"/>
        <v>5.376285288463337</v>
      </c>
      <c r="AC173" s="29">
        <f t="shared" si="53"/>
        <v>-2236692.1614633999</v>
      </c>
    </row>
    <row r="174" spans="1:29" x14ac:dyDescent="0.2">
      <c r="A174" s="27" t="s">
        <v>162</v>
      </c>
      <c r="B174" s="27" t="s">
        <v>59</v>
      </c>
      <c r="C174" s="51">
        <v>0</v>
      </c>
      <c r="E174" s="52">
        <f t="shared" si="36"/>
        <v>0</v>
      </c>
      <c r="F174" s="45">
        <v>1968132</v>
      </c>
      <c r="G174" s="35">
        <f>Población!D14</f>
        <v>1943290</v>
      </c>
      <c r="H174" s="35">
        <f>'Fondos 2027'!$B$25</f>
        <v>4486001685.895587</v>
      </c>
      <c r="I174" s="30">
        <f t="shared" si="37"/>
        <v>0</v>
      </c>
      <c r="J174" s="30">
        <f t="shared" si="38"/>
        <v>0</v>
      </c>
      <c r="K174" s="53">
        <f t="shared" si="39"/>
        <v>0</v>
      </c>
      <c r="L174" s="54">
        <v>0</v>
      </c>
      <c r="M174" s="55">
        <f t="shared" si="40"/>
        <v>0</v>
      </c>
      <c r="N174" s="53">
        <f t="shared" si="41"/>
        <v>0</v>
      </c>
      <c r="O174" s="23">
        <f t="shared" si="42"/>
        <v>0</v>
      </c>
      <c r="P174" s="23">
        <f t="shared" si="43"/>
        <v>0</v>
      </c>
      <c r="Q174" s="29">
        <f t="shared" si="44"/>
        <v>0</v>
      </c>
      <c r="R174" s="35">
        <f>Población!K14</f>
        <v>1944614</v>
      </c>
      <c r="S174" s="30">
        <f t="shared" si="45"/>
        <v>0</v>
      </c>
      <c r="T174" s="53">
        <f t="shared" si="46"/>
        <v>0</v>
      </c>
      <c r="U174" s="29">
        <f t="shared" si="47"/>
        <v>0</v>
      </c>
      <c r="V174" s="35">
        <f>Población!L14</f>
        <v>1954301</v>
      </c>
      <c r="W174" s="30">
        <f t="shared" si="48"/>
        <v>0</v>
      </c>
      <c r="X174" s="53">
        <f t="shared" si="49"/>
        <v>0</v>
      </c>
      <c r="Y174" s="29">
        <f t="shared" si="50"/>
        <v>0</v>
      </c>
      <c r="Z174" s="35">
        <f>Población!M14</f>
        <v>1959669</v>
      </c>
      <c r="AA174" s="30">
        <f t="shared" si="51"/>
        <v>0</v>
      </c>
      <c r="AB174" s="53">
        <f t="shared" si="52"/>
        <v>0</v>
      </c>
      <c r="AC174" s="29">
        <f t="shared" si="53"/>
        <v>0</v>
      </c>
    </row>
    <row r="175" spans="1:29" x14ac:dyDescent="0.2">
      <c r="A175" s="27" t="s">
        <v>162</v>
      </c>
      <c r="B175" s="27" t="s">
        <v>60</v>
      </c>
      <c r="C175" s="51">
        <v>29202546</v>
      </c>
      <c r="E175" s="52">
        <f t="shared" si="36"/>
        <v>29202546</v>
      </c>
      <c r="F175" s="45">
        <v>6402249</v>
      </c>
      <c r="G175" s="35">
        <f>Población!D15</f>
        <v>6446935</v>
      </c>
      <c r="H175" s="35">
        <f>'Fondos 2027'!$B$25</f>
        <v>4486001685.895587</v>
      </c>
      <c r="I175" s="30">
        <f t="shared" si="37"/>
        <v>186961970925954</v>
      </c>
      <c r="J175" s="30">
        <f t="shared" si="38"/>
        <v>188266915896510</v>
      </c>
      <c r="K175" s="53">
        <f t="shared" si="39"/>
        <v>6.133335715314657</v>
      </c>
      <c r="L175" s="54">
        <v>6.1333359999999999</v>
      </c>
      <c r="M175" s="55">
        <f t="shared" si="40"/>
        <v>-2.846853428550844E-7</v>
      </c>
      <c r="N175" s="53">
        <f t="shared" si="41"/>
        <v>6.1577248993833695</v>
      </c>
      <c r="O175" s="23">
        <f t="shared" si="42"/>
        <v>275141543.59065169</v>
      </c>
      <c r="P175" s="23">
        <f t="shared" si="43"/>
        <v>276235642.79915029</v>
      </c>
      <c r="Q175" s="29">
        <f t="shared" si="44"/>
        <v>1094099.2084985971</v>
      </c>
      <c r="R175" s="35">
        <f>Población!K15</f>
        <v>6345807</v>
      </c>
      <c r="S175" s="30">
        <f t="shared" si="45"/>
        <v>185313720824622</v>
      </c>
      <c r="T175" s="53">
        <f t="shared" si="46"/>
        <v>6.1088373384782528</v>
      </c>
      <c r="U175" s="29">
        <f t="shared" si="47"/>
        <v>2193096.806396767</v>
      </c>
      <c r="V175" s="35">
        <f>Población!L15</f>
        <v>6376710</v>
      </c>
      <c r="W175" s="30">
        <f t="shared" si="48"/>
        <v>186216167103660</v>
      </c>
      <c r="X175" s="53">
        <f t="shared" si="49"/>
        <v>6.1013671129468037</v>
      </c>
      <c r="Y175" s="29">
        <f t="shared" si="50"/>
        <v>2528211.2496777787</v>
      </c>
      <c r="Z175" s="35">
        <f>Población!M15</f>
        <v>6432483</v>
      </c>
      <c r="AA175" s="30">
        <f t="shared" si="51"/>
        <v>187844880701718</v>
      </c>
      <c r="AB175" s="53">
        <f t="shared" si="52"/>
        <v>6.1478378684650146</v>
      </c>
      <c r="AC175" s="29">
        <f t="shared" si="53"/>
        <v>443532.37368242169</v>
      </c>
    </row>
    <row r="176" spans="1:29" x14ac:dyDescent="0.2">
      <c r="A176" s="27" t="s">
        <v>162</v>
      </c>
      <c r="B176" s="27" t="s">
        <v>61</v>
      </c>
      <c r="C176" s="51">
        <v>0</v>
      </c>
      <c r="E176" s="52">
        <f t="shared" si="36"/>
        <v>0</v>
      </c>
      <c r="F176" s="45">
        <v>3569633</v>
      </c>
      <c r="G176" s="35">
        <f>Población!D16</f>
        <v>3418902</v>
      </c>
      <c r="H176" s="35">
        <f>'Fondos 2027'!$B$25</f>
        <v>4486001685.895587</v>
      </c>
      <c r="I176" s="30">
        <f t="shared" si="37"/>
        <v>0</v>
      </c>
      <c r="J176" s="30">
        <f t="shared" si="38"/>
        <v>0</v>
      </c>
      <c r="K176" s="53">
        <f t="shared" si="39"/>
        <v>0</v>
      </c>
      <c r="L176" s="54">
        <v>0</v>
      </c>
      <c r="M176" s="55">
        <f t="shared" si="40"/>
        <v>0</v>
      </c>
      <c r="N176" s="53">
        <f t="shared" si="41"/>
        <v>0</v>
      </c>
      <c r="O176" s="23">
        <f t="shared" si="42"/>
        <v>0</v>
      </c>
      <c r="P176" s="23">
        <f t="shared" si="43"/>
        <v>0</v>
      </c>
      <c r="Q176" s="29">
        <f t="shared" si="44"/>
        <v>0</v>
      </c>
      <c r="R176" s="35">
        <f>Población!K16</f>
        <v>3606579</v>
      </c>
      <c r="S176" s="30">
        <f t="shared" si="45"/>
        <v>0</v>
      </c>
      <c r="T176" s="53">
        <f t="shared" si="46"/>
        <v>0</v>
      </c>
      <c r="U176" s="29">
        <f t="shared" si="47"/>
        <v>0</v>
      </c>
      <c r="V176" s="35">
        <f>Población!L16</f>
        <v>3578620</v>
      </c>
      <c r="W176" s="30">
        <f t="shared" si="48"/>
        <v>0</v>
      </c>
      <c r="X176" s="53">
        <f t="shared" si="49"/>
        <v>0</v>
      </c>
      <c r="Y176" s="29">
        <f t="shared" si="50"/>
        <v>0</v>
      </c>
      <c r="Z176" s="35">
        <f>Población!M16</f>
        <v>3538257</v>
      </c>
      <c r="AA176" s="30">
        <f t="shared" si="51"/>
        <v>0</v>
      </c>
      <c r="AB176" s="53">
        <f t="shared" si="52"/>
        <v>0</v>
      </c>
      <c r="AC176" s="29">
        <f t="shared" si="53"/>
        <v>0</v>
      </c>
    </row>
    <row r="177" spans="1:29" x14ac:dyDescent="0.2">
      <c r="A177" s="27" t="s">
        <v>162</v>
      </c>
      <c r="B177" s="27" t="s">
        <v>62</v>
      </c>
      <c r="C177" s="51">
        <v>0</v>
      </c>
      <c r="E177" s="52">
        <f t="shared" si="36"/>
        <v>0</v>
      </c>
      <c r="F177" s="45">
        <v>3215821</v>
      </c>
      <c r="G177" s="35">
        <f>Población!D17</f>
        <v>3245595</v>
      </c>
      <c r="H177" s="35">
        <f>'Fondos 2027'!$B$25</f>
        <v>4486001685.895587</v>
      </c>
      <c r="I177" s="30">
        <f t="shared" si="37"/>
        <v>0</v>
      </c>
      <c r="J177" s="30">
        <f t="shared" si="38"/>
        <v>0</v>
      </c>
      <c r="K177" s="53">
        <f t="shared" si="39"/>
        <v>0</v>
      </c>
      <c r="L177" s="54">
        <v>0</v>
      </c>
      <c r="M177" s="55">
        <f t="shared" si="40"/>
        <v>0</v>
      </c>
      <c r="N177" s="53">
        <f t="shared" si="41"/>
        <v>0</v>
      </c>
      <c r="O177" s="23">
        <f t="shared" si="42"/>
        <v>0</v>
      </c>
      <c r="P177" s="23">
        <f t="shared" si="43"/>
        <v>0</v>
      </c>
      <c r="Q177" s="29">
        <f t="shared" si="44"/>
        <v>0</v>
      </c>
      <c r="R177" s="35">
        <f>Población!K17</f>
        <v>3248649</v>
      </c>
      <c r="S177" s="30">
        <f t="shared" si="45"/>
        <v>0</v>
      </c>
      <c r="T177" s="53">
        <f t="shared" si="46"/>
        <v>0</v>
      </c>
      <c r="U177" s="29">
        <f t="shared" si="47"/>
        <v>0</v>
      </c>
      <c r="V177" s="35">
        <f>Población!L17</f>
        <v>3228160</v>
      </c>
      <c r="W177" s="30">
        <f t="shared" si="48"/>
        <v>0</v>
      </c>
      <c r="X177" s="53">
        <f t="shared" si="49"/>
        <v>0</v>
      </c>
      <c r="Y177" s="29">
        <f t="shared" si="50"/>
        <v>0</v>
      </c>
      <c r="Z177" s="35">
        <f>Población!M17</f>
        <v>3229482</v>
      </c>
      <c r="AA177" s="30">
        <f t="shared" si="51"/>
        <v>0</v>
      </c>
      <c r="AB177" s="53">
        <f t="shared" si="52"/>
        <v>0</v>
      </c>
      <c r="AC177" s="29">
        <f t="shared" si="53"/>
        <v>0</v>
      </c>
    </row>
    <row r="178" spans="1:29" x14ac:dyDescent="0.2">
      <c r="A178" s="27" t="s">
        <v>162</v>
      </c>
      <c r="B178" s="27" t="s">
        <v>63</v>
      </c>
      <c r="C178" s="51">
        <v>12849157</v>
      </c>
      <c r="E178" s="52">
        <f t="shared" si="36"/>
        <v>12849157</v>
      </c>
      <c r="F178" s="45">
        <v>8750952</v>
      </c>
      <c r="G178" s="35">
        <f>Población!D18</f>
        <v>8679851</v>
      </c>
      <c r="H178" s="35">
        <f>'Fondos 2027'!$B$25</f>
        <v>4486001685.895587</v>
      </c>
      <c r="I178" s="30">
        <f t="shared" si="37"/>
        <v>112442356147464</v>
      </c>
      <c r="J178" s="30">
        <f t="shared" si="38"/>
        <v>111528768235607</v>
      </c>
      <c r="K178" s="53">
        <f t="shared" si="39"/>
        <v>3.6887005173180651</v>
      </c>
      <c r="L178" s="54">
        <v>3.688701</v>
      </c>
      <c r="M178" s="55">
        <f t="shared" si="40"/>
        <v>-4.826819348657807E-7</v>
      </c>
      <c r="N178" s="53">
        <f t="shared" si="41"/>
        <v>3.6478181516473502</v>
      </c>
      <c r="O178" s="23">
        <f t="shared" si="42"/>
        <v>165475167.39452764</v>
      </c>
      <c r="P178" s="23">
        <f t="shared" si="43"/>
        <v>163641183.78130537</v>
      </c>
      <c r="Q178" s="29">
        <f t="shared" si="44"/>
        <v>-1833983.6132222712</v>
      </c>
      <c r="R178" s="35">
        <f>Población!K18</f>
        <v>8739649</v>
      </c>
      <c r="S178" s="30">
        <f t="shared" si="45"/>
        <v>112297122125893</v>
      </c>
      <c r="T178" s="53">
        <f t="shared" si="46"/>
        <v>3.7018567734416798</v>
      </c>
      <c r="U178" s="29">
        <f t="shared" si="47"/>
        <v>-2424173.4847283666</v>
      </c>
      <c r="V178" s="35">
        <f>Población!L18</f>
        <v>8761130</v>
      </c>
      <c r="W178" s="30">
        <f t="shared" si="48"/>
        <v>112573134867410</v>
      </c>
      <c r="X178" s="53">
        <f t="shared" si="49"/>
        <v>3.6884553772336819</v>
      </c>
      <c r="Y178" s="29">
        <f t="shared" si="50"/>
        <v>-1822986.6249040307</v>
      </c>
      <c r="Z178" s="35">
        <f>Población!M18</f>
        <v>8703341</v>
      </c>
      <c r="AA178" s="30">
        <f t="shared" si="51"/>
        <v>111830594933537</v>
      </c>
      <c r="AB178" s="53">
        <f t="shared" si="52"/>
        <v>3.660021842581322</v>
      </c>
      <c r="AC178" s="29">
        <f t="shared" si="53"/>
        <v>-547457.78103946091</v>
      </c>
    </row>
    <row r="179" spans="1:29" x14ac:dyDescent="0.2">
      <c r="A179" s="27" t="s">
        <v>162</v>
      </c>
      <c r="B179" s="27" t="s">
        <v>64</v>
      </c>
      <c r="C179" s="51">
        <v>57216992</v>
      </c>
      <c r="E179" s="52">
        <f t="shared" si="36"/>
        <v>57216992</v>
      </c>
      <c r="F179" s="45">
        <v>17753727</v>
      </c>
      <c r="G179" s="35">
        <f>Población!D19</f>
        <v>17612480</v>
      </c>
      <c r="H179" s="35">
        <f>'Fondos 2027'!$B$25</f>
        <v>4486001685.895587</v>
      </c>
      <c r="I179" s="30">
        <f t="shared" si="37"/>
        <v>1015814855729184</v>
      </c>
      <c r="J179" s="30">
        <f t="shared" si="38"/>
        <v>1007733127260160</v>
      </c>
      <c r="K179" s="53">
        <f t="shared" si="39"/>
        <v>33.324068546851834</v>
      </c>
      <c r="L179" s="54">
        <v>33.324069000000001</v>
      </c>
      <c r="M179" s="55">
        <f t="shared" si="40"/>
        <v>-4.5314816787822565E-7</v>
      </c>
      <c r="N179" s="53">
        <f t="shared" si="41"/>
        <v>32.960349619124926</v>
      </c>
      <c r="O179" s="23">
        <f t="shared" si="42"/>
        <v>1494918276.8207741</v>
      </c>
      <c r="P179" s="23">
        <f t="shared" si="43"/>
        <v>1478601839.5910239</v>
      </c>
      <c r="Q179" s="29">
        <f t="shared" si="44"/>
        <v>-16316437.229750156</v>
      </c>
      <c r="R179" s="35">
        <f>Población!K19</f>
        <v>17788768</v>
      </c>
      <c r="S179" s="30">
        <f t="shared" si="45"/>
        <v>1017819796345856</v>
      </c>
      <c r="T179" s="53">
        <f t="shared" si="46"/>
        <v>33.552267733290108</v>
      </c>
      <c r="U179" s="29">
        <f t="shared" si="47"/>
        <v>-26553456.580571428</v>
      </c>
      <c r="V179" s="35">
        <f>Población!L19</f>
        <v>17789139</v>
      </c>
      <c r="W179" s="30">
        <f t="shared" si="48"/>
        <v>1017841023849888</v>
      </c>
      <c r="X179" s="53">
        <f t="shared" si="49"/>
        <v>33.349530525288912</v>
      </c>
      <c r="Y179" s="29">
        <f t="shared" si="50"/>
        <v>-17458662.011700142</v>
      </c>
      <c r="Z179" s="35">
        <f>Población!M19</f>
        <v>17729333</v>
      </c>
      <c r="AA179" s="30">
        <f t="shared" si="51"/>
        <v>1014419104426336</v>
      </c>
      <c r="AB179" s="53">
        <f t="shared" si="52"/>
        <v>33.200181774395077</v>
      </c>
      <c r="AC179" s="29">
        <f t="shared" si="53"/>
        <v>-10758874.528738664</v>
      </c>
    </row>
    <row r="180" spans="1:29" x14ac:dyDescent="0.2">
      <c r="A180" s="27" t="s">
        <v>162</v>
      </c>
      <c r="B180" s="27" t="s">
        <v>65</v>
      </c>
      <c r="C180" s="51">
        <v>2392800</v>
      </c>
      <c r="E180" s="52">
        <f t="shared" si="36"/>
        <v>2392800</v>
      </c>
      <c r="F180" s="45">
        <v>4945881</v>
      </c>
      <c r="G180" s="35">
        <f>Población!D20</f>
        <v>4889574</v>
      </c>
      <c r="H180" s="35">
        <f>'Fondos 2027'!$B$25</f>
        <v>4486001685.895587</v>
      </c>
      <c r="I180" s="30">
        <f t="shared" si="37"/>
        <v>11834504056800</v>
      </c>
      <c r="J180" s="30">
        <f t="shared" si="38"/>
        <v>11699772667200</v>
      </c>
      <c r="K180" s="53">
        <f t="shared" si="39"/>
        <v>0.38823396033493257</v>
      </c>
      <c r="L180" s="54">
        <v>0.38823400000000002</v>
      </c>
      <c r="M180" s="55">
        <f t="shared" si="40"/>
        <v>-3.9665067452787639E-8</v>
      </c>
      <c r="N180" s="53">
        <f t="shared" si="41"/>
        <v>0.38266936666421453</v>
      </c>
      <c r="O180" s="23">
        <f t="shared" si="42"/>
        <v>17416182.00584428</v>
      </c>
      <c r="P180" s="23">
        <f t="shared" si="43"/>
        <v>17166554.239962626</v>
      </c>
      <c r="Q180" s="29">
        <f t="shared" si="44"/>
        <v>-249627.76588165388</v>
      </c>
      <c r="R180" s="35">
        <f>Población!K20</f>
        <v>4950874</v>
      </c>
      <c r="S180" s="30">
        <f t="shared" si="45"/>
        <v>11846451307200</v>
      </c>
      <c r="T180" s="53">
        <f t="shared" si="46"/>
        <v>0.39051638352443341</v>
      </c>
      <c r="U180" s="29">
        <f t="shared" si="47"/>
        <v>-352017.30864192994</v>
      </c>
      <c r="V180" s="35">
        <f>Población!L20</f>
        <v>4940153</v>
      </c>
      <c r="W180" s="30">
        <f t="shared" si="48"/>
        <v>11820798098400</v>
      </c>
      <c r="X180" s="53">
        <f t="shared" si="49"/>
        <v>0.3873080940722699</v>
      </c>
      <c r="Y180" s="29">
        <f t="shared" si="50"/>
        <v>-208093.38972946486</v>
      </c>
      <c r="Z180" s="35">
        <f>Población!M20</f>
        <v>4915546</v>
      </c>
      <c r="AA180" s="30">
        <f t="shared" si="51"/>
        <v>11761918468800</v>
      </c>
      <c r="AB180" s="53">
        <f t="shared" si="52"/>
        <v>0.38494723677409937</v>
      </c>
      <c r="AC180" s="29">
        <f t="shared" si="53"/>
        <v>-102185.29153194552</v>
      </c>
    </row>
    <row r="181" spans="1:29" x14ac:dyDescent="0.2">
      <c r="A181" s="27" t="s">
        <v>162</v>
      </c>
      <c r="B181" s="27" t="s">
        <v>66</v>
      </c>
      <c r="C181" s="51">
        <v>0</v>
      </c>
      <c r="E181" s="52">
        <f t="shared" si="36"/>
        <v>0</v>
      </c>
      <c r="F181" s="45">
        <v>1988503</v>
      </c>
      <c r="G181" s="35">
        <f>Población!D21</f>
        <v>1997217</v>
      </c>
      <c r="H181" s="35">
        <f>'Fondos 2027'!$B$25</f>
        <v>4486001685.895587</v>
      </c>
      <c r="I181" s="30">
        <f t="shared" si="37"/>
        <v>0</v>
      </c>
      <c r="J181" s="30">
        <f t="shared" si="38"/>
        <v>0</v>
      </c>
      <c r="K181" s="53">
        <f t="shared" si="39"/>
        <v>0</v>
      </c>
      <c r="L181" s="54">
        <v>0</v>
      </c>
      <c r="M181" s="55">
        <f t="shared" si="40"/>
        <v>0</v>
      </c>
      <c r="N181" s="53">
        <f t="shared" si="41"/>
        <v>0</v>
      </c>
      <c r="O181" s="23">
        <f t="shared" si="42"/>
        <v>0</v>
      </c>
      <c r="P181" s="23">
        <f t="shared" si="43"/>
        <v>0</v>
      </c>
      <c r="Q181" s="29">
        <f t="shared" si="44"/>
        <v>0</v>
      </c>
      <c r="R181" s="35">
        <f>Población!K21</f>
        <v>1984308</v>
      </c>
      <c r="S181" s="30">
        <f t="shared" si="45"/>
        <v>0</v>
      </c>
      <c r="T181" s="53">
        <f t="shared" si="46"/>
        <v>0</v>
      </c>
      <c r="U181" s="29">
        <f t="shared" si="47"/>
        <v>0</v>
      </c>
      <c r="V181" s="35">
        <f>Población!L21</f>
        <v>1984462</v>
      </c>
      <c r="W181" s="30">
        <f t="shared" si="48"/>
        <v>0</v>
      </c>
      <c r="X181" s="53">
        <f t="shared" si="49"/>
        <v>0</v>
      </c>
      <c r="Y181" s="29">
        <f t="shared" si="50"/>
        <v>0</v>
      </c>
      <c r="Z181" s="35">
        <f>Población!M21</f>
        <v>1994177</v>
      </c>
      <c r="AA181" s="30">
        <f t="shared" si="51"/>
        <v>0</v>
      </c>
      <c r="AB181" s="53">
        <f t="shared" si="52"/>
        <v>0</v>
      </c>
      <c r="AC181" s="29">
        <f t="shared" si="53"/>
        <v>0</v>
      </c>
    </row>
    <row r="182" spans="1:29" x14ac:dyDescent="0.2">
      <c r="A182" s="27" t="s">
        <v>162</v>
      </c>
      <c r="B182" s="27" t="s">
        <v>67</v>
      </c>
      <c r="C182" s="51">
        <v>0</v>
      </c>
      <c r="E182" s="52">
        <f t="shared" si="36"/>
        <v>0</v>
      </c>
      <c r="F182" s="45">
        <v>1279298</v>
      </c>
      <c r="G182" s="35">
        <f>Población!D22</f>
        <v>1299075</v>
      </c>
      <c r="H182" s="35">
        <f>'Fondos 2027'!$B$25</f>
        <v>4486001685.895587</v>
      </c>
      <c r="I182" s="30">
        <f t="shared" si="37"/>
        <v>0</v>
      </c>
      <c r="J182" s="30">
        <f t="shared" si="38"/>
        <v>0</v>
      </c>
      <c r="K182" s="53">
        <f t="shared" si="39"/>
        <v>0</v>
      </c>
      <c r="L182" s="54">
        <v>0</v>
      </c>
      <c r="M182" s="55">
        <f t="shared" si="40"/>
        <v>0</v>
      </c>
      <c r="N182" s="53">
        <f t="shared" si="41"/>
        <v>0</v>
      </c>
      <c r="O182" s="23">
        <f t="shared" si="42"/>
        <v>0</v>
      </c>
      <c r="P182" s="23">
        <f t="shared" si="43"/>
        <v>0</v>
      </c>
      <c r="Q182" s="29">
        <f t="shared" si="44"/>
        <v>0</v>
      </c>
      <c r="R182" s="35">
        <f>Población!K22</f>
        <v>1245276</v>
      </c>
      <c r="S182" s="30">
        <f t="shared" si="45"/>
        <v>0</v>
      </c>
      <c r="T182" s="53">
        <f t="shared" si="46"/>
        <v>0</v>
      </c>
      <c r="U182" s="29">
        <f t="shared" si="47"/>
        <v>0</v>
      </c>
      <c r="V182" s="35">
        <f>Población!L22</f>
        <v>1257616</v>
      </c>
      <c r="W182" s="30">
        <f t="shared" si="48"/>
        <v>0</v>
      </c>
      <c r="X182" s="53">
        <f t="shared" si="49"/>
        <v>0</v>
      </c>
      <c r="Y182" s="29">
        <f t="shared" si="50"/>
        <v>0</v>
      </c>
      <c r="Z182" s="35">
        <f>Población!M22</f>
        <v>1301047</v>
      </c>
      <c r="AA182" s="30">
        <f t="shared" si="51"/>
        <v>0</v>
      </c>
      <c r="AB182" s="53">
        <f t="shared" si="52"/>
        <v>0</v>
      </c>
      <c r="AC182" s="29">
        <f t="shared" si="53"/>
        <v>0</v>
      </c>
    </row>
    <row r="183" spans="1:29" x14ac:dyDescent="0.2">
      <c r="A183" s="27" t="s">
        <v>162</v>
      </c>
      <c r="B183" s="27" t="s">
        <v>68</v>
      </c>
      <c r="C183" s="51">
        <v>96441650</v>
      </c>
      <c r="E183" s="52">
        <f t="shared" si="36"/>
        <v>96441650</v>
      </c>
      <c r="F183" s="45">
        <v>6234433</v>
      </c>
      <c r="G183" s="35">
        <f>Población!D23</f>
        <v>6291899</v>
      </c>
      <c r="H183" s="35">
        <f>'Fondos 2027'!$B$25</f>
        <v>4486001685.895587</v>
      </c>
      <c r="I183" s="30">
        <f t="shared" si="37"/>
        <v>601259005334450</v>
      </c>
      <c r="J183" s="30">
        <f t="shared" si="38"/>
        <v>606801121193350</v>
      </c>
      <c r="K183" s="53">
        <f t="shared" si="39"/>
        <v>19.724456868465861</v>
      </c>
      <c r="L183" s="54">
        <v>19.724457000000001</v>
      </c>
      <c r="M183" s="55">
        <f t="shared" si="40"/>
        <v>-1.3153414002431418E-7</v>
      </c>
      <c r="N183" s="53">
        <f t="shared" si="41"/>
        <v>19.846898511897823</v>
      </c>
      <c r="O183" s="23">
        <f t="shared" si="42"/>
        <v>884839467.65312648</v>
      </c>
      <c r="P183" s="23">
        <f t="shared" si="43"/>
        <v>890332201.84172249</v>
      </c>
      <c r="Q183" s="29">
        <f t="shared" si="44"/>
        <v>5492734.1885960102</v>
      </c>
      <c r="R183" s="35">
        <f>Población!K23</f>
        <v>6152311</v>
      </c>
      <c r="S183" s="30">
        <f t="shared" si="45"/>
        <v>593339024153150</v>
      </c>
      <c r="T183" s="53">
        <f t="shared" si="46"/>
        <v>19.559326578701032</v>
      </c>
      <c r="U183" s="29">
        <f t="shared" si="47"/>
        <v>12900481.771370566</v>
      </c>
      <c r="V183" s="35">
        <f>Población!L23</f>
        <v>6310265</v>
      </c>
      <c r="W183" s="30">
        <f t="shared" si="48"/>
        <v>608572368537250</v>
      </c>
      <c r="X183" s="53">
        <f t="shared" si="49"/>
        <v>19.939855346578764</v>
      </c>
      <c r="Y183" s="29">
        <f t="shared" si="50"/>
        <v>-4170045.1709421603</v>
      </c>
      <c r="Z183" s="35">
        <f>Población!M23</f>
        <v>6282446</v>
      </c>
      <c r="AA183" s="30">
        <f t="shared" si="51"/>
        <v>605889458275900</v>
      </c>
      <c r="AB183" s="53">
        <f t="shared" si="52"/>
        <v>19.829713441098125</v>
      </c>
      <c r="AC183" s="29">
        <f t="shared" si="53"/>
        <v>770922.56579680752</v>
      </c>
    </row>
    <row r="184" spans="1:29" x14ac:dyDescent="0.2">
      <c r="A184" s="27" t="s">
        <v>162</v>
      </c>
      <c r="B184" s="27" t="s">
        <v>69</v>
      </c>
      <c r="C184" s="51">
        <v>0</v>
      </c>
      <c r="E184" s="52">
        <f t="shared" si="36"/>
        <v>0</v>
      </c>
      <c r="F184" s="45">
        <v>4178688</v>
      </c>
      <c r="G184" s="35">
        <f>Población!D24</f>
        <v>4169180</v>
      </c>
      <c r="H184" s="35">
        <f>'Fondos 2027'!$B$25</f>
        <v>4486001685.895587</v>
      </c>
      <c r="I184" s="30">
        <f t="shared" si="37"/>
        <v>0</v>
      </c>
      <c r="J184" s="30">
        <f t="shared" si="38"/>
        <v>0</v>
      </c>
      <c r="K184" s="53">
        <f t="shared" si="39"/>
        <v>0</v>
      </c>
      <c r="L184" s="54">
        <v>0</v>
      </c>
      <c r="M184" s="55">
        <f t="shared" si="40"/>
        <v>0</v>
      </c>
      <c r="N184" s="53">
        <f t="shared" si="41"/>
        <v>0</v>
      </c>
      <c r="O184" s="23">
        <f t="shared" si="42"/>
        <v>0</v>
      </c>
      <c r="P184" s="23">
        <f t="shared" si="43"/>
        <v>0</v>
      </c>
      <c r="Q184" s="29">
        <f t="shared" si="44"/>
        <v>0</v>
      </c>
      <c r="R184" s="35">
        <f>Población!K24</f>
        <v>4232451</v>
      </c>
      <c r="S184" s="30">
        <f t="shared" si="45"/>
        <v>0</v>
      </c>
      <c r="T184" s="53">
        <f t="shared" si="46"/>
        <v>0</v>
      </c>
      <c r="U184" s="29">
        <f t="shared" si="47"/>
        <v>0</v>
      </c>
      <c r="V184" s="35">
        <f>Población!L24</f>
        <v>4190375</v>
      </c>
      <c r="W184" s="30">
        <f t="shared" si="48"/>
        <v>0</v>
      </c>
      <c r="X184" s="53">
        <f t="shared" si="49"/>
        <v>0</v>
      </c>
      <c r="Y184" s="29">
        <f t="shared" si="50"/>
        <v>0</v>
      </c>
      <c r="Z184" s="35">
        <f>Población!M24</f>
        <v>4168743</v>
      </c>
      <c r="AA184" s="30">
        <f t="shared" si="51"/>
        <v>0</v>
      </c>
      <c r="AB184" s="53">
        <f t="shared" si="52"/>
        <v>0</v>
      </c>
      <c r="AC184" s="29">
        <f t="shared" si="53"/>
        <v>0</v>
      </c>
    </row>
    <row r="185" spans="1:29" x14ac:dyDescent="0.2">
      <c r="A185" s="27" t="s">
        <v>162</v>
      </c>
      <c r="B185" s="27" t="s">
        <v>70</v>
      </c>
      <c r="C185" s="51">
        <v>39344791</v>
      </c>
      <c r="E185" s="52">
        <f t="shared" si="36"/>
        <v>39344791</v>
      </c>
      <c r="F185" s="45">
        <v>6638706</v>
      </c>
      <c r="G185" s="35">
        <f>Población!D25</f>
        <v>6851933</v>
      </c>
      <c r="H185" s="35">
        <f>'Fondos 2027'!$B$25</f>
        <v>4486001685.895587</v>
      </c>
      <c r="I185" s="30">
        <f t="shared" si="37"/>
        <v>261198500080446</v>
      </c>
      <c r="J185" s="30">
        <f t="shared" si="38"/>
        <v>269587871831003</v>
      </c>
      <c r="K185" s="53">
        <f t="shared" si="39"/>
        <v>8.5686842163452308</v>
      </c>
      <c r="L185" s="54">
        <v>8.5686839999999993</v>
      </c>
      <c r="M185" s="55">
        <f t="shared" si="40"/>
        <v>2.163452315073755E-7</v>
      </c>
      <c r="N185" s="53">
        <f t="shared" si="41"/>
        <v>8.8175234774550884</v>
      </c>
      <c r="O185" s="23">
        <f t="shared" si="42"/>
        <v>384391318.40431613</v>
      </c>
      <c r="P185" s="23">
        <f t="shared" si="43"/>
        <v>395554251.85287446</v>
      </c>
      <c r="Q185" s="29">
        <f t="shared" si="44"/>
        <v>11162933.448558331</v>
      </c>
      <c r="R185" s="35">
        <f>Población!K25</f>
        <v>6629599</v>
      </c>
      <c r="S185" s="30">
        <f t="shared" si="45"/>
        <v>260840187068809</v>
      </c>
      <c r="T185" s="53">
        <f t="shared" si="46"/>
        <v>8.5985552880328271</v>
      </c>
      <c r="U185" s="29">
        <f t="shared" si="47"/>
        <v>9822916.669057684</v>
      </c>
      <c r="V185" s="35">
        <f>Población!L25</f>
        <v>6624540</v>
      </c>
      <c r="W185" s="30">
        <f t="shared" si="48"/>
        <v>260641141771140</v>
      </c>
      <c r="X185" s="53">
        <f t="shared" si="49"/>
        <v>8.5398991688948964</v>
      </c>
      <c r="Y185" s="29">
        <f t="shared" si="50"/>
        <v>12454231.162466178</v>
      </c>
      <c r="Z185" s="35">
        <f>Población!M25</f>
        <v>6703850</v>
      </c>
      <c r="AA185" s="30">
        <f t="shared" si="51"/>
        <v>263761577145350</v>
      </c>
      <c r="AB185" s="53">
        <f t="shared" si="52"/>
        <v>8.6324599646404341</v>
      </c>
      <c r="AC185" s="29">
        <f t="shared" si="53"/>
        <v>8301952.3048429862</v>
      </c>
    </row>
    <row r="186" spans="1:29" x14ac:dyDescent="0.2">
      <c r="A186" s="27" t="s">
        <v>162</v>
      </c>
      <c r="B186" s="27" t="s">
        <v>71</v>
      </c>
      <c r="C186" s="51">
        <v>0</v>
      </c>
      <c r="E186" s="52">
        <f t="shared" si="36"/>
        <v>0</v>
      </c>
      <c r="F186" s="45">
        <v>2535155</v>
      </c>
      <c r="G186" s="35">
        <f>Población!D26</f>
        <v>2606836</v>
      </c>
      <c r="H186" s="35">
        <f>'Fondos 2027'!$B$25</f>
        <v>4486001685.895587</v>
      </c>
      <c r="I186" s="30">
        <f t="shared" si="37"/>
        <v>0</v>
      </c>
      <c r="J186" s="30">
        <f t="shared" si="38"/>
        <v>0</v>
      </c>
      <c r="K186" s="53">
        <f t="shared" si="39"/>
        <v>0</v>
      </c>
      <c r="L186" s="54">
        <v>0</v>
      </c>
      <c r="M186" s="55">
        <f t="shared" si="40"/>
        <v>0</v>
      </c>
      <c r="N186" s="53">
        <f t="shared" si="41"/>
        <v>0</v>
      </c>
      <c r="O186" s="23">
        <f t="shared" si="42"/>
        <v>0</v>
      </c>
      <c r="P186" s="23">
        <f t="shared" si="43"/>
        <v>0</v>
      </c>
      <c r="Q186" s="29">
        <f t="shared" si="44"/>
        <v>0</v>
      </c>
      <c r="R186" s="35">
        <f>Población!K26</f>
        <v>2528745</v>
      </c>
      <c r="S186" s="30">
        <f t="shared" si="45"/>
        <v>0</v>
      </c>
      <c r="T186" s="53">
        <f t="shared" si="46"/>
        <v>0</v>
      </c>
      <c r="U186" s="29">
        <f t="shared" si="47"/>
        <v>0</v>
      </c>
      <c r="V186" s="35">
        <f>Población!L26</f>
        <v>2498744</v>
      </c>
      <c r="W186" s="30">
        <f t="shared" si="48"/>
        <v>0</v>
      </c>
      <c r="X186" s="53">
        <f t="shared" si="49"/>
        <v>0</v>
      </c>
      <c r="Y186" s="29">
        <f t="shared" si="50"/>
        <v>0</v>
      </c>
      <c r="Z186" s="35">
        <f>Población!M26</f>
        <v>2567272</v>
      </c>
      <c r="AA186" s="30">
        <f t="shared" si="51"/>
        <v>0</v>
      </c>
      <c r="AB186" s="53">
        <f t="shared" si="52"/>
        <v>0</v>
      </c>
      <c r="AC186" s="29">
        <f t="shared" si="53"/>
        <v>0</v>
      </c>
    </row>
    <row r="187" spans="1:29" x14ac:dyDescent="0.2">
      <c r="A187" s="27" t="s">
        <v>162</v>
      </c>
      <c r="B187" s="27" t="s">
        <v>72</v>
      </c>
      <c r="C187" s="51">
        <v>230552</v>
      </c>
      <c r="E187" s="52">
        <f t="shared" si="36"/>
        <v>230552</v>
      </c>
      <c r="F187" s="45">
        <v>1975372</v>
      </c>
      <c r="G187" s="35">
        <f>Población!D27</f>
        <v>2100792</v>
      </c>
      <c r="H187" s="35">
        <f>'Fondos 2027'!$B$25</f>
        <v>4486001685.895587</v>
      </c>
      <c r="I187" s="30">
        <f t="shared" si="37"/>
        <v>455425965344</v>
      </c>
      <c r="J187" s="30">
        <f t="shared" si="38"/>
        <v>484341797184</v>
      </c>
      <c r="K187" s="53">
        <f t="shared" si="39"/>
        <v>1.4940366348792315E-2</v>
      </c>
      <c r="L187" s="54">
        <v>1.494E-2</v>
      </c>
      <c r="M187" s="55">
        <f t="shared" si="40"/>
        <v>3.6634879231438322E-7</v>
      </c>
      <c r="N187" s="53">
        <f t="shared" si="41"/>
        <v>1.5841570092811477E-2</v>
      </c>
      <c r="O187" s="23">
        <f t="shared" si="42"/>
        <v>670225.08628580021</v>
      </c>
      <c r="P187" s="23">
        <f t="shared" si="43"/>
        <v>710653.10143585398</v>
      </c>
      <c r="Q187" s="29">
        <f t="shared" si="44"/>
        <v>40428.015150053776</v>
      </c>
      <c r="R187" s="35">
        <f>Población!K27</f>
        <v>1905221</v>
      </c>
      <c r="S187" s="30">
        <f t="shared" si="45"/>
        <v>439252511992</v>
      </c>
      <c r="T187" s="53">
        <f t="shared" si="46"/>
        <v>1.4479889208077312E-2</v>
      </c>
      <c r="U187" s="29">
        <f t="shared" si="47"/>
        <v>61085.027445692584</v>
      </c>
      <c r="V187" s="35">
        <f>Población!L27</f>
        <v>1920249</v>
      </c>
      <c r="W187" s="30">
        <f t="shared" si="48"/>
        <v>442717247448</v>
      </c>
      <c r="X187" s="53">
        <f t="shared" si="49"/>
        <v>1.4505617293743929E-2</v>
      </c>
      <c r="Y187" s="29">
        <f t="shared" si="50"/>
        <v>59930.865088939478</v>
      </c>
      <c r="Z187" s="35">
        <f>Población!M27</f>
        <v>2025213</v>
      </c>
      <c r="AA187" s="30">
        <f t="shared" si="51"/>
        <v>466916907576</v>
      </c>
      <c r="AB187" s="53">
        <f t="shared" si="52"/>
        <v>1.5281382357076174E-2</v>
      </c>
      <c r="AC187" s="29">
        <f t="shared" si="53"/>
        <v>25130.031269265997</v>
      </c>
    </row>
    <row r="188" spans="1:29" x14ac:dyDescent="0.2">
      <c r="A188" s="27" t="s">
        <v>162</v>
      </c>
      <c r="B188" s="27" t="s">
        <v>73</v>
      </c>
      <c r="C188" s="51">
        <v>61358401</v>
      </c>
      <c r="E188" s="52">
        <f t="shared" si="36"/>
        <v>61358401</v>
      </c>
      <c r="F188" s="45">
        <v>2951151</v>
      </c>
      <c r="G188" s="35">
        <f>Población!D28</f>
        <v>2889524</v>
      </c>
      <c r="H188" s="35">
        <f>'Fondos 2027'!$B$25</f>
        <v>4486001685.895587</v>
      </c>
      <c r="I188" s="30">
        <f t="shared" si="37"/>
        <v>181077906469551</v>
      </c>
      <c r="J188" s="30">
        <f t="shared" si="38"/>
        <v>177296572291124</v>
      </c>
      <c r="K188" s="53">
        <f t="shared" si="39"/>
        <v>5.9403074620130116</v>
      </c>
      <c r="L188" s="54">
        <v>5.9403069999999998</v>
      </c>
      <c r="M188" s="55">
        <f t="shared" si="40"/>
        <v>4.6201301184822796E-7</v>
      </c>
      <c r="N188" s="53">
        <f t="shared" si="41"/>
        <v>5.7989132746642928</v>
      </c>
      <c r="O188" s="23">
        <f t="shared" si="42"/>
        <v>266482292.89328504</v>
      </c>
      <c r="P188" s="23">
        <f t="shared" si="43"/>
        <v>260139347.26506317</v>
      </c>
      <c r="Q188" s="29">
        <f t="shared" si="44"/>
        <v>-6342945.6282218695</v>
      </c>
      <c r="R188" s="35">
        <f>Población!K28</f>
        <v>2885526</v>
      </c>
      <c r="S188" s="30">
        <f t="shared" si="45"/>
        <v>177051261403926</v>
      </c>
      <c r="T188" s="53">
        <f t="shared" si="46"/>
        <v>5.8364666775676293</v>
      </c>
      <c r="U188" s="29">
        <f t="shared" si="47"/>
        <v>-1684646.2873548341</v>
      </c>
      <c r="V188" s="35">
        <f>Población!L28</f>
        <v>2924773</v>
      </c>
      <c r="W188" s="30">
        <f t="shared" si="48"/>
        <v>179459394567973</v>
      </c>
      <c r="X188" s="53">
        <f t="shared" si="49"/>
        <v>5.8799816640885743</v>
      </c>
      <c r="Y188" s="29">
        <f t="shared" si="50"/>
        <v>-3636729.3163016639</v>
      </c>
      <c r="Z188" s="35">
        <f>Población!M28</f>
        <v>2936529</v>
      </c>
      <c r="AA188" s="30">
        <f t="shared" si="51"/>
        <v>180180723930129</v>
      </c>
      <c r="AB188" s="53">
        <f t="shared" si="52"/>
        <v>5.8970032806167207</v>
      </c>
      <c r="AC188" s="29">
        <f t="shared" si="53"/>
        <v>-4400319.3207209976</v>
      </c>
    </row>
    <row r="189" spans="1:29" x14ac:dyDescent="0.2">
      <c r="A189" s="27" t="s">
        <v>162</v>
      </c>
      <c r="B189" s="27" t="s">
        <v>74</v>
      </c>
      <c r="C189" s="51">
        <v>6492340</v>
      </c>
      <c r="E189" s="52">
        <f t="shared" si="36"/>
        <v>6492340</v>
      </c>
      <c r="F189" s="45">
        <v>3085699</v>
      </c>
      <c r="G189" s="35">
        <f>Población!D29</f>
        <v>3102935</v>
      </c>
      <c r="H189" s="35">
        <f>'Fondos 2027'!$B$25</f>
        <v>4486001685.895587</v>
      </c>
      <c r="I189" s="30">
        <f t="shared" si="37"/>
        <v>20033407045660</v>
      </c>
      <c r="J189" s="30">
        <f t="shared" si="38"/>
        <v>20145309017900</v>
      </c>
      <c r="K189" s="53">
        <f t="shared" si="39"/>
        <v>0.65720108920570741</v>
      </c>
      <c r="L189" s="54">
        <v>0.65720100000000004</v>
      </c>
      <c r="M189" s="55">
        <f t="shared" si="40"/>
        <v>8.9205707376471821E-8</v>
      </c>
      <c r="N189" s="53">
        <f t="shared" si="41"/>
        <v>0.6589010626459979</v>
      </c>
      <c r="O189" s="23">
        <f t="shared" si="42"/>
        <v>29482051.941492192</v>
      </c>
      <c r="P189" s="23">
        <f t="shared" si="43"/>
        <v>29558312.778683402</v>
      </c>
      <c r="Q189" s="29">
        <f t="shared" si="44"/>
        <v>76260.837191209197</v>
      </c>
      <c r="R189" s="35">
        <f>Población!K29</f>
        <v>3144666</v>
      </c>
      <c r="S189" s="30">
        <f t="shared" si="45"/>
        <v>20416240858440</v>
      </c>
      <c r="T189" s="53">
        <f t="shared" si="46"/>
        <v>0.6730181333169396</v>
      </c>
      <c r="U189" s="29">
        <f t="shared" si="47"/>
        <v>-633292.02829751617</v>
      </c>
      <c r="V189" s="35">
        <f>Población!L29</f>
        <v>3135869</v>
      </c>
      <c r="W189" s="30">
        <f t="shared" si="48"/>
        <v>20359127743460</v>
      </c>
      <c r="X189" s="53">
        <f t="shared" si="49"/>
        <v>0.66706620802200078</v>
      </c>
      <c r="Y189" s="29">
        <f t="shared" si="50"/>
        <v>-366288.55922331475</v>
      </c>
      <c r="Z189" s="35">
        <f>Población!M29</f>
        <v>3105420</v>
      </c>
      <c r="AA189" s="30">
        <f t="shared" si="51"/>
        <v>20161442482800</v>
      </c>
      <c r="AB189" s="53">
        <f t="shared" si="52"/>
        <v>0.65984912186911426</v>
      </c>
      <c r="AC189" s="29">
        <f t="shared" si="53"/>
        <v>-42529.952732288504</v>
      </c>
    </row>
    <row r="190" spans="1:29" x14ac:dyDescent="0.2">
      <c r="A190" s="27" t="s">
        <v>162</v>
      </c>
      <c r="B190" s="27" t="s">
        <v>75</v>
      </c>
      <c r="C190" s="51">
        <v>58182093</v>
      </c>
      <c r="E190" s="52">
        <f t="shared" si="36"/>
        <v>58182093</v>
      </c>
      <c r="F190" s="45">
        <v>3035624</v>
      </c>
      <c r="G190" s="35">
        <f>Población!D30</f>
        <v>3049889</v>
      </c>
      <c r="H190" s="35">
        <f>'Fondos 2027'!$B$25</f>
        <v>4486001685.895587</v>
      </c>
      <c r="I190" s="30">
        <f t="shared" si="37"/>
        <v>176618957881032</v>
      </c>
      <c r="J190" s="30">
        <f t="shared" si="38"/>
        <v>177448925437677</v>
      </c>
      <c r="K190" s="53">
        <f t="shared" si="39"/>
        <v>5.7940305026117498</v>
      </c>
      <c r="L190" s="54">
        <v>5.7940300000000002</v>
      </c>
      <c r="M190" s="55">
        <f t="shared" si="40"/>
        <v>5.0261174955323895E-7</v>
      </c>
      <c r="N190" s="53">
        <f t="shared" si="41"/>
        <v>5.8038963528624006</v>
      </c>
      <c r="O190" s="23">
        <f t="shared" si="42"/>
        <v>259920306.02846763</v>
      </c>
      <c r="P190" s="23">
        <f t="shared" si="43"/>
        <v>260362888.23703977</v>
      </c>
      <c r="Q190" s="29">
        <f t="shared" si="44"/>
        <v>442582.20857214928</v>
      </c>
      <c r="R190" s="35">
        <f>Población!K30</f>
        <v>3042242</v>
      </c>
      <c r="S190" s="30">
        <f t="shared" si="45"/>
        <v>177004006972506</v>
      </c>
      <c r="T190" s="53">
        <f t="shared" si="46"/>
        <v>5.8349089427502472</v>
      </c>
      <c r="U190" s="29">
        <f t="shared" si="47"/>
        <v>-1391225.3052086832</v>
      </c>
      <c r="V190" s="35">
        <f>Población!L30</f>
        <v>3032476</v>
      </c>
      <c r="W190" s="30">
        <f t="shared" si="48"/>
        <v>176435800652268</v>
      </c>
      <c r="X190" s="53">
        <f t="shared" si="49"/>
        <v>5.7809137004035565</v>
      </c>
      <c r="Y190" s="29">
        <f t="shared" si="50"/>
        <v>1031002.1767672709</v>
      </c>
      <c r="Z190" s="35">
        <f>Población!M30</f>
        <v>3057789</v>
      </c>
      <c r="AA190" s="30">
        <f t="shared" si="51"/>
        <v>177908563972377</v>
      </c>
      <c r="AB190" s="53">
        <f t="shared" si="52"/>
        <v>5.8226394173094258</v>
      </c>
      <c r="AC190" s="29">
        <f t="shared" si="53"/>
        <v>-840814.18708204804</v>
      </c>
    </row>
    <row r="191" spans="1:29" x14ac:dyDescent="0.2">
      <c r="A191" s="27" t="s">
        <v>162</v>
      </c>
      <c r="B191" s="27" t="s">
        <v>76</v>
      </c>
      <c r="C191" s="51">
        <v>0</v>
      </c>
      <c r="E191" s="52">
        <f t="shared" si="36"/>
        <v>0</v>
      </c>
      <c r="F191" s="45">
        <v>2578825</v>
      </c>
      <c r="G191" s="35">
        <f>Población!D31</f>
        <v>2527009</v>
      </c>
      <c r="H191" s="35">
        <f>'Fondos 2027'!$B$25</f>
        <v>4486001685.895587</v>
      </c>
      <c r="I191" s="30">
        <f t="shared" si="37"/>
        <v>0</v>
      </c>
      <c r="J191" s="30">
        <f t="shared" si="38"/>
        <v>0</v>
      </c>
      <c r="K191" s="53">
        <f t="shared" si="39"/>
        <v>0</v>
      </c>
      <c r="L191" s="54">
        <v>0</v>
      </c>
      <c r="M191" s="55">
        <f t="shared" si="40"/>
        <v>0</v>
      </c>
      <c r="N191" s="53">
        <f t="shared" si="41"/>
        <v>0</v>
      </c>
      <c r="O191" s="23">
        <f t="shared" si="42"/>
        <v>0</v>
      </c>
      <c r="P191" s="23">
        <f t="shared" si="43"/>
        <v>0</v>
      </c>
      <c r="Q191" s="29">
        <f t="shared" si="44"/>
        <v>0</v>
      </c>
      <c r="R191" s="35">
        <f>Población!K31</f>
        <v>2554147</v>
      </c>
      <c r="S191" s="30">
        <f t="shared" si="45"/>
        <v>0</v>
      </c>
      <c r="T191" s="53">
        <f t="shared" si="46"/>
        <v>0</v>
      </c>
      <c r="U191" s="29">
        <f t="shared" si="47"/>
        <v>0</v>
      </c>
      <c r="V191" s="35">
        <f>Población!L31</f>
        <v>2567516</v>
      </c>
      <c r="W191" s="30">
        <f t="shared" si="48"/>
        <v>0</v>
      </c>
      <c r="X191" s="53">
        <f t="shared" si="49"/>
        <v>0</v>
      </c>
      <c r="Y191" s="29">
        <f t="shared" si="50"/>
        <v>0</v>
      </c>
      <c r="Z191" s="35">
        <f>Población!M31</f>
        <v>2553100</v>
      </c>
      <c r="AA191" s="30">
        <f t="shared" si="51"/>
        <v>0</v>
      </c>
      <c r="AB191" s="53">
        <f t="shared" si="52"/>
        <v>0</v>
      </c>
      <c r="AC191" s="29">
        <f t="shared" si="53"/>
        <v>0</v>
      </c>
    </row>
    <row r="192" spans="1:29" x14ac:dyDescent="0.2">
      <c r="A192" s="27" t="s">
        <v>162</v>
      </c>
      <c r="B192" s="27" t="s">
        <v>77</v>
      </c>
      <c r="C192" s="51">
        <v>6483277</v>
      </c>
      <c r="E192" s="52">
        <f t="shared" si="36"/>
        <v>6483277</v>
      </c>
      <c r="F192" s="45">
        <v>3602540</v>
      </c>
      <c r="G192" s="35">
        <f>Población!D32</f>
        <v>3620715</v>
      </c>
      <c r="H192" s="35">
        <f>'Fondos 2027'!$B$25</f>
        <v>4486001685.895587</v>
      </c>
      <c r="I192" s="30">
        <f t="shared" si="37"/>
        <v>23356264723580</v>
      </c>
      <c r="J192" s="30">
        <f t="shared" si="38"/>
        <v>23474098283055</v>
      </c>
      <c r="K192" s="53">
        <f t="shared" si="39"/>
        <v>0.76620829303415772</v>
      </c>
      <c r="L192" s="54">
        <v>0.766208</v>
      </c>
      <c r="M192" s="55">
        <f t="shared" si="40"/>
        <v>2.930341577167539E-7</v>
      </c>
      <c r="N192" s="53">
        <f t="shared" si="41"/>
        <v>0.76777716785671168</v>
      </c>
      <c r="O192" s="23">
        <f t="shared" si="42"/>
        <v>34372116.942984112</v>
      </c>
      <c r="P192" s="23">
        <f t="shared" si="43"/>
        <v>34442496.693973474</v>
      </c>
      <c r="Q192" s="29">
        <f t="shared" si="44"/>
        <v>70379.750989362597</v>
      </c>
      <c r="R192" s="35">
        <f>Población!K32</f>
        <v>3569939</v>
      </c>
      <c r="S192" s="30">
        <f t="shared" si="45"/>
        <v>23144903410103</v>
      </c>
      <c r="T192" s="53">
        <f t="shared" si="46"/>
        <v>0.76296806042180576</v>
      </c>
      <c r="U192" s="29">
        <f t="shared" si="47"/>
        <v>215736.64060640975</v>
      </c>
      <c r="V192" s="35">
        <f>Población!L32</f>
        <v>3597414</v>
      </c>
      <c r="W192" s="30">
        <f t="shared" si="48"/>
        <v>23323031445678</v>
      </c>
      <c r="X192" s="53">
        <f t="shared" si="49"/>
        <v>0.76417842365786193</v>
      </c>
      <c r="Y192" s="29">
        <f t="shared" si="50"/>
        <v>161439.72543146973</v>
      </c>
      <c r="Z192" s="35">
        <f>Población!M32</f>
        <v>3608877</v>
      </c>
      <c r="AA192" s="30">
        <f t="shared" si="51"/>
        <v>23397349249929</v>
      </c>
      <c r="AB192" s="53">
        <f t="shared" si="52"/>
        <v>0.76575475042530372</v>
      </c>
      <c r="AC192" s="29">
        <f t="shared" si="53"/>
        <v>90725.680068807473</v>
      </c>
    </row>
    <row r="193" spans="1:29" x14ac:dyDescent="0.2">
      <c r="A193" s="27" t="s">
        <v>162</v>
      </c>
      <c r="B193" s="27" t="s">
        <v>78</v>
      </c>
      <c r="C193" s="51">
        <v>0</v>
      </c>
      <c r="E193" s="52">
        <f t="shared" si="36"/>
        <v>0</v>
      </c>
      <c r="F193" s="45">
        <v>1426175</v>
      </c>
      <c r="G193" s="35">
        <f>Población!D33</f>
        <v>1419482</v>
      </c>
      <c r="H193" s="35">
        <f>'Fondos 2027'!$B$25</f>
        <v>4486001685.895587</v>
      </c>
      <c r="I193" s="30">
        <f t="shared" si="37"/>
        <v>0</v>
      </c>
      <c r="J193" s="30">
        <f t="shared" si="38"/>
        <v>0</v>
      </c>
      <c r="K193" s="53">
        <f t="shared" si="39"/>
        <v>0</v>
      </c>
      <c r="L193" s="54">
        <v>0</v>
      </c>
      <c r="M193" s="55">
        <f t="shared" si="40"/>
        <v>0</v>
      </c>
      <c r="N193" s="53">
        <f t="shared" si="41"/>
        <v>0</v>
      </c>
      <c r="O193" s="23">
        <f t="shared" si="42"/>
        <v>0</v>
      </c>
      <c r="P193" s="23">
        <f t="shared" si="43"/>
        <v>0</v>
      </c>
      <c r="Q193" s="29">
        <f t="shared" si="44"/>
        <v>0</v>
      </c>
      <c r="R193" s="35">
        <f>Población!K33</f>
        <v>1476723</v>
      </c>
      <c r="S193" s="30">
        <f t="shared" si="45"/>
        <v>0</v>
      </c>
      <c r="T193" s="53">
        <f t="shared" si="46"/>
        <v>0</v>
      </c>
      <c r="U193" s="29">
        <f t="shared" si="47"/>
        <v>0</v>
      </c>
      <c r="V193" s="35">
        <f>Población!L33</f>
        <v>1449354</v>
      </c>
      <c r="W193" s="30">
        <f t="shared" si="48"/>
        <v>0</v>
      </c>
      <c r="X193" s="53">
        <f t="shared" si="49"/>
        <v>0</v>
      </c>
      <c r="Y193" s="29">
        <f t="shared" si="50"/>
        <v>0</v>
      </c>
      <c r="Z193" s="35">
        <f>Población!M33</f>
        <v>1440130</v>
      </c>
      <c r="AA193" s="30">
        <f t="shared" si="51"/>
        <v>0</v>
      </c>
      <c r="AB193" s="53">
        <f t="shared" si="52"/>
        <v>0</v>
      </c>
      <c r="AC193" s="29">
        <f t="shared" si="53"/>
        <v>0</v>
      </c>
    </row>
    <row r="194" spans="1:29" x14ac:dyDescent="0.2">
      <c r="A194" s="27" t="s">
        <v>162</v>
      </c>
      <c r="B194" s="27" t="s">
        <v>79</v>
      </c>
      <c r="C194" s="51">
        <v>1194590</v>
      </c>
      <c r="E194" s="52">
        <f t="shared" si="36"/>
        <v>1194590</v>
      </c>
      <c r="F194" s="45">
        <v>8066173</v>
      </c>
      <c r="G194" s="35">
        <f>Población!D34</f>
        <v>7917876</v>
      </c>
      <c r="H194" s="35">
        <f>'Fondos 2027'!$B$25</f>
        <v>4486001685.895587</v>
      </c>
      <c r="I194" s="30">
        <f t="shared" si="37"/>
        <v>9635769604070</v>
      </c>
      <c r="J194" s="30">
        <f t="shared" si="38"/>
        <v>9458615490840</v>
      </c>
      <c r="K194" s="53">
        <f t="shared" si="39"/>
        <v>0.31610390907032176</v>
      </c>
      <c r="L194" s="54">
        <v>0.316104</v>
      </c>
      <c r="M194" s="55">
        <f t="shared" si="40"/>
        <v>-9.0929678231432831E-8</v>
      </c>
      <c r="N194" s="53">
        <f t="shared" si="41"/>
        <v>0.30936689988407257</v>
      </c>
      <c r="O194" s="23">
        <f t="shared" si="42"/>
        <v>14180426.690076487</v>
      </c>
      <c r="P194" s="23">
        <f t="shared" si="43"/>
        <v>13878204.344402408</v>
      </c>
      <c r="Q194" s="29">
        <f t="shared" si="44"/>
        <v>-302222.34567407891</v>
      </c>
      <c r="R194" s="35">
        <f>Población!K34</f>
        <v>8113343</v>
      </c>
      <c r="S194" s="30">
        <f t="shared" si="45"/>
        <v>9692118414370</v>
      </c>
      <c r="T194" s="53">
        <f t="shared" si="46"/>
        <v>0.3194991422933503</v>
      </c>
      <c r="U194" s="29">
        <f t="shared" si="47"/>
        <v>-454532.5652992269</v>
      </c>
      <c r="V194" s="35">
        <f>Población!L34</f>
        <v>8068202</v>
      </c>
      <c r="W194" s="30">
        <f t="shared" si="48"/>
        <v>9638193427180</v>
      </c>
      <c r="X194" s="53">
        <f t="shared" si="49"/>
        <v>0.31579511768213325</v>
      </c>
      <c r="Y194" s="29">
        <f t="shared" si="50"/>
        <v>-288369.95879404264</v>
      </c>
      <c r="Z194" s="35">
        <f>Población!M34</f>
        <v>8021469</v>
      </c>
      <c r="AA194" s="30">
        <f t="shared" si="51"/>
        <v>9582366652710</v>
      </c>
      <c r="AB194" s="53">
        <f t="shared" si="52"/>
        <v>0.31361427767942412</v>
      </c>
      <c r="AC194" s="29">
        <f t="shared" si="53"/>
        <v>-190537.43950582575</v>
      </c>
    </row>
    <row r="195" spans="1:29" x14ac:dyDescent="0.2">
      <c r="A195" s="27" t="s">
        <v>162</v>
      </c>
      <c r="B195" s="27" t="s">
        <v>80</v>
      </c>
      <c r="C195" s="51">
        <v>1139906</v>
      </c>
      <c r="E195" s="52">
        <f t="shared" si="36"/>
        <v>1139906</v>
      </c>
      <c r="F195" s="45">
        <v>2456821</v>
      </c>
      <c r="G195" s="35">
        <f>Población!D35</f>
        <v>2506448</v>
      </c>
      <c r="H195" s="35">
        <f>'Fondos 2027'!$B$25</f>
        <v>4486001685.895587</v>
      </c>
      <c r="I195" s="30">
        <f t="shared" si="37"/>
        <v>2800544998826</v>
      </c>
      <c r="J195" s="30">
        <f t="shared" si="38"/>
        <v>2857115113888</v>
      </c>
      <c r="K195" s="53">
        <f t="shared" si="39"/>
        <v>9.1872601570124376E-2</v>
      </c>
      <c r="L195" s="54">
        <v>9.1872999999999996E-2</v>
      </c>
      <c r="M195" s="55">
        <f t="shared" si="40"/>
        <v>-3.9842987561988785E-7</v>
      </c>
      <c r="N195" s="53">
        <f t="shared" si="41"/>
        <v>9.3448861120472765E-2</v>
      </c>
      <c r="O195" s="23">
        <f t="shared" si="42"/>
        <v>4121406.4553119149</v>
      </c>
      <c r="P195" s="23">
        <f t="shared" si="43"/>
        <v>4192117.4853146342</v>
      </c>
      <c r="Q195" s="29">
        <f t="shared" si="44"/>
        <v>70711.030002719257</v>
      </c>
      <c r="R195" s="35">
        <f>Población!K35</f>
        <v>2402017</v>
      </c>
      <c r="S195" s="30">
        <f t="shared" si="45"/>
        <v>2738073590402</v>
      </c>
      <c r="T195" s="53">
        <f t="shared" si="46"/>
        <v>9.0260160500358164E-2</v>
      </c>
      <c r="U195" s="29">
        <f t="shared" si="47"/>
        <v>143045.16357650404</v>
      </c>
      <c r="V195" s="35">
        <f>Población!L35</f>
        <v>2432221</v>
      </c>
      <c r="W195" s="30">
        <f t="shared" si="48"/>
        <v>2772503311226</v>
      </c>
      <c r="X195" s="53">
        <f t="shared" si="49"/>
        <v>9.0840987583177241E-2</v>
      </c>
      <c r="Y195" s="29">
        <f t="shared" si="50"/>
        <v>116989.25084910209</v>
      </c>
      <c r="Z195" s="35">
        <f>Población!M35</f>
        <v>2478837</v>
      </c>
      <c r="AA195" s="30">
        <f t="shared" si="51"/>
        <v>2825641169322</v>
      </c>
      <c r="AB195" s="53">
        <f t="shared" si="52"/>
        <v>9.2478345529342282E-2</v>
      </c>
      <c r="AC195" s="29">
        <f t="shared" si="53"/>
        <v>43537.345779992989</v>
      </c>
    </row>
    <row r="196" spans="1:29" x14ac:dyDescent="0.2">
      <c r="A196" s="27" t="s">
        <v>162</v>
      </c>
      <c r="B196" s="27" t="s">
        <v>81</v>
      </c>
      <c r="C196" s="51">
        <v>0</v>
      </c>
      <c r="E196" s="52">
        <f t="shared" si="36"/>
        <v>0</v>
      </c>
      <c r="F196" s="45">
        <v>1689186</v>
      </c>
      <c r="G196" s="35">
        <f>Población!D36</f>
        <v>1686419</v>
      </c>
      <c r="H196" s="35">
        <f>'Fondos 2027'!$B$25</f>
        <v>4486001685.895587</v>
      </c>
      <c r="I196" s="30">
        <f t="shared" si="37"/>
        <v>0</v>
      </c>
      <c r="J196" s="30">
        <f t="shared" si="38"/>
        <v>0</v>
      </c>
      <c r="K196" s="53">
        <f t="shared" si="39"/>
        <v>0</v>
      </c>
      <c r="L196" s="54">
        <v>0</v>
      </c>
      <c r="M196" s="55">
        <f t="shared" si="40"/>
        <v>0</v>
      </c>
      <c r="N196" s="53">
        <f t="shared" si="41"/>
        <v>0</v>
      </c>
      <c r="O196" s="23">
        <f t="shared" si="42"/>
        <v>0</v>
      </c>
      <c r="P196" s="23">
        <f t="shared" si="43"/>
        <v>0</v>
      </c>
      <c r="Q196" s="29">
        <f t="shared" si="44"/>
        <v>0</v>
      </c>
      <c r="R196" s="35">
        <f>Población!K36</f>
        <v>1695685</v>
      </c>
      <c r="S196" s="30">
        <f t="shared" si="45"/>
        <v>0</v>
      </c>
      <c r="T196" s="53">
        <f t="shared" si="46"/>
        <v>0</v>
      </c>
      <c r="U196" s="29">
        <f t="shared" si="47"/>
        <v>0</v>
      </c>
      <c r="V196" s="35">
        <f>Población!L36</f>
        <v>1703991</v>
      </c>
      <c r="W196" s="30">
        <f t="shared" si="48"/>
        <v>0</v>
      </c>
      <c r="X196" s="53">
        <f t="shared" si="49"/>
        <v>0</v>
      </c>
      <c r="Y196" s="29">
        <f t="shared" si="50"/>
        <v>0</v>
      </c>
      <c r="Z196" s="35">
        <f>Población!M36</f>
        <v>1695141</v>
      </c>
      <c r="AA196" s="30">
        <f t="shared" si="51"/>
        <v>0</v>
      </c>
      <c r="AB196" s="53">
        <f t="shared" si="52"/>
        <v>0</v>
      </c>
      <c r="AC196" s="29">
        <f t="shared" si="53"/>
        <v>0</v>
      </c>
    </row>
    <row r="197" spans="1:29" x14ac:dyDescent="0.2">
      <c r="A197" s="27" t="s">
        <v>164</v>
      </c>
      <c r="B197" s="27" t="s">
        <v>50</v>
      </c>
      <c r="C197" s="51">
        <v>5384140862</v>
      </c>
      <c r="D197" s="51">
        <v>5999239609</v>
      </c>
      <c r="E197" s="52">
        <f t="shared" ref="E197:E260" si="54">IF(D197="",C197,D197/C197)</f>
        <v>1.1142426921519126</v>
      </c>
      <c r="F197" s="45">
        <v>1531396</v>
      </c>
      <c r="G197" s="35">
        <f>Población!D5</f>
        <v>1539174</v>
      </c>
      <c r="H197" s="35">
        <f>'Fondos 2027'!$B$26</f>
        <v>13458005057.686762</v>
      </c>
      <c r="I197" s="30">
        <f t="shared" ref="I197:I260" si="55">E197*F197</f>
        <v>1706346.8017906705</v>
      </c>
      <c r="J197" s="30">
        <f t="shared" ref="J197:J260" si="56">E197*G197</f>
        <v>1715013.3814502279</v>
      </c>
      <c r="K197" s="53">
        <f t="shared" ref="K197:K260" si="57">I197/SUMIFS($I$5:$I$260,$A$5:$A$260,A197)*100</f>
        <v>1.1406447454966484</v>
      </c>
      <c r="L197" s="54">
        <v>1.1406449999999999</v>
      </c>
      <c r="M197" s="55">
        <f t="shared" ref="M197:M260" si="58">K197-L197</f>
        <v>-2.5450335150445369E-7</v>
      </c>
      <c r="N197" s="53">
        <f t="shared" ref="N197:N260" si="59">J197/SUMIFS($J$5:$J$260,$A$5:$A$260,A197)*100</f>
        <v>1.1492152374077569</v>
      </c>
      <c r="O197" s="23">
        <f t="shared" ref="O197:O260" si="60">K197/100*H197</f>
        <v>153508027.53917724</v>
      </c>
      <c r="P197" s="23">
        <f t="shared" ref="P197:P260" si="61">N197/100*H197</f>
        <v>154661444.77404284</v>
      </c>
      <c r="Q197" s="29">
        <f t="shared" ref="Q197:Q260" si="62">P197-O197</f>
        <v>1153417.2348656058</v>
      </c>
      <c r="R197" s="35">
        <f>Población!K5</f>
        <v>1503564</v>
      </c>
      <c r="S197" s="30">
        <f t="shared" ref="S197:S260" si="63">E197*R197</f>
        <v>1675335.1991826983</v>
      </c>
      <c r="T197" s="53">
        <f t="shared" ref="T197:T260" si="64">S197/SUMIFS($S$5:$S$260,$A$5:$A$260,A197)*100</f>
        <v>1.1230409258963454</v>
      </c>
      <c r="U197" s="29">
        <f t="shared" ref="U197:U260" si="65">(N197-T197)/100*H197</f>
        <v>3522540.1670204443</v>
      </c>
      <c r="V197" s="35">
        <f>Población!L5</f>
        <v>1519678</v>
      </c>
      <c r="W197" s="30">
        <f t="shared" ref="W197:W260" si="66">E197*V197</f>
        <v>1693290.1059240343</v>
      </c>
      <c r="X197" s="53">
        <f t="shared" ref="X197:X260" si="67">W197/SUMIFS($W$5:$W$260,$A$5:$A$260,A197)*100</f>
        <v>1.1331689914119107</v>
      </c>
      <c r="Y197" s="29">
        <f t="shared" ref="Y197:Y260" si="68">(N197-X197)/100*H197</f>
        <v>2159504.5976898335</v>
      </c>
      <c r="Z197" s="35">
        <f>Población!M5</f>
        <v>1558219</v>
      </c>
      <c r="AA197" s="30">
        <f t="shared" ref="AA197:AA260" si="69">E197*Z197</f>
        <v>1736234.1335222612</v>
      </c>
      <c r="AB197" s="53">
        <f t="shared" ref="AB197:AB260" si="70">AA197/SUMIFS($AA$5:$AA$260,$A$5:$A$260,A197)*100</f>
        <v>1.1601634286638467</v>
      </c>
      <c r="AC197" s="29">
        <f t="shared" ref="AC197:AC260" si="71">(N197-AB197)/100*H197</f>
        <v>-1473408.1329697866</v>
      </c>
    </row>
    <row r="198" spans="1:29" x14ac:dyDescent="0.2">
      <c r="A198" s="27" t="s">
        <v>164</v>
      </c>
      <c r="B198" s="27" t="s">
        <v>51</v>
      </c>
      <c r="C198" s="51">
        <v>29484012362</v>
      </c>
      <c r="D198" s="51">
        <v>32050362891</v>
      </c>
      <c r="E198" s="52">
        <f t="shared" si="54"/>
        <v>1.087042105989197</v>
      </c>
      <c r="F198" s="45">
        <v>3830329</v>
      </c>
      <c r="G198" s="35">
        <f>Población!D6</f>
        <v>4009678</v>
      </c>
      <c r="H198" s="35">
        <f>'Fondos 2027'!$B$26</f>
        <v>13458005057.686762</v>
      </c>
      <c r="I198" s="30">
        <f t="shared" si="55"/>
        <v>4163728.902791495</v>
      </c>
      <c r="J198" s="30">
        <f t="shared" si="56"/>
        <v>4358688.8174585514</v>
      </c>
      <c r="K198" s="53">
        <f t="shared" si="57"/>
        <v>2.783335421414689</v>
      </c>
      <c r="L198" s="54">
        <v>2.7833350000000001</v>
      </c>
      <c r="M198" s="55">
        <f t="shared" si="58"/>
        <v>4.2141468892253897E-7</v>
      </c>
      <c r="N198" s="53">
        <f t="shared" si="59"/>
        <v>2.9207186709566404</v>
      </c>
      <c r="O198" s="23">
        <f t="shared" si="60"/>
        <v>374581421.786376</v>
      </c>
      <c r="P198" s="23">
        <f t="shared" si="61"/>
        <v>393070466.45814627</v>
      </c>
      <c r="Q198" s="29">
        <f t="shared" si="62"/>
        <v>18489044.671770275</v>
      </c>
      <c r="R198" s="35">
        <f>Población!K6</f>
        <v>3778283</v>
      </c>
      <c r="S198" s="30">
        <f t="shared" si="63"/>
        <v>4107152.7093431815</v>
      </c>
      <c r="T198" s="53">
        <f t="shared" si="64"/>
        <v>2.7531807269068476</v>
      </c>
      <c r="U198" s="29">
        <f t="shared" si="65"/>
        <v>22547264.983765535</v>
      </c>
      <c r="V198" s="35">
        <f>Población!L6</f>
        <v>3790412</v>
      </c>
      <c r="W198" s="30">
        <f t="shared" si="66"/>
        <v>4120337.4430467244</v>
      </c>
      <c r="X198" s="53">
        <f t="shared" si="67"/>
        <v>2.757376664683266</v>
      </c>
      <c r="Y198" s="29">
        <f t="shared" si="68"/>
        <v>21982575.465597749</v>
      </c>
      <c r="Z198" s="35">
        <f>Población!M6</f>
        <v>3862801</v>
      </c>
      <c r="AA198" s="30">
        <f t="shared" si="69"/>
        <v>4199027.3340571765</v>
      </c>
      <c r="AB198" s="53">
        <f t="shared" si="70"/>
        <v>2.8058185557325492</v>
      </c>
      <c r="AC198" s="29">
        <f t="shared" si="71"/>
        <v>15463263.318146106</v>
      </c>
    </row>
    <row r="199" spans="1:29" x14ac:dyDescent="0.2">
      <c r="A199" s="27" t="s">
        <v>164</v>
      </c>
      <c r="B199" s="27" t="s">
        <v>52</v>
      </c>
      <c r="C199" s="51">
        <v>5736083240</v>
      </c>
      <c r="D199" s="51">
        <v>6240882605</v>
      </c>
      <c r="E199" s="52">
        <f t="shared" si="54"/>
        <v>1.0880041909921796</v>
      </c>
      <c r="F199" s="45">
        <v>928591</v>
      </c>
      <c r="G199" s="35">
        <f>Población!D7</f>
        <v>961514</v>
      </c>
      <c r="H199" s="35">
        <f>'Fondos 2027'!$B$26</f>
        <v>13458005057.686762</v>
      </c>
      <c r="I199" s="30">
        <f t="shared" si="55"/>
        <v>1010310.8997176191</v>
      </c>
      <c r="J199" s="30">
        <f t="shared" si="56"/>
        <v>1046131.2616976546</v>
      </c>
      <c r="K199" s="53">
        <f t="shared" si="57"/>
        <v>0.67536436196413197</v>
      </c>
      <c r="L199" s="54">
        <v>0.67536399999999996</v>
      </c>
      <c r="M199" s="55">
        <f t="shared" si="58"/>
        <v>3.6196413200073607E-7</v>
      </c>
      <c r="N199" s="53">
        <f t="shared" si="59"/>
        <v>0.70100326870623697</v>
      </c>
      <c r="O199" s="23">
        <f t="shared" si="60"/>
        <v>90890569.9909468</v>
      </c>
      <c r="P199" s="23">
        <f t="shared" si="61"/>
        <v>94341055.357034892</v>
      </c>
      <c r="Q199" s="29">
        <f t="shared" si="62"/>
        <v>3450485.3660880923</v>
      </c>
      <c r="R199" s="35">
        <f>Población!K7</f>
        <v>881164</v>
      </c>
      <c r="S199" s="30">
        <f t="shared" si="63"/>
        <v>958710.12495143292</v>
      </c>
      <c r="T199" s="53">
        <f t="shared" si="64"/>
        <v>0.64265987303132244</v>
      </c>
      <c r="U199" s="29">
        <f t="shared" si="65"/>
        <v>7851857.1407561973</v>
      </c>
      <c r="V199" s="35">
        <f>Población!L7</f>
        <v>906940</v>
      </c>
      <c r="W199" s="30">
        <f t="shared" si="66"/>
        <v>986754.5209784474</v>
      </c>
      <c r="X199" s="53">
        <f t="shared" si="67"/>
        <v>0.66034734473222867</v>
      </c>
      <c r="Y199" s="29">
        <f t="shared" si="68"/>
        <v>5471476.304671322</v>
      </c>
      <c r="Z199" s="35">
        <f>Población!M7</f>
        <v>960359</v>
      </c>
      <c r="AA199" s="30">
        <f t="shared" si="69"/>
        <v>1044874.6168570586</v>
      </c>
      <c r="AB199" s="53">
        <f t="shared" si="70"/>
        <v>0.69819230863610104</v>
      </c>
      <c r="AC199" s="29">
        <f t="shared" si="71"/>
        <v>378299.14840844827</v>
      </c>
    </row>
    <row r="200" spans="1:29" x14ac:dyDescent="0.2">
      <c r="A200" s="27" t="s">
        <v>164</v>
      </c>
      <c r="B200" s="27" t="s">
        <v>53</v>
      </c>
      <c r="C200" s="51">
        <v>3605167152</v>
      </c>
      <c r="D200" s="51">
        <v>3313630825</v>
      </c>
      <c r="E200" s="52">
        <f t="shared" si="54"/>
        <v>0.91913375588195201</v>
      </c>
      <c r="F200" s="45">
        <v>935371</v>
      </c>
      <c r="G200" s="35">
        <f>Población!D8</f>
        <v>968673</v>
      </c>
      <c r="H200" s="35">
        <f>'Fondos 2027'!$B$26</f>
        <v>13458005057.686762</v>
      </c>
      <c r="I200" s="30">
        <f t="shared" si="55"/>
        <v>859731.06037305738</v>
      </c>
      <c r="J200" s="30">
        <f t="shared" si="56"/>
        <v>890340.05271143815</v>
      </c>
      <c r="K200" s="53">
        <f t="shared" si="57"/>
        <v>0.57470598328879019</v>
      </c>
      <c r="L200" s="54">
        <v>0.57470600000000005</v>
      </c>
      <c r="M200" s="55">
        <f t="shared" si="58"/>
        <v>-1.6711209860353904E-8</v>
      </c>
      <c r="N200" s="53">
        <f t="shared" si="59"/>
        <v>0.59660896300715227</v>
      </c>
      <c r="O200" s="23">
        <f t="shared" si="60"/>
        <v>77343960.297833815</v>
      </c>
      <c r="P200" s="23">
        <f t="shared" si="61"/>
        <v>80291664.41611509</v>
      </c>
      <c r="Q200" s="29">
        <f t="shared" si="62"/>
        <v>2947704.118281275</v>
      </c>
      <c r="R200" s="35">
        <f>Población!K8</f>
        <v>925978</v>
      </c>
      <c r="S200" s="30">
        <f t="shared" si="63"/>
        <v>851097.63700405811</v>
      </c>
      <c r="T200" s="53">
        <f t="shared" si="64"/>
        <v>0.57052312800179839</v>
      </c>
      <c r="U200" s="29">
        <f t="shared" si="65"/>
        <v>3510632.9943603501</v>
      </c>
      <c r="V200" s="35">
        <f>Población!L8</f>
        <v>918817</v>
      </c>
      <c r="W200" s="30">
        <f t="shared" si="66"/>
        <v>844515.72017818748</v>
      </c>
      <c r="X200" s="53">
        <f t="shared" si="67"/>
        <v>0.56515952199673036</v>
      </c>
      <c r="Y200" s="29">
        <f t="shared" si="68"/>
        <v>4232467.3617967954</v>
      </c>
      <c r="Z200" s="35">
        <f>Población!M8</f>
        <v>952094</v>
      </c>
      <c r="AA200" s="30">
        <f t="shared" si="69"/>
        <v>875101.73417267122</v>
      </c>
      <c r="AB200" s="53">
        <f t="shared" si="70"/>
        <v>0.5847489164884726</v>
      </c>
      <c r="AC200" s="29">
        <f t="shared" si="71"/>
        <v>1596125.6603279123</v>
      </c>
    </row>
    <row r="201" spans="1:29" x14ac:dyDescent="0.2">
      <c r="A201" s="27" t="s">
        <v>164</v>
      </c>
      <c r="B201" s="27" t="s">
        <v>54</v>
      </c>
      <c r="C201" s="51">
        <v>13249731591</v>
      </c>
      <c r="D201" s="51">
        <v>16399735233</v>
      </c>
      <c r="E201" s="52">
        <f t="shared" si="54"/>
        <v>1.2377409399100332</v>
      </c>
      <c r="F201" s="45">
        <v>3590747</v>
      </c>
      <c r="G201" s="35">
        <f>Población!D9</f>
        <v>3415128</v>
      </c>
      <c r="H201" s="35">
        <f>'Fondos 2027'!$B$26</f>
        <v>13458005057.686762</v>
      </c>
      <c r="I201" s="30">
        <f t="shared" si="55"/>
        <v>4444414.5667591318</v>
      </c>
      <c r="J201" s="30">
        <f t="shared" si="56"/>
        <v>4227043.7406330714</v>
      </c>
      <c r="K201" s="53">
        <f t="shared" si="57"/>
        <v>2.9709658769615563</v>
      </c>
      <c r="L201" s="54">
        <v>2.9709660000000002</v>
      </c>
      <c r="M201" s="55">
        <f t="shared" si="58"/>
        <v>-1.2303844387773211E-7</v>
      </c>
      <c r="N201" s="53">
        <f t="shared" si="59"/>
        <v>2.8325044739982324</v>
      </c>
      <c r="O201" s="23">
        <f t="shared" si="60"/>
        <v>399832737.98363411</v>
      </c>
      <c r="P201" s="23">
        <f t="shared" si="61"/>
        <v>381198595.36988592</v>
      </c>
      <c r="Q201" s="29">
        <f t="shared" si="62"/>
        <v>-18634142.613748193</v>
      </c>
      <c r="R201" s="35">
        <f>Población!K9</f>
        <v>3452989</v>
      </c>
      <c r="S201" s="30">
        <f t="shared" si="63"/>
        <v>4273905.8503590059</v>
      </c>
      <c r="T201" s="53">
        <f t="shared" si="64"/>
        <v>2.8649617018269078</v>
      </c>
      <c r="U201" s="29">
        <f t="shared" si="65"/>
        <v>-4368095.3627680559</v>
      </c>
      <c r="V201" s="35">
        <f>Población!L9</f>
        <v>3582441</v>
      </c>
      <c r="W201" s="30">
        <f t="shared" si="66"/>
        <v>4434133.8905122392</v>
      </c>
      <c r="X201" s="53">
        <f t="shared" si="67"/>
        <v>2.9673728151592615</v>
      </c>
      <c r="Y201" s="29">
        <f t="shared" si="68"/>
        <v>-18150588.174669545</v>
      </c>
      <c r="Z201" s="35">
        <f>Población!M9</f>
        <v>3510963</v>
      </c>
      <c r="AA201" s="30">
        <f t="shared" si="69"/>
        <v>4345662.6436093496</v>
      </c>
      <c r="AB201" s="53">
        <f t="shared" si="70"/>
        <v>2.9038012645208582</v>
      </c>
      <c r="AC201" s="29">
        <f t="shared" si="71"/>
        <v>-9595125.6745033208</v>
      </c>
    </row>
    <row r="202" spans="1:29" x14ac:dyDescent="0.2">
      <c r="A202" s="27" t="s">
        <v>164</v>
      </c>
      <c r="B202" s="27" t="s">
        <v>55</v>
      </c>
      <c r="C202" s="51">
        <v>2781620079</v>
      </c>
      <c r="D202" s="51">
        <v>3126852128</v>
      </c>
      <c r="E202" s="52">
        <f t="shared" si="54"/>
        <v>1.1241118625819353</v>
      </c>
      <c r="F202" s="45">
        <v>762355</v>
      </c>
      <c r="G202" s="35">
        <f>Población!D10</f>
        <v>762212</v>
      </c>
      <c r="H202" s="35">
        <f>'Fondos 2027'!$B$26</f>
        <v>13458005057.686762</v>
      </c>
      <c r="I202" s="30">
        <f t="shared" si="55"/>
        <v>856972.29899865133</v>
      </c>
      <c r="J202" s="30">
        <f t="shared" si="56"/>
        <v>856811.55100230209</v>
      </c>
      <c r="K202" s="53">
        <f t="shared" si="57"/>
        <v>0.57286182906264271</v>
      </c>
      <c r="L202" s="54">
        <v>0.57286199999999998</v>
      </c>
      <c r="M202" s="55">
        <f t="shared" si="58"/>
        <v>-1.7093735726891879E-7</v>
      </c>
      <c r="N202" s="53">
        <f t="shared" si="59"/>
        <v>0.57414181174853707</v>
      </c>
      <c r="O202" s="23">
        <f t="shared" si="60"/>
        <v>77095773.928807348</v>
      </c>
      <c r="P202" s="23">
        <f t="shared" si="61"/>
        <v>77268034.063412517</v>
      </c>
      <c r="Q202" s="29">
        <f t="shared" si="62"/>
        <v>172260.1346051693</v>
      </c>
      <c r="R202" s="35">
        <f>Población!K10</f>
        <v>728776</v>
      </c>
      <c r="S202" s="30">
        <f t="shared" si="63"/>
        <v>819225.7467650125</v>
      </c>
      <c r="T202" s="53">
        <f t="shared" si="64"/>
        <v>0.54915818733703703</v>
      </c>
      <c r="U202" s="29">
        <f t="shared" si="65"/>
        <v>3362297.4368931395</v>
      </c>
      <c r="V202" s="35">
        <f>Población!L10</f>
        <v>745394</v>
      </c>
      <c r="W202" s="30">
        <f t="shared" si="66"/>
        <v>837906.2376973991</v>
      </c>
      <c r="X202" s="53">
        <f t="shared" si="67"/>
        <v>0.56073638117147728</v>
      </c>
      <c r="Y202" s="29">
        <f t="shared" si="68"/>
        <v>1804103.5250653934</v>
      </c>
      <c r="Z202" s="35">
        <f>Población!M10</f>
        <v>771093</v>
      </c>
      <c r="AA202" s="30">
        <f t="shared" si="69"/>
        <v>866794.78845389222</v>
      </c>
      <c r="AB202" s="53">
        <f t="shared" si="70"/>
        <v>0.57919815899514315</v>
      </c>
      <c r="AC202" s="29">
        <f t="shared" si="71"/>
        <v>-680483.46818245226</v>
      </c>
    </row>
    <row r="203" spans="1:29" x14ac:dyDescent="0.2">
      <c r="A203" s="27" t="s">
        <v>164</v>
      </c>
      <c r="B203" s="27" t="s">
        <v>56</v>
      </c>
      <c r="C203" s="51">
        <v>5216080441</v>
      </c>
      <c r="D203" s="51">
        <v>8053623880</v>
      </c>
      <c r="E203" s="52">
        <f t="shared" si="54"/>
        <v>1.5439991716186034</v>
      </c>
      <c r="F203" s="45">
        <v>5891372</v>
      </c>
      <c r="G203" s="35">
        <f>Población!D11</f>
        <v>5860728</v>
      </c>
      <c r="H203" s="35">
        <f>'Fondos 2027'!$B$26</f>
        <v>13458005057.686762</v>
      </c>
      <c r="I203" s="30">
        <f t="shared" si="55"/>
        <v>9096273.4876970351</v>
      </c>
      <c r="J203" s="30">
        <f t="shared" si="56"/>
        <v>9048959.1770819537</v>
      </c>
      <c r="K203" s="53">
        <f t="shared" si="57"/>
        <v>6.0806024581015636</v>
      </c>
      <c r="L203" s="54">
        <v>6.0806019999999998</v>
      </c>
      <c r="M203" s="55">
        <f t="shared" si="58"/>
        <v>4.58101563793889E-7</v>
      </c>
      <c r="N203" s="53">
        <f t="shared" si="59"/>
        <v>6.0636271888384305</v>
      </c>
      <c r="O203" s="23">
        <f t="shared" si="60"/>
        <v>818327786.34913409</v>
      </c>
      <c r="P203" s="23">
        <f t="shared" si="61"/>
        <v>816043253.75314558</v>
      </c>
      <c r="Q203" s="29">
        <f t="shared" si="62"/>
        <v>-2284532.595988512</v>
      </c>
      <c r="R203" s="35">
        <f>Población!K11</f>
        <v>5975155</v>
      </c>
      <c r="S203" s="30">
        <f t="shared" si="63"/>
        <v>9225634.3702927567</v>
      </c>
      <c r="T203" s="53">
        <f t="shared" si="64"/>
        <v>6.184293728353083</v>
      </c>
      <c r="U203" s="29">
        <f t="shared" si="65"/>
        <v>-16239308.990817521</v>
      </c>
      <c r="V203" s="35">
        <f>Población!L11</f>
        <v>5900473</v>
      </c>
      <c r="W203" s="30">
        <f t="shared" si="66"/>
        <v>9110325.4241579361</v>
      </c>
      <c r="X203" s="53">
        <f t="shared" si="67"/>
        <v>6.0967333572729672</v>
      </c>
      <c r="Y203" s="29">
        <f t="shared" si="68"/>
        <v>-4455429.8223262364</v>
      </c>
      <c r="Z203" s="35">
        <f>Población!M11</f>
        <v>5885528</v>
      </c>
      <c r="AA203" s="30">
        <f t="shared" si="69"/>
        <v>9087250.3565380964</v>
      </c>
      <c r="AB203" s="53">
        <f t="shared" si="70"/>
        <v>6.0721623467799581</v>
      </c>
      <c r="AC203" s="29">
        <f t="shared" si="71"/>
        <v>-1148661.9874523368</v>
      </c>
    </row>
    <row r="204" spans="1:29" x14ac:dyDescent="0.2">
      <c r="A204" s="27" t="s">
        <v>164</v>
      </c>
      <c r="B204" s="27" t="s">
        <v>57</v>
      </c>
      <c r="C204" s="51">
        <v>26119425044</v>
      </c>
      <c r="D204" s="51">
        <v>29378013855</v>
      </c>
      <c r="E204" s="52">
        <f t="shared" si="54"/>
        <v>1.1247572948298319</v>
      </c>
      <c r="F204" s="45">
        <v>4015493</v>
      </c>
      <c r="G204" s="35">
        <f>Población!D12</f>
        <v>3903944</v>
      </c>
      <c r="H204" s="35">
        <f>'Fondos 2027'!$B$26</f>
        <v>13458005057.686762</v>
      </c>
      <c r="I204" s="30">
        <f t="shared" si="55"/>
        <v>4516455.0440881262</v>
      </c>
      <c r="J204" s="30">
        <f t="shared" si="56"/>
        <v>4390989.492607153</v>
      </c>
      <c r="K204" s="53">
        <f t="shared" si="57"/>
        <v>3.0191229056746844</v>
      </c>
      <c r="L204" s="54">
        <v>3.019123</v>
      </c>
      <c r="M204" s="55">
        <f t="shared" si="58"/>
        <v>-9.4325315558307921E-8</v>
      </c>
      <c r="N204" s="53">
        <f t="shared" si="59"/>
        <v>2.9423630665402727</v>
      </c>
      <c r="O204" s="23">
        <f t="shared" si="60"/>
        <v>406313713.34347856</v>
      </c>
      <c r="P204" s="23">
        <f t="shared" si="61"/>
        <v>395983370.31049716</v>
      </c>
      <c r="Q204" s="29">
        <f t="shared" si="62"/>
        <v>-10330343.032981396</v>
      </c>
      <c r="R204" s="35">
        <f>Población!K12</f>
        <v>3976037</v>
      </c>
      <c r="S204" s="30">
        <f t="shared" si="63"/>
        <v>4472076.6202633204</v>
      </c>
      <c r="T204" s="53">
        <f t="shared" si="64"/>
        <v>2.9978031087450603</v>
      </c>
      <c r="U204" s="29">
        <f t="shared" si="65"/>
        <v>-7461123.6839039903</v>
      </c>
      <c r="V204" s="35">
        <f>Población!L12</f>
        <v>3991333</v>
      </c>
      <c r="W204" s="30">
        <f t="shared" si="66"/>
        <v>4489280.9078450371</v>
      </c>
      <c r="X204" s="53">
        <f t="shared" si="67"/>
        <v>3.0042778261740635</v>
      </c>
      <c r="Y204" s="29">
        <f t="shared" si="68"/>
        <v>-8332491.482970166</v>
      </c>
      <c r="Z204" s="35">
        <f>Población!M12</f>
        <v>3985958</v>
      </c>
      <c r="AA204" s="30">
        <f t="shared" si="69"/>
        <v>4483235.3373853266</v>
      </c>
      <c r="AB204" s="53">
        <f t="shared" si="70"/>
        <v>2.9957282719561213</v>
      </c>
      <c r="AC204" s="29">
        <f t="shared" si="71"/>
        <v>-7181892.0439098431</v>
      </c>
    </row>
    <row r="205" spans="1:29" x14ac:dyDescent="0.2">
      <c r="A205" s="27" t="s">
        <v>164</v>
      </c>
      <c r="B205" s="27" t="s">
        <v>58</v>
      </c>
      <c r="C205" s="51">
        <v>83248412524</v>
      </c>
      <c r="D205" s="51">
        <v>103599810122</v>
      </c>
      <c r="E205" s="52">
        <f t="shared" si="54"/>
        <v>1.2444658940749509</v>
      </c>
      <c r="F205" s="45">
        <v>9336468</v>
      </c>
      <c r="G205" s="35">
        <f>Población!D13</f>
        <v>9216407</v>
      </c>
      <c r="H205" s="35">
        <f>'Fondos 2027'!$B$26</f>
        <v>13458005057.686762</v>
      </c>
      <c r="I205" s="30">
        <f t="shared" si="55"/>
        <v>11618915.997122169</v>
      </c>
      <c r="J205" s="30">
        <f t="shared" si="56"/>
        <v>11469504.177413637</v>
      </c>
      <c r="K205" s="53">
        <f t="shared" si="57"/>
        <v>7.7669178777587069</v>
      </c>
      <c r="L205" s="54">
        <v>7.7669180000000004</v>
      </c>
      <c r="M205" s="55">
        <f t="shared" si="58"/>
        <v>-1.2224129353199942E-7</v>
      </c>
      <c r="N205" s="53">
        <f t="shared" si="59"/>
        <v>7.6856128988625034</v>
      </c>
      <c r="O205" s="23">
        <f t="shared" si="60"/>
        <v>1045272200.8151441</v>
      </c>
      <c r="P205" s="23">
        <f t="shared" si="61"/>
        <v>1034330172.6431419</v>
      </c>
      <c r="Q205" s="29">
        <f t="shared" si="62"/>
        <v>-10942028.172002196</v>
      </c>
      <c r="R205" s="35">
        <f>Población!K13</f>
        <v>9350964</v>
      </c>
      <c r="S205" s="30">
        <f t="shared" si="63"/>
        <v>11636955.774722679</v>
      </c>
      <c r="T205" s="53">
        <f t="shared" si="64"/>
        <v>7.8006942098720904</v>
      </c>
      <c r="U205" s="29">
        <f t="shared" si="65"/>
        <v>-15487648.656122446</v>
      </c>
      <c r="V205" s="35">
        <f>Población!L13</f>
        <v>9319955</v>
      </c>
      <c r="W205" s="30">
        <f t="shared" si="66"/>
        <v>11598366.131813308</v>
      </c>
      <c r="X205" s="53">
        <f t="shared" si="67"/>
        <v>7.7617584875928989</v>
      </c>
      <c r="Y205" s="29">
        <f t="shared" si="68"/>
        <v>-10247677.182541981</v>
      </c>
      <c r="Z205" s="35">
        <f>Población!M13</f>
        <v>9296753</v>
      </c>
      <c r="AA205" s="30">
        <f t="shared" si="69"/>
        <v>11569492.034138981</v>
      </c>
      <c r="AB205" s="53">
        <f t="shared" si="70"/>
        <v>7.7308130781853697</v>
      </c>
      <c r="AC205" s="29">
        <f t="shared" si="71"/>
        <v>-6083042.4193548243</v>
      </c>
    </row>
    <row r="206" spans="1:29" x14ac:dyDescent="0.2">
      <c r="A206" s="27" t="s">
        <v>164</v>
      </c>
      <c r="B206" s="27" t="s">
        <v>59</v>
      </c>
      <c r="C206" s="51">
        <v>5165207847</v>
      </c>
      <c r="D206" s="51">
        <v>5695831479</v>
      </c>
      <c r="E206" s="52">
        <f t="shared" si="54"/>
        <v>1.1027303542699043</v>
      </c>
      <c r="F206" s="45">
        <v>1968132</v>
      </c>
      <c r="G206" s="35">
        <f>Población!D14</f>
        <v>1943290</v>
      </c>
      <c r="H206" s="35">
        <f>'Fondos 2027'!$B$26</f>
        <v>13458005057.686762</v>
      </c>
      <c r="I206" s="30">
        <f t="shared" si="55"/>
        <v>2170318.8976099351</v>
      </c>
      <c r="J206" s="30">
        <f t="shared" si="56"/>
        <v>2142924.8701491621</v>
      </c>
      <c r="K206" s="53">
        <f t="shared" si="57"/>
        <v>1.4507970150106364</v>
      </c>
      <c r="L206" s="54">
        <v>1.4507969999999999</v>
      </c>
      <c r="M206" s="55">
        <f t="shared" si="58"/>
        <v>1.5010636511547659E-8</v>
      </c>
      <c r="N206" s="53">
        <f t="shared" si="59"/>
        <v>1.4359549260851794</v>
      </c>
      <c r="O206" s="23">
        <f t="shared" si="60"/>
        <v>195248335.65690002</v>
      </c>
      <c r="P206" s="23">
        <f t="shared" si="61"/>
        <v>193250886.57864565</v>
      </c>
      <c r="Q206" s="29">
        <f t="shared" si="62"/>
        <v>-1997449.0782543719</v>
      </c>
      <c r="R206" s="35">
        <f>Población!K14</f>
        <v>1944614</v>
      </c>
      <c r="S206" s="30">
        <f t="shared" si="63"/>
        <v>2144384.8851382155</v>
      </c>
      <c r="T206" s="53">
        <f t="shared" si="64"/>
        <v>1.4374627764393599</v>
      </c>
      <c r="U206" s="29">
        <f t="shared" si="65"/>
        <v>-202926.57692796632</v>
      </c>
      <c r="V206" s="35">
        <f>Población!L14</f>
        <v>1954301</v>
      </c>
      <c r="W206" s="30">
        <f t="shared" si="66"/>
        <v>2155067.0340800281</v>
      </c>
      <c r="X206" s="53">
        <f t="shared" si="67"/>
        <v>1.442195362088226</v>
      </c>
      <c r="Y206" s="29">
        <f t="shared" si="68"/>
        <v>-839838.1929117142</v>
      </c>
      <c r="Z206" s="35">
        <f>Población!M14</f>
        <v>1959669</v>
      </c>
      <c r="AA206" s="30">
        <f t="shared" si="69"/>
        <v>2160986.4906217488</v>
      </c>
      <c r="AB206" s="53">
        <f t="shared" si="70"/>
        <v>1.4439858356948012</v>
      </c>
      <c r="AC206" s="29">
        <f t="shared" si="71"/>
        <v>-1080800.2214411579</v>
      </c>
    </row>
    <row r="207" spans="1:29" x14ac:dyDescent="0.2">
      <c r="A207" s="27" t="s">
        <v>164</v>
      </c>
      <c r="B207" s="27" t="s">
        <v>60</v>
      </c>
      <c r="C207" s="51">
        <v>20655474078</v>
      </c>
      <c r="D207" s="51">
        <v>22628728014</v>
      </c>
      <c r="E207" s="52">
        <f t="shared" si="54"/>
        <v>1.0955317669567168</v>
      </c>
      <c r="F207" s="45">
        <v>6402249</v>
      </c>
      <c r="G207" s="35">
        <f>Población!D15</f>
        <v>6446935</v>
      </c>
      <c r="H207" s="35">
        <f>'Fondos 2027'!$B$26</f>
        <v>13458005057.686762</v>
      </c>
      <c r="I207" s="30">
        <f t="shared" si="55"/>
        <v>7013867.1594668739</v>
      </c>
      <c r="J207" s="30">
        <f t="shared" si="56"/>
        <v>7062822.092005101</v>
      </c>
      <c r="K207" s="53">
        <f t="shared" si="57"/>
        <v>4.6885725180026139</v>
      </c>
      <c r="L207" s="54">
        <v>4.6885729999999999</v>
      </c>
      <c r="M207" s="55">
        <f t="shared" si="58"/>
        <v>-4.8199738600374076E-7</v>
      </c>
      <c r="N207" s="53">
        <f t="shared" si="59"/>
        <v>4.732734365237925</v>
      </c>
      <c r="O207" s="23">
        <f t="shared" si="60"/>
        <v>630988326.6061033</v>
      </c>
      <c r="P207" s="23">
        <f t="shared" si="61"/>
        <v>636931630.24059939</v>
      </c>
      <c r="Q207" s="29">
        <f t="shared" si="62"/>
        <v>5943303.6344960928</v>
      </c>
      <c r="R207" s="35">
        <f>Población!K15</f>
        <v>6345807</v>
      </c>
      <c r="S207" s="30">
        <f t="shared" si="63"/>
        <v>6952033.1554763028</v>
      </c>
      <c r="T207" s="53">
        <f t="shared" si="64"/>
        <v>4.6602123298054012</v>
      </c>
      <c r="U207" s="29">
        <f t="shared" si="65"/>
        <v>9760019.1964464355</v>
      </c>
      <c r="V207" s="35">
        <f>Población!L15</f>
        <v>6376710</v>
      </c>
      <c r="W207" s="30">
        <f t="shared" si="66"/>
        <v>6985888.3736705659</v>
      </c>
      <c r="X207" s="53">
        <f t="shared" si="67"/>
        <v>4.6750359284645882</v>
      </c>
      <c r="Y207" s="29">
        <f t="shared" si="68"/>
        <v>7765058.5391618731</v>
      </c>
      <c r="Z207" s="35">
        <f>Población!M15</f>
        <v>6432483</v>
      </c>
      <c r="AA207" s="30">
        <f t="shared" si="69"/>
        <v>7046989.4669090426</v>
      </c>
      <c r="AB207" s="53">
        <f t="shared" si="70"/>
        <v>4.708846176812238</v>
      </c>
      <c r="AC207" s="29">
        <f t="shared" si="71"/>
        <v>3214873.6065186951</v>
      </c>
    </row>
    <row r="208" spans="1:29" x14ac:dyDescent="0.2">
      <c r="A208" s="27" t="s">
        <v>164</v>
      </c>
      <c r="B208" s="27" t="s">
        <v>61</v>
      </c>
      <c r="C208" s="51">
        <v>4116571342</v>
      </c>
      <c r="D208" s="51">
        <v>5343602918</v>
      </c>
      <c r="E208" s="52">
        <f t="shared" si="54"/>
        <v>1.2980712525205156</v>
      </c>
      <c r="F208" s="45">
        <v>3569633</v>
      </c>
      <c r="G208" s="35">
        <f>Población!D16</f>
        <v>3418902</v>
      </c>
      <c r="H208" s="35">
        <f>'Fondos 2027'!$B$26</f>
        <v>13458005057.686762</v>
      </c>
      <c r="I208" s="30">
        <f t="shared" si="55"/>
        <v>4633637.9793485655</v>
      </c>
      <c r="J208" s="30">
        <f t="shared" si="56"/>
        <v>4437978.4013848957</v>
      </c>
      <c r="K208" s="53">
        <f t="shared" si="57"/>
        <v>3.0974563952246541</v>
      </c>
      <c r="L208" s="54">
        <v>3.0974560000000002</v>
      </c>
      <c r="M208" s="55">
        <f t="shared" si="58"/>
        <v>3.9522465389296713E-7</v>
      </c>
      <c r="N208" s="53">
        <f t="shared" si="59"/>
        <v>2.9738499170457082</v>
      </c>
      <c r="O208" s="23">
        <f t="shared" si="60"/>
        <v>416855838.32897604</v>
      </c>
      <c r="P208" s="23">
        <f t="shared" si="61"/>
        <v>400220872.24402499</v>
      </c>
      <c r="Q208" s="29">
        <f t="shared" si="62"/>
        <v>-16634966.084951043</v>
      </c>
      <c r="R208" s="35">
        <f>Población!K16</f>
        <v>3606579</v>
      </c>
      <c r="S208" s="30">
        <f t="shared" si="63"/>
        <v>4681596.5198441884</v>
      </c>
      <c r="T208" s="53">
        <f t="shared" si="64"/>
        <v>3.1382522690884929</v>
      </c>
      <c r="U208" s="29">
        <f t="shared" si="65"/>
        <v>-22125276.852873951</v>
      </c>
      <c r="V208" s="35">
        <f>Población!L16</f>
        <v>3578620</v>
      </c>
      <c r="W208" s="30">
        <f t="shared" si="66"/>
        <v>4645303.7456949679</v>
      </c>
      <c r="X208" s="53">
        <f t="shared" si="67"/>
        <v>3.1086900832262296</v>
      </c>
      <c r="Y208" s="29">
        <f t="shared" si="68"/>
        <v>-18146796.384367805</v>
      </c>
      <c r="Z208" s="35">
        <f>Población!M16</f>
        <v>3538257</v>
      </c>
      <c r="AA208" s="30">
        <f t="shared" si="69"/>
        <v>4592909.695729482</v>
      </c>
      <c r="AB208" s="53">
        <f t="shared" si="70"/>
        <v>3.0690134223608849</v>
      </c>
      <c r="AC208" s="29">
        <f t="shared" si="71"/>
        <v>-12807109.358388491</v>
      </c>
    </row>
    <row r="209" spans="1:29" x14ac:dyDescent="0.2">
      <c r="A209" s="27" t="s">
        <v>164</v>
      </c>
      <c r="B209" s="27" t="s">
        <v>62</v>
      </c>
      <c r="C209" s="51">
        <v>5795807597</v>
      </c>
      <c r="D209" s="51">
        <v>6359045350</v>
      </c>
      <c r="E209" s="52">
        <f t="shared" si="54"/>
        <v>1.0971802019948937</v>
      </c>
      <c r="F209" s="45">
        <v>3215821</v>
      </c>
      <c r="G209" s="35">
        <f>Población!D17</f>
        <v>3245595</v>
      </c>
      <c r="H209" s="35">
        <f>'Fondos 2027'!$B$26</f>
        <v>13458005057.686762</v>
      </c>
      <c r="I209" s="30">
        <f t="shared" si="55"/>
        <v>3528335.1343594212</v>
      </c>
      <c r="J209" s="30">
        <f t="shared" si="56"/>
        <v>3561002.577693617</v>
      </c>
      <c r="K209" s="53">
        <f t="shared" si="57"/>
        <v>2.3585925950895925</v>
      </c>
      <c r="L209" s="54">
        <v>2.3585929999999999</v>
      </c>
      <c r="M209" s="55">
        <f t="shared" si="58"/>
        <v>-4.0491040742551831E-7</v>
      </c>
      <c r="N209" s="53">
        <f t="shared" si="59"/>
        <v>2.3861962052291834</v>
      </c>
      <c r="O209" s="23">
        <f t="shared" si="60"/>
        <v>317419510.73738283</v>
      </c>
      <c r="P209" s="23">
        <f t="shared" si="61"/>
        <v>321134405.98607308</v>
      </c>
      <c r="Q209" s="29">
        <f t="shared" si="62"/>
        <v>3714895.2486902475</v>
      </c>
      <c r="R209" s="35">
        <f>Población!K17</f>
        <v>3248649</v>
      </c>
      <c r="S209" s="30">
        <f t="shared" si="63"/>
        <v>3564353.3660305096</v>
      </c>
      <c r="T209" s="53">
        <f t="shared" si="64"/>
        <v>2.3893216750662525</v>
      </c>
      <c r="U209" s="29">
        <f t="shared" si="65"/>
        <v>-420625.88874923001</v>
      </c>
      <c r="V209" s="35">
        <f>Población!L17</f>
        <v>3228160</v>
      </c>
      <c r="W209" s="30">
        <f t="shared" si="66"/>
        <v>3541873.240871836</v>
      </c>
      <c r="X209" s="53">
        <f t="shared" si="67"/>
        <v>2.3702618435116709</v>
      </c>
      <c r="Y209" s="29">
        <f t="shared" si="68"/>
        <v>2144447.2058529356</v>
      </c>
      <c r="Z209" s="35">
        <f>Población!M17</f>
        <v>3229482</v>
      </c>
      <c r="AA209" s="30">
        <f t="shared" si="69"/>
        <v>3543323.7130988734</v>
      </c>
      <c r="AB209" s="53">
        <f t="shared" si="70"/>
        <v>2.3676729471474784</v>
      </c>
      <c r="AC209" s="29">
        <f t="shared" si="71"/>
        <v>2492861.0094842259</v>
      </c>
    </row>
    <row r="210" spans="1:29" x14ac:dyDescent="0.2">
      <c r="A210" s="27" t="s">
        <v>164</v>
      </c>
      <c r="B210" s="27" t="s">
        <v>63</v>
      </c>
      <c r="C210" s="51">
        <v>32342104929</v>
      </c>
      <c r="D210" s="51">
        <v>37400090365</v>
      </c>
      <c r="E210" s="52">
        <f t="shared" si="54"/>
        <v>1.1563901127370559</v>
      </c>
      <c r="F210" s="45">
        <v>8750952</v>
      </c>
      <c r="G210" s="35">
        <f>Población!D18</f>
        <v>8679851</v>
      </c>
      <c r="H210" s="35">
        <f>'Fondos 2027'!$B$26</f>
        <v>13458005057.686762</v>
      </c>
      <c r="I210" s="30">
        <f t="shared" si="55"/>
        <v>10119514.369836565</v>
      </c>
      <c r="J210" s="30">
        <f t="shared" si="56"/>
        <v>10037293.876430849</v>
      </c>
      <c r="K210" s="53">
        <f t="shared" si="57"/>
        <v>6.764610148897467</v>
      </c>
      <c r="L210" s="54">
        <v>6.7646100000000002</v>
      </c>
      <c r="M210" s="55">
        <f t="shared" si="58"/>
        <v>1.4889746680069038E-7</v>
      </c>
      <c r="N210" s="53">
        <f t="shared" si="59"/>
        <v>6.725901494354412</v>
      </c>
      <c r="O210" s="23">
        <f t="shared" si="60"/>
        <v>910381575.97141302</v>
      </c>
      <c r="P210" s="23">
        <f t="shared" si="61"/>
        <v>905172163.28524625</v>
      </c>
      <c r="Q210" s="29">
        <f t="shared" si="62"/>
        <v>-5209412.6861667633</v>
      </c>
      <c r="R210" s="35">
        <f>Población!K18</f>
        <v>8739649</v>
      </c>
      <c r="S210" s="30">
        <f t="shared" si="63"/>
        <v>10106443.692392299</v>
      </c>
      <c r="T210" s="53">
        <f t="shared" si="64"/>
        <v>6.7747337293220644</v>
      </c>
      <c r="U210" s="29">
        <f t="shared" si="65"/>
        <v>-6571844.6517281476</v>
      </c>
      <c r="V210" s="35">
        <f>Población!L18</f>
        <v>8761130</v>
      </c>
      <c r="W210" s="30">
        <f t="shared" si="66"/>
        <v>10131284.108404003</v>
      </c>
      <c r="X210" s="53">
        <f t="shared" si="67"/>
        <v>6.7799705169615683</v>
      </c>
      <c r="Y210" s="29">
        <f t="shared" si="68"/>
        <v>-7276611.7971128915</v>
      </c>
      <c r="Z210" s="35">
        <f>Población!M18</f>
        <v>8703341</v>
      </c>
      <c r="AA210" s="30">
        <f t="shared" si="69"/>
        <v>10064457.480179042</v>
      </c>
      <c r="AB210" s="53">
        <f t="shared" si="70"/>
        <v>6.7251387773135871</v>
      </c>
      <c r="AC210" s="29">
        <f t="shared" si="71"/>
        <v>102646.49793004945</v>
      </c>
    </row>
    <row r="211" spans="1:29" x14ac:dyDescent="0.2">
      <c r="A211" s="27" t="s">
        <v>164</v>
      </c>
      <c r="B211" s="27" t="s">
        <v>64</v>
      </c>
      <c r="C211" s="51">
        <v>50154698531</v>
      </c>
      <c r="D211" s="51">
        <v>53147294196</v>
      </c>
      <c r="E211" s="52">
        <f t="shared" si="54"/>
        <v>1.059667304413171</v>
      </c>
      <c r="F211" s="45">
        <v>17753727</v>
      </c>
      <c r="G211" s="35">
        <f>Población!D19</f>
        <v>17612480</v>
      </c>
      <c r="H211" s="35">
        <f>'Fondos 2027'!$B$26</f>
        <v>13458005057.686762</v>
      </c>
      <c r="I211" s="30">
        <f t="shared" si="55"/>
        <v>18813044.033377334</v>
      </c>
      <c r="J211" s="30">
        <f t="shared" si="56"/>
        <v>18663369.205630887</v>
      </c>
      <c r="K211" s="53">
        <f t="shared" si="57"/>
        <v>12.575989711440529</v>
      </c>
      <c r="L211" s="54">
        <v>12.575989999999999</v>
      </c>
      <c r="M211" s="55">
        <f t="shared" si="58"/>
        <v>-2.8855946965222756E-7</v>
      </c>
      <c r="N211" s="53">
        <f t="shared" si="59"/>
        <v>12.506157971980917</v>
      </c>
      <c r="O211" s="23">
        <f t="shared" si="60"/>
        <v>1692477331.4198334</v>
      </c>
      <c r="P211" s="23">
        <f t="shared" si="61"/>
        <v>1683079372.3914878</v>
      </c>
      <c r="Q211" s="29">
        <f t="shared" si="62"/>
        <v>-9397959.0283455849</v>
      </c>
      <c r="R211" s="35">
        <f>Población!K19</f>
        <v>17788768</v>
      </c>
      <c r="S211" s="30">
        <f t="shared" si="63"/>
        <v>18850175.835391276</v>
      </c>
      <c r="T211" s="53">
        <f t="shared" si="64"/>
        <v>12.635990059669341</v>
      </c>
      <c r="U211" s="29">
        <f t="shared" si="65"/>
        <v>-17472808.927608419</v>
      </c>
      <c r="V211" s="35">
        <f>Población!L19</f>
        <v>17789139</v>
      </c>
      <c r="W211" s="30">
        <f t="shared" si="66"/>
        <v>18850568.971961211</v>
      </c>
      <c r="X211" s="53">
        <f t="shared" si="67"/>
        <v>12.615015084991143</v>
      </c>
      <c r="Y211" s="29">
        <f t="shared" si="68"/>
        <v>-14649995.774567956</v>
      </c>
      <c r="Z211" s="35">
        <f>Población!M19</f>
        <v>17729333</v>
      </c>
      <c r="AA211" s="30">
        <f t="shared" si="69"/>
        <v>18787194.509153478</v>
      </c>
      <c r="AB211" s="53">
        <f t="shared" si="70"/>
        <v>12.553730845330504</v>
      </c>
      <c r="AC211" s="29">
        <f t="shared" si="71"/>
        <v>-6402359.7014743416</v>
      </c>
    </row>
    <row r="212" spans="1:29" x14ac:dyDescent="0.2">
      <c r="A212" s="27" t="s">
        <v>164</v>
      </c>
      <c r="B212" s="27" t="s">
        <v>65</v>
      </c>
      <c r="C212" s="51">
        <v>9111204420</v>
      </c>
      <c r="D212" s="51">
        <v>9995352838</v>
      </c>
      <c r="E212" s="52">
        <f t="shared" si="54"/>
        <v>1.0970396862196623</v>
      </c>
      <c r="F212" s="45">
        <v>4945881</v>
      </c>
      <c r="G212" s="35">
        <f>Población!D20</f>
        <v>4889574</v>
      </c>
      <c r="H212" s="35">
        <f>'Fondos 2027'!$B$26</f>
        <v>13458005057.686762</v>
      </c>
      <c r="I212" s="30">
        <f t="shared" si="55"/>
        <v>5425827.7403197894</v>
      </c>
      <c r="J212" s="30">
        <f t="shared" si="56"/>
        <v>5364056.7267078189</v>
      </c>
      <c r="K212" s="53">
        <f t="shared" si="57"/>
        <v>3.6270129234402613</v>
      </c>
      <c r="L212" s="54">
        <v>3.6270129999999998</v>
      </c>
      <c r="M212" s="55">
        <f t="shared" si="58"/>
        <v>-7.6559738548809264E-8</v>
      </c>
      <c r="N212" s="53">
        <f t="shared" si="59"/>
        <v>3.594406779170138</v>
      </c>
      <c r="O212" s="23">
        <f t="shared" si="60"/>
        <v>488123582.67954284</v>
      </c>
      <c r="P212" s="23">
        <f t="shared" si="61"/>
        <v>483735446.13455302</v>
      </c>
      <c r="Q212" s="29">
        <f t="shared" si="62"/>
        <v>-4388136.5449898243</v>
      </c>
      <c r="R212" s="35">
        <f>Población!K20</f>
        <v>4950874</v>
      </c>
      <c r="S212" s="30">
        <f t="shared" si="63"/>
        <v>5431305.2594730845</v>
      </c>
      <c r="T212" s="53">
        <f t="shared" si="64"/>
        <v>3.6408105616117798</v>
      </c>
      <c r="U212" s="29">
        <f t="shared" si="65"/>
        <v>-6245023.387954128</v>
      </c>
      <c r="V212" s="35">
        <f>Población!L20</f>
        <v>4940153</v>
      </c>
      <c r="W212" s="30">
        <f t="shared" si="66"/>
        <v>5419543.896997123</v>
      </c>
      <c r="X212" s="53">
        <f t="shared" si="67"/>
        <v>3.6268203955054119</v>
      </c>
      <c r="Y212" s="29">
        <f t="shared" si="68"/>
        <v>-4362226.1257803505</v>
      </c>
      <c r="Z212" s="35">
        <f>Población!M20</f>
        <v>4915546</v>
      </c>
      <c r="AA212" s="30">
        <f t="shared" si="69"/>
        <v>5392549.041438316</v>
      </c>
      <c r="AB212" s="53">
        <f t="shared" si="70"/>
        <v>3.6033378588526648</v>
      </c>
      <c r="AC212" s="29">
        <f t="shared" si="71"/>
        <v>-1201945.1553804944</v>
      </c>
    </row>
    <row r="213" spans="1:29" x14ac:dyDescent="0.2">
      <c r="A213" s="27" t="s">
        <v>164</v>
      </c>
      <c r="B213" s="27" t="s">
        <v>66</v>
      </c>
      <c r="C213" s="51">
        <v>4622484543</v>
      </c>
      <c r="D213" s="51">
        <v>5098806088</v>
      </c>
      <c r="E213" s="52">
        <f t="shared" si="54"/>
        <v>1.1030444862647104</v>
      </c>
      <c r="F213" s="45">
        <v>1988503</v>
      </c>
      <c r="G213" s="35">
        <f>Población!D21</f>
        <v>1997217</v>
      </c>
      <c r="H213" s="35">
        <f>'Fondos 2027'!$B$26</f>
        <v>13458005057.686762</v>
      </c>
      <c r="I213" s="30">
        <f t="shared" si="55"/>
        <v>2193407.2700708355</v>
      </c>
      <c r="J213" s="30">
        <f t="shared" si="56"/>
        <v>2203019.1997241462</v>
      </c>
      <c r="K213" s="53">
        <f t="shared" si="57"/>
        <v>1.4662309412804653</v>
      </c>
      <c r="L213" s="54">
        <v>1.4662310000000001</v>
      </c>
      <c r="M213" s="55">
        <f t="shared" si="58"/>
        <v>-5.8719534790085959E-8</v>
      </c>
      <c r="N213" s="53">
        <f t="shared" si="59"/>
        <v>1.4762236026893099</v>
      </c>
      <c r="O213" s="23">
        <f t="shared" si="60"/>
        <v>197325434.23489323</v>
      </c>
      <c r="P213" s="23">
        <f t="shared" si="61"/>
        <v>198670247.11269304</v>
      </c>
      <c r="Q213" s="29">
        <f t="shared" si="62"/>
        <v>1344812.877799809</v>
      </c>
      <c r="R213" s="35">
        <f>Población!K21</f>
        <v>1984308</v>
      </c>
      <c r="S213" s="30">
        <f t="shared" si="63"/>
        <v>2188779.9984509549</v>
      </c>
      <c r="T213" s="53">
        <f t="shared" si="64"/>
        <v>1.4672225100045204</v>
      </c>
      <c r="U213" s="29">
        <f t="shared" si="65"/>
        <v>1211367.5087660355</v>
      </c>
      <c r="V213" s="35">
        <f>Población!L21</f>
        <v>1984462</v>
      </c>
      <c r="W213" s="30">
        <f t="shared" si="66"/>
        <v>2188949.8673018399</v>
      </c>
      <c r="X213" s="53">
        <f t="shared" si="67"/>
        <v>1.4648701393244554</v>
      </c>
      <c r="Y213" s="29">
        <f t="shared" si="68"/>
        <v>1527949.6738647232</v>
      </c>
      <c r="Z213" s="35">
        <f>Población!M21</f>
        <v>1994177</v>
      </c>
      <c r="AA213" s="30">
        <f t="shared" si="69"/>
        <v>2199665.9444859014</v>
      </c>
      <c r="AB213" s="53">
        <f t="shared" si="70"/>
        <v>1.4698317092135096</v>
      </c>
      <c r="AC213" s="29">
        <f t="shared" si="71"/>
        <v>860221.34725515044</v>
      </c>
    </row>
    <row r="214" spans="1:29" x14ac:dyDescent="0.2">
      <c r="A214" s="27" t="s">
        <v>164</v>
      </c>
      <c r="B214" s="27" t="s">
        <v>67</v>
      </c>
      <c r="C214" s="51">
        <v>3580532424</v>
      </c>
      <c r="D214" s="51">
        <v>4160780168</v>
      </c>
      <c r="E214" s="52">
        <f t="shared" si="54"/>
        <v>1.1620562741201976</v>
      </c>
      <c r="F214" s="45">
        <v>1279298</v>
      </c>
      <c r="G214" s="35">
        <f>Población!D22</f>
        <v>1299075</v>
      </c>
      <c r="H214" s="35">
        <f>'Fondos 2027'!$B$26</f>
        <v>13458005057.686762</v>
      </c>
      <c r="I214" s="30">
        <f t="shared" si="55"/>
        <v>1486616.2673694205</v>
      </c>
      <c r="J214" s="30">
        <f t="shared" si="56"/>
        <v>1509598.2543026956</v>
      </c>
      <c r="K214" s="53">
        <f t="shared" si="57"/>
        <v>0.99376107609852293</v>
      </c>
      <c r="L214" s="54">
        <v>0.99376100000000001</v>
      </c>
      <c r="M214" s="55">
        <f t="shared" si="58"/>
        <v>7.6098522927559031E-8</v>
      </c>
      <c r="N214" s="53">
        <f t="shared" si="59"/>
        <v>1.0115683848144688</v>
      </c>
      <c r="O214" s="23">
        <f t="shared" si="60"/>
        <v>133740415.88266161</v>
      </c>
      <c r="P214" s="23">
        <f t="shared" si="61"/>
        <v>136136924.39029148</v>
      </c>
      <c r="Q214" s="29">
        <f t="shared" si="62"/>
        <v>2396508.5076298714</v>
      </c>
      <c r="R214" s="35">
        <f>Población!K22</f>
        <v>1245276</v>
      </c>
      <c r="S214" s="30">
        <f t="shared" si="63"/>
        <v>1447080.7888113032</v>
      </c>
      <c r="T214" s="53">
        <f t="shared" si="64"/>
        <v>0.97003331017355199</v>
      </c>
      <c r="U214" s="29">
        <f t="shared" si="65"/>
        <v>5589792.44588855</v>
      </c>
      <c r="V214" s="35">
        <f>Población!L22</f>
        <v>1257616</v>
      </c>
      <c r="W214" s="30">
        <f t="shared" si="66"/>
        <v>1461420.5632339465</v>
      </c>
      <c r="X214" s="53">
        <f t="shared" si="67"/>
        <v>0.97799925711178282</v>
      </c>
      <c r="Y214" s="29">
        <f t="shared" si="68"/>
        <v>4517734.9040488014</v>
      </c>
      <c r="Z214" s="35">
        <f>Población!M22</f>
        <v>1301047</v>
      </c>
      <c r="AA214" s="30">
        <f t="shared" si="69"/>
        <v>1511889.8292752607</v>
      </c>
      <c r="AB214" s="53">
        <f t="shared" si="70"/>
        <v>1.0102550423516912</v>
      </c>
      <c r="AC214" s="29">
        <f t="shared" si="71"/>
        <v>176749.69506535583</v>
      </c>
    </row>
    <row r="215" spans="1:29" x14ac:dyDescent="0.2">
      <c r="A215" s="27" t="s">
        <v>164</v>
      </c>
      <c r="B215" s="27" t="s">
        <v>68</v>
      </c>
      <c r="C215" s="51">
        <v>40632791075</v>
      </c>
      <c r="D215" s="51">
        <v>44971267966</v>
      </c>
      <c r="E215" s="52">
        <f t="shared" si="54"/>
        <v>1.1067728003964099</v>
      </c>
      <c r="F215" s="45">
        <v>6234433</v>
      </c>
      <c r="G215" s="35">
        <f>Población!D23</f>
        <v>6291899</v>
      </c>
      <c r="H215" s="35">
        <f>'Fondos 2027'!$B$26</f>
        <v>13458005057.686762</v>
      </c>
      <c r="I215" s="30">
        <f t="shared" si="55"/>
        <v>6900100.8702937914</v>
      </c>
      <c r="J215" s="30">
        <f t="shared" si="56"/>
        <v>6963702.6760413712</v>
      </c>
      <c r="K215" s="53">
        <f t="shared" si="57"/>
        <v>4.6125229600676452</v>
      </c>
      <c r="L215" s="54">
        <v>4.6125230000000004</v>
      </c>
      <c r="M215" s="55">
        <f t="shared" si="58"/>
        <v>-3.993235520027838E-8</v>
      </c>
      <c r="N215" s="53">
        <f t="shared" si="59"/>
        <v>4.6663153247916318</v>
      </c>
      <c r="O215" s="23">
        <f t="shared" si="60"/>
        <v>620753573.25286674</v>
      </c>
      <c r="P215" s="23">
        <f t="shared" si="61"/>
        <v>627992952.41807032</v>
      </c>
      <c r="Q215" s="29">
        <f t="shared" si="62"/>
        <v>7239379.1652035713</v>
      </c>
      <c r="R215" s="35">
        <f>Población!K23</f>
        <v>6152311</v>
      </c>
      <c r="S215" s="30">
        <f t="shared" si="63"/>
        <v>6809210.4743796373</v>
      </c>
      <c r="T215" s="53">
        <f t="shared" si="64"/>
        <v>4.5644728526571585</v>
      </c>
      <c r="U215" s="29">
        <f t="shared" si="65"/>
        <v>13705965.050730646</v>
      </c>
      <c r="V215" s="35">
        <f>Población!L23</f>
        <v>6310265</v>
      </c>
      <c r="W215" s="30">
        <f t="shared" si="66"/>
        <v>6984029.6652934514</v>
      </c>
      <c r="X215" s="53">
        <f t="shared" si="67"/>
        <v>4.673792059685308</v>
      </c>
      <c r="Y215" s="29">
        <f t="shared" si="68"/>
        <v>-1006219.3601407704</v>
      </c>
      <c r="Z215" s="35">
        <f>Población!M23</f>
        <v>6282446</v>
      </c>
      <c r="AA215" s="30">
        <f t="shared" si="69"/>
        <v>6953240.3527592234</v>
      </c>
      <c r="AB215" s="53">
        <f t="shared" si="70"/>
        <v>4.6462023826336232</v>
      </c>
      <c r="AC215" s="29">
        <f t="shared" si="71"/>
        <v>2706800.772874414</v>
      </c>
    </row>
    <row r="216" spans="1:29" x14ac:dyDescent="0.2">
      <c r="A216" s="27" t="s">
        <v>164</v>
      </c>
      <c r="B216" s="27" t="s">
        <v>69</v>
      </c>
      <c r="C216" s="51">
        <v>5023050899</v>
      </c>
      <c r="D216" s="51">
        <v>5676564891</v>
      </c>
      <c r="E216" s="52">
        <f t="shared" si="54"/>
        <v>1.1301030001766661</v>
      </c>
      <c r="F216" s="45">
        <v>4178688</v>
      </c>
      <c r="G216" s="35">
        <f>Población!D24</f>
        <v>4169180</v>
      </c>
      <c r="H216" s="35">
        <f>'Fondos 2027'!$B$26</f>
        <v>13458005057.686762</v>
      </c>
      <c r="I216" s="30">
        <f t="shared" si="55"/>
        <v>4722347.845602232</v>
      </c>
      <c r="J216" s="30">
        <f t="shared" si="56"/>
        <v>4711602.8262765529</v>
      </c>
      <c r="K216" s="53">
        <f t="shared" si="57"/>
        <v>3.1567564406256055</v>
      </c>
      <c r="L216" s="54">
        <v>3.1567560000000001</v>
      </c>
      <c r="M216" s="55">
        <f t="shared" si="58"/>
        <v>4.4062560533575379E-7</v>
      </c>
      <c r="N216" s="53">
        <f t="shared" si="59"/>
        <v>3.1572032143514832</v>
      </c>
      <c r="O216" s="23">
        <f t="shared" si="60"/>
        <v>424836441.43824661</v>
      </c>
      <c r="P216" s="23">
        <f t="shared" si="61"/>
        <v>424896568.26887161</v>
      </c>
      <c r="Q216" s="29">
        <f t="shared" si="62"/>
        <v>60126.830624997616</v>
      </c>
      <c r="R216" s="35">
        <f>Población!K24</f>
        <v>4232451</v>
      </c>
      <c r="S216" s="30">
        <f t="shared" si="63"/>
        <v>4783105.5732007306</v>
      </c>
      <c r="T216" s="53">
        <f t="shared" si="64"/>
        <v>3.2062976496929276</v>
      </c>
      <c r="U216" s="29">
        <f t="shared" si="65"/>
        <v>-6607131.5912943473</v>
      </c>
      <c r="V216" s="35">
        <f>Población!L24</f>
        <v>4190375</v>
      </c>
      <c r="W216" s="30">
        <f t="shared" si="66"/>
        <v>4735555.3593652975</v>
      </c>
      <c r="X216" s="53">
        <f t="shared" si="67"/>
        <v>3.1690874892456171</v>
      </c>
      <c r="Y216" s="29">
        <f t="shared" si="68"/>
        <v>-1599386.3163219392</v>
      </c>
      <c r="Z216" s="35">
        <f>Población!M24</f>
        <v>4168743</v>
      </c>
      <c r="AA216" s="30">
        <f t="shared" si="69"/>
        <v>4711108.9712654753</v>
      </c>
      <c r="AB216" s="53">
        <f t="shared" si="70"/>
        <v>3.1479949802762488</v>
      </c>
      <c r="AC216" s="29">
        <f t="shared" si="71"/>
        <v>1239244.6075686829</v>
      </c>
    </row>
    <row r="217" spans="1:29" x14ac:dyDescent="0.2">
      <c r="A217" s="27" t="s">
        <v>164</v>
      </c>
      <c r="B217" s="27" t="s">
        <v>70</v>
      </c>
      <c r="C217" s="51">
        <v>11122445539</v>
      </c>
      <c r="D217" s="51">
        <v>12070661710</v>
      </c>
      <c r="E217" s="52">
        <f t="shared" si="54"/>
        <v>1.0852524894525357</v>
      </c>
      <c r="F217" s="45">
        <v>6638706</v>
      </c>
      <c r="G217" s="35">
        <f>Población!D25</f>
        <v>6851933</v>
      </c>
      <c r="H217" s="35">
        <f>'Fondos 2027'!$B$26</f>
        <v>13458005057.686762</v>
      </c>
      <c r="I217" s="30">
        <f t="shared" si="55"/>
        <v>7204672.2132434854</v>
      </c>
      <c r="J217" s="30">
        <f t="shared" si="56"/>
        <v>7436077.3458119817</v>
      </c>
      <c r="K217" s="53">
        <f t="shared" si="57"/>
        <v>4.8161203188225299</v>
      </c>
      <c r="L217" s="54">
        <v>4.8161199999999997</v>
      </c>
      <c r="M217" s="55">
        <f t="shared" si="58"/>
        <v>3.1882253015425022E-7</v>
      </c>
      <c r="N217" s="53">
        <f t="shared" si="59"/>
        <v>4.9828493962673877</v>
      </c>
      <c r="O217" s="23">
        <f t="shared" si="60"/>
        <v>648153716.09141588</v>
      </c>
      <c r="P217" s="23">
        <f t="shared" si="61"/>
        <v>670592123.76657939</v>
      </c>
      <c r="Q217" s="29">
        <f t="shared" si="62"/>
        <v>22438407.675163507</v>
      </c>
      <c r="R217" s="35">
        <f>Población!K25</f>
        <v>6629599</v>
      </c>
      <c r="S217" s="30">
        <f t="shared" si="63"/>
        <v>7194788.8188220412</v>
      </c>
      <c r="T217" s="53">
        <f t="shared" si="64"/>
        <v>4.8229406871295817</v>
      </c>
      <c r="U217" s="29">
        <f t="shared" si="65"/>
        <v>21520522.16344754</v>
      </c>
      <c r="V217" s="35">
        <f>Población!L25</f>
        <v>6624540</v>
      </c>
      <c r="W217" s="30">
        <f t="shared" si="66"/>
        <v>7189298.5264779013</v>
      </c>
      <c r="X217" s="53">
        <f t="shared" si="67"/>
        <v>4.8111603154749565</v>
      </c>
      <c r="Y217" s="29">
        <f t="shared" si="68"/>
        <v>23105925.176541299</v>
      </c>
      <c r="Z217" s="35">
        <f>Población!M25</f>
        <v>6703850</v>
      </c>
      <c r="AA217" s="30">
        <f t="shared" si="69"/>
        <v>7275369.9014163818</v>
      </c>
      <c r="AB217" s="53">
        <f t="shared" si="70"/>
        <v>4.8614515327501824</v>
      </c>
      <c r="AC217" s="29">
        <f t="shared" si="71"/>
        <v>16337730.612069156</v>
      </c>
    </row>
    <row r="218" spans="1:29" x14ac:dyDescent="0.2">
      <c r="A218" s="27" t="s">
        <v>164</v>
      </c>
      <c r="B218" s="27" t="s">
        <v>71</v>
      </c>
      <c r="C218" s="51">
        <v>15221679435</v>
      </c>
      <c r="D218" s="51">
        <v>16610144570</v>
      </c>
      <c r="E218" s="52">
        <f t="shared" si="54"/>
        <v>1.0912162906155696</v>
      </c>
      <c r="F218" s="45">
        <v>2535155</v>
      </c>
      <c r="G218" s="35">
        <f>Población!D26</f>
        <v>2606836</v>
      </c>
      <c r="H218" s="35">
        <f>'Fondos 2027'!$B$26</f>
        <v>13458005057.686762</v>
      </c>
      <c r="I218" s="30">
        <f t="shared" si="55"/>
        <v>2766402.4352355143</v>
      </c>
      <c r="J218" s="30">
        <f t="shared" si="56"/>
        <v>2844621.9101631287</v>
      </c>
      <c r="K218" s="53">
        <f t="shared" si="57"/>
        <v>1.8492620599570391</v>
      </c>
      <c r="L218" s="54">
        <v>1.849262</v>
      </c>
      <c r="M218" s="55">
        <f t="shared" si="58"/>
        <v>5.9957039111324661E-8</v>
      </c>
      <c r="N218" s="53">
        <f t="shared" si="59"/>
        <v>1.9061558814538613</v>
      </c>
      <c r="O218" s="23">
        <f t="shared" si="60"/>
        <v>248873781.55890071</v>
      </c>
      <c r="P218" s="23">
        <f t="shared" si="61"/>
        <v>256530554.93345433</v>
      </c>
      <c r="Q218" s="29">
        <f t="shared" si="62"/>
        <v>7656773.3745536208</v>
      </c>
      <c r="R218" s="35">
        <f>Población!K26</f>
        <v>2528745</v>
      </c>
      <c r="S218" s="30">
        <f t="shared" si="63"/>
        <v>2759407.7388126682</v>
      </c>
      <c r="T218" s="53">
        <f t="shared" si="64"/>
        <v>1.8497359951808523</v>
      </c>
      <c r="U218" s="29">
        <f t="shared" si="65"/>
        <v>7592991.1481626667</v>
      </c>
      <c r="V218" s="35">
        <f>Población!L26</f>
        <v>2498744</v>
      </c>
      <c r="W218" s="30">
        <f t="shared" si="66"/>
        <v>2726670.1588779106</v>
      </c>
      <c r="X218" s="53">
        <f t="shared" si="67"/>
        <v>1.8247186722694122</v>
      </c>
      <c r="Y218" s="29">
        <f t="shared" si="68"/>
        <v>10959823.730882104</v>
      </c>
      <c r="Z218" s="35">
        <f>Población!M26</f>
        <v>2567272</v>
      </c>
      <c r="AA218" s="30">
        <f t="shared" si="69"/>
        <v>2801449.0288412147</v>
      </c>
      <c r="AB218" s="53">
        <f t="shared" si="70"/>
        <v>1.871947249380439</v>
      </c>
      <c r="AC218" s="29">
        <f t="shared" si="71"/>
        <v>4603799.4346066266</v>
      </c>
    </row>
    <row r="219" spans="1:29" x14ac:dyDescent="0.2">
      <c r="A219" s="27" t="s">
        <v>164</v>
      </c>
      <c r="B219" s="27" t="s">
        <v>72</v>
      </c>
      <c r="C219" s="51">
        <v>18124327099</v>
      </c>
      <c r="D219" s="51">
        <v>19369943128</v>
      </c>
      <c r="E219" s="52">
        <f t="shared" si="54"/>
        <v>1.0687261944786202</v>
      </c>
      <c r="F219" s="45">
        <v>1975372</v>
      </c>
      <c r="G219" s="35">
        <f>Población!D27</f>
        <v>2100792</v>
      </c>
      <c r="H219" s="35">
        <f>'Fondos 2027'!$B$26</f>
        <v>13458005057.686762</v>
      </c>
      <c r="I219" s="30">
        <f t="shared" si="55"/>
        <v>2111131.8002396207</v>
      </c>
      <c r="J219" s="30">
        <f t="shared" si="56"/>
        <v>2245171.4395511295</v>
      </c>
      <c r="K219" s="53">
        <f t="shared" si="57"/>
        <v>1.4112321085415647</v>
      </c>
      <c r="L219" s="54">
        <v>1.411232</v>
      </c>
      <c r="M219" s="55">
        <f t="shared" si="58"/>
        <v>1.0854156462514197E-7</v>
      </c>
      <c r="N219" s="53">
        <f t="shared" si="59"/>
        <v>1.5044694442809785</v>
      </c>
      <c r="O219" s="23">
        <f t="shared" si="60"/>
        <v>189923688.54322332</v>
      </c>
      <c r="P219" s="23">
        <f t="shared" si="61"/>
        <v>202471573.902686</v>
      </c>
      <c r="Q219" s="29">
        <f t="shared" si="62"/>
        <v>12547885.359462678</v>
      </c>
      <c r="R219" s="35">
        <f>Población!K27</f>
        <v>1905221</v>
      </c>
      <c r="S219" s="30">
        <f t="shared" si="63"/>
        <v>2036159.5889707513</v>
      </c>
      <c r="T219" s="53">
        <f t="shared" si="64"/>
        <v>1.3649152427442472</v>
      </c>
      <c r="U219" s="29">
        <f t="shared" si="65"/>
        <v>18781211.50102767</v>
      </c>
      <c r="V219" s="35">
        <f>Población!L27</f>
        <v>1920249</v>
      </c>
      <c r="W219" s="30">
        <f t="shared" si="66"/>
        <v>2052220.4062213758</v>
      </c>
      <c r="X219" s="53">
        <f t="shared" si="67"/>
        <v>1.3733692293700481</v>
      </c>
      <c r="Y219" s="29">
        <f t="shared" si="68"/>
        <v>17643473.553351223</v>
      </c>
      <c r="Z219" s="35">
        <f>Población!M27</f>
        <v>2025213</v>
      </c>
      <c r="AA219" s="30">
        <f t="shared" si="69"/>
        <v>2164398.1824986297</v>
      </c>
      <c r="AB219" s="53">
        <f t="shared" si="70"/>
        <v>1.4462655513558433</v>
      </c>
      <c r="AC219" s="29">
        <f t="shared" si="71"/>
        <v>7833082.8536352776</v>
      </c>
    </row>
    <row r="220" spans="1:29" x14ac:dyDescent="0.2">
      <c r="A220" s="27" t="s">
        <v>164</v>
      </c>
      <c r="B220" s="27" t="s">
        <v>73</v>
      </c>
      <c r="C220" s="51">
        <v>7487153499</v>
      </c>
      <c r="D220" s="51">
        <v>8859478216</v>
      </c>
      <c r="E220" s="52">
        <f t="shared" si="54"/>
        <v>1.1832905812847687</v>
      </c>
      <c r="F220" s="45">
        <v>2951151</v>
      </c>
      <c r="G220" s="35">
        <f>Población!D28</f>
        <v>2889524</v>
      </c>
      <c r="H220" s="35">
        <f>'Fondos 2027'!$B$26</f>
        <v>13458005057.686762</v>
      </c>
      <c r="I220" s="30">
        <f t="shared" si="55"/>
        <v>3492069.1822491265</v>
      </c>
      <c r="J220" s="30">
        <f t="shared" si="56"/>
        <v>3419146.5335962898</v>
      </c>
      <c r="K220" s="53">
        <f t="shared" si="57"/>
        <v>2.3343498282196751</v>
      </c>
      <c r="L220" s="54">
        <v>2.3343500000000001</v>
      </c>
      <c r="M220" s="55">
        <f t="shared" si="58"/>
        <v>-1.7178032507558783E-7</v>
      </c>
      <c r="N220" s="53">
        <f t="shared" si="59"/>
        <v>2.2911397297763902</v>
      </c>
      <c r="O220" s="23">
        <f t="shared" si="60"/>
        <v>314156917.9459061</v>
      </c>
      <c r="P220" s="23">
        <f t="shared" si="61"/>
        <v>308341700.71197742</v>
      </c>
      <c r="Q220" s="29">
        <f t="shared" si="62"/>
        <v>-5815217.2339286804</v>
      </c>
      <c r="R220" s="35">
        <f>Población!K28</f>
        <v>2885526</v>
      </c>
      <c r="S220" s="30">
        <f t="shared" si="63"/>
        <v>3414415.7378523136</v>
      </c>
      <c r="T220" s="53">
        <f t="shared" si="64"/>
        <v>2.2888127781851453</v>
      </c>
      <c r="U220" s="29">
        <f t="shared" si="65"/>
        <v>313161.26283966977</v>
      </c>
      <c r="V220" s="35">
        <f>Población!L28</f>
        <v>2924773</v>
      </c>
      <c r="W220" s="30">
        <f t="shared" si="66"/>
        <v>3460856.343295997</v>
      </c>
      <c r="X220" s="53">
        <f t="shared" si="67"/>
        <v>2.316044414500452</v>
      </c>
      <c r="Y220" s="29">
        <f t="shared" si="68"/>
        <v>-3351673.729765167</v>
      </c>
      <c r="Z220" s="35">
        <f>Población!M28</f>
        <v>2936529</v>
      </c>
      <c r="AA220" s="30">
        <f t="shared" si="69"/>
        <v>3474767.1073695808</v>
      </c>
      <c r="AB220" s="53">
        <f t="shared" si="70"/>
        <v>2.3218629580309202</v>
      </c>
      <c r="AC220" s="29">
        <f t="shared" si="71"/>
        <v>-4134733.6123792953</v>
      </c>
    </row>
    <row r="221" spans="1:29" x14ac:dyDescent="0.2">
      <c r="A221" s="27" t="s">
        <v>164</v>
      </c>
      <c r="B221" s="27" t="s">
        <v>74</v>
      </c>
      <c r="C221" s="51">
        <v>12537579490</v>
      </c>
      <c r="D221" s="51">
        <v>13161541989</v>
      </c>
      <c r="E221" s="52">
        <f t="shared" si="54"/>
        <v>1.0497673812953827</v>
      </c>
      <c r="F221" s="45">
        <v>3085699</v>
      </c>
      <c r="G221" s="35">
        <f>Población!D29</f>
        <v>3102935</v>
      </c>
      <c r="H221" s="35">
        <f>'Fondos 2027'!$B$26</f>
        <v>13458005057.686762</v>
      </c>
      <c r="I221" s="30">
        <f t="shared" si="55"/>
        <v>3239266.1586957811</v>
      </c>
      <c r="J221" s="30">
        <f t="shared" si="56"/>
        <v>3257359.9492797884</v>
      </c>
      <c r="K221" s="53">
        <f t="shared" si="57"/>
        <v>2.1653581319483308</v>
      </c>
      <c r="L221" s="54">
        <v>2.1653579999999999</v>
      </c>
      <c r="M221" s="55">
        <f t="shared" si="58"/>
        <v>1.3194833092811109E-7</v>
      </c>
      <c r="N221" s="53">
        <f t="shared" si="59"/>
        <v>2.1827279763080552</v>
      </c>
      <c r="O221" s="23">
        <f t="shared" si="60"/>
        <v>291414006.91463798</v>
      </c>
      <c r="P221" s="23">
        <f t="shared" si="61"/>
        <v>293751641.44708198</v>
      </c>
      <c r="Q221" s="29">
        <f t="shared" si="62"/>
        <v>2337634.5324440002</v>
      </c>
      <c r="R221" s="35">
        <f>Población!K29</f>
        <v>3144666</v>
      </c>
      <c r="S221" s="30">
        <f t="shared" si="63"/>
        <v>3301167.7918686261</v>
      </c>
      <c r="T221" s="53">
        <f t="shared" si="64"/>
        <v>2.2128983712202439</v>
      </c>
      <c r="U221" s="29">
        <f t="shared" si="65"/>
        <v>-4060333.2732064328</v>
      </c>
      <c r="V221" s="35">
        <f>Población!L29</f>
        <v>3135869</v>
      </c>
      <c r="W221" s="30">
        <f t="shared" si="66"/>
        <v>3291932.9882153706</v>
      </c>
      <c r="X221" s="53">
        <f t="shared" si="67"/>
        <v>2.202998984640002</v>
      </c>
      <c r="Y221" s="29">
        <f t="shared" si="68"/>
        <v>-2728073.3265575105</v>
      </c>
      <c r="Z221" s="35">
        <f>Población!M29</f>
        <v>3105420</v>
      </c>
      <c r="AA221" s="30">
        <f t="shared" si="69"/>
        <v>3259968.6212223074</v>
      </c>
      <c r="AB221" s="53">
        <f t="shared" si="70"/>
        <v>2.1783331521430043</v>
      </c>
      <c r="AC221" s="29">
        <f t="shared" si="71"/>
        <v>591455.65840898757</v>
      </c>
    </row>
    <row r="222" spans="1:29" x14ac:dyDescent="0.2">
      <c r="A222" s="27" t="s">
        <v>164</v>
      </c>
      <c r="B222" s="27" t="s">
        <v>75</v>
      </c>
      <c r="C222" s="51">
        <v>13680442636</v>
      </c>
      <c r="D222" s="51">
        <v>16407372864</v>
      </c>
      <c r="E222" s="52">
        <f t="shared" si="54"/>
        <v>1.1993305553450515</v>
      </c>
      <c r="F222" s="45">
        <v>3035624</v>
      </c>
      <c r="G222" s="35">
        <f>Población!D30</f>
        <v>3049889</v>
      </c>
      <c r="H222" s="35">
        <f>'Fondos 2027'!$B$26</f>
        <v>13458005057.686762</v>
      </c>
      <c r="I222" s="30">
        <f t="shared" si="55"/>
        <v>3640716.6177387666</v>
      </c>
      <c r="J222" s="30">
        <f t="shared" si="56"/>
        <v>3657825.068110764</v>
      </c>
      <c r="K222" s="53">
        <f t="shared" si="57"/>
        <v>2.4337164493806704</v>
      </c>
      <c r="L222" s="54">
        <v>2.433716</v>
      </c>
      <c r="M222" s="55">
        <f t="shared" si="58"/>
        <v>4.4938067045308117E-7</v>
      </c>
      <c r="N222" s="53">
        <f t="shared" si="59"/>
        <v>2.4510760962636553</v>
      </c>
      <c r="O222" s="23">
        <f t="shared" si="60"/>
        <v>327529682.84740531</v>
      </c>
      <c r="P222" s="23">
        <f t="shared" si="61"/>
        <v>329865945.00291395</v>
      </c>
      <c r="Q222" s="29">
        <f t="shared" si="62"/>
        <v>2336262.1555086374</v>
      </c>
      <c r="R222" s="35">
        <f>Población!K30</f>
        <v>3042242</v>
      </c>
      <c r="S222" s="30">
        <f t="shared" si="63"/>
        <v>3648653.78735404</v>
      </c>
      <c r="T222" s="53">
        <f t="shared" si="64"/>
        <v>2.4458314548779674</v>
      </c>
      <c r="U222" s="29">
        <f t="shared" si="65"/>
        <v>705824.10294341343</v>
      </c>
      <c r="V222" s="35">
        <f>Población!L30</f>
        <v>3032476</v>
      </c>
      <c r="W222" s="30">
        <f t="shared" si="66"/>
        <v>3636941.1251505404</v>
      </c>
      <c r="X222" s="53">
        <f t="shared" si="67"/>
        <v>2.4338823525826645</v>
      </c>
      <c r="Y222" s="29">
        <f t="shared" si="68"/>
        <v>2313934.8941934402</v>
      </c>
      <c r="Z222" s="35">
        <f>Población!M30</f>
        <v>3057789</v>
      </c>
      <c r="AA222" s="30">
        <f t="shared" si="69"/>
        <v>3667299.7794979899</v>
      </c>
      <c r="AB222" s="53">
        <f t="shared" si="70"/>
        <v>2.4505145959140915</v>
      </c>
      <c r="AC222" s="29">
        <f t="shared" si="71"/>
        <v>75566.745443227061</v>
      </c>
    </row>
    <row r="223" spans="1:29" x14ac:dyDescent="0.2">
      <c r="A223" s="27" t="s">
        <v>164</v>
      </c>
      <c r="B223" s="27" t="s">
        <v>76</v>
      </c>
      <c r="C223" s="51">
        <v>4346228391</v>
      </c>
      <c r="D223" s="51">
        <v>4819016505</v>
      </c>
      <c r="E223" s="52">
        <f t="shared" si="54"/>
        <v>1.1087812400699031</v>
      </c>
      <c r="F223" s="45">
        <v>2578825</v>
      </c>
      <c r="G223" s="35">
        <f>Población!D31</f>
        <v>2527009</v>
      </c>
      <c r="H223" s="35">
        <f>'Fondos 2027'!$B$26</f>
        <v>13458005057.686762</v>
      </c>
      <c r="I223" s="30">
        <f t="shared" si="55"/>
        <v>2859352.7814232679</v>
      </c>
      <c r="J223" s="30">
        <f t="shared" si="56"/>
        <v>2801900.1726878057</v>
      </c>
      <c r="K223" s="53">
        <f t="shared" si="57"/>
        <v>1.9113967466806836</v>
      </c>
      <c r="L223" s="54">
        <v>1.911397</v>
      </c>
      <c r="M223" s="55">
        <f t="shared" si="58"/>
        <v>-2.5331931641225935E-7</v>
      </c>
      <c r="N223" s="53">
        <f t="shared" si="59"/>
        <v>1.8775284245452402</v>
      </c>
      <c r="O223" s="23">
        <f t="shared" si="60"/>
        <v>257235870.84074661</v>
      </c>
      <c r="P223" s="23">
        <f t="shared" si="61"/>
        <v>252677870.33480498</v>
      </c>
      <c r="Q223" s="29">
        <f t="shared" si="62"/>
        <v>-4558000.5059416294</v>
      </c>
      <c r="R223" s="35">
        <f>Población!K31</f>
        <v>2554147</v>
      </c>
      <c r="S223" s="30">
        <f t="shared" si="63"/>
        <v>2831990.2779808226</v>
      </c>
      <c r="T223" s="53">
        <f t="shared" si="64"/>
        <v>1.8983908327507171</v>
      </c>
      <c r="U223" s="29">
        <f t="shared" si="65"/>
        <v>-2807663.9514483409</v>
      </c>
      <c r="V223" s="35">
        <f>Población!L31</f>
        <v>2567516</v>
      </c>
      <c r="W223" s="30">
        <f t="shared" si="66"/>
        <v>2846813.5743793175</v>
      </c>
      <c r="X223" s="53">
        <f t="shared" si="67"/>
        <v>1.9051200119407485</v>
      </c>
      <c r="Y223" s="29">
        <f t="shared" si="68"/>
        <v>-3713277.2271835804</v>
      </c>
      <c r="Z223" s="35">
        <f>Población!M31</f>
        <v>2553100</v>
      </c>
      <c r="AA223" s="30">
        <f t="shared" si="69"/>
        <v>2830829.3840224696</v>
      </c>
      <c r="AB223" s="53">
        <f t="shared" si="70"/>
        <v>1.8915794020632668</v>
      </c>
      <c r="AC223" s="29">
        <f t="shared" si="71"/>
        <v>-1890981.2650304553</v>
      </c>
    </row>
    <row r="224" spans="1:29" x14ac:dyDescent="0.2">
      <c r="A224" s="27" t="s">
        <v>164</v>
      </c>
      <c r="B224" s="27" t="s">
        <v>77</v>
      </c>
      <c r="C224" s="51">
        <v>13854166845</v>
      </c>
      <c r="D224" s="51">
        <v>15297439759</v>
      </c>
      <c r="E224" s="52">
        <f t="shared" si="54"/>
        <v>1.1041760886921093</v>
      </c>
      <c r="F224" s="45">
        <v>3602540</v>
      </c>
      <c r="G224" s="35">
        <f>Población!D32</f>
        <v>3620715</v>
      </c>
      <c r="H224" s="35">
        <f>'Fondos 2027'!$B$26</f>
        <v>13458005057.686762</v>
      </c>
      <c r="I224" s="30">
        <f t="shared" si="55"/>
        <v>3977838.5265568714</v>
      </c>
      <c r="J224" s="30">
        <f t="shared" si="56"/>
        <v>3997906.9269688502</v>
      </c>
      <c r="K224" s="53">
        <f t="shared" si="57"/>
        <v>2.6590729440168328</v>
      </c>
      <c r="L224" s="54">
        <v>2.6590729999999998</v>
      </c>
      <c r="M224" s="55">
        <f t="shared" si="58"/>
        <v>-5.5983166991069311E-8</v>
      </c>
      <c r="N224" s="53">
        <f t="shared" si="59"/>
        <v>2.6789619299212215</v>
      </c>
      <c r="O224" s="23">
        <f t="shared" si="60"/>
        <v>357858171.29336566</v>
      </c>
      <c r="P224" s="23">
        <f t="shared" si="61"/>
        <v>360534832.0223009</v>
      </c>
      <c r="Q224" s="29">
        <f t="shared" si="62"/>
        <v>2676660.7289352417</v>
      </c>
      <c r="R224" s="35">
        <f>Población!K32</f>
        <v>3569939</v>
      </c>
      <c r="S224" s="30">
        <f t="shared" si="63"/>
        <v>3941841.28188942</v>
      </c>
      <c r="T224" s="53">
        <f t="shared" si="64"/>
        <v>2.6423661874406634</v>
      </c>
      <c r="U224" s="29">
        <f t="shared" si="65"/>
        <v>4925056.873931529</v>
      </c>
      <c r="V224" s="35">
        <f>Población!L32</f>
        <v>3597414</v>
      </c>
      <c r="W224" s="30">
        <f t="shared" si="66"/>
        <v>3972178.5199262355</v>
      </c>
      <c r="X224" s="53">
        <f t="shared" si="67"/>
        <v>2.6582270287799123</v>
      </c>
      <c r="Y224" s="29">
        <f t="shared" si="68"/>
        <v>2790504.0443037366</v>
      </c>
      <c r="Z224" s="35">
        <f>Población!M32</f>
        <v>3608877</v>
      </c>
      <c r="AA224" s="30">
        <f t="shared" si="69"/>
        <v>3984835.6904309131</v>
      </c>
      <c r="AB224" s="53">
        <f t="shared" si="70"/>
        <v>2.6626942461347016</v>
      </c>
      <c r="AC224" s="29">
        <f t="shared" si="71"/>
        <v>2189305.7067583352</v>
      </c>
    </row>
    <row r="225" spans="1:29" x14ac:dyDescent="0.2">
      <c r="A225" s="27" t="s">
        <v>164</v>
      </c>
      <c r="B225" s="27" t="s">
        <v>78</v>
      </c>
      <c r="C225" s="51">
        <v>2013001528</v>
      </c>
      <c r="D225" s="51">
        <v>2196216088</v>
      </c>
      <c r="E225" s="52">
        <f t="shared" si="54"/>
        <v>1.0910156090055387</v>
      </c>
      <c r="F225" s="45">
        <v>1426175</v>
      </c>
      <c r="G225" s="35">
        <f>Población!D33</f>
        <v>1419482</v>
      </c>
      <c r="H225" s="35">
        <f>'Fondos 2027'!$B$26</f>
        <v>13458005057.686762</v>
      </c>
      <c r="I225" s="30">
        <f t="shared" si="55"/>
        <v>1555979.1861734742</v>
      </c>
      <c r="J225" s="30">
        <f t="shared" si="56"/>
        <v>1548677.0187024001</v>
      </c>
      <c r="K225" s="53">
        <f t="shared" si="57"/>
        <v>1.0401282324017587</v>
      </c>
      <c r="L225" s="54">
        <v>1.0401279999999999</v>
      </c>
      <c r="M225" s="55">
        <f t="shared" si="58"/>
        <v>2.324017587262972E-7</v>
      </c>
      <c r="N225" s="53">
        <f t="shared" si="59"/>
        <v>1.0377547178151081</v>
      </c>
      <c r="O225" s="23">
        <f t="shared" si="60"/>
        <v>139980510.12305659</v>
      </c>
      <c r="P225" s="23">
        <f t="shared" si="61"/>
        <v>139661082.40994024</v>
      </c>
      <c r="Q225" s="29">
        <f t="shared" si="62"/>
        <v>-319427.71311634779</v>
      </c>
      <c r="R225" s="35">
        <f>Población!K33</f>
        <v>1476723</v>
      </c>
      <c r="S225" s="30">
        <f t="shared" si="63"/>
        <v>1611127.8431774862</v>
      </c>
      <c r="T225" s="53">
        <f t="shared" si="64"/>
        <v>1.080000292253223</v>
      </c>
      <c r="U225" s="29">
        <f t="shared" si="65"/>
        <v>-5685411.5445303349</v>
      </c>
      <c r="V225" s="35">
        <f>Población!L33</f>
        <v>1449354</v>
      </c>
      <c r="W225" s="30">
        <f t="shared" si="66"/>
        <v>1581267.8369746136</v>
      </c>
      <c r="X225" s="53">
        <f t="shared" si="67"/>
        <v>1.058202415349732</v>
      </c>
      <c r="Y225" s="29">
        <f t="shared" si="68"/>
        <v>-2751852.1683901818</v>
      </c>
      <c r="Z225" s="35">
        <f>Población!M33</f>
        <v>1440130</v>
      </c>
      <c r="AA225" s="30">
        <f t="shared" si="69"/>
        <v>1571204.3089971466</v>
      </c>
      <c r="AB225" s="53">
        <f t="shared" si="70"/>
        <v>1.0498893801607014</v>
      </c>
      <c r="AC225" s="29">
        <f t="shared" si="71"/>
        <v>-1633083.4722031641</v>
      </c>
    </row>
    <row r="226" spans="1:29" x14ac:dyDescent="0.2">
      <c r="A226" s="27" t="s">
        <v>164</v>
      </c>
      <c r="B226" s="27" t="s">
        <v>79</v>
      </c>
      <c r="C226" s="51">
        <v>14058779342</v>
      </c>
      <c r="D226" s="51">
        <v>15085123820</v>
      </c>
      <c r="E226" s="52">
        <f t="shared" si="54"/>
        <v>1.0730038115708838</v>
      </c>
      <c r="F226" s="45">
        <v>8066173</v>
      </c>
      <c r="G226" s="35">
        <f>Población!D34</f>
        <v>7917876</v>
      </c>
      <c r="H226" s="35">
        <f>'Fondos 2027'!$B$26</f>
        <v>13458005057.686762</v>
      </c>
      <c r="I226" s="30">
        <f t="shared" si="55"/>
        <v>8655034.3737901505</v>
      </c>
      <c r="J226" s="30">
        <f t="shared" si="56"/>
        <v>8495911.1275456231</v>
      </c>
      <c r="K226" s="53">
        <f t="shared" si="57"/>
        <v>5.7856465462920097</v>
      </c>
      <c r="L226" s="54">
        <v>5.785647</v>
      </c>
      <c r="M226" s="55">
        <f t="shared" si="58"/>
        <v>-4.5370799028887632E-7</v>
      </c>
      <c r="N226" s="53">
        <f t="shared" si="59"/>
        <v>5.693034601969897</v>
      </c>
      <c r="O226" s="23">
        <f t="shared" si="60"/>
        <v>778632604.81985807</v>
      </c>
      <c r="P226" s="23">
        <f t="shared" si="61"/>
        <v>766168884.66896617</v>
      </c>
      <c r="Q226" s="29">
        <f t="shared" si="62"/>
        <v>-12463720.1508919</v>
      </c>
      <c r="R226" s="35">
        <f>Población!K34</f>
        <v>8113343</v>
      </c>
      <c r="S226" s="30">
        <f t="shared" si="63"/>
        <v>8705647.9635819495</v>
      </c>
      <c r="T226" s="53">
        <f t="shared" si="64"/>
        <v>5.8357270558860437</v>
      </c>
      <c r="U226" s="29">
        <f t="shared" si="65"/>
        <v>-19203557.664972376</v>
      </c>
      <c r="V226" s="35">
        <f>Población!L34</f>
        <v>8068202</v>
      </c>
      <c r="W226" s="30">
        <f t="shared" si="66"/>
        <v>8657211.4985238276</v>
      </c>
      <c r="X226" s="53">
        <f t="shared" si="67"/>
        <v>5.7935043663817112</v>
      </c>
      <c r="Y226" s="29">
        <f t="shared" si="68"/>
        <v>-13521225.975987932</v>
      </c>
      <c r="Z226" s="35">
        <f>Población!M34</f>
        <v>8021469</v>
      </c>
      <c r="AA226" s="30">
        <f t="shared" si="69"/>
        <v>8607066.8113976847</v>
      </c>
      <c r="AB226" s="53">
        <f t="shared" si="70"/>
        <v>5.751300443790007</v>
      </c>
      <c r="AC226" s="29">
        <f t="shared" si="71"/>
        <v>-7841419.9390541818</v>
      </c>
    </row>
    <row r="227" spans="1:29" x14ac:dyDescent="0.2">
      <c r="A227" s="27" t="s">
        <v>164</v>
      </c>
      <c r="B227" s="27" t="s">
        <v>80</v>
      </c>
      <c r="C227" s="51">
        <v>7530932633</v>
      </c>
      <c r="D227" s="51">
        <v>8921829182</v>
      </c>
      <c r="E227" s="52">
        <f t="shared" si="54"/>
        <v>1.1846911420911126</v>
      </c>
      <c r="F227" s="45">
        <v>2456821</v>
      </c>
      <c r="G227" s="35">
        <f>Población!D35</f>
        <v>2506448</v>
      </c>
      <c r="H227" s="35">
        <f>'Fondos 2027'!$B$26</f>
        <v>13458005057.686762</v>
      </c>
      <c r="I227" s="30">
        <f t="shared" si="55"/>
        <v>2910574.0764034293</v>
      </c>
      <c r="J227" s="30">
        <f t="shared" si="56"/>
        <v>2969366.7437119852</v>
      </c>
      <c r="K227" s="53">
        <f t="shared" si="57"/>
        <v>1.9456367387592821</v>
      </c>
      <c r="L227" s="54">
        <v>1.9456370000000001</v>
      </c>
      <c r="M227" s="55">
        <f t="shared" si="58"/>
        <v>-2.6124071794697556E-7</v>
      </c>
      <c r="N227" s="53">
        <f t="shared" si="59"/>
        <v>1.9897462866675018</v>
      </c>
      <c r="O227" s="23">
        <f t="shared" si="60"/>
        <v>261843890.70643595</v>
      </c>
      <c r="P227" s="23">
        <f t="shared" si="61"/>
        <v>267780155.89484692</v>
      </c>
      <c r="Q227" s="29">
        <f t="shared" si="62"/>
        <v>5936265.1884109676</v>
      </c>
      <c r="R227" s="35">
        <f>Población!K35</f>
        <v>2402017</v>
      </c>
      <c r="S227" s="30">
        <f t="shared" si="63"/>
        <v>2845648.263052268</v>
      </c>
      <c r="T227" s="53">
        <f t="shared" si="64"/>
        <v>1.9075462997927739</v>
      </c>
      <c r="U227" s="29">
        <f t="shared" si="65"/>
        <v>11062478.391018728</v>
      </c>
      <c r="V227" s="35">
        <f>Población!L35</f>
        <v>2432221</v>
      </c>
      <c r="W227" s="30">
        <f t="shared" si="66"/>
        <v>2881430.674307988</v>
      </c>
      <c r="X227" s="53">
        <f t="shared" si="67"/>
        <v>1.9282861688057418</v>
      </c>
      <c r="Y227" s="29">
        <f t="shared" si="68"/>
        <v>8271305.7702959022</v>
      </c>
      <c r="Z227" s="35">
        <f>Población!M35</f>
        <v>2478837</v>
      </c>
      <c r="AA227" s="30">
        <f t="shared" si="69"/>
        <v>2936656.2365877074</v>
      </c>
      <c r="AB227" s="53">
        <f t="shared" si="70"/>
        <v>1.9622936230005754</v>
      </c>
      <c r="AC227" s="29">
        <f t="shared" si="71"/>
        <v>3694580.864764682</v>
      </c>
    </row>
    <row r="228" spans="1:29" x14ac:dyDescent="0.2">
      <c r="A228" s="27" t="s">
        <v>164</v>
      </c>
      <c r="B228" s="27" t="s">
        <v>81</v>
      </c>
      <c r="C228" s="51">
        <v>4819410776</v>
      </c>
      <c r="D228" s="51">
        <v>5425831297</v>
      </c>
      <c r="E228" s="52">
        <f t="shared" si="54"/>
        <v>1.1258287681182708</v>
      </c>
      <c r="F228" s="45">
        <v>1689186</v>
      </c>
      <c r="G228" s="35">
        <f>Población!D36</f>
        <v>1686419</v>
      </c>
      <c r="H228" s="35">
        <f>'Fondos 2027'!$B$26</f>
        <v>13458005057.686762</v>
      </c>
      <c r="I228" s="30">
        <f t="shared" si="55"/>
        <v>1901734.1935026294</v>
      </c>
      <c r="J228" s="30">
        <f t="shared" si="56"/>
        <v>1898619.0253012462</v>
      </c>
      <c r="K228" s="53">
        <f t="shared" si="57"/>
        <v>1.2712557100782094</v>
      </c>
      <c r="L228" s="54">
        <v>1.2712559999999999</v>
      </c>
      <c r="M228" s="55">
        <f t="shared" si="58"/>
        <v>-2.8992179057496514E-7</v>
      </c>
      <c r="N228" s="53">
        <f t="shared" si="59"/>
        <v>1.2722477489145922</v>
      </c>
      <c r="O228" s="23">
        <f t="shared" si="60"/>
        <v>171085657.75845718</v>
      </c>
      <c r="P228" s="23">
        <f t="shared" si="61"/>
        <v>171219166.39523181</v>
      </c>
      <c r="Q228" s="29">
        <f t="shared" si="62"/>
        <v>133508.63677462935</v>
      </c>
      <c r="R228" s="35">
        <f>Población!K36</f>
        <v>1695685</v>
      </c>
      <c r="S228" s="30">
        <f t="shared" si="63"/>
        <v>1909050.9546666301</v>
      </c>
      <c r="T228" s="53">
        <f t="shared" si="64"/>
        <v>1.2797094890371927</v>
      </c>
      <c r="U228" s="29">
        <f t="shared" si="65"/>
        <v>-1004201.3630910149</v>
      </c>
      <c r="V228" s="35">
        <f>Población!L36</f>
        <v>1703991</v>
      </c>
      <c r="W228" s="30">
        <f t="shared" si="66"/>
        <v>1918402.0884146204</v>
      </c>
      <c r="X228" s="53">
        <f t="shared" si="67"/>
        <v>1.2838164895937947</v>
      </c>
      <c r="Y228" s="29">
        <f t="shared" si="68"/>
        <v>-1556921.7057177301</v>
      </c>
      <c r="Z228" s="35">
        <f>Población!M36</f>
        <v>1695141</v>
      </c>
      <c r="AA228" s="30">
        <f t="shared" si="69"/>
        <v>1908438.5038167736</v>
      </c>
      <c r="AB228" s="53">
        <f t="shared" si="70"/>
        <v>1.2752315573306183</v>
      </c>
      <c r="AC228" s="29">
        <f t="shared" si="71"/>
        <v>-401561.08754047303</v>
      </c>
    </row>
    <row r="229" spans="1:29" x14ac:dyDescent="0.2">
      <c r="A229" s="27" t="s">
        <v>166</v>
      </c>
      <c r="B229" s="27" t="s">
        <v>50</v>
      </c>
      <c r="C229" s="51">
        <v>21271586518</v>
      </c>
      <c r="D229" s="51">
        <v>5999239609</v>
      </c>
      <c r="E229" s="52">
        <f t="shared" si="54"/>
        <v>0.28203066113209035</v>
      </c>
      <c r="F229" s="45">
        <v>1531396</v>
      </c>
      <c r="G229" s="35">
        <f>Población!D5</f>
        <v>1539174</v>
      </c>
      <c r="H229" s="35">
        <f>'Fondos 2027'!$B$27</f>
        <v>13458005057.686762</v>
      </c>
      <c r="I229" s="30">
        <f t="shared" si="55"/>
        <v>431900.62633503863</v>
      </c>
      <c r="J229" s="30">
        <f t="shared" si="56"/>
        <v>434094.26081732404</v>
      </c>
      <c r="K229" s="53">
        <f t="shared" si="57"/>
        <v>1.2454631073899263</v>
      </c>
      <c r="L229" s="54">
        <v>1.245463</v>
      </c>
      <c r="M229" s="55">
        <f t="shared" si="58"/>
        <v>1.0738992628489541E-7</v>
      </c>
      <c r="N229" s="53">
        <f t="shared" si="59"/>
        <v>1.2518503696026801</v>
      </c>
      <c r="O229" s="23">
        <f t="shared" si="60"/>
        <v>167614487.98415899</v>
      </c>
      <c r="P229" s="23">
        <f t="shared" si="61"/>
        <v>168474086.0557991</v>
      </c>
      <c r="Q229" s="29">
        <f t="shared" si="62"/>
        <v>859598.07164010406</v>
      </c>
      <c r="R229" s="35">
        <f>Población!K5</f>
        <v>1503564</v>
      </c>
      <c r="S229" s="30">
        <f t="shared" si="63"/>
        <v>424051.14897441032</v>
      </c>
      <c r="T229" s="53">
        <f t="shared" si="64"/>
        <v>1.2294045198801438</v>
      </c>
      <c r="U229" s="29">
        <f t="shared" si="65"/>
        <v>3020763.5908997166</v>
      </c>
      <c r="V229" s="35">
        <f>Población!L5</f>
        <v>1519678</v>
      </c>
      <c r="W229" s="30">
        <f t="shared" si="66"/>
        <v>428595.79104789282</v>
      </c>
      <c r="X229" s="53">
        <f t="shared" si="67"/>
        <v>1.23822119571506</v>
      </c>
      <c r="Y229" s="29">
        <f t="shared" si="68"/>
        <v>1834214.9111168494</v>
      </c>
      <c r="Z229" s="35">
        <f>Población!M5</f>
        <v>1558219</v>
      </c>
      <c r="AA229" s="30">
        <f t="shared" si="69"/>
        <v>439465.53475858469</v>
      </c>
      <c r="AB229" s="53">
        <f t="shared" si="70"/>
        <v>1.2656921662841445</v>
      </c>
      <c r="AC229" s="29">
        <f t="shared" si="71"/>
        <v>-1862829.6974661902</v>
      </c>
    </row>
    <row r="230" spans="1:29" x14ac:dyDescent="0.2">
      <c r="A230" s="27" t="s">
        <v>166</v>
      </c>
      <c r="B230" s="27" t="s">
        <v>51</v>
      </c>
      <c r="C230" s="51">
        <v>75151838005</v>
      </c>
      <c r="D230" s="51">
        <v>32050362891</v>
      </c>
      <c r="E230" s="52">
        <f t="shared" si="54"/>
        <v>0.42647477083484808</v>
      </c>
      <c r="F230" s="45">
        <v>3830329</v>
      </c>
      <c r="G230" s="35">
        <f>Población!D6</f>
        <v>4009678</v>
      </c>
      <c r="H230" s="35">
        <f>'Fondos 2027'!$B$27</f>
        <v>13458005057.686762</v>
      </c>
      <c r="I230" s="30">
        <f t="shared" si="55"/>
        <v>1633538.6824970727</v>
      </c>
      <c r="J230" s="30">
        <f t="shared" si="56"/>
        <v>1710026.506171532</v>
      </c>
      <c r="K230" s="53">
        <f t="shared" si="57"/>
        <v>4.7106024846702041</v>
      </c>
      <c r="L230" s="54">
        <v>4.7106019999999997</v>
      </c>
      <c r="M230" s="55">
        <f t="shared" si="58"/>
        <v>4.8467020441478326E-7</v>
      </c>
      <c r="N230" s="53">
        <f t="shared" si="59"/>
        <v>4.9314112325526978</v>
      </c>
      <c r="O230" s="23">
        <f t="shared" si="60"/>
        <v>633953120.63443434</v>
      </c>
      <c r="P230" s="23">
        <f t="shared" si="61"/>
        <v>663669573.09227514</v>
      </c>
      <c r="Q230" s="29">
        <f t="shared" si="62"/>
        <v>29716452.4578408</v>
      </c>
      <c r="R230" s="35">
        <f>Población!K6</f>
        <v>3778283</v>
      </c>
      <c r="S230" s="30">
        <f t="shared" si="63"/>
        <v>1611342.3765742022</v>
      </c>
      <c r="T230" s="53">
        <f t="shared" si="64"/>
        <v>4.6715864480637945</v>
      </c>
      <c r="U230" s="29">
        <f t="shared" si="65"/>
        <v>34967232.637640327</v>
      </c>
      <c r="V230" s="35">
        <f>Población!L6</f>
        <v>3790412</v>
      </c>
      <c r="W230" s="30">
        <f t="shared" si="66"/>
        <v>1616515.0890696582</v>
      </c>
      <c r="X230" s="53">
        <f t="shared" si="67"/>
        <v>4.670142097255459</v>
      </c>
      <c r="Y230" s="29">
        <f t="shared" si="68"/>
        <v>35161613.442476854</v>
      </c>
      <c r="Z230" s="35">
        <f>Población!M6</f>
        <v>3862801</v>
      </c>
      <c r="AA230" s="30">
        <f t="shared" si="69"/>
        <v>1647387.1712556221</v>
      </c>
      <c r="AB230" s="53">
        <f t="shared" si="70"/>
        <v>4.7445928578691721</v>
      </c>
      <c r="AC230" s="29">
        <f t="shared" si="71"/>
        <v>25142026.313597091</v>
      </c>
    </row>
    <row r="231" spans="1:29" x14ac:dyDescent="0.2">
      <c r="A231" s="27" t="s">
        <v>166</v>
      </c>
      <c r="B231" s="27" t="s">
        <v>52</v>
      </c>
      <c r="C231" s="51">
        <v>16964413755</v>
      </c>
      <c r="D231" s="51">
        <v>6240882605</v>
      </c>
      <c r="E231" s="52">
        <f t="shared" si="54"/>
        <v>0.36788082954889001</v>
      </c>
      <c r="F231" s="45">
        <v>928591</v>
      </c>
      <c r="G231" s="35">
        <f>Población!D7</f>
        <v>961514</v>
      </c>
      <c r="H231" s="35">
        <f>'Fondos 2027'!$B$27</f>
        <v>13458005057.686762</v>
      </c>
      <c r="I231" s="30">
        <f t="shared" si="55"/>
        <v>341610.8273916333</v>
      </c>
      <c r="J231" s="30">
        <f t="shared" si="56"/>
        <v>353722.56794287142</v>
      </c>
      <c r="K231" s="53">
        <f t="shared" si="57"/>
        <v>0.98509623894636833</v>
      </c>
      <c r="L231" s="54">
        <v>0.98509599999999997</v>
      </c>
      <c r="M231" s="55">
        <f t="shared" si="58"/>
        <v>2.3894636835830596E-7</v>
      </c>
      <c r="N231" s="53">
        <f t="shared" si="59"/>
        <v>1.0200727523611179</v>
      </c>
      <c r="O231" s="23">
        <f t="shared" si="60"/>
        <v>132574301.66048431</v>
      </c>
      <c r="P231" s="23">
        <f t="shared" si="61"/>
        <v>137281442.60484383</v>
      </c>
      <c r="Q231" s="29">
        <f t="shared" si="62"/>
        <v>4707140.9443595111</v>
      </c>
      <c r="R231" s="35">
        <f>Población!K7</f>
        <v>881164</v>
      </c>
      <c r="S231" s="30">
        <f t="shared" si="63"/>
        <v>324163.34328861814</v>
      </c>
      <c r="T231" s="53">
        <f t="shared" si="64"/>
        <v>0.93981087041585931</v>
      </c>
      <c r="U231" s="29">
        <f t="shared" si="65"/>
        <v>10801648.131587483</v>
      </c>
      <c r="V231" s="35">
        <f>Población!L7</f>
        <v>906940</v>
      </c>
      <c r="W231" s="30">
        <f t="shared" si="66"/>
        <v>333645.8395510703</v>
      </c>
      <c r="X231" s="53">
        <f t="shared" si="67"/>
        <v>0.96390902342789675</v>
      </c>
      <c r="Y231" s="29">
        <f t="shared" si="68"/>
        <v>7558517.4804183906</v>
      </c>
      <c r="Z231" s="35">
        <f>Población!M7</f>
        <v>960359</v>
      </c>
      <c r="AA231" s="30">
        <f t="shared" si="69"/>
        <v>353297.66558474244</v>
      </c>
      <c r="AB231" s="53">
        <f t="shared" si="70"/>
        <v>1.0175225411993443</v>
      </c>
      <c r="AC231" s="29">
        <f t="shared" si="71"/>
        <v>343207.54713319347</v>
      </c>
    </row>
    <row r="232" spans="1:29" x14ac:dyDescent="0.2">
      <c r="A232" s="27" t="s">
        <v>166</v>
      </c>
      <c r="B232" s="27" t="s">
        <v>53</v>
      </c>
      <c r="C232" s="51">
        <v>14951064491</v>
      </c>
      <c r="D232" s="51">
        <v>3313630825</v>
      </c>
      <c r="E232" s="52">
        <f t="shared" si="54"/>
        <v>0.22163176588494324</v>
      </c>
      <c r="F232" s="45">
        <v>935371</v>
      </c>
      <c r="G232" s="35">
        <f>Población!D8</f>
        <v>968673</v>
      </c>
      <c r="H232" s="35">
        <f>'Fondos 2027'!$B$27</f>
        <v>13458005057.686762</v>
      </c>
      <c r="I232" s="30">
        <f t="shared" si="55"/>
        <v>207307.92648756524</v>
      </c>
      <c r="J232" s="30">
        <f t="shared" si="56"/>
        <v>214688.70755506563</v>
      </c>
      <c r="K232" s="53">
        <f t="shared" si="57"/>
        <v>0.5978096778898303</v>
      </c>
      <c r="L232" s="54">
        <v>0.59780999999999995</v>
      </c>
      <c r="M232" s="55">
        <f t="shared" si="58"/>
        <v>-3.2211016964822647E-7</v>
      </c>
      <c r="N232" s="53">
        <f t="shared" si="59"/>
        <v>0.61912391423076119</v>
      </c>
      <c r="O232" s="23">
        <f t="shared" si="60"/>
        <v>80453256.685754299</v>
      </c>
      <c r="P232" s="23">
        <f t="shared" si="61"/>
        <v>83321727.690524101</v>
      </c>
      <c r="Q232" s="29">
        <f t="shared" si="62"/>
        <v>2868471.0047698021</v>
      </c>
      <c r="R232" s="35">
        <f>Población!K8</f>
        <v>925978</v>
      </c>
      <c r="S232" s="30">
        <f t="shared" si="63"/>
        <v>205226.13931060798</v>
      </c>
      <c r="T232" s="53">
        <f t="shared" si="64"/>
        <v>0.59498941077327216</v>
      </c>
      <c r="U232" s="29">
        <f t="shared" si="65"/>
        <v>3248022.6959564588</v>
      </c>
      <c r="V232" s="35">
        <f>Población!L8</f>
        <v>918817</v>
      </c>
      <c r="W232" s="30">
        <f t="shared" si="66"/>
        <v>203639.03423510588</v>
      </c>
      <c r="X232" s="53">
        <f t="shared" si="67"/>
        <v>0.5883169497496924</v>
      </c>
      <c r="Y232" s="29">
        <f t="shared" si="68"/>
        <v>4146002.8379820017</v>
      </c>
      <c r="Z232" s="35">
        <f>Población!M8</f>
        <v>952094</v>
      </c>
      <c r="AA232" s="30">
        <f t="shared" si="69"/>
        <v>211014.27450845914</v>
      </c>
      <c r="AB232" s="53">
        <f t="shared" si="70"/>
        <v>0.60773620021466668</v>
      </c>
      <c r="AC232" s="29">
        <f t="shared" si="71"/>
        <v>1532559.1282409031</v>
      </c>
    </row>
    <row r="233" spans="1:29" x14ac:dyDescent="0.2">
      <c r="A233" s="27" t="s">
        <v>166</v>
      </c>
      <c r="B233" s="27" t="s">
        <v>54</v>
      </c>
      <c r="C233" s="51">
        <v>49127881961</v>
      </c>
      <c r="D233" s="51">
        <v>16399735233</v>
      </c>
      <c r="E233" s="52">
        <f t="shared" si="54"/>
        <v>0.33381726584546983</v>
      </c>
      <c r="F233" s="45">
        <v>3590747</v>
      </c>
      <c r="G233" s="35">
        <f>Población!D9</f>
        <v>3415128</v>
      </c>
      <c r="H233" s="35">
        <f>'Fondos 2027'!$B$27</f>
        <v>13458005057.686762</v>
      </c>
      <c r="I233" s="30">
        <f t="shared" si="55"/>
        <v>1198653.3458828232</v>
      </c>
      <c r="J233" s="30">
        <f t="shared" si="56"/>
        <v>1140028.6914723078</v>
      </c>
      <c r="K233" s="53">
        <f t="shared" si="57"/>
        <v>3.4565324285695325</v>
      </c>
      <c r="L233" s="54">
        <v>3.4565320000000002</v>
      </c>
      <c r="M233" s="55">
        <f t="shared" si="58"/>
        <v>4.2856953230696604E-7</v>
      </c>
      <c r="N233" s="53">
        <f t="shared" si="59"/>
        <v>3.2876392700751254</v>
      </c>
      <c r="O233" s="23">
        <f t="shared" si="60"/>
        <v>465180309.05747074</v>
      </c>
      <c r="P233" s="23">
        <f t="shared" si="61"/>
        <v>442450659.24520648</v>
      </c>
      <c r="Q233" s="29">
        <f t="shared" si="62"/>
        <v>-22729649.812264264</v>
      </c>
      <c r="R233" s="35">
        <f>Población!K9</f>
        <v>3452989</v>
      </c>
      <c r="S233" s="30">
        <f t="shared" si="63"/>
        <v>1152667.346974483</v>
      </c>
      <c r="T233" s="53">
        <f t="shared" si="64"/>
        <v>3.3418007467165216</v>
      </c>
      <c r="U233" s="29">
        <f t="shared" si="65"/>
        <v>-7289054.2657169411</v>
      </c>
      <c r="V233" s="35">
        <f>Población!L9</f>
        <v>3582441</v>
      </c>
      <c r="W233" s="30">
        <f t="shared" si="66"/>
        <v>1195880.6596727108</v>
      </c>
      <c r="X233" s="53">
        <f t="shared" si="67"/>
        <v>3.4549214231247376</v>
      </c>
      <c r="Y233" s="29">
        <f t="shared" si="68"/>
        <v>-22512840.618024126</v>
      </c>
      <c r="Z233" s="35">
        <f>Población!M9</f>
        <v>3510963</v>
      </c>
      <c r="AA233" s="30">
        <f t="shared" si="69"/>
        <v>1172020.0691446082</v>
      </c>
      <c r="AB233" s="53">
        <f t="shared" si="70"/>
        <v>3.3755016102890294</v>
      </c>
      <c r="AC233" s="29">
        <f t="shared" si="71"/>
        <v>-11824518.189789155</v>
      </c>
    </row>
    <row r="234" spans="1:29" x14ac:dyDescent="0.2">
      <c r="A234" s="27" t="s">
        <v>166</v>
      </c>
      <c r="B234" s="27" t="s">
        <v>55</v>
      </c>
      <c r="C234" s="51">
        <v>11347177691</v>
      </c>
      <c r="D234" s="51">
        <v>3126852128</v>
      </c>
      <c r="E234" s="52">
        <f t="shared" si="54"/>
        <v>0.2755621012685876</v>
      </c>
      <c r="F234" s="45">
        <v>762355</v>
      </c>
      <c r="G234" s="35">
        <f>Población!D10</f>
        <v>762212</v>
      </c>
      <c r="H234" s="35">
        <f>'Fondos 2027'!$B$27</f>
        <v>13458005057.686762</v>
      </c>
      <c r="I234" s="30">
        <f t="shared" si="55"/>
        <v>210076.14571261409</v>
      </c>
      <c r="J234" s="30">
        <f t="shared" si="56"/>
        <v>210036.7403321327</v>
      </c>
      <c r="K234" s="53">
        <f t="shared" si="57"/>
        <v>0.60579233572300373</v>
      </c>
      <c r="L234" s="54">
        <v>0.605792</v>
      </c>
      <c r="M234" s="55">
        <f t="shared" si="58"/>
        <v>3.3572300373041486E-7</v>
      </c>
      <c r="N234" s="53">
        <f t="shared" si="59"/>
        <v>0.60570847105848014</v>
      </c>
      <c r="O234" s="23">
        <f t="shared" si="60"/>
        <v>81527563.180680603</v>
      </c>
      <c r="P234" s="23">
        <f t="shared" si="61"/>
        <v>81516276.669887409</v>
      </c>
      <c r="Q234" s="29">
        <f t="shared" si="62"/>
        <v>-11286.510793194175</v>
      </c>
      <c r="R234" s="35">
        <f>Población!K10</f>
        <v>728776</v>
      </c>
      <c r="S234" s="30">
        <f t="shared" si="63"/>
        <v>200823.0459141162</v>
      </c>
      <c r="T234" s="53">
        <f t="shared" si="64"/>
        <v>0.58222400986304368</v>
      </c>
      <c r="U234" s="29">
        <f t="shared" si="65"/>
        <v>3160539.9754523234</v>
      </c>
      <c r="V234" s="35">
        <f>Población!L10</f>
        <v>745394</v>
      </c>
      <c r="W234" s="30">
        <f t="shared" si="66"/>
        <v>205402.33691299759</v>
      </c>
      <c r="X234" s="53">
        <f t="shared" si="67"/>
        <v>0.59341116391565152</v>
      </c>
      <c r="Y234" s="29">
        <f t="shared" si="68"/>
        <v>1654972.2172411508</v>
      </c>
      <c r="Z234" s="35">
        <f>Población!M10</f>
        <v>771093</v>
      </c>
      <c r="AA234" s="30">
        <f t="shared" si="69"/>
        <v>212484.00735349901</v>
      </c>
      <c r="AB234" s="53">
        <f t="shared" si="70"/>
        <v>0.61196913590897395</v>
      </c>
      <c r="AC234" s="29">
        <f t="shared" si="71"/>
        <v>-842560.59222427476</v>
      </c>
    </row>
    <row r="235" spans="1:29" x14ac:dyDescent="0.2">
      <c r="A235" s="27" t="s">
        <v>166</v>
      </c>
      <c r="B235" s="27" t="s">
        <v>56</v>
      </c>
      <c r="C235" s="51">
        <v>59047964500</v>
      </c>
      <c r="D235" s="51">
        <v>8053623880</v>
      </c>
      <c r="E235" s="52">
        <f t="shared" si="54"/>
        <v>0.13639121937895082</v>
      </c>
      <c r="F235" s="45">
        <v>5891372</v>
      </c>
      <c r="G235" s="35">
        <f>Población!D11</f>
        <v>5860728</v>
      </c>
      <c r="H235" s="35">
        <f>'Fondos 2027'!$B$27</f>
        <v>13458005057.686762</v>
      </c>
      <c r="I235" s="30">
        <f t="shared" si="55"/>
        <v>803531.41089500824</v>
      </c>
      <c r="J235" s="30">
        <f t="shared" si="56"/>
        <v>799351.83836835972</v>
      </c>
      <c r="K235" s="53">
        <f t="shared" si="57"/>
        <v>2.3171272901150681</v>
      </c>
      <c r="L235" s="54">
        <v>2.3171270000000002</v>
      </c>
      <c r="M235" s="55">
        <f t="shared" si="58"/>
        <v>2.9011506796905451E-7</v>
      </c>
      <c r="N235" s="53">
        <f t="shared" si="59"/>
        <v>2.3051880308666775</v>
      </c>
      <c r="O235" s="23">
        <f t="shared" si="60"/>
        <v>311839107.89672607</v>
      </c>
      <c r="P235" s="23">
        <f t="shared" si="61"/>
        <v>310232321.78322732</v>
      </c>
      <c r="Q235" s="29">
        <f t="shared" si="62"/>
        <v>-1606786.1134987473</v>
      </c>
      <c r="R235" s="35">
        <f>Población!K11</f>
        <v>5975155</v>
      </c>
      <c r="S235" s="30">
        <f t="shared" si="63"/>
        <v>814958.6764282349</v>
      </c>
      <c r="T235" s="53">
        <f t="shared" si="64"/>
        <v>2.3627194095325343</v>
      </c>
      <c r="U235" s="29">
        <f t="shared" si="65"/>
        <v>-7742575.8506079437</v>
      </c>
      <c r="V235" s="35">
        <f>Población!L11</f>
        <v>5900473</v>
      </c>
      <c r="W235" s="30">
        <f t="shared" si="66"/>
        <v>804772.70738257607</v>
      </c>
      <c r="X235" s="53">
        <f t="shared" si="67"/>
        <v>2.3250032894110908</v>
      </c>
      <c r="Y235" s="29">
        <f t="shared" si="68"/>
        <v>-2666738.4971008566</v>
      </c>
      <c r="Z235" s="35">
        <f>Población!M11</f>
        <v>5885528</v>
      </c>
      <c r="AA235" s="30">
        <f t="shared" si="69"/>
        <v>802734.34060895769</v>
      </c>
      <c r="AB235" s="53">
        <f t="shared" si="70"/>
        <v>2.3119323044847229</v>
      </c>
      <c r="AC235" s="29">
        <f t="shared" si="71"/>
        <v>-907644.68462078599</v>
      </c>
    </row>
    <row r="236" spans="1:29" x14ac:dyDescent="0.2">
      <c r="A236" s="27" t="s">
        <v>166</v>
      </c>
      <c r="B236" s="27" t="s">
        <v>57</v>
      </c>
      <c r="C236" s="51">
        <v>71916087875</v>
      </c>
      <c r="D236" s="51">
        <v>29378013855</v>
      </c>
      <c r="E236" s="52">
        <f t="shared" si="54"/>
        <v>0.40850405970445736</v>
      </c>
      <c r="F236" s="45">
        <v>4015493</v>
      </c>
      <c r="G236" s="35">
        <f>Población!D12</f>
        <v>3903944</v>
      </c>
      <c r="H236" s="35">
        <f>'Fondos 2027'!$B$27</f>
        <v>13458005057.686762</v>
      </c>
      <c r="I236" s="30">
        <f t="shared" si="55"/>
        <v>1640345.1922148305</v>
      </c>
      <c r="J236" s="30">
        <f t="shared" si="56"/>
        <v>1594776.9728588581</v>
      </c>
      <c r="K236" s="53">
        <f t="shared" si="57"/>
        <v>4.7302302791827833</v>
      </c>
      <c r="L236" s="54">
        <v>4.7302299999999997</v>
      </c>
      <c r="M236" s="55">
        <f t="shared" si="58"/>
        <v>2.791827835579852E-7</v>
      </c>
      <c r="N236" s="53">
        <f t="shared" si="59"/>
        <v>4.5990521486008333</v>
      </c>
      <c r="O236" s="23">
        <f t="shared" si="60"/>
        <v>636594630.21264958</v>
      </c>
      <c r="P236" s="23">
        <f t="shared" si="61"/>
        <v>618940670.76435184</v>
      </c>
      <c r="Q236" s="29">
        <f t="shared" si="62"/>
        <v>-17653959.448297739</v>
      </c>
      <c r="R236" s="35">
        <f>Población!K12</f>
        <v>3976037</v>
      </c>
      <c r="S236" s="30">
        <f t="shared" si="63"/>
        <v>1624227.2560351314</v>
      </c>
      <c r="T236" s="53">
        <f t="shared" si="64"/>
        <v>4.7089421516992847</v>
      </c>
      <c r="U236" s="29">
        <f t="shared" si="65"/>
        <v>-14789002.174881719</v>
      </c>
      <c r="V236" s="35">
        <f>Población!L12</f>
        <v>3991333</v>
      </c>
      <c r="W236" s="30">
        <f t="shared" si="66"/>
        <v>1630475.7341323709</v>
      </c>
      <c r="X236" s="53">
        <f t="shared" si="67"/>
        <v>4.7104746599720491</v>
      </c>
      <c r="Y236" s="29">
        <f t="shared" si="68"/>
        <v>-14995247.21573982</v>
      </c>
      <c r="Z236" s="35">
        <f>Población!M12</f>
        <v>3985958</v>
      </c>
      <c r="AA236" s="30">
        <f t="shared" si="69"/>
        <v>1628280.0248114595</v>
      </c>
      <c r="AB236" s="53">
        <f t="shared" si="70"/>
        <v>4.6895629097579832</v>
      </c>
      <c r="AC236" s="29">
        <f t="shared" si="71"/>
        <v>-12180942.814280011</v>
      </c>
    </row>
    <row r="237" spans="1:29" x14ac:dyDescent="0.2">
      <c r="A237" s="27" t="s">
        <v>166</v>
      </c>
      <c r="B237" s="27" t="s">
        <v>58</v>
      </c>
      <c r="C237" s="51">
        <v>236454111543</v>
      </c>
      <c r="D237" s="51">
        <v>103599810122</v>
      </c>
      <c r="E237" s="52">
        <f t="shared" si="54"/>
        <v>0.43813917823611204</v>
      </c>
      <c r="F237" s="45">
        <v>9336468</v>
      </c>
      <c r="G237" s="35">
        <f>Población!D13</f>
        <v>9216407</v>
      </c>
      <c r="H237" s="35">
        <f>'Fondos 2027'!$B$27</f>
        <v>13458005057.686762</v>
      </c>
      <c r="I237" s="30">
        <f t="shared" si="55"/>
        <v>4090672.4171477566</v>
      </c>
      <c r="J237" s="30">
        <f t="shared" si="56"/>
        <v>4038068.9892695504</v>
      </c>
      <c r="K237" s="53">
        <f t="shared" si="57"/>
        <v>11.796189376263897</v>
      </c>
      <c r="L237" s="54">
        <v>11.796189</v>
      </c>
      <c r="M237" s="55">
        <f t="shared" si="58"/>
        <v>3.7626389648437453E-7</v>
      </c>
      <c r="N237" s="53">
        <f t="shared" si="59"/>
        <v>11.645070237004314</v>
      </c>
      <c r="O237" s="23">
        <f t="shared" si="60"/>
        <v>1587531762.8719037</v>
      </c>
      <c r="P237" s="23">
        <f t="shared" si="61"/>
        <v>1567194141.4672163</v>
      </c>
      <c r="Q237" s="29">
        <f t="shared" si="62"/>
        <v>-20337621.404687405</v>
      </c>
      <c r="R237" s="35">
        <f>Población!K13</f>
        <v>9350964</v>
      </c>
      <c r="S237" s="30">
        <f t="shared" si="63"/>
        <v>4097023.6826754673</v>
      </c>
      <c r="T237" s="53">
        <f t="shared" si="64"/>
        <v>11.878046895331408</v>
      </c>
      <c r="U237" s="29">
        <f t="shared" si="65"/>
        <v>-31354010.460890036</v>
      </c>
      <c r="V237" s="35">
        <f>Población!L13</f>
        <v>9319955</v>
      </c>
      <c r="W237" s="30">
        <f t="shared" si="66"/>
        <v>4083437.4248975436</v>
      </c>
      <c r="X237" s="53">
        <f t="shared" si="67"/>
        <v>11.797126515223439</v>
      </c>
      <c r="Y237" s="29">
        <f t="shared" si="68"/>
        <v>-20463741.613260221</v>
      </c>
      <c r="Z237" s="35">
        <f>Población!M13</f>
        <v>9296753</v>
      </c>
      <c r="AA237" s="30">
        <f t="shared" si="69"/>
        <v>4073271.7196841091</v>
      </c>
      <c r="AB237" s="53">
        <f t="shared" si="70"/>
        <v>11.731313832341918</v>
      </c>
      <c r="AC237" s="29">
        <f t="shared" si="71"/>
        <v>-11606667.422465732</v>
      </c>
    </row>
    <row r="238" spans="1:29" x14ac:dyDescent="0.2">
      <c r="A238" s="27" t="s">
        <v>166</v>
      </c>
      <c r="B238" s="27" t="s">
        <v>59</v>
      </c>
      <c r="C238" s="51">
        <v>24310323835</v>
      </c>
      <c r="D238" s="51">
        <v>5695831479</v>
      </c>
      <c r="E238" s="52">
        <f t="shared" si="54"/>
        <v>0.23429681635090402</v>
      </c>
      <c r="F238" s="45">
        <v>1968132</v>
      </c>
      <c r="G238" s="35">
        <f>Población!D14</f>
        <v>1943290</v>
      </c>
      <c r="H238" s="35">
        <f>'Fondos 2027'!$B$27</f>
        <v>13458005057.686762</v>
      </c>
      <c r="I238" s="30">
        <f t="shared" si="55"/>
        <v>461127.06175833743</v>
      </c>
      <c r="J238" s="30">
        <f t="shared" si="56"/>
        <v>455306.66024654824</v>
      </c>
      <c r="K238" s="53">
        <f t="shared" si="57"/>
        <v>1.3297427885497211</v>
      </c>
      <c r="L238" s="54">
        <v>1.3297429999999999</v>
      </c>
      <c r="M238" s="55">
        <f t="shared" si="58"/>
        <v>-2.1145027884195144E-7</v>
      </c>
      <c r="N238" s="53">
        <f t="shared" si="59"/>
        <v>1.3130231434966175</v>
      </c>
      <c r="O238" s="23">
        <f t="shared" si="60"/>
        <v>178956851.73724645</v>
      </c>
      <c r="P238" s="23">
        <f t="shared" si="61"/>
        <v>176706721.0603725</v>
      </c>
      <c r="Q238" s="29">
        <f t="shared" si="62"/>
        <v>-2250130.6768739522</v>
      </c>
      <c r="R238" s="35">
        <f>Población!K14</f>
        <v>1944614</v>
      </c>
      <c r="S238" s="30">
        <f t="shared" si="63"/>
        <v>455616.86923139688</v>
      </c>
      <c r="T238" s="53">
        <f t="shared" si="64"/>
        <v>1.3209195157740783</v>
      </c>
      <c r="U238" s="29">
        <f t="shared" si="65"/>
        <v>-1062694.1804744448</v>
      </c>
      <c r="V238" s="35">
        <f>Población!L14</f>
        <v>1954301</v>
      </c>
      <c r="W238" s="30">
        <f t="shared" si="66"/>
        <v>457886.50249138806</v>
      </c>
      <c r="X238" s="53">
        <f t="shared" si="67"/>
        <v>1.3228426047546478</v>
      </c>
      <c r="Y238" s="29">
        <f t="shared" si="68"/>
        <v>-1321503.5927433015</v>
      </c>
      <c r="Z238" s="35">
        <f>Población!M14</f>
        <v>1959669</v>
      </c>
      <c r="AA238" s="30">
        <f t="shared" si="69"/>
        <v>459144.20780155971</v>
      </c>
      <c r="AB238" s="53">
        <f t="shared" si="70"/>
        <v>1.3223681518697783</v>
      </c>
      <c r="AC238" s="29">
        <f t="shared" si="71"/>
        <v>-1257651.6995012274</v>
      </c>
    </row>
    <row r="239" spans="1:29" x14ac:dyDescent="0.2">
      <c r="A239" s="27" t="s">
        <v>166</v>
      </c>
      <c r="B239" s="27" t="s">
        <v>60</v>
      </c>
      <c r="C239" s="51">
        <v>82047833114</v>
      </c>
      <c r="D239" s="51">
        <v>22628728014</v>
      </c>
      <c r="E239" s="52">
        <f t="shared" si="54"/>
        <v>0.27579921559365123</v>
      </c>
      <c r="F239" s="45">
        <v>6402249</v>
      </c>
      <c r="G239" s="35">
        <f>Población!D15</f>
        <v>6446935</v>
      </c>
      <c r="H239" s="35">
        <f>'Fondos 2027'!$B$27</f>
        <v>13458005057.686762</v>
      </c>
      <c r="I239" s="30">
        <f t="shared" si="55"/>
        <v>1765735.252235238</v>
      </c>
      <c r="J239" s="30">
        <f t="shared" si="56"/>
        <v>1778059.6159832559</v>
      </c>
      <c r="K239" s="53">
        <f t="shared" si="57"/>
        <v>5.0918150611128778</v>
      </c>
      <c r="L239" s="54">
        <v>5.0918150000000004</v>
      </c>
      <c r="M239" s="55">
        <f t="shared" si="58"/>
        <v>6.1112877425273382E-8</v>
      </c>
      <c r="N239" s="53">
        <f t="shared" si="59"/>
        <v>5.1276065784728928</v>
      </c>
      <c r="O239" s="23">
        <f t="shared" si="60"/>
        <v>685256728.45262742</v>
      </c>
      <c r="P239" s="23">
        <f t="shared" si="61"/>
        <v>690073552.66916108</v>
      </c>
      <c r="Q239" s="29">
        <f t="shared" si="62"/>
        <v>4816824.2165336609</v>
      </c>
      <c r="R239" s="35">
        <f>Población!K15</f>
        <v>6345807</v>
      </c>
      <c r="S239" s="30">
        <f t="shared" si="63"/>
        <v>1750168.5929087012</v>
      </c>
      <c r="T239" s="53">
        <f t="shared" si="64"/>
        <v>5.0740699179288677</v>
      </c>
      <c r="U239" s="29">
        <f t="shared" si="65"/>
        <v>7204966.483731485</v>
      </c>
      <c r="V239" s="35">
        <f>Población!L15</f>
        <v>6376710</v>
      </c>
      <c r="W239" s="30">
        <f t="shared" si="66"/>
        <v>1758691.6160681916</v>
      </c>
      <c r="X239" s="53">
        <f t="shared" si="67"/>
        <v>5.0808927227628065</v>
      </c>
      <c r="Y239" s="29">
        <f t="shared" si="68"/>
        <v>6286753.0641039172</v>
      </c>
      <c r="Z239" s="35">
        <f>Población!M15</f>
        <v>6432483</v>
      </c>
      <c r="AA239" s="30">
        <f t="shared" si="69"/>
        <v>1774073.7657194964</v>
      </c>
      <c r="AB239" s="53">
        <f t="shared" si="70"/>
        <v>5.1094593092832197</v>
      </c>
      <c r="AC239" s="29">
        <f t="shared" si="71"/>
        <v>2442260.4053782416</v>
      </c>
    </row>
    <row r="240" spans="1:29" x14ac:dyDescent="0.2">
      <c r="A240" s="27" t="s">
        <v>166</v>
      </c>
      <c r="B240" s="27" t="s">
        <v>61</v>
      </c>
      <c r="C240" s="51">
        <v>35519896701</v>
      </c>
      <c r="D240" s="51">
        <v>5343602918</v>
      </c>
      <c r="E240" s="52">
        <f t="shared" si="54"/>
        <v>0.15043970884773322</v>
      </c>
      <c r="F240" s="45">
        <v>3569633</v>
      </c>
      <c r="G240" s="35">
        <f>Población!D16</f>
        <v>3418902</v>
      </c>
      <c r="H240" s="35">
        <f>'Fondos 2027'!$B$27</f>
        <v>13458005057.686762</v>
      </c>
      <c r="I240" s="30">
        <f t="shared" si="55"/>
        <v>537014.54921326053</v>
      </c>
      <c r="J240" s="30">
        <f t="shared" si="56"/>
        <v>514338.62145893282</v>
      </c>
      <c r="K240" s="53">
        <f t="shared" si="57"/>
        <v>1.5485780024266842</v>
      </c>
      <c r="L240" s="54">
        <v>1.548578</v>
      </c>
      <c r="M240" s="55">
        <f t="shared" si="58"/>
        <v>2.4266841869291511E-9</v>
      </c>
      <c r="N240" s="53">
        <f t="shared" si="59"/>
        <v>1.4832607834114033</v>
      </c>
      <c r="O240" s="23">
        <f t="shared" si="60"/>
        <v>208407705.88880777</v>
      </c>
      <c r="P240" s="23">
        <f t="shared" si="61"/>
        <v>199617311.25019094</v>
      </c>
      <c r="Q240" s="29">
        <f t="shared" si="62"/>
        <v>-8790394.6386168301</v>
      </c>
      <c r="R240" s="35">
        <f>Población!K16</f>
        <v>3606579</v>
      </c>
      <c r="S240" s="30">
        <f t="shared" si="63"/>
        <v>542572.69469634886</v>
      </c>
      <c r="T240" s="53">
        <f t="shared" si="64"/>
        <v>1.5730209075874797</v>
      </c>
      <c r="U240" s="29">
        <f t="shared" si="65"/>
        <v>-12079922.051402276</v>
      </c>
      <c r="V240" s="35">
        <f>Población!L16</f>
        <v>3578620</v>
      </c>
      <c r="W240" s="30">
        <f t="shared" si="66"/>
        <v>538366.55087667506</v>
      </c>
      <c r="X240" s="53">
        <f t="shared" si="67"/>
        <v>1.5553509583695819</v>
      </c>
      <c r="Y240" s="29">
        <f t="shared" si="68"/>
        <v>-9701899.391966911</v>
      </c>
      <c r="Z240" s="35">
        <f>Población!M16</f>
        <v>3538257</v>
      </c>
      <c r="AA240" s="30">
        <f t="shared" si="69"/>
        <v>532294.35290845402</v>
      </c>
      <c r="AB240" s="53">
        <f t="shared" si="70"/>
        <v>1.533045800744349</v>
      </c>
      <c r="AC240" s="29">
        <f t="shared" si="71"/>
        <v>-6700070.1506380644</v>
      </c>
    </row>
    <row r="241" spans="1:29" x14ac:dyDescent="0.2">
      <c r="A241" s="27" t="s">
        <v>166</v>
      </c>
      <c r="B241" s="27" t="s">
        <v>62</v>
      </c>
      <c r="C241" s="51">
        <v>32727763081</v>
      </c>
      <c r="D241" s="51">
        <v>6359045350</v>
      </c>
      <c r="E241" s="52">
        <f t="shared" si="54"/>
        <v>0.19430125225062278</v>
      </c>
      <c r="F241" s="45">
        <v>3215821</v>
      </c>
      <c r="G241" s="35">
        <f>Población!D17</f>
        <v>3245595</v>
      </c>
      <c r="H241" s="35">
        <f>'Fondos 2027'!$B$27</f>
        <v>13458005057.686762</v>
      </c>
      <c r="I241" s="30">
        <f t="shared" si="55"/>
        <v>624838.04731385002</v>
      </c>
      <c r="J241" s="30">
        <f t="shared" si="56"/>
        <v>630623.17279836</v>
      </c>
      <c r="K241" s="53">
        <f t="shared" si="57"/>
        <v>1.8018328489741011</v>
      </c>
      <c r="L241" s="54">
        <v>1.801833</v>
      </c>
      <c r="M241" s="55">
        <f t="shared" si="58"/>
        <v>-1.5102589889792739E-7</v>
      </c>
      <c r="N241" s="53">
        <f t="shared" si="59"/>
        <v>1.8186046746189468</v>
      </c>
      <c r="O241" s="23">
        <f t="shared" si="60"/>
        <v>242490755.94599602</v>
      </c>
      <c r="P241" s="23">
        <f t="shared" si="61"/>
        <v>244747909.08954576</v>
      </c>
      <c r="Q241" s="29">
        <f t="shared" si="62"/>
        <v>2257153.1435497403</v>
      </c>
      <c r="R241" s="35">
        <f>Población!K17</f>
        <v>3248649</v>
      </c>
      <c r="S241" s="30">
        <f t="shared" si="63"/>
        <v>631216.56882273348</v>
      </c>
      <c r="T241" s="53">
        <f t="shared" si="64"/>
        <v>1.8300162718831208</v>
      </c>
      <c r="U241" s="29">
        <f t="shared" si="65"/>
        <v>-1535773.3369753752</v>
      </c>
      <c r="V241" s="35">
        <f>Población!L17</f>
        <v>3228160</v>
      </c>
      <c r="W241" s="30">
        <f t="shared" si="66"/>
        <v>627235.53046537039</v>
      </c>
      <c r="X241" s="53">
        <f t="shared" si="67"/>
        <v>1.8120950899422492</v>
      </c>
      <c r="Y241" s="29">
        <f t="shared" si="68"/>
        <v>876060.23502436536</v>
      </c>
      <c r="Z241" s="35">
        <f>Población!M17</f>
        <v>3229482</v>
      </c>
      <c r="AA241" s="30">
        <f t="shared" si="69"/>
        <v>627492.39672084572</v>
      </c>
      <c r="AB241" s="53">
        <f t="shared" si="70"/>
        <v>1.8072229745359401</v>
      </c>
      <c r="AC241" s="29">
        <f t="shared" si="71"/>
        <v>1531749.7728217884</v>
      </c>
    </row>
    <row r="242" spans="1:29" x14ac:dyDescent="0.2">
      <c r="A242" s="27" t="s">
        <v>166</v>
      </c>
      <c r="B242" s="27" t="s">
        <v>63</v>
      </c>
      <c r="C242" s="51">
        <v>126389845349</v>
      </c>
      <c r="D242" s="51">
        <v>37400090365</v>
      </c>
      <c r="E242" s="52">
        <f t="shared" si="54"/>
        <v>0.2959105635561719</v>
      </c>
      <c r="F242" s="45">
        <v>8750952</v>
      </c>
      <c r="G242" s="35">
        <f>Población!D18</f>
        <v>8679851</v>
      </c>
      <c r="H242" s="35">
        <f>'Fondos 2027'!$B$27</f>
        <v>13458005057.686762</v>
      </c>
      <c r="I242" s="30">
        <f t="shared" si="55"/>
        <v>2589499.1379730096</v>
      </c>
      <c r="J242" s="30">
        <f t="shared" si="56"/>
        <v>2568459.6009936021</v>
      </c>
      <c r="K242" s="53">
        <f t="shared" si="57"/>
        <v>7.4672863300308592</v>
      </c>
      <c r="L242" s="54">
        <v>7.4672859999999996</v>
      </c>
      <c r="M242" s="55">
        <f t="shared" si="58"/>
        <v>3.300308595299839E-7</v>
      </c>
      <c r="N242" s="53">
        <f t="shared" si="59"/>
        <v>7.4069790620117644</v>
      </c>
      <c r="O242" s="23">
        <f t="shared" si="60"/>
        <v>1004947771.9675052</v>
      </c>
      <c r="P242" s="23">
        <f t="shared" si="61"/>
        <v>996831616.78734279</v>
      </c>
      <c r="Q242" s="29">
        <f t="shared" si="62"/>
        <v>-8116155.1801624298</v>
      </c>
      <c r="R242" s="35">
        <f>Población!K18</f>
        <v>8739649</v>
      </c>
      <c r="S242" s="30">
        <f t="shared" si="63"/>
        <v>2586154.4608731344</v>
      </c>
      <c r="T242" s="53">
        <f t="shared" si="64"/>
        <v>7.4977511344922521</v>
      </c>
      <c r="U242" s="29">
        <f t="shared" si="65"/>
        <v>-12216110.105391126</v>
      </c>
      <c r="V242" s="35">
        <f>Población!L18</f>
        <v>8761130</v>
      </c>
      <c r="W242" s="30">
        <f t="shared" si="66"/>
        <v>2592510.9156888844</v>
      </c>
      <c r="X242" s="53">
        <f t="shared" si="67"/>
        <v>7.4898121562979298</v>
      </c>
      <c r="Y242" s="29">
        <f t="shared" si="68"/>
        <v>-11147682.018470595</v>
      </c>
      <c r="Z242" s="35">
        <f>Población!M18</f>
        <v>8703341</v>
      </c>
      <c r="AA242" s="30">
        <f t="shared" si="69"/>
        <v>2575410.5401315368</v>
      </c>
      <c r="AB242" s="53">
        <f t="shared" si="70"/>
        <v>7.4173665231808652</v>
      </c>
      <c r="AC242" s="29">
        <f t="shared" si="71"/>
        <v>-1397945.0495028384</v>
      </c>
    </row>
    <row r="243" spans="1:29" x14ac:dyDescent="0.2">
      <c r="A243" s="27" t="s">
        <v>166</v>
      </c>
      <c r="B243" s="27" t="s">
        <v>64</v>
      </c>
      <c r="C243" s="51">
        <v>232542137764</v>
      </c>
      <c r="D243" s="51">
        <v>53147294196</v>
      </c>
      <c r="E243" s="52">
        <f t="shared" si="54"/>
        <v>0.22854909096061371</v>
      </c>
      <c r="F243" s="45">
        <v>17753727</v>
      </c>
      <c r="G243" s="35">
        <f>Población!D19</f>
        <v>17612480</v>
      </c>
      <c r="H243" s="35">
        <f>'Fondos 2027'!$B$27</f>
        <v>13458005057.686762</v>
      </c>
      <c r="I243" s="30">
        <f t="shared" si="55"/>
        <v>4057598.1670129034</v>
      </c>
      <c r="J243" s="30">
        <f t="shared" si="56"/>
        <v>4025316.2935619899</v>
      </c>
      <c r="K243" s="53">
        <f t="shared" si="57"/>
        <v>11.700813829585268</v>
      </c>
      <c r="L243" s="54">
        <v>11.700813999999999</v>
      </c>
      <c r="M243" s="55">
        <f t="shared" si="58"/>
        <v>-1.7041473121537365E-7</v>
      </c>
      <c r="N243" s="53">
        <f t="shared" si="59"/>
        <v>11.608293738727459</v>
      </c>
      <c r="O243" s="23">
        <f t="shared" si="60"/>
        <v>1574696116.9760976</v>
      </c>
      <c r="P243" s="23">
        <f t="shared" si="61"/>
        <v>1562244758.4690773</v>
      </c>
      <c r="Q243" s="29">
        <f t="shared" si="62"/>
        <v>-12451358.507020235</v>
      </c>
      <c r="R243" s="35">
        <f>Población!K19</f>
        <v>17788768</v>
      </c>
      <c r="S243" s="30">
        <f t="shared" si="63"/>
        <v>4065606.7557092546</v>
      </c>
      <c r="T243" s="53">
        <f t="shared" si="64"/>
        <v>11.786963279342109</v>
      </c>
      <c r="U243" s="29">
        <f t="shared" si="65"/>
        <v>-24045355.812465198</v>
      </c>
      <c r="V243" s="35">
        <f>Población!L19</f>
        <v>17789139</v>
      </c>
      <c r="W243" s="30">
        <f t="shared" si="66"/>
        <v>4065691.5474220007</v>
      </c>
      <c r="X243" s="53">
        <f t="shared" si="67"/>
        <v>11.745858345806619</v>
      </c>
      <c r="Y243" s="29">
        <f t="shared" si="68"/>
        <v>-18513451.778300222</v>
      </c>
      <c r="Z243" s="35">
        <f>Población!M19</f>
        <v>17729333</v>
      </c>
      <c r="AA243" s="30">
        <f t="shared" si="69"/>
        <v>4052022.9404880102</v>
      </c>
      <c r="AB243" s="53">
        <f t="shared" si="70"/>
        <v>11.670115828757</v>
      </c>
      <c r="AC243" s="29">
        <f t="shared" si="71"/>
        <v>-8320020.002943228</v>
      </c>
    </row>
    <row r="244" spans="1:29" x14ac:dyDescent="0.2">
      <c r="A244" s="27" t="s">
        <v>166</v>
      </c>
      <c r="B244" s="27" t="s">
        <v>65</v>
      </c>
      <c r="C244" s="51">
        <v>53075451728</v>
      </c>
      <c r="D244" s="51">
        <v>9995352838</v>
      </c>
      <c r="E244" s="52">
        <f t="shared" si="54"/>
        <v>0.18832346240261849</v>
      </c>
      <c r="F244" s="45">
        <v>4945881</v>
      </c>
      <c r="G244" s="35">
        <f>Población!D20</f>
        <v>4889574</v>
      </c>
      <c r="H244" s="35">
        <f>'Fondos 2027'!$B$27</f>
        <v>13458005057.686762</v>
      </c>
      <c r="I244" s="30">
        <f t="shared" si="55"/>
        <v>931425.43455132516</v>
      </c>
      <c r="J244" s="30">
        <f t="shared" si="56"/>
        <v>920821.50535382086</v>
      </c>
      <c r="K244" s="53">
        <f t="shared" si="57"/>
        <v>2.685932701376577</v>
      </c>
      <c r="L244" s="54">
        <v>2.6859329999999999</v>
      </c>
      <c r="M244" s="55">
        <f t="shared" si="58"/>
        <v>-2.9862342287856336E-7</v>
      </c>
      <c r="N244" s="53">
        <f t="shared" si="59"/>
        <v>2.6554848701406129</v>
      </c>
      <c r="O244" s="23">
        <f t="shared" si="60"/>
        <v>361472958.79732239</v>
      </c>
      <c r="P244" s="23">
        <f t="shared" si="61"/>
        <v>357375288.12963045</v>
      </c>
      <c r="Q244" s="29">
        <f t="shared" si="62"/>
        <v>-4097670.667691946</v>
      </c>
      <c r="R244" s="35">
        <f>Población!K20</f>
        <v>4950874</v>
      </c>
      <c r="S244" s="30">
        <f t="shared" si="63"/>
        <v>932365.73359910143</v>
      </c>
      <c r="T244" s="53">
        <f t="shared" si="64"/>
        <v>2.703104684046671</v>
      </c>
      <c r="U244" s="29">
        <f t="shared" si="65"/>
        <v>-6408676.963938334</v>
      </c>
      <c r="V244" s="35">
        <f>Población!L20</f>
        <v>4940153</v>
      </c>
      <c r="W244" s="30">
        <f t="shared" si="66"/>
        <v>930346.71775868291</v>
      </c>
      <c r="X244" s="53">
        <f t="shared" si="67"/>
        <v>2.6877889362287553</v>
      </c>
      <c r="Y244" s="29">
        <f t="shared" si="68"/>
        <v>-4347482.847980679</v>
      </c>
      <c r="Z244" s="35">
        <f>Población!M20</f>
        <v>4915546</v>
      </c>
      <c r="AA244" s="30">
        <f t="shared" si="69"/>
        <v>925712.64231934166</v>
      </c>
      <c r="AB244" s="53">
        <f t="shared" si="70"/>
        <v>2.6661186075887127</v>
      </c>
      <c r="AC244" s="29">
        <f t="shared" si="71"/>
        <v>-1431088.9235864037</v>
      </c>
    </row>
    <row r="245" spans="1:29" x14ac:dyDescent="0.2">
      <c r="A245" s="27" t="s">
        <v>166</v>
      </c>
      <c r="B245" s="27" t="s">
        <v>66</v>
      </c>
      <c r="C245" s="51">
        <v>22901408440</v>
      </c>
      <c r="D245" s="51">
        <v>5098806088</v>
      </c>
      <c r="E245" s="52">
        <f t="shared" si="54"/>
        <v>0.2226415943525262</v>
      </c>
      <c r="F245" s="45">
        <v>1988503</v>
      </c>
      <c r="G245" s="35">
        <f>Población!D21</f>
        <v>1997217</v>
      </c>
      <c r="H245" s="35">
        <f>'Fondos 2027'!$B$27</f>
        <v>13458005057.686762</v>
      </c>
      <c r="I245" s="30">
        <f t="shared" si="55"/>
        <v>442723.47829478141</v>
      </c>
      <c r="J245" s="30">
        <f t="shared" si="56"/>
        <v>444663.57714796934</v>
      </c>
      <c r="K245" s="53">
        <f t="shared" si="57"/>
        <v>1.2766727468548758</v>
      </c>
      <c r="L245" s="54">
        <v>1.2766729999999999</v>
      </c>
      <c r="M245" s="55">
        <f t="shared" si="58"/>
        <v>-2.5314512419605251E-7</v>
      </c>
      <c r="N245" s="53">
        <f t="shared" si="59"/>
        <v>1.2823303914533581</v>
      </c>
      <c r="O245" s="23">
        <f t="shared" si="60"/>
        <v>171814682.84183767</v>
      </c>
      <c r="P245" s="23">
        <f t="shared" si="61"/>
        <v>172576088.93804741</v>
      </c>
      <c r="Q245" s="29">
        <f t="shared" si="62"/>
        <v>761406.09620973468</v>
      </c>
      <c r="R245" s="35">
        <f>Población!K21</f>
        <v>1984308</v>
      </c>
      <c r="S245" s="30">
        <f t="shared" si="63"/>
        <v>441789.49680647254</v>
      </c>
      <c r="T245" s="53">
        <f t="shared" si="64"/>
        <v>1.280831346697348</v>
      </c>
      <c r="U245" s="29">
        <f t="shared" si="65"/>
        <v>201741.51908083394</v>
      </c>
      <c r="V245" s="35">
        <f>Población!L21</f>
        <v>1984462</v>
      </c>
      <c r="W245" s="30">
        <f t="shared" si="66"/>
        <v>441823.78361200285</v>
      </c>
      <c r="X245" s="53">
        <f t="shared" si="67"/>
        <v>1.2764371117640627</v>
      </c>
      <c r="Y245" s="29">
        <f t="shared" si="68"/>
        <v>793117.87864900532</v>
      </c>
      <c r="Z245" s="35">
        <f>Población!M21</f>
        <v>1994177</v>
      </c>
      <c r="AA245" s="30">
        <f t="shared" si="69"/>
        <v>443986.74670113763</v>
      </c>
      <c r="AB245" s="53">
        <f t="shared" si="70"/>
        <v>1.2787135799905529</v>
      </c>
      <c r="AC245" s="29">
        <f t="shared" si="71"/>
        <v>486750.66959132324</v>
      </c>
    </row>
    <row r="246" spans="1:29" x14ac:dyDescent="0.2">
      <c r="A246" s="27" t="s">
        <v>166</v>
      </c>
      <c r="B246" s="27" t="s">
        <v>67</v>
      </c>
      <c r="C246" s="51">
        <v>16699026766</v>
      </c>
      <c r="D246" s="51">
        <v>4160780168</v>
      </c>
      <c r="E246" s="52">
        <f t="shared" si="54"/>
        <v>0.2491630336488557</v>
      </c>
      <c r="F246" s="45">
        <v>1279298</v>
      </c>
      <c r="G246" s="35">
        <f>Población!D22</f>
        <v>1299075</v>
      </c>
      <c r="H246" s="35">
        <f>'Fondos 2027'!$B$27</f>
        <v>13458005057.686762</v>
      </c>
      <c r="I246" s="30">
        <f t="shared" si="55"/>
        <v>318753.77062091377</v>
      </c>
      <c r="J246" s="30">
        <f t="shared" si="56"/>
        <v>323681.46793738723</v>
      </c>
      <c r="K246" s="53">
        <f t="shared" si="57"/>
        <v>0.91918380628097751</v>
      </c>
      <c r="L246" s="54">
        <v>0.919184</v>
      </c>
      <c r="M246" s="55">
        <f t="shared" si="58"/>
        <v>-1.9371902248987993E-7</v>
      </c>
      <c r="N246" s="53">
        <f t="shared" si="59"/>
        <v>0.93343958178123265</v>
      </c>
      <c r="O246" s="23">
        <f t="shared" si="60"/>
        <v>123703803.13873164</v>
      </c>
      <c r="P246" s="23">
        <f t="shared" si="61"/>
        <v>125622346.12656845</v>
      </c>
      <c r="Q246" s="29">
        <f t="shared" si="62"/>
        <v>1918542.987836808</v>
      </c>
      <c r="R246" s="35">
        <f>Población!K22</f>
        <v>1245276</v>
      </c>
      <c r="S246" s="30">
        <f t="shared" si="63"/>
        <v>310276.74589011242</v>
      </c>
      <c r="T246" s="53">
        <f t="shared" si="64"/>
        <v>0.89955099693416041</v>
      </c>
      <c r="U246" s="29">
        <f t="shared" si="65"/>
        <v>4560727.4626974519</v>
      </c>
      <c r="V246" s="35">
        <f>Población!L22</f>
        <v>1257616</v>
      </c>
      <c r="W246" s="30">
        <f t="shared" si="66"/>
        <v>313351.4177253393</v>
      </c>
      <c r="X246" s="53">
        <f t="shared" si="67"/>
        <v>0.90527806207859507</v>
      </c>
      <c r="Y246" s="29">
        <f t="shared" si="68"/>
        <v>3789978.74590242</v>
      </c>
      <c r="Z246" s="35">
        <f>Población!M22</f>
        <v>1301047</v>
      </c>
      <c r="AA246" s="30">
        <f t="shared" si="69"/>
        <v>324172.81743974274</v>
      </c>
      <c r="AB246" s="53">
        <f t="shared" si="70"/>
        <v>0.93364089582391863</v>
      </c>
      <c r="AC246" s="29">
        <f t="shared" si="71"/>
        <v>-27092.85404651205</v>
      </c>
    </row>
    <row r="247" spans="1:29" x14ac:dyDescent="0.2">
      <c r="A247" s="27" t="s">
        <v>166</v>
      </c>
      <c r="B247" s="27" t="s">
        <v>68</v>
      </c>
      <c r="C247" s="51">
        <v>116723959891</v>
      </c>
      <c r="D247" s="51">
        <v>44971267966</v>
      </c>
      <c r="E247" s="52">
        <f t="shared" si="54"/>
        <v>0.38527880657917524</v>
      </c>
      <c r="F247" s="45">
        <v>6234433</v>
      </c>
      <c r="G247" s="35">
        <f>Población!D23</f>
        <v>6291899</v>
      </c>
      <c r="H247" s="35">
        <f>'Fondos 2027'!$B$27</f>
        <v>13458005057.686762</v>
      </c>
      <c r="I247" s="30">
        <f t="shared" si="55"/>
        <v>2401994.9059378272</v>
      </c>
      <c r="J247" s="30">
        <f t="shared" si="56"/>
        <v>2424135.3378367061</v>
      </c>
      <c r="K247" s="53">
        <f t="shared" si="57"/>
        <v>6.9265841655979141</v>
      </c>
      <c r="L247" s="54">
        <v>6.9265840000000001</v>
      </c>
      <c r="M247" s="55">
        <f t="shared" si="58"/>
        <v>1.6559791404802127E-7</v>
      </c>
      <c r="N247" s="53">
        <f t="shared" si="59"/>
        <v>6.9907736465441195</v>
      </c>
      <c r="O247" s="23">
        <f t="shared" si="60"/>
        <v>932180047.33109772</v>
      </c>
      <c r="P247" s="23">
        <f t="shared" si="61"/>
        <v>940818670.92334092</v>
      </c>
      <c r="Q247" s="29">
        <f t="shared" si="62"/>
        <v>8638623.5922431946</v>
      </c>
      <c r="R247" s="35">
        <f>Población!K23</f>
        <v>6152311</v>
      </c>
      <c r="S247" s="30">
        <f t="shared" si="63"/>
        <v>2370355.0397839323</v>
      </c>
      <c r="T247" s="53">
        <f t="shared" si="64"/>
        <v>6.8721077791653356</v>
      </c>
      <c r="U247" s="29">
        <f t="shared" si="65"/>
        <v>15970058.433584606</v>
      </c>
      <c r="V247" s="35">
        <f>Población!L23</f>
        <v>6310265</v>
      </c>
      <c r="W247" s="30">
        <f t="shared" si="66"/>
        <v>2431211.368398339</v>
      </c>
      <c r="X247" s="53">
        <f t="shared" si="67"/>
        <v>7.0238147702151563</v>
      </c>
      <c r="Y247" s="29">
        <f t="shared" si="68"/>
        <v>-4446676.0947646769</v>
      </c>
      <c r="Z247" s="35">
        <f>Población!M23</f>
        <v>6282446</v>
      </c>
      <c r="AA247" s="30">
        <f t="shared" si="69"/>
        <v>2420493.2972781132</v>
      </c>
      <c r="AB247" s="53">
        <f t="shared" si="70"/>
        <v>6.9711937856313115</v>
      </c>
      <c r="AC247" s="29">
        <f t="shared" si="71"/>
        <v>2635058.6719337264</v>
      </c>
    </row>
    <row r="248" spans="1:29" x14ac:dyDescent="0.2">
      <c r="A248" s="27" t="s">
        <v>166</v>
      </c>
      <c r="B248" s="27" t="s">
        <v>69</v>
      </c>
      <c r="C248" s="51">
        <v>43708884250</v>
      </c>
      <c r="D248" s="51">
        <v>5676564891</v>
      </c>
      <c r="E248" s="52">
        <f t="shared" si="54"/>
        <v>0.12987210697330945</v>
      </c>
      <c r="F248" s="45">
        <v>4178688</v>
      </c>
      <c r="G248" s="35">
        <f>Población!D24</f>
        <v>4169180</v>
      </c>
      <c r="H248" s="35">
        <f>'Fondos 2027'!$B$27</f>
        <v>13458005057.686762</v>
      </c>
      <c r="I248" s="30">
        <f t="shared" si="55"/>
        <v>542695.01494408445</v>
      </c>
      <c r="J248" s="30">
        <f t="shared" si="56"/>
        <v>541460.19095098227</v>
      </c>
      <c r="K248" s="53">
        <f t="shared" si="57"/>
        <v>1.5649586466516496</v>
      </c>
      <c r="L248" s="54">
        <v>1.564959</v>
      </c>
      <c r="M248" s="55">
        <f t="shared" si="58"/>
        <v>-3.5334835035705225E-7</v>
      </c>
      <c r="N248" s="53">
        <f t="shared" si="59"/>
        <v>1.5614745490781063</v>
      </c>
      <c r="O248" s="23">
        <f t="shared" si="60"/>
        <v>210612213.8170853</v>
      </c>
      <c r="P248" s="23">
        <f t="shared" si="61"/>
        <v>210143323.78942311</v>
      </c>
      <c r="Q248" s="29">
        <f t="shared" si="62"/>
        <v>-468890.02766218781</v>
      </c>
      <c r="R248" s="35">
        <f>Población!K24</f>
        <v>4232451</v>
      </c>
      <c r="S248" s="30">
        <f t="shared" si="63"/>
        <v>549677.3290312906</v>
      </c>
      <c r="T248" s="53">
        <f t="shared" si="64"/>
        <v>1.5936185868641373</v>
      </c>
      <c r="U248" s="29">
        <f t="shared" si="65"/>
        <v>-4325946.2309887856</v>
      </c>
      <c r="V248" s="35">
        <f>Población!L24</f>
        <v>4190375</v>
      </c>
      <c r="W248" s="30">
        <f t="shared" si="66"/>
        <v>544212.83025828155</v>
      </c>
      <c r="X248" s="53">
        <f t="shared" si="67"/>
        <v>1.5722409680187159</v>
      </c>
      <c r="Y248" s="29">
        <f t="shared" si="68"/>
        <v>-1448945.2055589841</v>
      </c>
      <c r="Z248" s="35">
        <f>Población!M24</f>
        <v>4168743</v>
      </c>
      <c r="AA248" s="30">
        <f t="shared" si="69"/>
        <v>541403.43684023491</v>
      </c>
      <c r="AB248" s="53">
        <f t="shared" si="70"/>
        <v>1.5592806138584498</v>
      </c>
      <c r="AC248" s="29">
        <f t="shared" si="71"/>
        <v>295259.91282374231</v>
      </c>
    </row>
    <row r="249" spans="1:29" x14ac:dyDescent="0.2">
      <c r="A249" s="27" t="s">
        <v>166</v>
      </c>
      <c r="B249" s="27" t="s">
        <v>70</v>
      </c>
      <c r="C249" s="51">
        <v>71011975024</v>
      </c>
      <c r="D249" s="51">
        <v>12070661710</v>
      </c>
      <c r="E249" s="52">
        <f t="shared" si="54"/>
        <v>0.16998065053000519</v>
      </c>
      <c r="F249" s="45">
        <v>6638706</v>
      </c>
      <c r="G249" s="35">
        <f>Población!D25</f>
        <v>6851933</v>
      </c>
      <c r="H249" s="35">
        <f>'Fondos 2027'!$B$27</f>
        <v>13458005057.686762</v>
      </c>
      <c r="I249" s="30">
        <f t="shared" si="55"/>
        <v>1128451.5645574487</v>
      </c>
      <c r="J249" s="30">
        <f t="shared" si="56"/>
        <v>1164696.0287280101</v>
      </c>
      <c r="K249" s="53">
        <f t="shared" si="57"/>
        <v>3.254092970549427</v>
      </c>
      <c r="L249" s="54">
        <v>3.2540930000000001</v>
      </c>
      <c r="M249" s="55">
        <f t="shared" si="58"/>
        <v>-2.9450573091338583E-8</v>
      </c>
      <c r="N249" s="53">
        <f t="shared" si="59"/>
        <v>3.3587754680117756</v>
      </c>
      <c r="O249" s="23">
        <f t="shared" si="60"/>
        <v>437935996.55837131</v>
      </c>
      <c r="P249" s="23">
        <f t="shared" si="61"/>
        <v>452024172.36136699</v>
      </c>
      <c r="Q249" s="29">
        <f t="shared" si="62"/>
        <v>14088175.802995682</v>
      </c>
      <c r="R249" s="35">
        <f>Población!K25</f>
        <v>6629599</v>
      </c>
      <c r="S249" s="30">
        <f t="shared" si="63"/>
        <v>1126903.5507730718</v>
      </c>
      <c r="T249" s="53">
        <f t="shared" si="64"/>
        <v>3.2671066265003836</v>
      </c>
      <c r="U249" s="29">
        <f t="shared" si="65"/>
        <v>12336797.326925995</v>
      </c>
      <c r="V249" s="35">
        <f>Población!L25</f>
        <v>6624540</v>
      </c>
      <c r="W249" s="30">
        <f t="shared" si="66"/>
        <v>1126043.6186620407</v>
      </c>
      <c r="X249" s="53">
        <f t="shared" si="67"/>
        <v>3.2531609153651759</v>
      </c>
      <c r="Y249" s="29">
        <f t="shared" si="68"/>
        <v>14213611.836832635</v>
      </c>
      <c r="Z249" s="35">
        <f>Población!M25</f>
        <v>6703850</v>
      </c>
      <c r="AA249" s="30">
        <f t="shared" si="69"/>
        <v>1139524.7840555753</v>
      </c>
      <c r="AB249" s="53">
        <f t="shared" si="70"/>
        <v>3.2819128654948493</v>
      </c>
      <c r="AC249" s="29">
        <f t="shared" si="71"/>
        <v>10344172.93419762</v>
      </c>
    </row>
    <row r="250" spans="1:29" x14ac:dyDescent="0.2">
      <c r="A250" s="27" t="s">
        <v>166</v>
      </c>
      <c r="B250" s="27" t="s">
        <v>71</v>
      </c>
      <c r="C250" s="51">
        <v>43289661228</v>
      </c>
      <c r="D250" s="51">
        <v>16610144570</v>
      </c>
      <c r="E250" s="52">
        <f t="shared" si="54"/>
        <v>0.38369772594238882</v>
      </c>
      <c r="F250" s="45">
        <v>2535155</v>
      </c>
      <c r="G250" s="35">
        <f>Población!D26</f>
        <v>2606836</v>
      </c>
      <c r="H250" s="35">
        <f>'Fondos 2027'!$B$27</f>
        <v>13458005057.686762</v>
      </c>
      <c r="I250" s="30">
        <f t="shared" si="55"/>
        <v>972733.20841147669</v>
      </c>
      <c r="J250" s="30">
        <f t="shared" si="56"/>
        <v>1000237.0451047531</v>
      </c>
      <c r="K250" s="53">
        <f t="shared" si="57"/>
        <v>2.8050510940211741</v>
      </c>
      <c r="L250" s="54">
        <v>2.8050510000000002</v>
      </c>
      <c r="M250" s="55">
        <f t="shared" si="58"/>
        <v>9.4021173957514748E-8</v>
      </c>
      <c r="N250" s="53">
        <f t="shared" si="59"/>
        <v>2.8845051124313472</v>
      </c>
      <c r="O250" s="23">
        <f t="shared" si="60"/>
        <v>377503918.1040675</v>
      </c>
      <c r="P250" s="23">
        <f t="shared" si="61"/>
        <v>388196843.92024392</v>
      </c>
      <c r="Q250" s="29">
        <f t="shared" si="62"/>
        <v>10692925.816176414</v>
      </c>
      <c r="R250" s="35">
        <f>Población!K26</f>
        <v>2528745</v>
      </c>
      <c r="S250" s="30">
        <f t="shared" si="63"/>
        <v>970273.70598818606</v>
      </c>
      <c r="T250" s="53">
        <f t="shared" si="64"/>
        <v>2.8130070689531781</v>
      </c>
      <c r="U250" s="29">
        <f t="shared" si="65"/>
        <v>9622210.3074390814</v>
      </c>
      <c r="V250" s="35">
        <f>Población!L26</f>
        <v>2498744</v>
      </c>
      <c r="W250" s="30">
        <f t="shared" si="66"/>
        <v>958762.39051218843</v>
      </c>
      <c r="X250" s="53">
        <f t="shared" si="67"/>
        <v>2.7698823422509382</v>
      </c>
      <c r="Y250" s="29">
        <f t="shared" si="68"/>
        <v>15425938.208140116</v>
      </c>
      <c r="Z250" s="35">
        <f>Población!M26</f>
        <v>2567272</v>
      </c>
      <c r="AA250" s="30">
        <f t="shared" si="69"/>
        <v>985056.42827556841</v>
      </c>
      <c r="AB250" s="53">
        <f t="shared" si="70"/>
        <v>2.8370329548166486</v>
      </c>
      <c r="AC250" s="29">
        <f t="shared" si="71"/>
        <v>6388805.3727791673</v>
      </c>
    </row>
    <row r="251" spans="1:29" x14ac:dyDescent="0.2">
      <c r="A251" s="27" t="s">
        <v>166</v>
      </c>
      <c r="B251" s="27" t="s">
        <v>72</v>
      </c>
      <c r="C251" s="51">
        <v>41095516469</v>
      </c>
      <c r="D251" s="51">
        <v>19369943128</v>
      </c>
      <c r="E251" s="52">
        <f t="shared" si="54"/>
        <v>0.47133957161997286</v>
      </c>
      <c r="F251" s="45">
        <v>1975372</v>
      </c>
      <c r="G251" s="35">
        <f>Población!D27</f>
        <v>2100792</v>
      </c>
      <c r="H251" s="35">
        <f>'Fondos 2027'!$B$27</f>
        <v>13458005057.686762</v>
      </c>
      <c r="I251" s="30">
        <f t="shared" si="55"/>
        <v>931070.99227008899</v>
      </c>
      <c r="J251" s="30">
        <f t="shared" si="56"/>
        <v>990186.40134266601</v>
      </c>
      <c r="K251" s="53">
        <f t="shared" si="57"/>
        <v>2.6849106033335044</v>
      </c>
      <c r="L251" s="54">
        <v>2.684911</v>
      </c>
      <c r="M251" s="55">
        <f t="shared" si="58"/>
        <v>-3.9666649565006651E-7</v>
      </c>
      <c r="N251" s="53">
        <f t="shared" si="59"/>
        <v>2.8555208496939777</v>
      </c>
      <c r="O251" s="23">
        <f t="shared" si="60"/>
        <v>361335404.79099119</v>
      </c>
      <c r="P251" s="23">
        <f t="shared" si="61"/>
        <v>384296140.37511551</v>
      </c>
      <c r="Q251" s="29">
        <f t="shared" si="62"/>
        <v>22960735.584124327</v>
      </c>
      <c r="R251" s="35">
        <f>Población!K27</f>
        <v>1905221</v>
      </c>
      <c r="S251" s="30">
        <f t="shared" si="63"/>
        <v>898006.04998137627</v>
      </c>
      <c r="T251" s="53">
        <f t="shared" si="64"/>
        <v>2.6034894596959122</v>
      </c>
      <c r="U251" s="29">
        <f t="shared" si="65"/>
        <v>33918397.212897904</v>
      </c>
      <c r="V251" s="35">
        <f>Población!L27</f>
        <v>1920249</v>
      </c>
      <c r="W251" s="30">
        <f t="shared" si="66"/>
        <v>905089.34106368129</v>
      </c>
      <c r="X251" s="53">
        <f t="shared" si="67"/>
        <v>2.6148199061422792</v>
      </c>
      <c r="Y251" s="29">
        <f t="shared" si="68"/>
        <v>32393545.157087337</v>
      </c>
      <c r="Z251" s="35">
        <f>Población!M27</f>
        <v>2025213</v>
      </c>
      <c r="AA251" s="30">
        <f t="shared" si="69"/>
        <v>954563.02785920014</v>
      </c>
      <c r="AB251" s="53">
        <f t="shared" si="70"/>
        <v>2.7492097810345113</v>
      </c>
      <c r="AC251" s="29">
        <f t="shared" si="71"/>
        <v>14307348.997071832</v>
      </c>
    </row>
    <row r="252" spans="1:29" x14ac:dyDescent="0.2">
      <c r="A252" s="27" t="s">
        <v>166</v>
      </c>
      <c r="B252" s="27" t="s">
        <v>73</v>
      </c>
      <c r="C252" s="51">
        <v>37002368236</v>
      </c>
      <c r="D252" s="51">
        <v>8859478216</v>
      </c>
      <c r="E252" s="52">
        <f t="shared" si="54"/>
        <v>0.23943003213995689</v>
      </c>
      <c r="F252" s="45">
        <v>2951151</v>
      </c>
      <c r="G252" s="35">
        <f>Población!D28</f>
        <v>2889524</v>
      </c>
      <c r="H252" s="35">
        <f>'Fondos 2027'!$B$27</f>
        <v>13458005057.686762</v>
      </c>
      <c r="I252" s="30">
        <f t="shared" si="55"/>
        <v>706594.17877986596</v>
      </c>
      <c r="J252" s="30">
        <f t="shared" si="56"/>
        <v>691838.82418917678</v>
      </c>
      <c r="K252" s="53">
        <f t="shared" si="57"/>
        <v>2.037591352979732</v>
      </c>
      <c r="L252" s="54">
        <v>2.0375909999999999</v>
      </c>
      <c r="M252" s="55">
        <f t="shared" si="58"/>
        <v>3.5297973211001477E-7</v>
      </c>
      <c r="N252" s="53">
        <f t="shared" si="59"/>
        <v>1.9951396872560097</v>
      </c>
      <c r="O252" s="23">
        <f t="shared" si="60"/>
        <v>274219147.33900046</v>
      </c>
      <c r="P252" s="23">
        <f t="shared" si="61"/>
        <v>268506000.01882964</v>
      </c>
      <c r="Q252" s="29">
        <f t="shared" si="62"/>
        <v>-5713147.3201708198</v>
      </c>
      <c r="R252" s="35">
        <f>Población!K28</f>
        <v>2885526</v>
      </c>
      <c r="S252" s="30">
        <f t="shared" si="63"/>
        <v>690881.58292068122</v>
      </c>
      <c r="T252" s="53">
        <f t="shared" si="64"/>
        <v>2.0029964375733593</v>
      </c>
      <c r="U252" s="29">
        <f t="shared" si="65"/>
        <v>-1057361.8550787393</v>
      </c>
      <c r="V252" s="35">
        <f>Población!L28</f>
        <v>2924773</v>
      </c>
      <c r="W252" s="30">
        <f t="shared" si="66"/>
        <v>700278.49339207809</v>
      </c>
      <c r="X252" s="53">
        <f t="shared" si="67"/>
        <v>2.0231175656239397</v>
      </c>
      <c r="Y252" s="29">
        <f t="shared" si="68"/>
        <v>-3765264.2857894818</v>
      </c>
      <c r="Z252" s="35">
        <f>Población!M28</f>
        <v>2936529</v>
      </c>
      <c r="AA252" s="30">
        <f t="shared" si="69"/>
        <v>703093.23284991551</v>
      </c>
      <c r="AB252" s="53">
        <f t="shared" si="70"/>
        <v>2.0249587888032861</v>
      </c>
      <c r="AC252" s="29">
        <f t="shared" si="71"/>
        <v>-4013056.1943892105</v>
      </c>
    </row>
    <row r="253" spans="1:29" x14ac:dyDescent="0.2">
      <c r="A253" s="27" t="s">
        <v>166</v>
      </c>
      <c r="B253" s="27" t="s">
        <v>74</v>
      </c>
      <c r="C253" s="51">
        <v>43042440808</v>
      </c>
      <c r="D253" s="51">
        <v>13161541989</v>
      </c>
      <c r="E253" s="52">
        <f t="shared" si="54"/>
        <v>0.30578056778215412</v>
      </c>
      <c r="F253" s="45">
        <v>3085699</v>
      </c>
      <c r="G253" s="35">
        <f>Población!D29</f>
        <v>3102935</v>
      </c>
      <c r="H253" s="35">
        <f>'Fondos 2027'!$B$27</f>
        <v>13458005057.686762</v>
      </c>
      <c r="I253" s="30">
        <f t="shared" si="55"/>
        <v>943546.79222482524</v>
      </c>
      <c r="J253" s="30">
        <f t="shared" si="56"/>
        <v>948817.22609111841</v>
      </c>
      <c r="K253" s="53">
        <f t="shared" si="57"/>
        <v>2.7208868155253052</v>
      </c>
      <c r="L253" s="54">
        <v>2.7208869999999998</v>
      </c>
      <c r="M253" s="55">
        <f t="shared" si="58"/>
        <v>-1.8447469463112043E-7</v>
      </c>
      <c r="N253" s="53">
        <f t="shared" si="59"/>
        <v>2.7362195319771758</v>
      </c>
      <c r="O253" s="23">
        <f t="shared" si="60"/>
        <v>366177085.2473278</v>
      </c>
      <c r="P253" s="23">
        <f t="shared" si="61"/>
        <v>368240563.00290132</v>
      </c>
      <c r="Q253" s="29">
        <f t="shared" si="62"/>
        <v>2063477.7555735111</v>
      </c>
      <c r="R253" s="35">
        <f>Población!K29</f>
        <v>3144666</v>
      </c>
      <c r="S253" s="30">
        <f t="shared" si="63"/>
        <v>961577.75496523548</v>
      </c>
      <c r="T253" s="53">
        <f t="shared" si="64"/>
        <v>2.7877958614888709</v>
      </c>
      <c r="U253" s="29">
        <f t="shared" si="65"/>
        <v>-6941145.0342531176</v>
      </c>
      <c r="V253" s="35">
        <f>Población!L29</f>
        <v>3135869</v>
      </c>
      <c r="W253" s="30">
        <f t="shared" si="66"/>
        <v>958887.80331045587</v>
      </c>
      <c r="X253" s="53">
        <f t="shared" si="67"/>
        <v>2.7702446621529817</v>
      </c>
      <c r="Y253" s="29">
        <f t="shared" si="68"/>
        <v>-4579103.7399444599</v>
      </c>
      <c r="Z253" s="35">
        <f>Población!M29</f>
        <v>3105420</v>
      </c>
      <c r="AA253" s="30">
        <f t="shared" si="69"/>
        <v>949577.09080205706</v>
      </c>
      <c r="AB253" s="53">
        <f t="shared" si="70"/>
        <v>2.7348499257655914</v>
      </c>
      <c r="AC253" s="29">
        <f t="shared" si="71"/>
        <v>184321.67322542597</v>
      </c>
    </row>
    <row r="254" spans="1:29" x14ac:dyDescent="0.2">
      <c r="A254" s="27" t="s">
        <v>166</v>
      </c>
      <c r="B254" s="27" t="s">
        <v>75</v>
      </c>
      <c r="C254" s="51">
        <v>50750768497</v>
      </c>
      <c r="D254" s="51">
        <v>16407372864</v>
      </c>
      <c r="E254" s="52">
        <f t="shared" si="54"/>
        <v>0.32329309190598521</v>
      </c>
      <c r="F254" s="45">
        <v>3035624</v>
      </c>
      <c r="G254" s="35">
        <f>Población!D30</f>
        <v>3049889</v>
      </c>
      <c r="H254" s="35">
        <f>'Fondos 2027'!$B$27</f>
        <v>13458005057.686762</v>
      </c>
      <c r="I254" s="30">
        <f t="shared" si="55"/>
        <v>981396.26882401446</v>
      </c>
      <c r="J254" s="30">
        <f t="shared" si="56"/>
        <v>986008.04478005331</v>
      </c>
      <c r="K254" s="53">
        <f t="shared" si="57"/>
        <v>2.8300325862511397</v>
      </c>
      <c r="L254" s="54">
        <v>2.8300329999999998</v>
      </c>
      <c r="M254" s="55">
        <f t="shared" si="58"/>
        <v>-4.1374886006195766E-7</v>
      </c>
      <c r="N254" s="53">
        <f t="shared" si="59"/>
        <v>2.8434712151344463</v>
      </c>
      <c r="O254" s="23">
        <f t="shared" si="60"/>
        <v>380865928.59186184</v>
      </c>
      <c r="P254" s="23">
        <f t="shared" si="61"/>
        <v>382674499.946661</v>
      </c>
      <c r="Q254" s="29">
        <f t="shared" si="62"/>
        <v>1808571.3547991514</v>
      </c>
      <c r="R254" s="35">
        <f>Población!K30</f>
        <v>3042242</v>
      </c>
      <c r="S254" s="30">
        <f t="shared" si="63"/>
        <v>983535.82250624825</v>
      </c>
      <c r="T254" s="53">
        <f t="shared" si="64"/>
        <v>2.8514564541981331</v>
      </c>
      <c r="U254" s="29">
        <f t="shared" si="65"/>
        <v>-1074653.8770593426</v>
      </c>
      <c r="V254" s="35">
        <f>Población!L30</f>
        <v>3032476</v>
      </c>
      <c r="W254" s="30">
        <f t="shared" si="66"/>
        <v>980378.54217069445</v>
      </c>
      <c r="X254" s="53">
        <f t="shared" si="67"/>
        <v>2.8323318056204059</v>
      </c>
      <c r="Y254" s="29">
        <f t="shared" si="68"/>
        <v>1499142.2957960062</v>
      </c>
      <c r="Z254" s="35">
        <f>Población!M30</f>
        <v>3057789</v>
      </c>
      <c r="AA254" s="30">
        <f t="shared" si="69"/>
        <v>988562.06020611059</v>
      </c>
      <c r="AB254" s="53">
        <f t="shared" si="70"/>
        <v>2.8471294254643413</v>
      </c>
      <c r="AC254" s="29">
        <f t="shared" si="71"/>
        <v>-492322.13121808798</v>
      </c>
    </row>
    <row r="255" spans="1:29" x14ac:dyDescent="0.2">
      <c r="A255" s="27" t="s">
        <v>166</v>
      </c>
      <c r="B255" s="27" t="s">
        <v>76</v>
      </c>
      <c r="C255" s="51">
        <v>36643854153</v>
      </c>
      <c r="D255" s="51">
        <v>4819016505</v>
      </c>
      <c r="E255" s="52">
        <f t="shared" si="54"/>
        <v>0.13150954277022936</v>
      </c>
      <c r="F255" s="45">
        <v>2578825</v>
      </c>
      <c r="G255" s="35">
        <f>Población!D31</f>
        <v>2527009</v>
      </c>
      <c r="H255" s="35">
        <f>'Fondos 2027'!$B$27</f>
        <v>13458005057.686762</v>
      </c>
      <c r="I255" s="30">
        <f t="shared" si="55"/>
        <v>339140.09663443675</v>
      </c>
      <c r="J255" s="30">
        <f t="shared" si="56"/>
        <v>332325.79816625454</v>
      </c>
      <c r="K255" s="53">
        <f t="shared" si="57"/>
        <v>0.97797144259565683</v>
      </c>
      <c r="L255" s="54">
        <v>0.97797100000000003</v>
      </c>
      <c r="M255" s="55">
        <f t="shared" si="58"/>
        <v>4.4259565679105606E-7</v>
      </c>
      <c r="N255" s="53">
        <f t="shared" si="59"/>
        <v>0.95836828729233603</v>
      </c>
      <c r="O255" s="23">
        <f t="shared" si="60"/>
        <v>131615446.20725569</v>
      </c>
      <c r="P255" s="23">
        <f t="shared" si="61"/>
        <v>128977252.57506858</v>
      </c>
      <c r="Q255" s="29">
        <f t="shared" si="62"/>
        <v>-2638193.6321871132</v>
      </c>
      <c r="R255" s="35">
        <f>Población!K31</f>
        <v>2554147</v>
      </c>
      <c r="S255" s="30">
        <f t="shared" si="63"/>
        <v>335894.704137953</v>
      </c>
      <c r="T255" s="53">
        <f t="shared" si="64"/>
        <v>0.97382230532742364</v>
      </c>
      <c r="U255" s="29">
        <f t="shared" si="65"/>
        <v>-2079802.5287779153</v>
      </c>
      <c r="V255" s="35">
        <f>Población!L31</f>
        <v>2567516</v>
      </c>
      <c r="W255" s="30">
        <f t="shared" si="66"/>
        <v>337652.85521524819</v>
      </c>
      <c r="X255" s="53">
        <f t="shared" si="67"/>
        <v>0.97548536605789915</v>
      </c>
      <c r="Y255" s="29">
        <f t="shared" si="68"/>
        <v>-2303617.3259977116</v>
      </c>
      <c r="Z255" s="35">
        <f>Población!M31</f>
        <v>2553100</v>
      </c>
      <c r="AA255" s="30">
        <f t="shared" si="69"/>
        <v>335757.0136466726</v>
      </c>
      <c r="AB255" s="53">
        <f t="shared" si="70"/>
        <v>0.96700420928572184</v>
      </c>
      <c r="AC255" s="29">
        <f t="shared" si="71"/>
        <v>-1162222.8186477455</v>
      </c>
    </row>
    <row r="256" spans="1:29" x14ac:dyDescent="0.2">
      <c r="A256" s="27" t="s">
        <v>166</v>
      </c>
      <c r="B256" s="27" t="s">
        <v>77</v>
      </c>
      <c r="C256" s="51">
        <v>54551948149</v>
      </c>
      <c r="D256" s="51">
        <v>15297439759</v>
      </c>
      <c r="E256" s="52">
        <f t="shared" si="54"/>
        <v>0.28041967845433252</v>
      </c>
      <c r="F256" s="45">
        <v>3602540</v>
      </c>
      <c r="G256" s="35">
        <f>Población!D32</f>
        <v>3620715</v>
      </c>
      <c r="H256" s="35">
        <f>'Fondos 2027'!$B$27</f>
        <v>13458005057.686762</v>
      </c>
      <c r="I256" s="30">
        <f t="shared" si="55"/>
        <v>1010223.1084188711</v>
      </c>
      <c r="J256" s="30">
        <f t="shared" si="56"/>
        <v>1015319.7360747786</v>
      </c>
      <c r="K256" s="53">
        <f t="shared" si="57"/>
        <v>2.9131599609963437</v>
      </c>
      <c r="L256" s="54">
        <v>2.91316</v>
      </c>
      <c r="M256" s="55">
        <f t="shared" si="58"/>
        <v>-3.9003656304714696E-8</v>
      </c>
      <c r="N256" s="53">
        <f t="shared" si="59"/>
        <v>2.928000901179808</v>
      </c>
      <c r="O256" s="23">
        <f t="shared" si="60"/>
        <v>392053214.88939363</v>
      </c>
      <c r="P256" s="23">
        <f t="shared" si="61"/>
        <v>394050509.36989254</v>
      </c>
      <c r="Q256" s="29">
        <f t="shared" si="62"/>
        <v>1997294.48049891</v>
      </c>
      <c r="R256" s="35">
        <f>Población!K32</f>
        <v>3569939</v>
      </c>
      <c r="S256" s="30">
        <f t="shared" si="63"/>
        <v>1001081.1464815814</v>
      </c>
      <c r="T256" s="53">
        <f t="shared" si="64"/>
        <v>2.902323668330685</v>
      </c>
      <c r="U256" s="29">
        <f t="shared" si="65"/>
        <v>3455643.2955089854</v>
      </c>
      <c r="V256" s="35">
        <f>Población!L32</f>
        <v>3597414</v>
      </c>
      <c r="W256" s="30">
        <f t="shared" si="66"/>
        <v>1008785.6771471142</v>
      </c>
      <c r="X256" s="53">
        <f t="shared" si="67"/>
        <v>2.9144005458461146</v>
      </c>
      <c r="Y256" s="29">
        <f t="shared" si="68"/>
        <v>1830336.5086718311</v>
      </c>
      <c r="Z256" s="35">
        <f>Población!M32</f>
        <v>3608877</v>
      </c>
      <c r="AA256" s="30">
        <f t="shared" si="69"/>
        <v>1012000.1279212362</v>
      </c>
      <c r="AB256" s="53">
        <f t="shared" si="70"/>
        <v>2.9146327365400739</v>
      </c>
      <c r="AC256" s="29">
        <f t="shared" si="71"/>
        <v>1799088.2733353104</v>
      </c>
    </row>
    <row r="257" spans="1:29" x14ac:dyDescent="0.2">
      <c r="A257" s="27" t="s">
        <v>166</v>
      </c>
      <c r="B257" s="27" t="s">
        <v>78</v>
      </c>
      <c r="C257" s="51">
        <v>15507567638</v>
      </c>
      <c r="D257" s="51">
        <v>2196216088</v>
      </c>
      <c r="E257" s="52">
        <f t="shared" si="54"/>
        <v>0.14162221563479471</v>
      </c>
      <c r="F257" s="45">
        <v>1426175</v>
      </c>
      <c r="G257" s="35">
        <f>Población!D33</f>
        <v>1419482</v>
      </c>
      <c r="H257" s="35">
        <f>'Fondos 2027'!$B$27</f>
        <v>13458005057.686762</v>
      </c>
      <c r="I257" s="30">
        <f t="shared" si="55"/>
        <v>201978.06338295335</v>
      </c>
      <c r="J257" s="30">
        <f t="shared" si="56"/>
        <v>201030.18589370965</v>
      </c>
      <c r="K257" s="53">
        <f t="shared" si="57"/>
        <v>0.58244005937234422</v>
      </c>
      <c r="L257" s="54">
        <v>0.58243999999999996</v>
      </c>
      <c r="M257" s="55">
        <f t="shared" si="58"/>
        <v>5.9372344263231014E-8</v>
      </c>
      <c r="N257" s="53">
        <f t="shared" si="59"/>
        <v>0.57973517557800569</v>
      </c>
      <c r="O257" s="23">
        <f t="shared" si="60"/>
        <v>78384812.648323864</v>
      </c>
      <c r="P257" s="23">
        <f t="shared" si="61"/>
        <v>78020789.250477225</v>
      </c>
      <c r="Q257" s="29">
        <f t="shared" si="62"/>
        <v>-364023.39784663916</v>
      </c>
      <c r="R257" s="35">
        <f>Población!K33</f>
        <v>1476723</v>
      </c>
      <c r="S257" s="30">
        <f t="shared" si="63"/>
        <v>209136.78313886095</v>
      </c>
      <c r="T257" s="53">
        <f t="shared" si="64"/>
        <v>0.606327107203817</v>
      </c>
      <c r="U257" s="29">
        <f t="shared" si="65"/>
        <v>-3578743.5031382912</v>
      </c>
      <c r="V257" s="35">
        <f>Población!L33</f>
        <v>1449354</v>
      </c>
      <c r="W257" s="30">
        <f t="shared" si="66"/>
        <v>205260.72471915226</v>
      </c>
      <c r="X257" s="53">
        <f t="shared" si="67"/>
        <v>0.5930020436590987</v>
      </c>
      <c r="Y257" s="29">
        <f t="shared" si="68"/>
        <v>-1785455.7773501277</v>
      </c>
      <c r="Z257" s="35">
        <f>Población!M33</f>
        <v>1440130</v>
      </c>
      <c r="AA257" s="30">
        <f t="shared" si="69"/>
        <v>203954.40140213692</v>
      </c>
      <c r="AB257" s="53">
        <f t="shared" si="70"/>
        <v>0.58740326081694838</v>
      </c>
      <c r="AC257" s="29">
        <f t="shared" si="71"/>
        <v>-1031971.2992846392</v>
      </c>
    </row>
    <row r="258" spans="1:29" x14ac:dyDescent="0.2">
      <c r="A258" s="27" t="s">
        <v>166</v>
      </c>
      <c r="B258" s="27" t="s">
        <v>79</v>
      </c>
      <c r="C258" s="51">
        <v>108339591805</v>
      </c>
      <c r="D258" s="51">
        <v>15085123820</v>
      </c>
      <c r="E258" s="52">
        <f t="shared" si="54"/>
        <v>0.13923925287767056</v>
      </c>
      <c r="F258" s="45">
        <v>8066173</v>
      </c>
      <c r="G258" s="35">
        <f>Población!D34</f>
        <v>7917876</v>
      </c>
      <c r="H258" s="35">
        <f>'Fondos 2027'!$B$27</f>
        <v>13458005057.686762</v>
      </c>
      <c r="I258" s="30">
        <f t="shared" si="55"/>
        <v>1123127.9021020385</v>
      </c>
      <c r="J258" s="30">
        <f t="shared" si="56"/>
        <v>1102479.1386180387</v>
      </c>
      <c r="K258" s="53">
        <f t="shared" si="57"/>
        <v>3.2387412327187279</v>
      </c>
      <c r="L258" s="54">
        <v>3.2387410000000001</v>
      </c>
      <c r="M258" s="55">
        <f t="shared" si="58"/>
        <v>2.3271872784391689E-7</v>
      </c>
      <c r="N258" s="53">
        <f t="shared" si="59"/>
        <v>3.1793530616131034</v>
      </c>
      <c r="O258" s="23">
        <f t="shared" si="60"/>
        <v>435869958.90467304</v>
      </c>
      <c r="P258" s="23">
        <f t="shared" si="61"/>
        <v>427877495.83361036</v>
      </c>
      <c r="Q258" s="29">
        <f t="shared" si="62"/>
        <v>-7992463.0710626841</v>
      </c>
      <c r="R258" s="35">
        <f>Población!K34</f>
        <v>8113343</v>
      </c>
      <c r="S258" s="30">
        <f t="shared" si="63"/>
        <v>1129695.8176602782</v>
      </c>
      <c r="T258" s="53">
        <f t="shared" si="64"/>
        <v>3.2752019365594314</v>
      </c>
      <c r="U258" s="29">
        <f t="shared" si="65"/>
        <v>-12899346.43801268</v>
      </c>
      <c r="V258" s="35">
        <f>Población!L34</f>
        <v>8068202</v>
      </c>
      <c r="W258" s="30">
        <f t="shared" si="66"/>
        <v>1123410.4185461274</v>
      </c>
      <c r="X258" s="53">
        <f t="shared" si="67"/>
        <v>3.245553551354178</v>
      </c>
      <c r="Y258" s="29">
        <f t="shared" si="68"/>
        <v>-8909265.2575672287</v>
      </c>
      <c r="Z258" s="35">
        <f>Población!M34</f>
        <v>8021469</v>
      </c>
      <c r="AA258" s="30">
        <f t="shared" si="69"/>
        <v>1116903.3505413951</v>
      </c>
      <c r="AB258" s="53">
        <f t="shared" si="70"/>
        <v>3.2167615193153498</v>
      </c>
      <c r="AC258" s="29">
        <f t="shared" si="71"/>
        <v>-5034432.1295709377</v>
      </c>
    </row>
    <row r="259" spans="1:29" x14ac:dyDescent="0.2">
      <c r="A259" s="27" t="s">
        <v>166</v>
      </c>
      <c r="B259" s="27" t="s">
        <v>80</v>
      </c>
      <c r="C259" s="51">
        <v>32308578706</v>
      </c>
      <c r="D259" s="51">
        <v>8921829182</v>
      </c>
      <c r="E259" s="52">
        <f t="shared" si="54"/>
        <v>0.27614427930075225</v>
      </c>
      <c r="F259" s="45">
        <v>2456821</v>
      </c>
      <c r="G259" s="35">
        <f>Población!D35</f>
        <v>2506448</v>
      </c>
      <c r="H259" s="35">
        <f>'Fondos 2027'!$B$27</f>
        <v>13458005057.686762</v>
      </c>
      <c r="I259" s="30">
        <f t="shared" si="55"/>
        <v>678437.06441595347</v>
      </c>
      <c r="J259" s="30">
        <f t="shared" si="56"/>
        <v>692141.27656481182</v>
      </c>
      <c r="K259" s="53">
        <f t="shared" si="57"/>
        <v>1.9563952513477603</v>
      </c>
      <c r="L259" s="54">
        <v>1.9563950000000001</v>
      </c>
      <c r="M259" s="55">
        <f t="shared" si="58"/>
        <v>2.5134776016066951E-7</v>
      </c>
      <c r="N259" s="53">
        <f t="shared" si="59"/>
        <v>1.9960119059246304</v>
      </c>
      <c r="O259" s="23">
        <f t="shared" si="60"/>
        <v>263291771.87472522</v>
      </c>
      <c r="P259" s="23">
        <f t="shared" si="61"/>
        <v>268623383.25136667</v>
      </c>
      <c r="Q259" s="29">
        <f t="shared" si="62"/>
        <v>5331611.3766414523</v>
      </c>
      <c r="R259" s="35">
        <f>Población!K35</f>
        <v>2402017</v>
      </c>
      <c r="S259" s="30">
        <f t="shared" si="63"/>
        <v>663303.25333315507</v>
      </c>
      <c r="T259" s="53">
        <f t="shared" si="64"/>
        <v>1.9230416417246752</v>
      </c>
      <c r="U259" s="29">
        <f t="shared" si="65"/>
        <v>9820341.8466373682</v>
      </c>
      <c r="V259" s="35">
        <f>Población!L35</f>
        <v>2432221</v>
      </c>
      <c r="W259" s="30">
        <f t="shared" si="66"/>
        <v>671643.91514515493</v>
      </c>
      <c r="X259" s="53">
        <f t="shared" si="67"/>
        <v>1.9403917375680602</v>
      </c>
      <c r="Y259" s="29">
        <f t="shared" si="68"/>
        <v>7485365.0705211144</v>
      </c>
      <c r="Z259" s="35">
        <f>Población!M35</f>
        <v>2478837</v>
      </c>
      <c r="AA259" s="30">
        <f t="shared" si="69"/>
        <v>684516.65686903882</v>
      </c>
      <c r="AB259" s="53">
        <f t="shared" si="70"/>
        <v>1.9714569215674536</v>
      </c>
      <c r="AC259" s="29">
        <f t="shared" si="71"/>
        <v>3304611.0367030529</v>
      </c>
    </row>
    <row r="260" spans="1:29" x14ac:dyDescent="0.2">
      <c r="A260" s="27" t="s">
        <v>166</v>
      </c>
      <c r="B260" s="27" t="s">
        <v>81</v>
      </c>
      <c r="C260" s="51">
        <v>21305913379</v>
      </c>
      <c r="D260" s="51">
        <v>5425831297</v>
      </c>
      <c r="E260" s="52">
        <f t="shared" si="54"/>
        <v>0.25466316324874982</v>
      </c>
      <c r="F260" s="45">
        <v>1689186</v>
      </c>
      <c r="G260" s="35">
        <f>Población!D36</f>
        <v>1686419</v>
      </c>
      <c r="H260" s="35">
        <f>'Fondos 2027'!$B$27</f>
        <v>13458005057.686762</v>
      </c>
      <c r="I260" s="30">
        <f t="shared" si="55"/>
        <v>430173.45007550274</v>
      </c>
      <c r="J260" s="30">
        <f t="shared" si="56"/>
        <v>429468.79710279341</v>
      </c>
      <c r="K260" s="53">
        <f t="shared" si="57"/>
        <v>1.2404824841167779</v>
      </c>
      <c r="L260" s="54">
        <v>1.2404820000000001</v>
      </c>
      <c r="M260" s="55">
        <f t="shared" si="58"/>
        <v>4.8411677777693285E-7</v>
      </c>
      <c r="N260" s="53">
        <f t="shared" si="59"/>
        <v>1.2385113578181968</v>
      </c>
      <c r="O260" s="23">
        <f t="shared" si="60"/>
        <v>166944195.45215434</v>
      </c>
      <c r="P260" s="23">
        <f t="shared" si="61"/>
        <v>166678921.1751979</v>
      </c>
      <c r="Q260" s="29">
        <f t="shared" si="62"/>
        <v>-265274.27695643902</v>
      </c>
      <c r="R260" s="35">
        <f>Población!K36</f>
        <v>1695685</v>
      </c>
      <c r="S260" s="30">
        <f t="shared" si="63"/>
        <v>431828.50597345637</v>
      </c>
      <c r="T260" s="53">
        <f t="shared" si="64"/>
        <v>1.2519525494526933</v>
      </c>
      <c r="U260" s="29">
        <f t="shared" si="65"/>
        <v>-1808916.2499839128</v>
      </c>
      <c r="V260" s="35">
        <f>Población!L36</f>
        <v>1703991</v>
      </c>
      <c r="W260" s="30">
        <f t="shared" si="66"/>
        <v>433943.73820740049</v>
      </c>
      <c r="X260" s="53">
        <f t="shared" si="67"/>
        <v>1.2536715143247603</v>
      </c>
      <c r="Y260" s="29">
        <f t="shared" si="68"/>
        <v>-2040254.6294065511</v>
      </c>
      <c r="Z260" s="35">
        <f>Población!M36</f>
        <v>1695141</v>
      </c>
      <c r="AA260" s="30">
        <f t="shared" si="69"/>
        <v>431689.96921264904</v>
      </c>
      <c r="AB260" s="53">
        <f t="shared" si="70"/>
        <v>1.2432979814811749</v>
      </c>
      <c r="AC260" s="29">
        <f t="shared" si="71"/>
        <v>-644184.05465602502</v>
      </c>
    </row>
  </sheetData>
  <autoFilter ref="A4:AC260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0" customWidth="1"/>
    <col min="2" max="2" width="16" customWidth="1"/>
    <col min="3" max="4" width="15" customWidth="1"/>
    <col min="5" max="6" width="12" customWidth="1"/>
    <col min="7" max="8" width="9" customWidth="1"/>
    <col min="9" max="10" width="12" customWidth="1"/>
    <col min="11" max="12" width="11" customWidth="1"/>
    <col min="13" max="13" width="10" customWidth="1"/>
    <col min="14" max="14" width="11" customWidth="1"/>
    <col min="15" max="17" width="15" customWidth="1"/>
    <col min="18" max="18" width="18" customWidth="1"/>
  </cols>
  <sheetData>
    <row r="1" spans="1:18" ht="17" x14ac:dyDescent="0.2">
      <c r="A1" s="12" t="s">
        <v>231</v>
      </c>
    </row>
    <row r="2" spans="1:18" x14ac:dyDescent="0.2">
      <c r="A2" s="13" t="s">
        <v>232</v>
      </c>
    </row>
    <row r="4" spans="1:18" ht="48" customHeight="1" x14ac:dyDescent="0.2">
      <c r="A4" s="24" t="s">
        <v>173</v>
      </c>
      <c r="B4" s="24" t="s">
        <v>233</v>
      </c>
      <c r="C4" s="24" t="s">
        <v>234</v>
      </c>
      <c r="D4" s="24" t="s">
        <v>209</v>
      </c>
      <c r="E4" s="24" t="s">
        <v>235</v>
      </c>
      <c r="F4" s="24" t="s">
        <v>236</v>
      </c>
      <c r="G4" s="24" t="s">
        <v>237</v>
      </c>
      <c r="H4" s="24" t="s">
        <v>238</v>
      </c>
      <c r="I4" s="24" t="s">
        <v>239</v>
      </c>
      <c r="J4" s="24" t="s">
        <v>240</v>
      </c>
      <c r="K4" s="24" t="s">
        <v>213</v>
      </c>
      <c r="L4" s="24" t="s">
        <v>214</v>
      </c>
      <c r="M4" s="24" t="s">
        <v>215</v>
      </c>
      <c r="N4" s="24" t="s">
        <v>216</v>
      </c>
      <c r="O4" s="24" t="s">
        <v>217</v>
      </c>
      <c r="P4" s="24" t="s">
        <v>218</v>
      </c>
      <c r="Q4" s="24" t="s">
        <v>219</v>
      </c>
      <c r="R4" s="24" t="s">
        <v>241</v>
      </c>
    </row>
    <row r="5" spans="1:18" x14ac:dyDescent="0.2">
      <c r="A5" s="27" t="s">
        <v>50</v>
      </c>
      <c r="B5" s="45">
        <v>429238673</v>
      </c>
      <c r="C5" s="45">
        <v>1493459</v>
      </c>
      <c r="D5" s="35">
        <f>Población!D5</f>
        <v>1539174</v>
      </c>
      <c r="E5" s="23">
        <f t="shared" ref="E5:E36" si="0">B5*1000/C5</f>
        <v>287412.42511511868</v>
      </c>
      <c r="F5" s="23">
        <f t="shared" ref="F5:F36" si="1">B5*1000/D5</f>
        <v>278875.98997904069</v>
      </c>
      <c r="G5" s="56">
        <f t="shared" ref="G5:G36" si="2">SUMPRODUCT(--($E$5:$E$36&lt;E5))+1</f>
        <v>23</v>
      </c>
      <c r="H5" s="56">
        <f t="shared" ref="H5:H36" si="3">SUMPRODUCT(--($F$5:$F$36&lt;F5))+1</f>
        <v>24</v>
      </c>
      <c r="I5" s="57">
        <f t="shared" ref="I5:I36" si="4">IF(G5&lt;=10,1/E5,0)</f>
        <v>0</v>
      </c>
      <c r="J5" s="57">
        <f t="shared" ref="J5:J36" si="5">IF(H5&lt;=10,1/F5,0)</f>
        <v>0</v>
      </c>
      <c r="K5" s="53">
        <f t="shared" ref="K5:K36" si="6">I5/SUM($I$5:$I$36)*100</f>
        <v>0</v>
      </c>
      <c r="L5" s="54">
        <v>0</v>
      </c>
      <c r="M5" s="55">
        <f t="shared" ref="M5:M36" si="7">K5-L5</f>
        <v>0</v>
      </c>
      <c r="N5" s="53">
        <f t="shared" ref="N5:N36" si="8">J5/SUM($J$5:$J$36)*100</f>
        <v>0</v>
      </c>
      <c r="O5" s="23">
        <f>K5/100*'Fondos 2027'!$B$28</f>
        <v>0</v>
      </c>
      <c r="P5" s="23">
        <f>N5/100*'Fondos 2027'!$B$28</f>
        <v>0</v>
      </c>
      <c r="Q5" s="29">
        <f t="shared" ref="Q5:Q36" si="9">P5-O5</f>
        <v>0</v>
      </c>
      <c r="R5" s="22" t="str">
        <f t="shared" ref="R5:R36" si="10">IF(AND(G5&lt;=10,H5&gt;10),"Sale del fondo",IF(AND(G5&gt;10,H5&lt;=10),"Entra al fondo",""))</f>
        <v/>
      </c>
    </row>
    <row r="6" spans="1:18" x14ac:dyDescent="0.2">
      <c r="A6" s="27" t="s">
        <v>51</v>
      </c>
      <c r="B6" s="45">
        <v>1291979340</v>
      </c>
      <c r="C6" s="45">
        <v>3779050</v>
      </c>
      <c r="D6" s="35">
        <f>Población!D6</f>
        <v>4009678</v>
      </c>
      <c r="E6" s="23">
        <f t="shared" si="0"/>
        <v>341879.39826146781</v>
      </c>
      <c r="F6" s="23">
        <f t="shared" si="1"/>
        <v>322215.23523834086</v>
      </c>
      <c r="G6" s="56">
        <f t="shared" si="2"/>
        <v>29</v>
      </c>
      <c r="H6" s="56">
        <f t="shared" si="3"/>
        <v>27</v>
      </c>
      <c r="I6" s="57">
        <f t="shared" si="4"/>
        <v>0</v>
      </c>
      <c r="J6" s="57">
        <f t="shared" si="5"/>
        <v>0</v>
      </c>
      <c r="K6" s="53">
        <f t="shared" si="6"/>
        <v>0</v>
      </c>
      <c r="L6" s="54">
        <v>0</v>
      </c>
      <c r="M6" s="55">
        <f t="shared" si="7"/>
        <v>0</v>
      </c>
      <c r="N6" s="53">
        <f t="shared" si="8"/>
        <v>0</v>
      </c>
      <c r="O6" s="23">
        <f>K6/100*'Fondos 2027'!$B$28</f>
        <v>0</v>
      </c>
      <c r="P6" s="23">
        <f>N6/100*'Fondos 2027'!$B$28</f>
        <v>0</v>
      </c>
      <c r="Q6" s="29">
        <f t="shared" si="9"/>
        <v>0</v>
      </c>
      <c r="R6" s="22" t="str">
        <f t="shared" si="10"/>
        <v/>
      </c>
    </row>
    <row r="7" spans="1:18" x14ac:dyDescent="0.2">
      <c r="A7" s="27" t="s">
        <v>52</v>
      </c>
      <c r="B7" s="45">
        <v>246336722</v>
      </c>
      <c r="C7" s="45">
        <v>872439</v>
      </c>
      <c r="D7" s="35">
        <f>Población!D7</f>
        <v>961514</v>
      </c>
      <c r="E7" s="23">
        <f t="shared" si="0"/>
        <v>282354.09237780521</v>
      </c>
      <c r="F7" s="23">
        <f t="shared" si="1"/>
        <v>256196.70852426486</v>
      </c>
      <c r="G7" s="56">
        <f t="shared" si="2"/>
        <v>22</v>
      </c>
      <c r="H7" s="56">
        <f t="shared" si="3"/>
        <v>19</v>
      </c>
      <c r="I7" s="57">
        <f t="shared" si="4"/>
        <v>0</v>
      </c>
      <c r="J7" s="57">
        <f t="shared" si="5"/>
        <v>0</v>
      </c>
      <c r="K7" s="53">
        <f t="shared" si="6"/>
        <v>0</v>
      </c>
      <c r="L7" s="54">
        <v>0</v>
      </c>
      <c r="M7" s="55">
        <f t="shared" si="7"/>
        <v>0</v>
      </c>
      <c r="N7" s="53">
        <f t="shared" si="8"/>
        <v>0</v>
      </c>
      <c r="O7" s="23">
        <f>K7/100*'Fondos 2027'!$B$28</f>
        <v>0</v>
      </c>
      <c r="P7" s="23">
        <f>N7/100*'Fondos 2027'!$B$28</f>
        <v>0</v>
      </c>
      <c r="Q7" s="29">
        <f t="shared" si="9"/>
        <v>0</v>
      </c>
      <c r="R7" s="22" t="str">
        <f t="shared" si="10"/>
        <v/>
      </c>
    </row>
    <row r="8" spans="1:18" x14ac:dyDescent="0.2">
      <c r="A8" s="27" t="s">
        <v>53</v>
      </c>
      <c r="B8" s="45">
        <v>267867282</v>
      </c>
      <c r="C8" s="45">
        <v>949481</v>
      </c>
      <c r="D8" s="35">
        <f>Población!D8</f>
        <v>968673</v>
      </c>
      <c r="E8" s="23">
        <f t="shared" si="0"/>
        <v>282119.68643922312</v>
      </c>
      <c r="F8" s="23">
        <f t="shared" si="1"/>
        <v>276530.14175062173</v>
      </c>
      <c r="G8" s="56">
        <f t="shared" si="2"/>
        <v>21</v>
      </c>
      <c r="H8" s="56">
        <f t="shared" si="3"/>
        <v>22</v>
      </c>
      <c r="I8" s="57">
        <f t="shared" si="4"/>
        <v>0</v>
      </c>
      <c r="J8" s="57">
        <f t="shared" si="5"/>
        <v>0</v>
      </c>
      <c r="K8" s="53">
        <f t="shared" si="6"/>
        <v>0</v>
      </c>
      <c r="L8" s="54">
        <v>0</v>
      </c>
      <c r="M8" s="55">
        <f t="shared" si="7"/>
        <v>0</v>
      </c>
      <c r="N8" s="53">
        <f t="shared" si="8"/>
        <v>0</v>
      </c>
      <c r="O8" s="23">
        <f>K8/100*'Fondos 2027'!$B$28</f>
        <v>0</v>
      </c>
      <c r="P8" s="23">
        <f>N8/100*'Fondos 2027'!$B$28</f>
        <v>0</v>
      </c>
      <c r="Q8" s="29">
        <f t="shared" si="9"/>
        <v>0</v>
      </c>
      <c r="R8" s="22" t="str">
        <f t="shared" si="10"/>
        <v/>
      </c>
    </row>
    <row r="9" spans="1:18" x14ac:dyDescent="0.2">
      <c r="A9" s="27" t="s">
        <v>54</v>
      </c>
      <c r="B9" s="45">
        <v>1216623467</v>
      </c>
      <c r="C9" s="45">
        <v>3457516</v>
      </c>
      <c r="D9" s="35">
        <f>Población!D9</f>
        <v>3415128</v>
      </c>
      <c r="E9" s="23">
        <f t="shared" si="0"/>
        <v>351877.89933582378</v>
      </c>
      <c r="F9" s="23">
        <f t="shared" si="1"/>
        <v>356245.34922263527</v>
      </c>
      <c r="G9" s="56">
        <f t="shared" si="2"/>
        <v>30</v>
      </c>
      <c r="H9" s="56">
        <f t="shared" si="3"/>
        <v>30</v>
      </c>
      <c r="I9" s="57">
        <f t="shared" si="4"/>
        <v>0</v>
      </c>
      <c r="J9" s="57">
        <f t="shared" si="5"/>
        <v>0</v>
      </c>
      <c r="K9" s="53">
        <f t="shared" si="6"/>
        <v>0</v>
      </c>
      <c r="L9" s="54">
        <v>0</v>
      </c>
      <c r="M9" s="55">
        <f t="shared" si="7"/>
        <v>0</v>
      </c>
      <c r="N9" s="53">
        <f t="shared" si="8"/>
        <v>0</v>
      </c>
      <c r="O9" s="23">
        <f>K9/100*'Fondos 2027'!$B$28</f>
        <v>0</v>
      </c>
      <c r="P9" s="23">
        <f>N9/100*'Fondos 2027'!$B$28</f>
        <v>0</v>
      </c>
      <c r="Q9" s="29">
        <f t="shared" si="9"/>
        <v>0</v>
      </c>
      <c r="R9" s="22" t="str">
        <f t="shared" si="10"/>
        <v/>
      </c>
    </row>
    <row r="10" spans="1:18" x14ac:dyDescent="0.2">
      <c r="A10" s="27" t="s">
        <v>55</v>
      </c>
      <c r="B10" s="45">
        <v>211516120</v>
      </c>
      <c r="C10" s="45">
        <v>719445</v>
      </c>
      <c r="D10" s="35">
        <f>Población!D10</f>
        <v>762212</v>
      </c>
      <c r="E10" s="23">
        <f t="shared" si="0"/>
        <v>293999.01312817517</v>
      </c>
      <c r="F10" s="23">
        <f t="shared" si="1"/>
        <v>277503.00441347028</v>
      </c>
      <c r="G10" s="56">
        <f t="shared" si="2"/>
        <v>25</v>
      </c>
      <c r="H10" s="56">
        <f t="shared" si="3"/>
        <v>23</v>
      </c>
      <c r="I10" s="57">
        <f t="shared" si="4"/>
        <v>0</v>
      </c>
      <c r="J10" s="57">
        <f t="shared" si="5"/>
        <v>0</v>
      </c>
      <c r="K10" s="53">
        <f t="shared" si="6"/>
        <v>0</v>
      </c>
      <c r="L10" s="54">
        <v>0</v>
      </c>
      <c r="M10" s="55">
        <f t="shared" si="7"/>
        <v>0</v>
      </c>
      <c r="N10" s="53">
        <f t="shared" si="8"/>
        <v>0</v>
      </c>
      <c r="O10" s="23">
        <f>K10/100*'Fondos 2027'!$B$28</f>
        <v>0</v>
      </c>
      <c r="P10" s="23">
        <f>N10/100*'Fondos 2027'!$B$28</f>
        <v>0</v>
      </c>
      <c r="Q10" s="29">
        <f t="shared" si="9"/>
        <v>0</v>
      </c>
      <c r="R10" s="22" t="str">
        <f t="shared" si="10"/>
        <v/>
      </c>
    </row>
    <row r="11" spans="1:18" x14ac:dyDescent="0.2">
      <c r="A11" s="27" t="s">
        <v>56</v>
      </c>
      <c r="B11" s="45">
        <v>523021429</v>
      </c>
      <c r="C11" s="45">
        <v>5914879</v>
      </c>
      <c r="D11" s="35">
        <f>Población!D11</f>
        <v>5860728</v>
      </c>
      <c r="E11" s="23">
        <f t="shared" si="0"/>
        <v>88424.704715007698</v>
      </c>
      <c r="F11" s="23">
        <f t="shared" si="1"/>
        <v>89241.716899334002</v>
      </c>
      <c r="G11" s="56">
        <f t="shared" si="2"/>
        <v>1</v>
      </c>
      <c r="H11" s="56">
        <f t="shared" si="3"/>
        <v>1</v>
      </c>
      <c r="I11" s="57">
        <f t="shared" si="4"/>
        <v>1.1309056707884907E-5</v>
      </c>
      <c r="J11" s="57">
        <f t="shared" si="5"/>
        <v>1.1205521753105837E-5</v>
      </c>
      <c r="K11" s="53">
        <f t="shared" si="6"/>
        <v>16.527525897102421</v>
      </c>
      <c r="L11" s="54">
        <v>16.527526000000002</v>
      </c>
      <c r="M11" s="55">
        <f t="shared" si="7"/>
        <v>-1.0289758023418472E-7</v>
      </c>
      <c r="N11" s="53">
        <f t="shared" si="8"/>
        <v>16.51156123122264</v>
      </c>
      <c r="O11" s="23">
        <f>K11/100*'Fondos 2027'!$B$28</f>
        <v>1329011412.4377999</v>
      </c>
      <c r="P11" s="23">
        <f>N11/100*'Fondos 2027'!$B$28</f>
        <v>1327727661.725075</v>
      </c>
      <c r="Q11" s="29">
        <f t="shared" si="9"/>
        <v>-1283750.7127249241</v>
      </c>
      <c r="R11" s="22" t="str">
        <f t="shared" si="10"/>
        <v/>
      </c>
    </row>
    <row r="12" spans="1:18" x14ac:dyDescent="0.2">
      <c r="A12" s="27" t="s">
        <v>57</v>
      </c>
      <c r="B12" s="45">
        <v>1268860382</v>
      </c>
      <c r="C12" s="45">
        <v>3900629</v>
      </c>
      <c r="D12" s="35">
        <f>Población!D12</f>
        <v>3903944</v>
      </c>
      <c r="E12" s="23">
        <f t="shared" si="0"/>
        <v>325296.35143460194</v>
      </c>
      <c r="F12" s="23">
        <f t="shared" si="1"/>
        <v>325020.12887479941</v>
      </c>
      <c r="G12" s="56">
        <f t="shared" si="2"/>
        <v>27</v>
      </c>
      <c r="H12" s="56">
        <f t="shared" si="3"/>
        <v>28</v>
      </c>
      <c r="I12" s="57">
        <f t="shared" si="4"/>
        <v>0</v>
      </c>
      <c r="J12" s="57">
        <f t="shared" si="5"/>
        <v>0</v>
      </c>
      <c r="K12" s="53">
        <f t="shared" si="6"/>
        <v>0</v>
      </c>
      <c r="L12" s="54">
        <v>0</v>
      </c>
      <c r="M12" s="55">
        <f t="shared" si="7"/>
        <v>0</v>
      </c>
      <c r="N12" s="53">
        <f t="shared" si="8"/>
        <v>0</v>
      </c>
      <c r="O12" s="23">
        <f>K12/100*'Fondos 2027'!$B$28</f>
        <v>0</v>
      </c>
      <c r="P12" s="23">
        <f>N12/100*'Fondos 2027'!$B$28</f>
        <v>0</v>
      </c>
      <c r="Q12" s="29">
        <f t="shared" si="9"/>
        <v>0</v>
      </c>
      <c r="R12" s="22" t="str">
        <f t="shared" si="10"/>
        <v/>
      </c>
    </row>
    <row r="13" spans="1:18" x14ac:dyDescent="0.2">
      <c r="A13" s="27" t="s">
        <v>58</v>
      </c>
      <c r="B13" s="45">
        <v>5021450678</v>
      </c>
      <c r="C13" s="45">
        <v>9352517</v>
      </c>
      <c r="D13" s="35">
        <f>Población!D13</f>
        <v>9216407</v>
      </c>
      <c r="E13" s="23">
        <f t="shared" si="0"/>
        <v>536909.01369118062</v>
      </c>
      <c r="F13" s="23">
        <f t="shared" si="1"/>
        <v>544838.20842547424</v>
      </c>
      <c r="G13" s="56">
        <f t="shared" si="2"/>
        <v>32</v>
      </c>
      <c r="H13" s="56">
        <f t="shared" si="3"/>
        <v>32</v>
      </c>
      <c r="I13" s="57">
        <f t="shared" si="4"/>
        <v>0</v>
      </c>
      <c r="J13" s="57">
        <f t="shared" si="5"/>
        <v>0</v>
      </c>
      <c r="K13" s="53">
        <f t="shared" si="6"/>
        <v>0</v>
      </c>
      <c r="L13" s="54">
        <v>0</v>
      </c>
      <c r="M13" s="55">
        <f t="shared" si="7"/>
        <v>0</v>
      </c>
      <c r="N13" s="53">
        <f t="shared" si="8"/>
        <v>0</v>
      </c>
      <c r="O13" s="23">
        <f>K13/100*'Fondos 2027'!$B$28</f>
        <v>0</v>
      </c>
      <c r="P13" s="23">
        <f>N13/100*'Fondos 2027'!$B$28</f>
        <v>0</v>
      </c>
      <c r="Q13" s="29">
        <f t="shared" si="9"/>
        <v>0</v>
      </c>
      <c r="R13" s="22" t="str">
        <f t="shared" si="10"/>
        <v/>
      </c>
    </row>
    <row r="14" spans="1:18" x14ac:dyDescent="0.2">
      <c r="A14" s="27" t="s">
        <v>59</v>
      </c>
      <c r="B14" s="45">
        <v>422539702</v>
      </c>
      <c r="C14" s="45">
        <v>1890563</v>
      </c>
      <c r="D14" s="35">
        <f>Población!D14</f>
        <v>1943290</v>
      </c>
      <c r="E14" s="23">
        <f t="shared" si="0"/>
        <v>223499.40308786323</v>
      </c>
      <c r="F14" s="23">
        <f t="shared" si="1"/>
        <v>217435.2268575457</v>
      </c>
      <c r="G14" s="56">
        <f t="shared" si="2"/>
        <v>15</v>
      </c>
      <c r="H14" s="56">
        <f t="shared" si="3"/>
        <v>15</v>
      </c>
      <c r="I14" s="57">
        <f t="shared" si="4"/>
        <v>0</v>
      </c>
      <c r="J14" s="57">
        <f t="shared" si="5"/>
        <v>0</v>
      </c>
      <c r="K14" s="53">
        <f t="shared" si="6"/>
        <v>0</v>
      </c>
      <c r="L14" s="54">
        <v>0</v>
      </c>
      <c r="M14" s="55">
        <f t="shared" si="7"/>
        <v>0</v>
      </c>
      <c r="N14" s="53">
        <f t="shared" si="8"/>
        <v>0</v>
      </c>
      <c r="O14" s="23">
        <f>K14/100*'Fondos 2027'!$B$28</f>
        <v>0</v>
      </c>
      <c r="P14" s="23">
        <f>N14/100*'Fondos 2027'!$B$28</f>
        <v>0</v>
      </c>
      <c r="Q14" s="29">
        <f t="shared" si="9"/>
        <v>0</v>
      </c>
      <c r="R14" s="22" t="str">
        <f t="shared" si="10"/>
        <v/>
      </c>
    </row>
    <row r="15" spans="1:18" x14ac:dyDescent="0.2">
      <c r="A15" s="27" t="s">
        <v>60</v>
      </c>
      <c r="B15" s="45">
        <v>1517210358</v>
      </c>
      <c r="C15" s="45">
        <v>6313504</v>
      </c>
      <c r="D15" s="35">
        <f>Población!D15</f>
        <v>6446935</v>
      </c>
      <c r="E15" s="23">
        <f t="shared" si="0"/>
        <v>240311.93422859951</v>
      </c>
      <c r="F15" s="23">
        <f t="shared" si="1"/>
        <v>235338.24336680918</v>
      </c>
      <c r="G15" s="56">
        <f t="shared" si="2"/>
        <v>17</v>
      </c>
      <c r="H15" s="56">
        <f t="shared" si="3"/>
        <v>17</v>
      </c>
      <c r="I15" s="57">
        <f t="shared" si="4"/>
        <v>0</v>
      </c>
      <c r="J15" s="57">
        <f t="shared" si="5"/>
        <v>0</v>
      </c>
      <c r="K15" s="53">
        <f t="shared" si="6"/>
        <v>0</v>
      </c>
      <c r="L15" s="54">
        <v>0</v>
      </c>
      <c r="M15" s="55">
        <f t="shared" si="7"/>
        <v>0</v>
      </c>
      <c r="N15" s="53">
        <f t="shared" si="8"/>
        <v>0</v>
      </c>
      <c r="O15" s="23">
        <f>K15/100*'Fondos 2027'!$B$28</f>
        <v>0</v>
      </c>
      <c r="P15" s="23">
        <f>N15/100*'Fondos 2027'!$B$28</f>
        <v>0</v>
      </c>
      <c r="Q15" s="29">
        <f t="shared" si="9"/>
        <v>0</v>
      </c>
      <c r="R15" s="22" t="str">
        <f t="shared" si="10"/>
        <v/>
      </c>
    </row>
    <row r="16" spans="1:18" x14ac:dyDescent="0.2">
      <c r="A16" s="27" t="s">
        <v>61</v>
      </c>
      <c r="B16" s="45">
        <v>420088754</v>
      </c>
      <c r="C16" s="45">
        <v>3603188</v>
      </c>
      <c r="D16" s="35">
        <f>Población!D16</f>
        <v>3418902</v>
      </c>
      <c r="E16" s="23">
        <f t="shared" si="0"/>
        <v>116588.0753377287</v>
      </c>
      <c r="F16" s="23">
        <f t="shared" si="1"/>
        <v>122872.41751884084</v>
      </c>
      <c r="G16" s="56">
        <f t="shared" si="2"/>
        <v>2</v>
      </c>
      <c r="H16" s="56">
        <f t="shared" si="3"/>
        <v>2</v>
      </c>
      <c r="I16" s="57">
        <f t="shared" si="4"/>
        <v>8.5772065205059029E-6</v>
      </c>
      <c r="J16" s="57">
        <f t="shared" si="5"/>
        <v>8.1385230322066657E-6</v>
      </c>
      <c r="K16" s="53">
        <f t="shared" si="6"/>
        <v>12.535086396164152</v>
      </c>
      <c r="L16" s="54">
        <v>12.535086</v>
      </c>
      <c r="M16" s="55">
        <f t="shared" si="7"/>
        <v>3.9616415214993594E-7</v>
      </c>
      <c r="N16" s="53">
        <f t="shared" si="8"/>
        <v>11.992277052226511</v>
      </c>
      <c r="O16" s="23">
        <f>K16/100*'Fondos 2027'!$B$28</f>
        <v>1007971367.2883518</v>
      </c>
      <c r="P16" s="23">
        <f>N16/100*'Fondos 2027'!$B$28</f>
        <v>964322982.3236382</v>
      </c>
      <c r="Q16" s="29">
        <f t="shared" si="9"/>
        <v>-43648384.964713573</v>
      </c>
      <c r="R16" s="22" t="str">
        <f t="shared" si="10"/>
        <v/>
      </c>
    </row>
    <row r="17" spans="1:18" x14ac:dyDescent="0.2">
      <c r="A17" s="27" t="s">
        <v>62</v>
      </c>
      <c r="B17" s="45">
        <v>579073781</v>
      </c>
      <c r="C17" s="45">
        <v>3222994</v>
      </c>
      <c r="D17" s="35">
        <f>Población!D17</f>
        <v>3245595</v>
      </c>
      <c r="E17" s="23">
        <f t="shared" si="0"/>
        <v>179669.51877664062</v>
      </c>
      <c r="F17" s="23">
        <f t="shared" si="1"/>
        <v>178418.37351856902</v>
      </c>
      <c r="G17" s="56">
        <f t="shared" si="2"/>
        <v>10</v>
      </c>
      <c r="H17" s="56">
        <f t="shared" si="3"/>
        <v>12</v>
      </c>
      <c r="I17" s="57">
        <f t="shared" si="4"/>
        <v>5.5657743550989745E-6</v>
      </c>
      <c r="J17" s="57">
        <f t="shared" si="5"/>
        <v>0</v>
      </c>
      <c r="K17" s="53">
        <f t="shared" si="6"/>
        <v>8.1340541627305285</v>
      </c>
      <c r="L17" s="54">
        <v>8.1340540000000008</v>
      </c>
      <c r="M17" s="55">
        <f t="shared" si="7"/>
        <v>1.6273052771964558E-7</v>
      </c>
      <c r="N17" s="53">
        <f t="shared" si="8"/>
        <v>0</v>
      </c>
      <c r="O17" s="23">
        <f>K17/100*'Fondos 2027'!$B$28</f>
        <v>654075563.33348727</v>
      </c>
      <c r="P17" s="23">
        <f>N17/100*'Fondos 2027'!$B$28</f>
        <v>0</v>
      </c>
      <c r="Q17" s="29">
        <f t="shared" si="9"/>
        <v>-654075563.33348727</v>
      </c>
      <c r="R17" s="22" t="str">
        <f t="shared" si="10"/>
        <v>Sale del fondo</v>
      </c>
    </row>
    <row r="18" spans="1:18" x14ac:dyDescent="0.2">
      <c r="A18" s="27" t="s">
        <v>63</v>
      </c>
      <c r="B18" s="45">
        <v>2527631774</v>
      </c>
      <c r="C18" s="45">
        <v>8732495</v>
      </c>
      <c r="D18" s="35">
        <f>Población!D18</f>
        <v>8679851</v>
      </c>
      <c r="E18" s="23">
        <f t="shared" si="0"/>
        <v>289451.27068495314</v>
      </c>
      <c r="F18" s="23">
        <f t="shared" si="1"/>
        <v>291206.81610778801</v>
      </c>
      <c r="G18" s="56">
        <f t="shared" si="2"/>
        <v>24</v>
      </c>
      <c r="H18" s="56">
        <f t="shared" si="3"/>
        <v>25</v>
      </c>
      <c r="I18" s="57">
        <f t="shared" si="4"/>
        <v>0</v>
      </c>
      <c r="J18" s="57">
        <f t="shared" si="5"/>
        <v>0</v>
      </c>
      <c r="K18" s="53">
        <f t="shared" si="6"/>
        <v>0</v>
      </c>
      <c r="L18" s="54">
        <v>0</v>
      </c>
      <c r="M18" s="55">
        <f t="shared" si="7"/>
        <v>0</v>
      </c>
      <c r="N18" s="53">
        <f t="shared" si="8"/>
        <v>0</v>
      </c>
      <c r="O18" s="23">
        <f>K18/100*'Fondos 2027'!$B$28</f>
        <v>0</v>
      </c>
      <c r="P18" s="23">
        <f>N18/100*'Fondos 2027'!$B$28</f>
        <v>0</v>
      </c>
      <c r="Q18" s="29">
        <f t="shared" si="9"/>
        <v>0</v>
      </c>
      <c r="R18" s="22" t="str">
        <f t="shared" si="10"/>
        <v/>
      </c>
    </row>
    <row r="19" spans="1:18" x14ac:dyDescent="0.2">
      <c r="A19" s="27" t="s">
        <v>64</v>
      </c>
      <c r="B19" s="45">
        <v>3053175959</v>
      </c>
      <c r="C19" s="45">
        <v>17728216</v>
      </c>
      <c r="D19" s="35">
        <f>Población!D19</f>
        <v>17612480</v>
      </c>
      <c r="E19" s="23">
        <f t="shared" si="0"/>
        <v>172221.27477463047</v>
      </c>
      <c r="F19" s="23">
        <f t="shared" si="1"/>
        <v>173352.98373653227</v>
      </c>
      <c r="G19" s="56">
        <f t="shared" si="2"/>
        <v>6</v>
      </c>
      <c r="H19" s="56">
        <f t="shared" si="3"/>
        <v>8</v>
      </c>
      <c r="I19" s="57">
        <f t="shared" si="4"/>
        <v>5.8064835561611331E-6</v>
      </c>
      <c r="J19" s="57">
        <f t="shared" si="5"/>
        <v>5.7685767988847183E-6</v>
      </c>
      <c r="K19" s="53">
        <f t="shared" si="6"/>
        <v>8.48583660197251</v>
      </c>
      <c r="L19" s="54">
        <v>8.4858370000000001</v>
      </c>
      <c r="M19" s="55">
        <f t="shared" si="7"/>
        <v>-3.9802749007833427E-7</v>
      </c>
      <c r="N19" s="53">
        <f t="shared" si="8"/>
        <v>8.5001137055840648</v>
      </c>
      <c r="O19" s="23">
        <f>K19/100*'Fondos 2027'!$B$28</f>
        <v>682363092.8378135</v>
      </c>
      <c r="P19" s="23">
        <f>N19/100*'Fondos 2027'!$B$28</f>
        <v>683511143.2934258</v>
      </c>
      <c r="Q19" s="29">
        <f t="shared" si="9"/>
        <v>1148050.4556123018</v>
      </c>
      <c r="R19" s="22" t="str">
        <f t="shared" si="10"/>
        <v/>
      </c>
    </row>
    <row r="20" spans="1:18" x14ac:dyDescent="0.2">
      <c r="A20" s="27" t="s">
        <v>65</v>
      </c>
      <c r="B20" s="45">
        <v>917042012</v>
      </c>
      <c r="C20" s="45">
        <v>4943602</v>
      </c>
      <c r="D20" s="35">
        <f>Población!D20</f>
        <v>4889574</v>
      </c>
      <c r="E20" s="23">
        <f t="shared" si="0"/>
        <v>185500.77696384134</v>
      </c>
      <c r="F20" s="23">
        <f t="shared" si="1"/>
        <v>187550.49253779574</v>
      </c>
      <c r="G20" s="56">
        <f t="shared" si="2"/>
        <v>13</v>
      </c>
      <c r="H20" s="56">
        <f t="shared" si="3"/>
        <v>13</v>
      </c>
      <c r="I20" s="57">
        <f t="shared" si="4"/>
        <v>0</v>
      </c>
      <c r="J20" s="57">
        <f t="shared" si="5"/>
        <v>0</v>
      </c>
      <c r="K20" s="53">
        <f t="shared" si="6"/>
        <v>0</v>
      </c>
      <c r="L20" s="54">
        <v>0</v>
      </c>
      <c r="M20" s="55">
        <f t="shared" si="7"/>
        <v>0</v>
      </c>
      <c r="N20" s="53">
        <f t="shared" si="8"/>
        <v>0</v>
      </c>
      <c r="O20" s="23">
        <f>K20/100*'Fondos 2027'!$B$28</f>
        <v>0</v>
      </c>
      <c r="P20" s="23">
        <f>N20/100*'Fondos 2027'!$B$28</f>
        <v>0</v>
      </c>
      <c r="Q20" s="29">
        <f t="shared" si="9"/>
        <v>0</v>
      </c>
      <c r="R20" s="22" t="str">
        <f t="shared" si="10"/>
        <v/>
      </c>
    </row>
    <row r="21" spans="1:18" x14ac:dyDescent="0.2">
      <c r="A21" s="27" t="s">
        <v>66</v>
      </c>
      <c r="B21" s="45">
        <v>353110189</v>
      </c>
      <c r="C21" s="45">
        <v>1964164</v>
      </c>
      <c r="D21" s="35">
        <f>Población!D21</f>
        <v>1997217</v>
      </c>
      <c r="E21" s="23">
        <f t="shared" si="0"/>
        <v>179776.32672220853</v>
      </c>
      <c r="F21" s="23">
        <f t="shared" si="1"/>
        <v>176801.11324908611</v>
      </c>
      <c r="G21" s="56">
        <f t="shared" si="2"/>
        <v>12</v>
      </c>
      <c r="H21" s="56">
        <f t="shared" si="3"/>
        <v>11</v>
      </c>
      <c r="I21" s="57">
        <f t="shared" si="4"/>
        <v>0</v>
      </c>
      <c r="J21" s="57">
        <f t="shared" si="5"/>
        <v>0</v>
      </c>
      <c r="K21" s="53">
        <f t="shared" si="6"/>
        <v>0</v>
      </c>
      <c r="L21" s="54">
        <v>0</v>
      </c>
      <c r="M21" s="55">
        <f t="shared" si="7"/>
        <v>0</v>
      </c>
      <c r="N21" s="53">
        <f t="shared" si="8"/>
        <v>0</v>
      </c>
      <c r="O21" s="23">
        <f>K21/100*'Fondos 2027'!$B$28</f>
        <v>0</v>
      </c>
      <c r="P21" s="23">
        <f>N21/100*'Fondos 2027'!$B$28</f>
        <v>0</v>
      </c>
      <c r="Q21" s="29">
        <f t="shared" si="9"/>
        <v>0</v>
      </c>
      <c r="R21" s="22" t="str">
        <f t="shared" si="10"/>
        <v/>
      </c>
    </row>
    <row r="22" spans="1:18" x14ac:dyDescent="0.2">
      <c r="A22" s="27" t="s">
        <v>67</v>
      </c>
      <c r="B22" s="45">
        <v>222147522</v>
      </c>
      <c r="C22" s="45">
        <v>1237293</v>
      </c>
      <c r="D22" s="35">
        <f>Población!D22</f>
        <v>1299075</v>
      </c>
      <c r="E22" s="23">
        <f t="shared" si="0"/>
        <v>179543.18176858674</v>
      </c>
      <c r="F22" s="23">
        <f t="shared" si="1"/>
        <v>171004.38542809305</v>
      </c>
      <c r="G22" s="56">
        <f t="shared" si="2"/>
        <v>9</v>
      </c>
      <c r="H22" s="56">
        <f t="shared" si="3"/>
        <v>6</v>
      </c>
      <c r="I22" s="57">
        <f t="shared" si="4"/>
        <v>5.5696907571176957E-6</v>
      </c>
      <c r="J22" s="57">
        <f t="shared" si="5"/>
        <v>5.8478032449085797E-6</v>
      </c>
      <c r="K22" s="53">
        <f t="shared" si="6"/>
        <v>8.1397777555517354</v>
      </c>
      <c r="L22" s="54">
        <v>8.1397779999999997</v>
      </c>
      <c r="M22" s="55">
        <f t="shared" si="7"/>
        <v>-2.4444826429714794E-7</v>
      </c>
      <c r="N22" s="53">
        <f t="shared" si="8"/>
        <v>8.6168554641097295</v>
      </c>
      <c r="O22" s="23">
        <f>K22/100*'Fondos 2027'!$B$28</f>
        <v>654535808.87942624</v>
      </c>
      <c r="P22" s="23">
        <f>N22/100*'Fondos 2027'!$B$28</f>
        <v>692898581.57999158</v>
      </c>
      <c r="Q22" s="29">
        <f t="shared" si="9"/>
        <v>38362772.700565338</v>
      </c>
      <c r="R22" s="22" t="str">
        <f t="shared" si="10"/>
        <v/>
      </c>
    </row>
    <row r="23" spans="1:18" x14ac:dyDescent="0.2">
      <c r="A23" s="27" t="s">
        <v>68</v>
      </c>
      <c r="B23" s="45">
        <v>2687234472</v>
      </c>
      <c r="C23" s="45">
        <v>6130641</v>
      </c>
      <c r="D23" s="35">
        <f>Población!D23</f>
        <v>6291899</v>
      </c>
      <c r="E23" s="23">
        <f t="shared" si="0"/>
        <v>438328.46712113789</v>
      </c>
      <c r="F23" s="23">
        <f t="shared" si="1"/>
        <v>427094.34337709489</v>
      </c>
      <c r="G23" s="56">
        <f t="shared" si="2"/>
        <v>31</v>
      </c>
      <c r="H23" s="56">
        <f t="shared" si="3"/>
        <v>31</v>
      </c>
      <c r="I23" s="57">
        <f t="shared" si="4"/>
        <v>0</v>
      </c>
      <c r="J23" s="57">
        <f t="shared" si="5"/>
        <v>0</v>
      </c>
      <c r="K23" s="53">
        <f t="shared" si="6"/>
        <v>0</v>
      </c>
      <c r="L23" s="54">
        <v>0</v>
      </c>
      <c r="M23" s="55">
        <f t="shared" si="7"/>
        <v>0</v>
      </c>
      <c r="N23" s="53">
        <f t="shared" si="8"/>
        <v>0</v>
      </c>
      <c r="O23" s="23">
        <f>K23/100*'Fondos 2027'!$B$28</f>
        <v>0</v>
      </c>
      <c r="P23" s="23">
        <f>N23/100*'Fondos 2027'!$B$28</f>
        <v>0</v>
      </c>
      <c r="Q23" s="29">
        <f t="shared" si="9"/>
        <v>0</v>
      </c>
      <c r="R23" s="22" t="str">
        <f t="shared" si="10"/>
        <v/>
      </c>
    </row>
    <row r="24" spans="1:18" x14ac:dyDescent="0.2">
      <c r="A24" s="27" t="s">
        <v>69</v>
      </c>
      <c r="B24" s="45">
        <v>629781254</v>
      </c>
      <c r="C24" s="45">
        <v>4242791</v>
      </c>
      <c r="D24" s="35">
        <f>Población!D24</f>
        <v>4169180</v>
      </c>
      <c r="E24" s="23">
        <f t="shared" si="0"/>
        <v>148435.60618470248</v>
      </c>
      <c r="F24" s="23">
        <f t="shared" si="1"/>
        <v>151056.38374932241</v>
      </c>
      <c r="G24" s="56">
        <f t="shared" si="2"/>
        <v>4</v>
      </c>
      <c r="H24" s="56">
        <f t="shared" si="3"/>
        <v>4</v>
      </c>
      <c r="I24" s="57">
        <f t="shared" si="4"/>
        <v>6.7369280572457305E-6</v>
      </c>
      <c r="J24" s="57">
        <f t="shared" si="5"/>
        <v>6.6200446163168905E-6</v>
      </c>
      <c r="K24" s="53">
        <f t="shared" si="6"/>
        <v>9.8456268996699663</v>
      </c>
      <c r="L24" s="54">
        <v>9.8456270000000004</v>
      </c>
      <c r="M24" s="55">
        <f t="shared" si="7"/>
        <v>-1.0033003405851559E-7</v>
      </c>
      <c r="N24" s="53">
        <f t="shared" si="8"/>
        <v>9.7547686260521882</v>
      </c>
      <c r="O24" s="23">
        <f>K24/100*'Fondos 2027'!$B$28</f>
        <v>791706550.25626135</v>
      </c>
      <c r="P24" s="23">
        <f>N24/100*'Fondos 2027'!$B$28</f>
        <v>784400454.7581085</v>
      </c>
      <c r="Q24" s="29">
        <f t="shared" si="9"/>
        <v>-7306095.4981528521</v>
      </c>
      <c r="R24" s="22" t="str">
        <f t="shared" si="10"/>
        <v/>
      </c>
    </row>
    <row r="25" spans="1:18" x14ac:dyDescent="0.2">
      <c r="A25" s="27" t="s">
        <v>70</v>
      </c>
      <c r="B25" s="45">
        <v>1183747360</v>
      </c>
      <c r="C25" s="45">
        <v>6586805</v>
      </c>
      <c r="D25" s="35">
        <f>Población!D25</f>
        <v>6851933</v>
      </c>
      <c r="E25" s="23">
        <f t="shared" si="0"/>
        <v>179714.95436710209</v>
      </c>
      <c r="F25" s="23">
        <f t="shared" si="1"/>
        <v>172761.08216469717</v>
      </c>
      <c r="G25" s="56">
        <f t="shared" si="2"/>
        <v>11</v>
      </c>
      <c r="H25" s="56">
        <f t="shared" si="3"/>
        <v>7</v>
      </c>
      <c r="I25" s="57">
        <f t="shared" si="4"/>
        <v>0</v>
      </c>
      <c r="J25" s="57">
        <f t="shared" si="5"/>
        <v>5.7883406810723533E-6</v>
      </c>
      <c r="K25" s="53">
        <f t="shared" si="6"/>
        <v>0</v>
      </c>
      <c r="L25" s="54">
        <v>0</v>
      </c>
      <c r="M25" s="55">
        <f t="shared" si="7"/>
        <v>0</v>
      </c>
      <c r="N25" s="53">
        <f t="shared" si="8"/>
        <v>8.5292361827072192</v>
      </c>
      <c r="O25" s="23">
        <f>K25/100*'Fondos 2027'!$B$28</f>
        <v>0</v>
      </c>
      <c r="P25" s="23">
        <f>N25/100*'Fondos 2027'!$B$28</f>
        <v>685852939.9238528</v>
      </c>
      <c r="Q25" s="29">
        <f t="shared" si="9"/>
        <v>685852939.9238528</v>
      </c>
      <c r="R25" s="22" t="str">
        <f t="shared" si="10"/>
        <v>Entra al fondo</v>
      </c>
    </row>
    <row r="26" spans="1:18" x14ac:dyDescent="0.2">
      <c r="A26" s="27" t="s">
        <v>71</v>
      </c>
      <c r="B26" s="45">
        <v>797962437</v>
      </c>
      <c r="C26" s="45">
        <v>2530655</v>
      </c>
      <c r="D26" s="35">
        <f>Población!D26</f>
        <v>2606836</v>
      </c>
      <c r="E26" s="23">
        <f t="shared" si="0"/>
        <v>315318.53887629882</v>
      </c>
      <c r="F26" s="23">
        <f t="shared" si="1"/>
        <v>306103.81205415301</v>
      </c>
      <c r="G26" s="56">
        <f t="shared" si="2"/>
        <v>26</v>
      </c>
      <c r="H26" s="56">
        <f t="shared" si="3"/>
        <v>26</v>
      </c>
      <c r="I26" s="57">
        <f t="shared" si="4"/>
        <v>0</v>
      </c>
      <c r="J26" s="57">
        <f t="shared" si="5"/>
        <v>0</v>
      </c>
      <c r="K26" s="53">
        <f t="shared" si="6"/>
        <v>0</v>
      </c>
      <c r="L26" s="54">
        <v>0</v>
      </c>
      <c r="M26" s="55">
        <f t="shared" si="7"/>
        <v>0</v>
      </c>
      <c r="N26" s="53">
        <f t="shared" si="8"/>
        <v>0</v>
      </c>
      <c r="O26" s="23">
        <f>K26/100*'Fondos 2027'!$B$28</f>
        <v>0</v>
      </c>
      <c r="P26" s="23">
        <f>N26/100*'Fondos 2027'!$B$28</f>
        <v>0</v>
      </c>
      <c r="Q26" s="29">
        <f t="shared" si="9"/>
        <v>0</v>
      </c>
      <c r="R26" s="22" t="str">
        <f t="shared" si="10"/>
        <v/>
      </c>
    </row>
    <row r="27" spans="1:18" x14ac:dyDescent="0.2">
      <c r="A27" s="27" t="s">
        <v>72</v>
      </c>
      <c r="B27" s="45">
        <v>515559325</v>
      </c>
      <c r="C27" s="45">
        <v>1917252</v>
      </c>
      <c r="D27" s="35">
        <f>Población!D27</f>
        <v>2100792</v>
      </c>
      <c r="E27" s="23">
        <f t="shared" si="0"/>
        <v>268905.3525566801</v>
      </c>
      <c r="F27" s="23">
        <f t="shared" si="1"/>
        <v>245411.88513665323</v>
      </c>
      <c r="G27" s="56">
        <f t="shared" si="2"/>
        <v>19</v>
      </c>
      <c r="H27" s="56">
        <f t="shared" si="3"/>
        <v>18</v>
      </c>
      <c r="I27" s="57">
        <f t="shared" si="4"/>
        <v>0</v>
      </c>
      <c r="J27" s="57">
        <f t="shared" si="5"/>
        <v>0</v>
      </c>
      <c r="K27" s="53">
        <f t="shared" si="6"/>
        <v>0</v>
      </c>
      <c r="L27" s="54">
        <v>0</v>
      </c>
      <c r="M27" s="55">
        <f t="shared" si="7"/>
        <v>0</v>
      </c>
      <c r="N27" s="53">
        <f t="shared" si="8"/>
        <v>0</v>
      </c>
      <c r="O27" s="23">
        <f>K27/100*'Fondos 2027'!$B$28</f>
        <v>0</v>
      </c>
      <c r="P27" s="23">
        <f>N27/100*'Fondos 2027'!$B$28</f>
        <v>0</v>
      </c>
      <c r="Q27" s="29">
        <f t="shared" si="9"/>
        <v>0</v>
      </c>
      <c r="R27" s="22" t="str">
        <f t="shared" si="10"/>
        <v/>
      </c>
    </row>
    <row r="28" spans="1:18" x14ac:dyDescent="0.2">
      <c r="A28" s="27" t="s">
        <v>73</v>
      </c>
      <c r="B28" s="45">
        <v>761696304</v>
      </c>
      <c r="C28" s="45">
        <v>2874010</v>
      </c>
      <c r="D28" s="35">
        <f>Población!D28</f>
        <v>2889524</v>
      </c>
      <c r="E28" s="23">
        <f t="shared" si="0"/>
        <v>265029.10706643329</v>
      </c>
      <c r="F28" s="23">
        <f t="shared" si="1"/>
        <v>263606.15243202687</v>
      </c>
      <c r="G28" s="56">
        <f t="shared" si="2"/>
        <v>18</v>
      </c>
      <c r="H28" s="56">
        <f t="shared" si="3"/>
        <v>20</v>
      </c>
      <c r="I28" s="57">
        <f t="shared" si="4"/>
        <v>0</v>
      </c>
      <c r="J28" s="57">
        <f t="shared" si="5"/>
        <v>0</v>
      </c>
      <c r="K28" s="53">
        <f t="shared" si="6"/>
        <v>0</v>
      </c>
      <c r="L28" s="54">
        <v>0</v>
      </c>
      <c r="M28" s="55">
        <f t="shared" si="7"/>
        <v>0</v>
      </c>
      <c r="N28" s="53">
        <f t="shared" si="8"/>
        <v>0</v>
      </c>
      <c r="O28" s="23">
        <f>K28/100*'Fondos 2027'!$B$28</f>
        <v>0</v>
      </c>
      <c r="P28" s="23">
        <f>N28/100*'Fondos 2027'!$B$28</f>
        <v>0</v>
      </c>
      <c r="Q28" s="29">
        <f t="shared" si="9"/>
        <v>0</v>
      </c>
      <c r="R28" s="22" t="str">
        <f t="shared" si="10"/>
        <v/>
      </c>
    </row>
    <row r="29" spans="1:18" x14ac:dyDescent="0.2">
      <c r="A29" s="27" t="s">
        <v>74</v>
      </c>
      <c r="B29" s="45">
        <v>706885036</v>
      </c>
      <c r="C29" s="45">
        <v>3169760</v>
      </c>
      <c r="D29" s="35">
        <f>Población!D29</f>
        <v>3102935</v>
      </c>
      <c r="E29" s="23">
        <f t="shared" si="0"/>
        <v>223009.00888395336</v>
      </c>
      <c r="F29" s="23">
        <f t="shared" si="1"/>
        <v>227811.74468688515</v>
      </c>
      <c r="G29" s="56">
        <f t="shared" si="2"/>
        <v>14</v>
      </c>
      <c r="H29" s="56">
        <f t="shared" si="3"/>
        <v>16</v>
      </c>
      <c r="I29" s="57">
        <f t="shared" si="4"/>
        <v>0</v>
      </c>
      <c r="J29" s="57">
        <f t="shared" si="5"/>
        <v>0</v>
      </c>
      <c r="K29" s="53">
        <f t="shared" si="6"/>
        <v>0</v>
      </c>
      <c r="L29" s="54">
        <v>0</v>
      </c>
      <c r="M29" s="55">
        <f t="shared" si="7"/>
        <v>0</v>
      </c>
      <c r="N29" s="53">
        <f t="shared" si="8"/>
        <v>0</v>
      </c>
      <c r="O29" s="23">
        <f>K29/100*'Fondos 2027'!$B$28</f>
        <v>0</v>
      </c>
      <c r="P29" s="23">
        <f>N29/100*'Fondos 2027'!$B$28</f>
        <v>0</v>
      </c>
      <c r="Q29" s="29">
        <f t="shared" si="9"/>
        <v>0</v>
      </c>
      <c r="R29" s="22" t="str">
        <f t="shared" si="10"/>
        <v/>
      </c>
    </row>
    <row r="30" spans="1:18" x14ac:dyDescent="0.2">
      <c r="A30" s="27" t="s">
        <v>75</v>
      </c>
      <c r="B30" s="45">
        <v>1007637212</v>
      </c>
      <c r="C30" s="45">
        <v>3039967</v>
      </c>
      <c r="D30" s="35">
        <f>Población!D30</f>
        <v>3049889</v>
      </c>
      <c r="E30" s="23">
        <f t="shared" si="0"/>
        <v>331463.20733086905</v>
      </c>
      <c r="F30" s="23">
        <f t="shared" si="1"/>
        <v>330384.88023662503</v>
      </c>
      <c r="G30" s="56">
        <f t="shared" si="2"/>
        <v>28</v>
      </c>
      <c r="H30" s="56">
        <f t="shared" si="3"/>
        <v>29</v>
      </c>
      <c r="I30" s="57">
        <f t="shared" si="4"/>
        <v>0</v>
      </c>
      <c r="J30" s="57">
        <f t="shared" si="5"/>
        <v>0</v>
      </c>
      <c r="K30" s="53">
        <f t="shared" si="6"/>
        <v>0</v>
      </c>
      <c r="L30" s="54">
        <v>0</v>
      </c>
      <c r="M30" s="55">
        <f t="shared" si="7"/>
        <v>0</v>
      </c>
      <c r="N30" s="53">
        <f t="shared" si="8"/>
        <v>0</v>
      </c>
      <c r="O30" s="23">
        <f>K30/100*'Fondos 2027'!$B$28</f>
        <v>0</v>
      </c>
      <c r="P30" s="23">
        <f>N30/100*'Fondos 2027'!$B$28</f>
        <v>0</v>
      </c>
      <c r="Q30" s="29">
        <f t="shared" si="9"/>
        <v>0</v>
      </c>
      <c r="R30" s="22" t="str">
        <f t="shared" si="10"/>
        <v/>
      </c>
    </row>
    <row r="31" spans="1:18" x14ac:dyDescent="0.2">
      <c r="A31" s="27" t="s">
        <v>76</v>
      </c>
      <c r="B31" s="45">
        <v>424500256</v>
      </c>
      <c r="C31" s="45">
        <v>2537961</v>
      </c>
      <c r="D31" s="35">
        <f>Población!D31</f>
        <v>2527009</v>
      </c>
      <c r="E31" s="23">
        <f t="shared" si="0"/>
        <v>167260.35427652355</v>
      </c>
      <c r="F31" s="23">
        <f t="shared" si="1"/>
        <v>167985.25687878436</v>
      </c>
      <c r="G31" s="56">
        <f t="shared" si="2"/>
        <v>5</v>
      </c>
      <c r="H31" s="56">
        <f t="shared" si="3"/>
        <v>5</v>
      </c>
      <c r="I31" s="57">
        <f t="shared" si="4"/>
        <v>5.9787031082497162E-6</v>
      </c>
      <c r="J31" s="57">
        <f t="shared" si="5"/>
        <v>5.9529033593798352E-6</v>
      </c>
      <c r="K31" s="53">
        <f t="shared" si="6"/>
        <v>8.7375254192322984</v>
      </c>
      <c r="L31" s="54">
        <v>8.7375249999999998</v>
      </c>
      <c r="M31" s="55">
        <f t="shared" si="7"/>
        <v>4.1923229865403755E-7</v>
      </c>
      <c r="N31" s="53">
        <f t="shared" si="8"/>
        <v>8.7717225924538109</v>
      </c>
      <c r="O31" s="23">
        <f>K31/100*'Fondos 2027'!$B$28</f>
        <v>702601894.0113076</v>
      </c>
      <c r="P31" s="23">
        <f>N31/100*'Fondos 2027'!$B$28</f>
        <v>705351757.10439587</v>
      </c>
      <c r="Q31" s="29">
        <f t="shared" si="9"/>
        <v>2749863.0930882692</v>
      </c>
      <c r="R31" s="22" t="str">
        <f t="shared" si="10"/>
        <v/>
      </c>
    </row>
    <row r="32" spans="1:18" x14ac:dyDescent="0.2">
      <c r="A32" s="27" t="s">
        <v>77</v>
      </c>
      <c r="B32" s="45">
        <v>991332202</v>
      </c>
      <c r="C32" s="45">
        <v>3575756</v>
      </c>
      <c r="D32" s="35">
        <f>Población!D32</f>
        <v>3620715</v>
      </c>
      <c r="E32" s="23">
        <f t="shared" si="0"/>
        <v>277237.09391804138</v>
      </c>
      <c r="F32" s="23">
        <f t="shared" si="1"/>
        <v>273794.59637115872</v>
      </c>
      <c r="G32" s="56">
        <f t="shared" si="2"/>
        <v>20</v>
      </c>
      <c r="H32" s="56">
        <f t="shared" si="3"/>
        <v>21</v>
      </c>
      <c r="I32" s="57">
        <f t="shared" si="4"/>
        <v>0</v>
      </c>
      <c r="J32" s="57">
        <f t="shared" si="5"/>
        <v>0</v>
      </c>
      <c r="K32" s="53">
        <f t="shared" si="6"/>
        <v>0</v>
      </c>
      <c r="L32" s="54">
        <v>0</v>
      </c>
      <c r="M32" s="55">
        <f t="shared" si="7"/>
        <v>0</v>
      </c>
      <c r="N32" s="53">
        <f t="shared" si="8"/>
        <v>0</v>
      </c>
      <c r="O32" s="23">
        <f>K32/100*'Fondos 2027'!$B$28</f>
        <v>0</v>
      </c>
      <c r="P32" s="23">
        <f>N32/100*'Fondos 2027'!$B$28</f>
        <v>0</v>
      </c>
      <c r="Q32" s="29">
        <f t="shared" si="9"/>
        <v>0</v>
      </c>
      <c r="R32" s="22" t="str">
        <f t="shared" si="10"/>
        <v/>
      </c>
    </row>
    <row r="33" spans="1:18" x14ac:dyDescent="0.2">
      <c r="A33" s="27" t="s">
        <v>78</v>
      </c>
      <c r="B33" s="45">
        <v>198251284</v>
      </c>
      <c r="C33" s="45">
        <v>1469900</v>
      </c>
      <c r="D33" s="35">
        <f>Población!D33</f>
        <v>1419482</v>
      </c>
      <c r="E33" s="23">
        <f t="shared" si="0"/>
        <v>134873.99414926185</v>
      </c>
      <c r="F33" s="23">
        <f t="shared" si="1"/>
        <v>139664.52832793933</v>
      </c>
      <c r="G33" s="56">
        <f t="shared" si="2"/>
        <v>3</v>
      </c>
      <c r="H33" s="56">
        <f t="shared" si="3"/>
        <v>3</v>
      </c>
      <c r="I33" s="57">
        <f t="shared" si="4"/>
        <v>7.4143277679856041E-6</v>
      </c>
      <c r="J33" s="57">
        <f t="shared" si="5"/>
        <v>7.1600141565791835E-6</v>
      </c>
      <c r="K33" s="53">
        <f t="shared" si="6"/>
        <v>10.8356070148229</v>
      </c>
      <c r="L33" s="54">
        <v>10.835607</v>
      </c>
      <c r="M33" s="55">
        <f t="shared" si="7"/>
        <v>1.4822900240574199E-8</v>
      </c>
      <c r="N33" s="53">
        <f t="shared" si="8"/>
        <v>10.550424582417167</v>
      </c>
      <c r="O33" s="23">
        <f>K33/100*'Fondos 2027'!$B$28</f>
        <v>871312831.27593899</v>
      </c>
      <c r="P33" s="23">
        <f>N33/100*'Fondos 2027'!$B$28</f>
        <v>848380741.52132928</v>
      </c>
      <c r="Q33" s="29">
        <f t="shared" si="9"/>
        <v>-22932089.754609704</v>
      </c>
      <c r="R33" s="22" t="str">
        <f t="shared" si="10"/>
        <v/>
      </c>
    </row>
    <row r="34" spans="1:18" x14ac:dyDescent="0.2">
      <c r="A34" s="27" t="s">
        <v>79</v>
      </c>
      <c r="B34" s="45">
        <v>1396717373</v>
      </c>
      <c r="C34" s="45">
        <v>8093517</v>
      </c>
      <c r="D34" s="35">
        <f>Población!D34</f>
        <v>7917876</v>
      </c>
      <c r="E34" s="23">
        <f t="shared" si="0"/>
        <v>172572.36538824841</v>
      </c>
      <c r="F34" s="23">
        <f t="shared" si="1"/>
        <v>176400.51107140348</v>
      </c>
      <c r="G34" s="56">
        <f t="shared" si="2"/>
        <v>7</v>
      </c>
      <c r="H34" s="56">
        <f t="shared" si="3"/>
        <v>10</v>
      </c>
      <c r="I34" s="57">
        <f t="shared" si="4"/>
        <v>5.7946705299555259E-6</v>
      </c>
      <c r="J34" s="57">
        <f t="shared" si="5"/>
        <v>5.6689178162030358E-6</v>
      </c>
      <c r="K34" s="53">
        <f t="shared" si="6"/>
        <v>8.468572554087757</v>
      </c>
      <c r="L34" s="54">
        <v>8.4685729999999992</v>
      </c>
      <c r="M34" s="55">
        <f t="shared" si="7"/>
        <v>-4.4591224224177495E-7</v>
      </c>
      <c r="N34" s="53">
        <f t="shared" si="8"/>
        <v>8.3532641941515564</v>
      </c>
      <c r="O34" s="23">
        <f>K34/100*'Fondos 2027'!$B$28</f>
        <v>680974856.21930468</v>
      </c>
      <c r="P34" s="23">
        <f>N34/100*'Fondos 2027'!$B$28</f>
        <v>671702680.38011491</v>
      </c>
      <c r="Q34" s="29">
        <f t="shared" si="9"/>
        <v>-9272175.8391897678</v>
      </c>
      <c r="R34" s="22" t="str">
        <f t="shared" si="10"/>
        <v/>
      </c>
    </row>
    <row r="35" spans="1:18" x14ac:dyDescent="0.2">
      <c r="A35" s="27" t="s">
        <v>80</v>
      </c>
      <c r="B35" s="45">
        <v>540852395</v>
      </c>
      <c r="C35" s="45">
        <v>2375403</v>
      </c>
      <c r="D35" s="35">
        <f>Población!D35</f>
        <v>2506448</v>
      </c>
      <c r="E35" s="23">
        <f t="shared" si="0"/>
        <v>227688.68903508162</v>
      </c>
      <c r="F35" s="23">
        <f t="shared" si="1"/>
        <v>215784.40685783228</v>
      </c>
      <c r="G35" s="56">
        <f t="shared" si="2"/>
        <v>16</v>
      </c>
      <c r="H35" s="56">
        <f t="shared" si="3"/>
        <v>14</v>
      </c>
      <c r="I35" s="57">
        <f t="shared" si="4"/>
        <v>0</v>
      </c>
      <c r="J35" s="57">
        <f t="shared" si="5"/>
        <v>0</v>
      </c>
      <c r="K35" s="53">
        <f t="shared" si="6"/>
        <v>0</v>
      </c>
      <c r="L35" s="54">
        <v>0</v>
      </c>
      <c r="M35" s="55">
        <f t="shared" si="7"/>
        <v>0</v>
      </c>
      <c r="N35" s="53">
        <f t="shared" si="8"/>
        <v>0</v>
      </c>
      <c r="O35" s="23">
        <f>K35/100*'Fondos 2027'!$B$28</f>
        <v>0</v>
      </c>
      <c r="P35" s="23">
        <f>N35/100*'Fondos 2027'!$B$28</f>
        <v>0</v>
      </c>
      <c r="Q35" s="29">
        <f t="shared" si="9"/>
        <v>0</v>
      </c>
      <c r="R35" s="22" t="str">
        <f t="shared" si="10"/>
        <v/>
      </c>
    </row>
    <row r="36" spans="1:18" x14ac:dyDescent="0.2">
      <c r="A36" s="27" t="s">
        <v>81</v>
      </c>
      <c r="B36" s="45">
        <v>295135184</v>
      </c>
      <c r="C36" s="45">
        <v>1674227</v>
      </c>
      <c r="D36" s="35">
        <f>Población!D36</f>
        <v>1686419</v>
      </c>
      <c r="E36" s="23">
        <f t="shared" si="0"/>
        <v>176281.46243012446</v>
      </c>
      <c r="F36" s="23">
        <f t="shared" si="1"/>
        <v>175007.03206024127</v>
      </c>
      <c r="G36" s="56">
        <f t="shared" si="2"/>
        <v>8</v>
      </c>
      <c r="H36" s="56">
        <f t="shared" si="3"/>
        <v>9</v>
      </c>
      <c r="I36" s="57">
        <f t="shared" si="4"/>
        <v>5.6727462219482447E-6</v>
      </c>
      <c r="J36" s="57">
        <f t="shared" si="5"/>
        <v>5.7140561052185493E-6</v>
      </c>
      <c r="K36" s="53">
        <f t="shared" si="6"/>
        <v>8.2903872986657312</v>
      </c>
      <c r="L36" s="54">
        <v>8.2903870000000008</v>
      </c>
      <c r="M36" s="55">
        <f t="shared" si="7"/>
        <v>2.9866573036940736E-7</v>
      </c>
      <c r="N36" s="53">
        <f t="shared" si="8"/>
        <v>8.4197763690751106</v>
      </c>
      <c r="O36" s="23">
        <f>K36/100*'Fondos 2027'!$B$28</f>
        <v>666646623.46030879</v>
      </c>
      <c r="P36" s="23">
        <f>N36/100*'Fondos 2027'!$B$28</f>
        <v>677051057.39006782</v>
      </c>
      <c r="Q36" s="29">
        <f t="shared" si="9"/>
        <v>10404433.929759026</v>
      </c>
      <c r="R36" s="22" t="str">
        <f t="shared" si="10"/>
        <v/>
      </c>
    </row>
    <row r="37" spans="1:18" x14ac:dyDescent="0.2">
      <c r="A37" s="22" t="s">
        <v>82</v>
      </c>
      <c r="K37" s="58">
        <f>SUM(K5:K36)</f>
        <v>100</v>
      </c>
      <c r="L37" s="58">
        <f>SUM(L5:L36)</f>
        <v>99.999999999999986</v>
      </c>
      <c r="N37" s="58">
        <f>SUM(N5:N36)</f>
        <v>99.999999999999986</v>
      </c>
      <c r="O37" s="36">
        <f>SUM(O5:O36)</f>
        <v>8041200000.000001</v>
      </c>
      <c r="P37" s="36">
        <f>SUM(P5:P36)</f>
        <v>8041199999.999999</v>
      </c>
      <c r="Q37" s="36">
        <f>SUM(Q5:Q36)</f>
        <v>-3.5762786865234375E-7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3"/>
  <sheetViews>
    <sheetView showGridLines="0" zoomScaleNormal="100" workbookViewId="0"/>
  </sheetViews>
  <sheetFormatPr baseColWidth="10" defaultColWidth="8.6640625" defaultRowHeight="15" x14ac:dyDescent="0.2"/>
  <cols>
    <col min="1" max="1" width="140" customWidth="1"/>
  </cols>
  <sheetData>
    <row r="1" spans="1:1" ht="17" x14ac:dyDescent="0.2">
      <c r="A1" s="12" t="s">
        <v>242</v>
      </c>
    </row>
    <row r="2" spans="1:1" x14ac:dyDescent="0.2">
      <c r="A2" s="13"/>
    </row>
    <row r="3" spans="1:1" x14ac:dyDescent="0.2">
      <c r="A3" s="59" t="s">
        <v>243</v>
      </c>
    </row>
    <row r="4" spans="1:1" ht="28" x14ac:dyDescent="0.2">
      <c r="A4" s="16" t="s">
        <v>244</v>
      </c>
    </row>
    <row r="5" spans="1:1" x14ac:dyDescent="0.2">
      <c r="A5" s="16" t="s">
        <v>245</v>
      </c>
    </row>
    <row r="6" spans="1:1" ht="28" x14ac:dyDescent="0.2">
      <c r="A6" s="16" t="s">
        <v>246</v>
      </c>
    </row>
    <row r="7" spans="1:1" x14ac:dyDescent="0.2">
      <c r="A7" s="16" t="s">
        <v>247</v>
      </c>
    </row>
    <row r="8" spans="1:1" x14ac:dyDescent="0.2">
      <c r="A8" s="16" t="s">
        <v>248</v>
      </c>
    </row>
    <row r="9" spans="1:1" x14ac:dyDescent="0.2">
      <c r="A9" s="59" t="s">
        <v>249</v>
      </c>
    </row>
    <row r="10" spans="1:1" x14ac:dyDescent="0.2">
      <c r="A10" s="16" t="s">
        <v>250</v>
      </c>
    </row>
    <row r="11" spans="1:1" x14ac:dyDescent="0.2">
      <c r="A11" s="16" t="s">
        <v>251</v>
      </c>
    </row>
    <row r="12" spans="1:1" ht="28" x14ac:dyDescent="0.2">
      <c r="A12" s="16" t="s">
        <v>252</v>
      </c>
    </row>
    <row r="13" spans="1:1" x14ac:dyDescent="0.2">
      <c r="A13" s="16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516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8" customWidth="1"/>
    <col min="2" max="2" width="22" customWidth="1"/>
    <col min="3" max="3" width="18" customWidth="1"/>
    <col min="4" max="5" width="14" customWidth="1"/>
    <col min="6" max="6" width="13" customWidth="1"/>
    <col min="7" max="7" width="9" customWidth="1"/>
    <col min="8" max="9" width="14" customWidth="1"/>
    <col min="10" max="10" width="13" customWidth="1"/>
    <col min="11" max="11" width="9" customWidth="1"/>
    <col min="12" max="12" width="15" customWidth="1"/>
    <col min="13" max="13" width="20" customWidth="1"/>
    <col min="14" max="15" width="11" customWidth="1"/>
    <col min="16" max="18" width="13" customWidth="1"/>
    <col min="19" max="20" width="11" customWidth="1"/>
    <col min="21" max="21" width="9" customWidth="1"/>
    <col min="22" max="24" width="11" customWidth="1"/>
    <col min="25" max="25" width="9" customWidth="1"/>
    <col min="26" max="27" width="14" customWidth="1"/>
  </cols>
  <sheetData>
    <row r="1" spans="1:27" ht="17" x14ac:dyDescent="0.2">
      <c r="A1" s="12" t="s">
        <v>254</v>
      </c>
    </row>
    <row r="2" spans="1:27" x14ac:dyDescent="0.2">
      <c r="A2" s="13" t="s">
        <v>255</v>
      </c>
    </row>
    <row r="4" spans="1:27" ht="48" customHeight="1" x14ac:dyDescent="0.2">
      <c r="A4" s="24" t="s">
        <v>256</v>
      </c>
      <c r="B4" s="24" t="s">
        <v>204</v>
      </c>
      <c r="C4" s="24" t="s">
        <v>173</v>
      </c>
      <c r="D4" s="24" t="s">
        <v>257</v>
      </c>
      <c r="E4" s="24" t="s">
        <v>258</v>
      </c>
      <c r="F4" s="24" t="s">
        <v>259</v>
      </c>
      <c r="G4" s="24" t="s">
        <v>260</v>
      </c>
      <c r="H4" s="24" t="s">
        <v>261</v>
      </c>
      <c r="I4" s="24" t="s">
        <v>262</v>
      </c>
      <c r="J4" s="24" t="s">
        <v>263</v>
      </c>
      <c r="K4" s="24" t="s">
        <v>264</v>
      </c>
      <c r="L4" s="24" t="s">
        <v>265</v>
      </c>
      <c r="M4" s="24" t="s">
        <v>266</v>
      </c>
      <c r="N4" s="24" t="s">
        <v>267</v>
      </c>
      <c r="O4" s="24" t="s">
        <v>268</v>
      </c>
      <c r="P4" s="24" t="s">
        <v>269</v>
      </c>
      <c r="Q4" s="24" t="s">
        <v>270</v>
      </c>
      <c r="R4" s="24" t="s">
        <v>271</v>
      </c>
      <c r="S4" s="24" t="s">
        <v>272</v>
      </c>
      <c r="T4" s="24" t="s">
        <v>273</v>
      </c>
      <c r="U4" s="24" t="s">
        <v>215</v>
      </c>
      <c r="V4" s="24" t="s">
        <v>274</v>
      </c>
      <c r="W4" s="24" t="s">
        <v>275</v>
      </c>
      <c r="X4" s="24" t="s">
        <v>276</v>
      </c>
      <c r="Y4" s="24" t="s">
        <v>215</v>
      </c>
      <c r="Z4" s="24" t="s">
        <v>277</v>
      </c>
      <c r="AA4" s="24" t="s">
        <v>278</v>
      </c>
    </row>
    <row r="5" spans="1:27" x14ac:dyDescent="0.2">
      <c r="A5" s="27" t="s">
        <v>279</v>
      </c>
      <c r="B5" s="27" t="s">
        <v>153</v>
      </c>
      <c r="C5" s="27" t="s">
        <v>50</v>
      </c>
      <c r="D5" s="51">
        <v>424041038</v>
      </c>
      <c r="E5" s="51">
        <v>435173210</v>
      </c>
      <c r="F5" s="45">
        <v>1503564</v>
      </c>
      <c r="G5" s="27" t="s">
        <v>280</v>
      </c>
      <c r="H5" s="51">
        <v>424041038</v>
      </c>
      <c r="I5" s="51">
        <v>435173210</v>
      </c>
      <c r="J5" s="45">
        <v>1531396</v>
      </c>
      <c r="K5" s="27" t="s">
        <v>281</v>
      </c>
      <c r="L5" s="45">
        <v>33903111794</v>
      </c>
      <c r="M5" s="27" t="str">
        <f t="shared" ref="M5:M68" si="0">A5&amp;"|"&amp;B5</f>
        <v>2026-01|FGP primera parte (60%)</v>
      </c>
      <c r="N5" s="52">
        <f t="shared" ref="N5:N68" si="1">IF(E5="",D5,E5/D5)</f>
        <v>1.0262525817135653</v>
      </c>
      <c r="O5" s="52">
        <f t="shared" ref="O5:O68" si="2">IF(I5="",H5,I5/H5)</f>
        <v>1.0262525817135653</v>
      </c>
      <c r="P5" s="30">
        <f t="shared" ref="P5:P68" si="3">N5*F5</f>
        <v>1543036.4367715751</v>
      </c>
      <c r="Q5" s="30">
        <f t="shared" ref="Q5:Q68" si="4">O5*F5</f>
        <v>1543036.4367715751</v>
      </c>
      <c r="R5" s="30">
        <f t="shared" ref="R5:R68" si="5">O5*J5</f>
        <v>1571599.0986258269</v>
      </c>
      <c r="S5" s="53">
        <f t="shared" ref="S5:S68" si="6">P5/SUMIFS($P$5:$P$516,$M$5:$M$516,M5)*100</f>
        <v>1.1177652699304546</v>
      </c>
      <c r="T5" s="54">
        <v>1.1177649999999999</v>
      </c>
      <c r="U5" s="55">
        <f t="shared" ref="U5:U68" si="7">S5-T5</f>
        <v>2.6993045465495413E-7</v>
      </c>
      <c r="V5" s="53">
        <f t="shared" ref="V5:V68" si="8">Q5/SUMIFS($Q$5:$Q$516,$M$5:$M$516,M5)*100</f>
        <v>1.1177652699304546</v>
      </c>
      <c r="W5" s="53">
        <f t="shared" ref="W5:W68" si="9">R5/SUMIFS($R$5:$R$516,$M$5:$M$516,M5)*100</f>
        <v>1.1351484297080587</v>
      </c>
      <c r="X5" s="54">
        <v>1.135148</v>
      </c>
      <c r="Y5" s="55">
        <f t="shared" ref="Y5:Y68" si="10">W5-X5</f>
        <v>4.2970805869124717E-7</v>
      </c>
      <c r="Z5" s="29">
        <f t="shared" ref="Z5:Z68" si="11">(W5-V5)/100*L5</f>
        <v>5893432.0927307885</v>
      </c>
      <c r="AA5" s="23">
        <f t="shared" ref="AA5:AA68" si="12">(V5-S5)/100*L5</f>
        <v>0</v>
      </c>
    </row>
    <row r="6" spans="1:27" x14ac:dyDescent="0.2">
      <c r="A6" s="27" t="s">
        <v>279</v>
      </c>
      <c r="B6" s="27" t="s">
        <v>153</v>
      </c>
      <c r="C6" s="27" t="s">
        <v>51</v>
      </c>
      <c r="D6" s="51">
        <v>1248958117</v>
      </c>
      <c r="E6" s="51">
        <v>1292417521</v>
      </c>
      <c r="F6" s="45">
        <v>3778283</v>
      </c>
      <c r="G6" s="27" t="s">
        <v>280</v>
      </c>
      <c r="H6" s="51">
        <v>1248958117</v>
      </c>
      <c r="I6" s="51">
        <v>1292417521</v>
      </c>
      <c r="J6" s="45">
        <v>3830329</v>
      </c>
      <c r="K6" s="27" t="s">
        <v>281</v>
      </c>
      <c r="L6" s="45">
        <v>33903111794</v>
      </c>
      <c r="M6" s="27" t="str">
        <f t="shared" si="0"/>
        <v>2026-01|FGP primera parte (60%)</v>
      </c>
      <c r="N6" s="52">
        <f t="shared" si="1"/>
        <v>1.0347965263273917</v>
      </c>
      <c r="O6" s="52">
        <f t="shared" si="2"/>
        <v>1.0347965263273917</v>
      </c>
      <c r="P6" s="30">
        <f t="shared" si="3"/>
        <v>3909754.1238818364</v>
      </c>
      <c r="Q6" s="30">
        <f t="shared" si="4"/>
        <v>3909754.1238818364</v>
      </c>
      <c r="R6" s="30">
        <f t="shared" si="5"/>
        <v>3963611.1438910719</v>
      </c>
      <c r="S6" s="53">
        <f t="shared" si="6"/>
        <v>2.8321997261361065</v>
      </c>
      <c r="T6" s="54">
        <v>2.8321999999999998</v>
      </c>
      <c r="U6" s="55">
        <f t="shared" si="7"/>
        <v>-2.7386389334083105E-7</v>
      </c>
      <c r="V6" s="53">
        <f t="shared" si="8"/>
        <v>2.8321997261361065</v>
      </c>
      <c r="W6" s="53">
        <f t="shared" si="9"/>
        <v>2.8628719435480678</v>
      </c>
      <c r="X6" s="54">
        <v>2.8628719999999999</v>
      </c>
      <c r="Y6" s="55">
        <f t="shared" si="10"/>
        <v>-5.6451932017864692E-8</v>
      </c>
      <c r="Z6" s="29">
        <f t="shared" si="11"/>
        <v>10398836.158875993</v>
      </c>
      <c r="AA6" s="23">
        <f t="shared" si="12"/>
        <v>0</v>
      </c>
    </row>
    <row r="7" spans="1:27" x14ac:dyDescent="0.2">
      <c r="A7" s="27" t="s">
        <v>279</v>
      </c>
      <c r="B7" s="27" t="s">
        <v>153</v>
      </c>
      <c r="C7" s="27" t="s">
        <v>52</v>
      </c>
      <c r="D7" s="51">
        <v>235075861</v>
      </c>
      <c r="E7" s="51">
        <v>251902223</v>
      </c>
      <c r="F7" s="45">
        <v>881164</v>
      </c>
      <c r="G7" s="27" t="s">
        <v>280</v>
      </c>
      <c r="H7" s="51">
        <v>235075861</v>
      </c>
      <c r="I7" s="51">
        <v>251902223</v>
      </c>
      <c r="J7" s="45">
        <v>928591</v>
      </c>
      <c r="K7" s="27" t="s">
        <v>281</v>
      </c>
      <c r="L7" s="45">
        <v>33903111794</v>
      </c>
      <c r="M7" s="27" t="str">
        <f t="shared" si="0"/>
        <v>2026-01|FGP primera parte (60%)</v>
      </c>
      <c r="N7" s="52">
        <f t="shared" si="1"/>
        <v>1.0715784339932717</v>
      </c>
      <c r="O7" s="52">
        <f t="shared" si="2"/>
        <v>1.0715784339932717</v>
      </c>
      <c r="P7" s="30">
        <f t="shared" si="3"/>
        <v>944236.33921124728</v>
      </c>
      <c r="Q7" s="30">
        <f t="shared" si="4"/>
        <v>944236.33921124728</v>
      </c>
      <c r="R7" s="30">
        <f t="shared" si="5"/>
        <v>995058.08960024617</v>
      </c>
      <c r="S7" s="53">
        <f t="shared" si="6"/>
        <v>0.68399848598834245</v>
      </c>
      <c r="T7" s="54">
        <v>0.68399799999999999</v>
      </c>
      <c r="U7" s="55">
        <f t="shared" si="7"/>
        <v>4.8598834245794365E-7</v>
      </c>
      <c r="V7" s="53">
        <f t="shared" si="8"/>
        <v>0.68399848598834245</v>
      </c>
      <c r="W7" s="53">
        <f t="shared" si="9"/>
        <v>0.71871931516483112</v>
      </c>
      <c r="X7" s="54">
        <v>0.718719</v>
      </c>
      <c r="Y7" s="55">
        <f t="shared" si="10"/>
        <v>3.151648311217059E-7</v>
      </c>
      <c r="Z7" s="29">
        <f t="shared" si="11"/>
        <v>11771441.531508721</v>
      </c>
      <c r="AA7" s="23">
        <f t="shared" si="12"/>
        <v>0</v>
      </c>
    </row>
    <row r="8" spans="1:27" x14ac:dyDescent="0.2">
      <c r="A8" s="27" t="s">
        <v>279</v>
      </c>
      <c r="B8" s="27" t="s">
        <v>153</v>
      </c>
      <c r="C8" s="27" t="s">
        <v>53</v>
      </c>
      <c r="D8" s="51">
        <v>600899202</v>
      </c>
      <c r="E8" s="51">
        <v>520398428</v>
      </c>
      <c r="F8" s="45">
        <v>925978</v>
      </c>
      <c r="G8" s="27" t="s">
        <v>280</v>
      </c>
      <c r="H8" s="51">
        <v>600899202</v>
      </c>
      <c r="I8" s="51">
        <v>520398428</v>
      </c>
      <c r="J8" s="45">
        <v>935371</v>
      </c>
      <c r="K8" s="27" t="s">
        <v>281</v>
      </c>
      <c r="L8" s="45">
        <v>33903111794</v>
      </c>
      <c r="M8" s="27" t="str">
        <f t="shared" si="0"/>
        <v>2026-01|FGP primera parte (60%)</v>
      </c>
      <c r="N8" s="52">
        <f t="shared" si="1"/>
        <v>0.8660328159330789</v>
      </c>
      <c r="O8" s="52">
        <f t="shared" si="2"/>
        <v>0.8660328159330789</v>
      </c>
      <c r="P8" s="30">
        <f t="shared" si="3"/>
        <v>801927.33483208052</v>
      </c>
      <c r="Q8" s="30">
        <f t="shared" si="4"/>
        <v>801927.33483208052</v>
      </c>
      <c r="R8" s="30">
        <f t="shared" si="5"/>
        <v>810061.98107213993</v>
      </c>
      <c r="S8" s="53">
        <f t="shared" si="6"/>
        <v>0.58091079544344226</v>
      </c>
      <c r="T8" s="54">
        <v>0.58091099999999996</v>
      </c>
      <c r="U8" s="55">
        <f t="shared" si="7"/>
        <v>-2.0455655769247016E-7</v>
      </c>
      <c r="V8" s="53">
        <f t="shared" si="8"/>
        <v>0.58091079544344226</v>
      </c>
      <c r="W8" s="53">
        <f t="shared" si="9"/>
        <v>0.58509869761586508</v>
      </c>
      <c r="X8" s="54">
        <v>0.58509900000000004</v>
      </c>
      <c r="Y8" s="55">
        <f t="shared" si="10"/>
        <v>-3.0238413495364824E-7</v>
      </c>
      <c r="Z8" s="29">
        <f t="shared" si="11"/>
        <v>1419829.1553398632</v>
      </c>
      <c r="AA8" s="23">
        <f t="shared" si="12"/>
        <v>0</v>
      </c>
    </row>
    <row r="9" spans="1:27" x14ac:dyDescent="0.2">
      <c r="A9" s="27" t="s">
        <v>279</v>
      </c>
      <c r="B9" s="27" t="s">
        <v>153</v>
      </c>
      <c r="C9" s="27" t="s">
        <v>54</v>
      </c>
      <c r="D9" s="51">
        <v>1180088820</v>
      </c>
      <c r="E9" s="51">
        <v>1236355664</v>
      </c>
      <c r="F9" s="45">
        <v>3452989</v>
      </c>
      <c r="G9" s="27" t="s">
        <v>280</v>
      </c>
      <c r="H9" s="51">
        <v>1180088820</v>
      </c>
      <c r="I9" s="51">
        <v>1236355664</v>
      </c>
      <c r="J9" s="45">
        <v>3590747</v>
      </c>
      <c r="K9" s="27" t="s">
        <v>281</v>
      </c>
      <c r="L9" s="45">
        <v>33903111794</v>
      </c>
      <c r="M9" s="27" t="str">
        <f t="shared" si="0"/>
        <v>2026-01|FGP primera parte (60%)</v>
      </c>
      <c r="N9" s="52">
        <f t="shared" si="1"/>
        <v>1.0476801771581905</v>
      </c>
      <c r="O9" s="52">
        <f t="shared" si="2"/>
        <v>1.0476801771581905</v>
      </c>
      <c r="P9" s="30">
        <f t="shared" si="3"/>
        <v>3617628.1272452832</v>
      </c>
      <c r="Q9" s="30">
        <f t="shared" si="4"/>
        <v>3617628.1272452832</v>
      </c>
      <c r="R9" s="30">
        <f t="shared" si="5"/>
        <v>3761954.4530902412</v>
      </c>
      <c r="S9" s="53">
        <f t="shared" si="6"/>
        <v>2.6205856088652659</v>
      </c>
      <c r="T9" s="54">
        <v>2.6205859999999999</v>
      </c>
      <c r="U9" s="55">
        <f t="shared" si="7"/>
        <v>-3.9113473393470599E-7</v>
      </c>
      <c r="V9" s="53">
        <f t="shared" si="8"/>
        <v>2.6205856088652659</v>
      </c>
      <c r="W9" s="53">
        <f t="shared" si="9"/>
        <v>2.7172175739936182</v>
      </c>
      <c r="X9" s="54">
        <v>2.7172179999999999</v>
      </c>
      <c r="Y9" s="55">
        <f t="shared" si="10"/>
        <v>-4.2600638172629601E-7</v>
      </c>
      <c r="Z9" s="29">
        <f t="shared" si="11"/>
        <v>32761243.166204359</v>
      </c>
      <c r="AA9" s="23">
        <f t="shared" si="12"/>
        <v>0</v>
      </c>
    </row>
    <row r="10" spans="1:27" x14ac:dyDescent="0.2">
      <c r="A10" s="27" t="s">
        <v>279</v>
      </c>
      <c r="B10" s="27" t="s">
        <v>153</v>
      </c>
      <c r="C10" s="27" t="s">
        <v>55</v>
      </c>
      <c r="D10" s="51">
        <v>204172711</v>
      </c>
      <c r="E10" s="51">
        <v>214421765</v>
      </c>
      <c r="F10" s="45">
        <v>728776</v>
      </c>
      <c r="G10" s="27" t="s">
        <v>280</v>
      </c>
      <c r="H10" s="51">
        <v>204172711</v>
      </c>
      <c r="I10" s="51">
        <v>214421765</v>
      </c>
      <c r="J10" s="45">
        <v>762355</v>
      </c>
      <c r="K10" s="27" t="s">
        <v>281</v>
      </c>
      <c r="L10" s="45">
        <v>33903111794</v>
      </c>
      <c r="M10" s="27" t="str">
        <f t="shared" si="0"/>
        <v>2026-01|FGP primera parte (60%)</v>
      </c>
      <c r="N10" s="52">
        <f t="shared" si="1"/>
        <v>1.0501979620577209</v>
      </c>
      <c r="O10" s="52">
        <f t="shared" si="2"/>
        <v>1.0501979620577209</v>
      </c>
      <c r="P10" s="30">
        <f t="shared" si="3"/>
        <v>765359.06999657757</v>
      </c>
      <c r="Q10" s="30">
        <f t="shared" si="4"/>
        <v>765359.06999657757</v>
      </c>
      <c r="R10" s="30">
        <f t="shared" si="5"/>
        <v>800623.66736451385</v>
      </c>
      <c r="S10" s="53">
        <f t="shared" si="6"/>
        <v>0.55442098908458215</v>
      </c>
      <c r="T10" s="54">
        <v>0.55442100000000005</v>
      </c>
      <c r="U10" s="55">
        <f t="shared" si="7"/>
        <v>-1.0915417902879199E-8</v>
      </c>
      <c r="V10" s="53">
        <f t="shared" si="8"/>
        <v>0.55442098908458215</v>
      </c>
      <c r="W10" s="53">
        <f t="shared" si="9"/>
        <v>0.57828150931786226</v>
      </c>
      <c r="X10" s="54">
        <v>0.57828199999999996</v>
      </c>
      <c r="Y10" s="55">
        <f t="shared" si="10"/>
        <v>-4.9068213769931646E-7</v>
      </c>
      <c r="Z10" s="29">
        <f t="shared" si="11"/>
        <v>8089458.8493189467</v>
      </c>
      <c r="AA10" s="23">
        <f t="shared" si="12"/>
        <v>0</v>
      </c>
    </row>
    <row r="11" spans="1:27" x14ac:dyDescent="0.2">
      <c r="A11" s="27" t="s">
        <v>279</v>
      </c>
      <c r="B11" s="27" t="s">
        <v>153</v>
      </c>
      <c r="C11" s="27" t="s">
        <v>56</v>
      </c>
      <c r="D11" s="51">
        <v>499823695</v>
      </c>
      <c r="E11" s="51">
        <v>532775844</v>
      </c>
      <c r="F11" s="45">
        <v>5975155</v>
      </c>
      <c r="G11" s="27" t="s">
        <v>280</v>
      </c>
      <c r="H11" s="51">
        <v>499823695</v>
      </c>
      <c r="I11" s="51">
        <v>532775844</v>
      </c>
      <c r="J11" s="45">
        <v>5891372</v>
      </c>
      <c r="K11" s="27" t="s">
        <v>281</v>
      </c>
      <c r="L11" s="45">
        <v>33903111794</v>
      </c>
      <c r="M11" s="27" t="str">
        <f t="shared" si="0"/>
        <v>2026-01|FGP primera parte (60%)</v>
      </c>
      <c r="N11" s="52">
        <f t="shared" si="1"/>
        <v>1.0659275447115408</v>
      </c>
      <c r="O11" s="52">
        <f t="shared" si="2"/>
        <v>1.0659275447115408</v>
      </c>
      <c r="P11" s="30">
        <f t="shared" si="3"/>
        <v>6369082.2984208865</v>
      </c>
      <c r="Q11" s="30">
        <f t="shared" si="4"/>
        <v>6369082.2984208865</v>
      </c>
      <c r="R11" s="30">
        <f t="shared" si="5"/>
        <v>6279775.69094232</v>
      </c>
      <c r="S11" s="53">
        <f t="shared" si="6"/>
        <v>4.6137205997537896</v>
      </c>
      <c r="T11" s="54">
        <v>4.613721</v>
      </c>
      <c r="U11" s="55">
        <f t="shared" si="7"/>
        <v>-4.002462103969151E-7</v>
      </c>
      <c r="V11" s="53">
        <f t="shared" si="8"/>
        <v>4.6137205997537896</v>
      </c>
      <c r="W11" s="53">
        <f t="shared" si="9"/>
        <v>4.5358116587907213</v>
      </c>
      <c r="X11" s="54">
        <v>4.535812</v>
      </c>
      <c r="Y11" s="55">
        <f t="shared" si="10"/>
        <v>-3.4120927860925576E-7</v>
      </c>
      <c r="Z11" s="29">
        <f t="shared" si="11"/>
        <v>-26413555.352230478</v>
      </c>
      <c r="AA11" s="23">
        <f t="shared" si="12"/>
        <v>0</v>
      </c>
    </row>
    <row r="12" spans="1:27" x14ac:dyDescent="0.2">
      <c r="A12" s="27" t="s">
        <v>279</v>
      </c>
      <c r="B12" s="27" t="s">
        <v>153</v>
      </c>
      <c r="C12" s="27" t="s">
        <v>57</v>
      </c>
      <c r="D12" s="51">
        <v>1235956187</v>
      </c>
      <c r="E12" s="51">
        <v>1282412409</v>
      </c>
      <c r="F12" s="45">
        <v>3976037</v>
      </c>
      <c r="G12" s="27" t="s">
        <v>280</v>
      </c>
      <c r="H12" s="51">
        <v>1235956187</v>
      </c>
      <c r="I12" s="51">
        <v>1282412409</v>
      </c>
      <c r="J12" s="45">
        <v>4015493</v>
      </c>
      <c r="K12" s="27" t="s">
        <v>281</v>
      </c>
      <c r="L12" s="45">
        <v>33903111794</v>
      </c>
      <c r="M12" s="27" t="str">
        <f t="shared" si="0"/>
        <v>2026-01|FGP primera parte (60%)</v>
      </c>
      <c r="N12" s="52">
        <f t="shared" si="1"/>
        <v>1.0375872725009467</v>
      </c>
      <c r="O12" s="52">
        <f t="shared" si="2"/>
        <v>1.0375872725009467</v>
      </c>
      <c r="P12" s="30">
        <f t="shared" si="3"/>
        <v>4125485.3861928466</v>
      </c>
      <c r="Q12" s="30">
        <f t="shared" si="4"/>
        <v>4125485.3861928466</v>
      </c>
      <c r="R12" s="30">
        <f t="shared" si="5"/>
        <v>4166424.429616644</v>
      </c>
      <c r="S12" s="53">
        <f t="shared" si="6"/>
        <v>2.9884740090389936</v>
      </c>
      <c r="T12" s="54">
        <v>2.9884740000000001</v>
      </c>
      <c r="U12" s="55">
        <f t="shared" si="7"/>
        <v>9.0389935536450139E-9</v>
      </c>
      <c r="V12" s="53">
        <f t="shared" si="8"/>
        <v>2.9884740090389936</v>
      </c>
      <c r="W12" s="53">
        <f t="shared" si="9"/>
        <v>3.0093617086647684</v>
      </c>
      <c r="X12" s="54">
        <v>3.0093619999999999</v>
      </c>
      <c r="Y12" s="55">
        <f t="shared" si="10"/>
        <v>-2.9133523149482698E-7</v>
      </c>
      <c r="Z12" s="29">
        <f t="shared" si="11"/>
        <v>7081580.1553213326</v>
      </c>
      <c r="AA12" s="23">
        <f t="shared" si="12"/>
        <v>0</v>
      </c>
    </row>
    <row r="13" spans="1:27" x14ac:dyDescent="0.2">
      <c r="A13" s="27" t="s">
        <v>279</v>
      </c>
      <c r="B13" s="27" t="s">
        <v>153</v>
      </c>
      <c r="C13" s="27" t="s">
        <v>58</v>
      </c>
      <c r="D13" s="51">
        <v>4714038082</v>
      </c>
      <c r="E13" s="51">
        <v>5019086938</v>
      </c>
      <c r="F13" s="45">
        <v>9350964</v>
      </c>
      <c r="G13" s="27" t="s">
        <v>280</v>
      </c>
      <c r="H13" s="51">
        <v>4714038082</v>
      </c>
      <c r="I13" s="51">
        <v>5019086938</v>
      </c>
      <c r="J13" s="45">
        <v>9336468</v>
      </c>
      <c r="K13" s="27" t="s">
        <v>281</v>
      </c>
      <c r="L13" s="45">
        <v>33903111794</v>
      </c>
      <c r="M13" s="27" t="str">
        <f t="shared" si="0"/>
        <v>2026-01|FGP primera parte (60%)</v>
      </c>
      <c r="N13" s="52">
        <f t="shared" si="1"/>
        <v>1.064710732220173</v>
      </c>
      <c r="O13" s="52">
        <f t="shared" si="2"/>
        <v>1.064710732220173</v>
      </c>
      <c r="P13" s="30">
        <f t="shared" si="3"/>
        <v>9956071.7274044771</v>
      </c>
      <c r="Q13" s="30">
        <f t="shared" si="4"/>
        <v>9956071.7274044771</v>
      </c>
      <c r="R13" s="30">
        <f t="shared" si="5"/>
        <v>9940637.6806302145</v>
      </c>
      <c r="S13" s="53">
        <f t="shared" si="6"/>
        <v>7.2121117406099584</v>
      </c>
      <c r="T13" s="54">
        <v>7.2121120000000003</v>
      </c>
      <c r="U13" s="55">
        <f t="shared" si="7"/>
        <v>-2.5939004189012849E-7</v>
      </c>
      <c r="V13" s="53">
        <f t="shared" si="8"/>
        <v>7.2121117406099584</v>
      </c>
      <c r="W13" s="53">
        <f t="shared" si="9"/>
        <v>7.1800112785319907</v>
      </c>
      <c r="X13" s="54">
        <v>7.1800110000000004</v>
      </c>
      <c r="Y13" s="55">
        <f t="shared" si="10"/>
        <v>2.7853199036087517E-7</v>
      </c>
      <c r="Z13" s="29">
        <f t="shared" si="11"/>
        <v>-10883055.544683959</v>
      </c>
      <c r="AA13" s="23">
        <f t="shared" si="12"/>
        <v>0</v>
      </c>
    </row>
    <row r="14" spans="1:27" x14ac:dyDescent="0.2">
      <c r="A14" s="27" t="s">
        <v>279</v>
      </c>
      <c r="B14" s="27" t="s">
        <v>153</v>
      </c>
      <c r="C14" s="27" t="s">
        <v>59</v>
      </c>
      <c r="D14" s="51">
        <v>412374115</v>
      </c>
      <c r="E14" s="51">
        <v>451314096</v>
      </c>
      <c r="F14" s="45">
        <v>1944614</v>
      </c>
      <c r="G14" s="27" t="s">
        <v>280</v>
      </c>
      <c r="H14" s="51">
        <v>412374115</v>
      </c>
      <c r="I14" s="51">
        <v>451314096</v>
      </c>
      <c r="J14" s="45">
        <v>1968132</v>
      </c>
      <c r="K14" s="27" t="s">
        <v>281</v>
      </c>
      <c r="L14" s="45">
        <v>33903111794</v>
      </c>
      <c r="M14" s="27" t="str">
        <f t="shared" si="0"/>
        <v>2026-01|FGP primera parte (60%)</v>
      </c>
      <c r="N14" s="52">
        <f t="shared" si="1"/>
        <v>1.0944287713112157</v>
      </c>
      <c r="O14" s="52">
        <f t="shared" si="2"/>
        <v>1.0944287713112157</v>
      </c>
      <c r="P14" s="30">
        <f t="shared" si="3"/>
        <v>2128241.5106945885</v>
      </c>
      <c r="Q14" s="30">
        <f t="shared" si="4"/>
        <v>2128241.5106945885</v>
      </c>
      <c r="R14" s="30">
        <f t="shared" si="5"/>
        <v>2153980.2865382857</v>
      </c>
      <c r="S14" s="53">
        <f t="shared" si="6"/>
        <v>1.541683909717612</v>
      </c>
      <c r="T14" s="54">
        <v>1.5416840000000001</v>
      </c>
      <c r="U14" s="55">
        <f t="shared" si="7"/>
        <v>-9.0282388010010095E-8</v>
      </c>
      <c r="V14" s="53">
        <f t="shared" si="8"/>
        <v>1.541683909717612</v>
      </c>
      <c r="W14" s="53">
        <f t="shared" si="9"/>
        <v>1.5557958400612359</v>
      </c>
      <c r="X14" s="54">
        <v>1.555796</v>
      </c>
      <c r="Y14" s="55">
        <f t="shared" si="10"/>
        <v>-1.5993876401054763E-7</v>
      </c>
      <c r="Z14" s="29">
        <f t="shared" si="11"/>
        <v>4784383.5206902195</v>
      </c>
      <c r="AA14" s="23">
        <f t="shared" si="12"/>
        <v>0</v>
      </c>
    </row>
    <row r="15" spans="1:27" x14ac:dyDescent="0.2">
      <c r="A15" s="27" t="s">
        <v>279</v>
      </c>
      <c r="B15" s="27" t="s">
        <v>153</v>
      </c>
      <c r="C15" s="27" t="s">
        <v>60</v>
      </c>
      <c r="D15" s="51">
        <v>1413043069</v>
      </c>
      <c r="E15" s="51">
        <v>1521161531</v>
      </c>
      <c r="F15" s="45">
        <v>6345807</v>
      </c>
      <c r="G15" s="27" t="s">
        <v>280</v>
      </c>
      <c r="H15" s="51">
        <v>1413043069</v>
      </c>
      <c r="I15" s="51">
        <v>1521161531</v>
      </c>
      <c r="J15" s="45">
        <v>6402249</v>
      </c>
      <c r="K15" s="27" t="s">
        <v>281</v>
      </c>
      <c r="L15" s="45">
        <v>33903111794</v>
      </c>
      <c r="M15" s="27" t="str">
        <f t="shared" si="0"/>
        <v>2026-01|FGP primera parte (60%)</v>
      </c>
      <c r="N15" s="52">
        <f t="shared" si="1"/>
        <v>1.076514626037913</v>
      </c>
      <c r="O15" s="52">
        <f t="shared" si="2"/>
        <v>1.076514626037913</v>
      </c>
      <c r="P15" s="30">
        <f t="shared" si="3"/>
        <v>6831354.0495137712</v>
      </c>
      <c r="Q15" s="30">
        <f t="shared" si="4"/>
        <v>6831354.0495137712</v>
      </c>
      <c r="R15" s="30">
        <f t="shared" si="5"/>
        <v>6892114.6880366029</v>
      </c>
      <c r="S15" s="53">
        <f t="shared" si="6"/>
        <v>4.948587163062335</v>
      </c>
      <c r="T15" s="54">
        <v>4.9485869999999998</v>
      </c>
      <c r="U15" s="55">
        <f t="shared" si="7"/>
        <v>1.6306233519003399E-7</v>
      </c>
      <c r="V15" s="53">
        <f t="shared" si="8"/>
        <v>4.948587163062335</v>
      </c>
      <c r="W15" s="53">
        <f t="shared" si="9"/>
        <v>4.978097259239564</v>
      </c>
      <c r="X15" s="54">
        <v>4.978097</v>
      </c>
      <c r="Y15" s="55">
        <f t="shared" si="10"/>
        <v>2.5923956403772763E-7</v>
      </c>
      <c r="Z15" s="29">
        <f t="shared" si="11"/>
        <v>10004840.897482866</v>
      </c>
      <c r="AA15" s="23">
        <f t="shared" si="12"/>
        <v>0</v>
      </c>
    </row>
    <row r="16" spans="1:27" x14ac:dyDescent="0.2">
      <c r="A16" s="27" t="s">
        <v>279</v>
      </c>
      <c r="B16" s="27" t="s">
        <v>153</v>
      </c>
      <c r="C16" s="27" t="s">
        <v>61</v>
      </c>
      <c r="D16" s="51">
        <v>406787621</v>
      </c>
      <c r="E16" s="51">
        <v>430966290</v>
      </c>
      <c r="F16" s="45">
        <v>3606579</v>
      </c>
      <c r="G16" s="27" t="s">
        <v>280</v>
      </c>
      <c r="H16" s="51">
        <v>406787621</v>
      </c>
      <c r="I16" s="51">
        <v>430966290</v>
      </c>
      <c r="J16" s="45">
        <v>3569633</v>
      </c>
      <c r="K16" s="27" t="s">
        <v>281</v>
      </c>
      <c r="L16" s="45">
        <v>33903111794</v>
      </c>
      <c r="M16" s="27" t="str">
        <f t="shared" si="0"/>
        <v>2026-01|FGP primera parte (60%)</v>
      </c>
      <c r="N16" s="52">
        <f t="shared" si="1"/>
        <v>1.0594380648569441</v>
      </c>
      <c r="O16" s="52">
        <f t="shared" si="2"/>
        <v>1.0594380648569441</v>
      </c>
      <c r="P16" s="30">
        <f t="shared" si="3"/>
        <v>3820947.0765136927</v>
      </c>
      <c r="Q16" s="30">
        <f t="shared" si="4"/>
        <v>3820947.0765136927</v>
      </c>
      <c r="R16" s="30">
        <f t="shared" si="5"/>
        <v>3781805.0777694881</v>
      </c>
      <c r="S16" s="53">
        <f t="shared" si="6"/>
        <v>2.7678684952541786</v>
      </c>
      <c r="T16" s="54">
        <v>2.767868</v>
      </c>
      <c r="U16" s="55">
        <f t="shared" si="7"/>
        <v>4.9525417855633691E-7</v>
      </c>
      <c r="V16" s="53">
        <f t="shared" si="8"/>
        <v>2.7678684952541786</v>
      </c>
      <c r="W16" s="53">
        <f t="shared" si="9"/>
        <v>2.7315554579062993</v>
      </c>
      <c r="X16" s="54">
        <v>2.7315550000000002</v>
      </c>
      <c r="Y16" s="55">
        <f t="shared" si="10"/>
        <v>4.5790629910058556E-7</v>
      </c>
      <c r="Z16" s="29">
        <f t="shared" si="11"/>
        <v>-12311249.647848483</v>
      </c>
      <c r="AA16" s="23">
        <f t="shared" si="12"/>
        <v>0</v>
      </c>
    </row>
    <row r="17" spans="1:27" x14ac:dyDescent="0.2">
      <c r="A17" s="27" t="s">
        <v>279</v>
      </c>
      <c r="B17" s="27" t="s">
        <v>153</v>
      </c>
      <c r="C17" s="27" t="s">
        <v>62</v>
      </c>
      <c r="D17" s="51">
        <v>544779418</v>
      </c>
      <c r="E17" s="51">
        <v>585823220</v>
      </c>
      <c r="F17" s="45">
        <v>3248649</v>
      </c>
      <c r="G17" s="27" t="s">
        <v>280</v>
      </c>
      <c r="H17" s="51">
        <v>544779418</v>
      </c>
      <c r="I17" s="51">
        <v>585823220</v>
      </c>
      <c r="J17" s="45">
        <v>3215821</v>
      </c>
      <c r="K17" s="27" t="s">
        <v>281</v>
      </c>
      <c r="L17" s="45">
        <v>33903111794</v>
      </c>
      <c r="M17" s="27" t="str">
        <f t="shared" si="0"/>
        <v>2026-01|FGP primera parte (60%)</v>
      </c>
      <c r="N17" s="52">
        <f t="shared" si="1"/>
        <v>1.0753402214618908</v>
      </c>
      <c r="O17" s="52">
        <f t="shared" si="2"/>
        <v>1.0753402214618908</v>
      </c>
      <c r="P17" s="30">
        <f t="shared" si="3"/>
        <v>3493402.9351119502</v>
      </c>
      <c r="Q17" s="30">
        <f t="shared" si="4"/>
        <v>3493402.9351119502</v>
      </c>
      <c r="R17" s="30">
        <f t="shared" si="5"/>
        <v>3458101.6663217992</v>
      </c>
      <c r="S17" s="53">
        <f t="shared" si="6"/>
        <v>2.5305977109076538</v>
      </c>
      <c r="T17" s="54">
        <v>2.5305979999999999</v>
      </c>
      <c r="U17" s="55">
        <f t="shared" si="7"/>
        <v>-2.8909234606189216E-7</v>
      </c>
      <c r="V17" s="53">
        <f t="shared" si="8"/>
        <v>2.5305977109076538</v>
      </c>
      <c r="W17" s="53">
        <f t="shared" si="9"/>
        <v>2.4977481087437314</v>
      </c>
      <c r="X17" s="54">
        <v>2.4977480000000001</v>
      </c>
      <c r="Y17" s="55">
        <f t="shared" si="10"/>
        <v>1.0874373135294491E-7</v>
      </c>
      <c r="Z17" s="29">
        <f t="shared" si="11"/>
        <v>-11137037.345518859</v>
      </c>
      <c r="AA17" s="23">
        <f t="shared" si="12"/>
        <v>0</v>
      </c>
    </row>
    <row r="18" spans="1:27" x14ac:dyDescent="0.2">
      <c r="A18" s="27" t="s">
        <v>279</v>
      </c>
      <c r="B18" s="27" t="s">
        <v>153</v>
      </c>
      <c r="C18" s="27" t="s">
        <v>63</v>
      </c>
      <c r="D18" s="51">
        <v>2396338446</v>
      </c>
      <c r="E18" s="51">
        <v>2528861330</v>
      </c>
      <c r="F18" s="45">
        <v>8739649</v>
      </c>
      <c r="G18" s="27" t="s">
        <v>280</v>
      </c>
      <c r="H18" s="51">
        <v>2396338446</v>
      </c>
      <c r="I18" s="51">
        <v>2528861330</v>
      </c>
      <c r="J18" s="45">
        <v>8750952</v>
      </c>
      <c r="K18" s="27" t="s">
        <v>281</v>
      </c>
      <c r="L18" s="45">
        <v>33903111794</v>
      </c>
      <c r="M18" s="27" t="str">
        <f t="shared" si="0"/>
        <v>2026-01|FGP primera parte (60%)</v>
      </c>
      <c r="N18" s="52">
        <f t="shared" si="1"/>
        <v>1.0553022400576217</v>
      </c>
      <c r="O18" s="52">
        <f t="shared" si="2"/>
        <v>1.0553022400576217</v>
      </c>
      <c r="P18" s="30">
        <f t="shared" si="3"/>
        <v>9222971.1670173537</v>
      </c>
      <c r="Q18" s="30">
        <f t="shared" si="4"/>
        <v>9222971.1670173537</v>
      </c>
      <c r="R18" s="30">
        <f t="shared" si="5"/>
        <v>9234899.2482367251</v>
      </c>
      <c r="S18" s="53">
        <f t="shared" si="6"/>
        <v>6.6810586000362031</v>
      </c>
      <c r="T18" s="54">
        <v>6.6810590000000003</v>
      </c>
      <c r="U18" s="55">
        <f t="shared" si="7"/>
        <v>-3.9996379719298147E-7</v>
      </c>
      <c r="V18" s="53">
        <f t="shared" si="8"/>
        <v>6.6810586000362031</v>
      </c>
      <c r="W18" s="53">
        <f t="shared" si="9"/>
        <v>6.6702643118809055</v>
      </c>
      <c r="X18" s="54">
        <v>6.6702640000000004</v>
      </c>
      <c r="Y18" s="55">
        <f t="shared" si="10"/>
        <v>3.1188090510170241E-7</v>
      </c>
      <c r="Z18" s="29">
        <f t="shared" si="11"/>
        <v>-3659599.5806570435</v>
      </c>
      <c r="AA18" s="23">
        <f t="shared" si="12"/>
        <v>0</v>
      </c>
    </row>
    <row r="19" spans="1:27" x14ac:dyDescent="0.2">
      <c r="A19" s="27" t="s">
        <v>279</v>
      </c>
      <c r="B19" s="27" t="s">
        <v>153</v>
      </c>
      <c r="C19" s="27" t="s">
        <v>64</v>
      </c>
      <c r="D19" s="51">
        <v>2883021204</v>
      </c>
      <c r="E19" s="51">
        <v>3052582506</v>
      </c>
      <c r="F19" s="45">
        <v>17788768</v>
      </c>
      <c r="G19" s="27" t="s">
        <v>280</v>
      </c>
      <c r="H19" s="51">
        <v>2883021204</v>
      </c>
      <c r="I19" s="51">
        <v>3052582506</v>
      </c>
      <c r="J19" s="45">
        <v>17753727</v>
      </c>
      <c r="K19" s="27" t="s">
        <v>281</v>
      </c>
      <c r="L19" s="45">
        <v>33903111794</v>
      </c>
      <c r="M19" s="27" t="str">
        <f t="shared" si="0"/>
        <v>2026-01|FGP primera parte (60%)</v>
      </c>
      <c r="N19" s="52">
        <f t="shared" si="1"/>
        <v>1.0588137547392107</v>
      </c>
      <c r="O19" s="52">
        <f t="shared" si="2"/>
        <v>1.0588137547392107</v>
      </c>
      <c r="P19" s="30">
        <f t="shared" si="3"/>
        <v>18834992.238264721</v>
      </c>
      <c r="Q19" s="30">
        <f t="shared" si="4"/>
        <v>18834992.238264721</v>
      </c>
      <c r="R19" s="30">
        <f t="shared" si="5"/>
        <v>18797890.345484901</v>
      </c>
      <c r="S19" s="53">
        <f t="shared" si="6"/>
        <v>13.643942347460325</v>
      </c>
      <c r="T19" s="54">
        <v>13.643941999999999</v>
      </c>
      <c r="U19" s="55">
        <f t="shared" si="7"/>
        <v>3.4746032540056149E-7</v>
      </c>
      <c r="V19" s="53">
        <f t="shared" si="8"/>
        <v>13.643942347460325</v>
      </c>
      <c r="W19" s="53">
        <f t="shared" si="9"/>
        <v>13.577505692233666</v>
      </c>
      <c r="X19" s="54">
        <v>13.577506</v>
      </c>
      <c r="Y19" s="55">
        <f t="shared" si="10"/>
        <v>-3.0776633330731329E-7</v>
      </c>
      <c r="Z19" s="29">
        <f t="shared" si="11"/>
        <v>-22524093.493688278</v>
      </c>
      <c r="AA19" s="23">
        <f t="shared" si="12"/>
        <v>0</v>
      </c>
    </row>
    <row r="20" spans="1:27" x14ac:dyDescent="0.2">
      <c r="A20" s="27" t="s">
        <v>279</v>
      </c>
      <c r="B20" s="27" t="s">
        <v>153</v>
      </c>
      <c r="C20" s="27" t="s">
        <v>65</v>
      </c>
      <c r="D20" s="51">
        <v>881074925</v>
      </c>
      <c r="E20" s="51">
        <v>922949796</v>
      </c>
      <c r="F20" s="45">
        <v>4950874</v>
      </c>
      <c r="G20" s="27" t="s">
        <v>280</v>
      </c>
      <c r="H20" s="51">
        <v>881074925</v>
      </c>
      <c r="I20" s="51">
        <v>922949796</v>
      </c>
      <c r="J20" s="45">
        <v>4945881</v>
      </c>
      <c r="K20" s="27" t="s">
        <v>281</v>
      </c>
      <c r="L20" s="45">
        <v>33903111794</v>
      </c>
      <c r="M20" s="27" t="str">
        <f t="shared" si="0"/>
        <v>2026-01|FGP primera parte (60%)</v>
      </c>
      <c r="N20" s="52">
        <f t="shared" si="1"/>
        <v>1.0475270261493368</v>
      </c>
      <c r="O20" s="52">
        <f t="shared" si="2"/>
        <v>1.0475270261493368</v>
      </c>
      <c r="P20" s="30">
        <f t="shared" si="3"/>
        <v>5186174.3180600712</v>
      </c>
      <c r="Q20" s="30">
        <f t="shared" si="4"/>
        <v>5186174.3180600712</v>
      </c>
      <c r="R20" s="30">
        <f t="shared" si="5"/>
        <v>5180944.0156185078</v>
      </c>
      <c r="S20" s="53">
        <f t="shared" si="6"/>
        <v>3.7568299739320796</v>
      </c>
      <c r="T20" s="54">
        <v>3.7568299999999999</v>
      </c>
      <c r="U20" s="55">
        <f t="shared" si="7"/>
        <v>-2.6067920266825695E-8</v>
      </c>
      <c r="V20" s="53">
        <f t="shared" si="8"/>
        <v>3.7568299739320796</v>
      </c>
      <c r="W20" s="53">
        <f t="shared" si="9"/>
        <v>3.7421378447449216</v>
      </c>
      <c r="X20" s="54">
        <v>3.7421380000000002</v>
      </c>
      <c r="Y20" s="55">
        <f t="shared" si="10"/>
        <v>-1.5525507857105936E-7</v>
      </c>
      <c r="Z20" s="29">
        <f t="shared" si="11"/>
        <v>-4981088.983241084</v>
      </c>
      <c r="AA20" s="23">
        <f t="shared" si="12"/>
        <v>0</v>
      </c>
    </row>
    <row r="21" spans="1:27" x14ac:dyDescent="0.2">
      <c r="A21" s="27" t="s">
        <v>279</v>
      </c>
      <c r="B21" s="27" t="s">
        <v>153</v>
      </c>
      <c r="C21" s="27" t="s">
        <v>66</v>
      </c>
      <c r="D21" s="51">
        <v>341344156</v>
      </c>
      <c r="E21" s="51">
        <v>355087156</v>
      </c>
      <c r="F21" s="45">
        <v>1984308</v>
      </c>
      <c r="G21" s="27" t="s">
        <v>280</v>
      </c>
      <c r="H21" s="51">
        <v>341344156</v>
      </c>
      <c r="I21" s="51">
        <v>355087156</v>
      </c>
      <c r="J21" s="45">
        <v>1988503</v>
      </c>
      <c r="K21" s="27" t="s">
        <v>281</v>
      </c>
      <c r="L21" s="45">
        <v>33903111794</v>
      </c>
      <c r="M21" s="27" t="str">
        <f t="shared" si="0"/>
        <v>2026-01|FGP primera parte (60%)</v>
      </c>
      <c r="N21" s="52">
        <f t="shared" si="1"/>
        <v>1.0402614187424377</v>
      </c>
      <c r="O21" s="52">
        <f t="shared" si="2"/>
        <v>1.0402614187424377</v>
      </c>
      <c r="P21" s="30">
        <f t="shared" si="3"/>
        <v>2064199.0553019692</v>
      </c>
      <c r="Q21" s="30">
        <f t="shared" si="4"/>
        <v>2064199.0553019692</v>
      </c>
      <c r="R21" s="30">
        <f t="shared" si="5"/>
        <v>2068562.9519535936</v>
      </c>
      <c r="S21" s="53">
        <f t="shared" si="6"/>
        <v>1.4952919835562877</v>
      </c>
      <c r="T21" s="54">
        <v>1.4952920000000001</v>
      </c>
      <c r="U21" s="55">
        <f t="shared" si="7"/>
        <v>-1.6443712391733811E-8</v>
      </c>
      <c r="V21" s="53">
        <f t="shared" si="8"/>
        <v>1.4952919835562877</v>
      </c>
      <c r="W21" s="53">
        <f t="shared" si="9"/>
        <v>1.4940998558191718</v>
      </c>
      <c r="X21" s="54">
        <v>1.4941</v>
      </c>
      <c r="Y21" s="55">
        <f t="shared" si="10"/>
        <v>-1.441808281654744E-7</v>
      </c>
      <c r="Z21" s="29">
        <f t="shared" si="11"/>
        <v>-404168.39944167098</v>
      </c>
      <c r="AA21" s="23">
        <f t="shared" si="12"/>
        <v>0</v>
      </c>
    </row>
    <row r="22" spans="1:27" x14ac:dyDescent="0.2">
      <c r="A22" s="27" t="s">
        <v>279</v>
      </c>
      <c r="B22" s="27" t="s">
        <v>153</v>
      </c>
      <c r="C22" s="27" t="s">
        <v>67</v>
      </c>
      <c r="D22" s="51">
        <v>218524605</v>
      </c>
      <c r="E22" s="51">
        <v>226764339</v>
      </c>
      <c r="F22" s="45">
        <v>1245276</v>
      </c>
      <c r="G22" s="27" t="s">
        <v>280</v>
      </c>
      <c r="H22" s="51">
        <v>218524605</v>
      </c>
      <c r="I22" s="51">
        <v>226764339</v>
      </c>
      <c r="J22" s="45">
        <v>1279298</v>
      </c>
      <c r="K22" s="27" t="s">
        <v>281</v>
      </c>
      <c r="L22" s="45">
        <v>33903111794</v>
      </c>
      <c r="M22" s="27" t="str">
        <f t="shared" si="0"/>
        <v>2026-01|FGP primera parte (60%)</v>
      </c>
      <c r="N22" s="52">
        <f t="shared" si="1"/>
        <v>1.0377062070424519</v>
      </c>
      <c r="O22" s="52">
        <f t="shared" si="2"/>
        <v>1.0377062070424519</v>
      </c>
      <c r="P22" s="30">
        <f t="shared" si="3"/>
        <v>1292230.6346809962</v>
      </c>
      <c r="Q22" s="30">
        <f t="shared" si="4"/>
        <v>1292230.6346809962</v>
      </c>
      <c r="R22" s="30">
        <f t="shared" si="5"/>
        <v>1327535.4752569946</v>
      </c>
      <c r="S22" s="53">
        <f t="shared" si="6"/>
        <v>0.93608322510431474</v>
      </c>
      <c r="T22" s="54">
        <v>0.936083</v>
      </c>
      <c r="U22" s="55">
        <f t="shared" si="7"/>
        <v>2.251043147438736E-7</v>
      </c>
      <c r="V22" s="53">
        <f t="shared" si="8"/>
        <v>0.93608322510431474</v>
      </c>
      <c r="W22" s="53">
        <f t="shared" si="9"/>
        <v>0.95886400764505675</v>
      </c>
      <c r="X22" s="54">
        <v>0.95886400000000005</v>
      </c>
      <c r="Y22" s="55">
        <f t="shared" si="10"/>
        <v>7.6450566988128799E-9</v>
      </c>
      <c r="Z22" s="29">
        <f t="shared" si="11"/>
        <v>7723394.1723357951</v>
      </c>
      <c r="AA22" s="23">
        <f t="shared" si="12"/>
        <v>0</v>
      </c>
    </row>
    <row r="23" spans="1:27" x14ac:dyDescent="0.2">
      <c r="A23" s="27" t="s">
        <v>279</v>
      </c>
      <c r="B23" s="27" t="s">
        <v>153</v>
      </c>
      <c r="C23" s="27" t="s">
        <v>68</v>
      </c>
      <c r="D23" s="51">
        <v>2508047719</v>
      </c>
      <c r="E23" s="51">
        <v>2698173018</v>
      </c>
      <c r="F23" s="45">
        <v>6152311</v>
      </c>
      <c r="G23" s="27" t="s">
        <v>280</v>
      </c>
      <c r="H23" s="51">
        <v>2508047719</v>
      </c>
      <c r="I23" s="51">
        <v>2698173018</v>
      </c>
      <c r="J23" s="45">
        <v>6234433</v>
      </c>
      <c r="K23" s="27" t="s">
        <v>281</v>
      </c>
      <c r="L23" s="45">
        <v>33903111794</v>
      </c>
      <c r="M23" s="27" t="str">
        <f t="shared" si="0"/>
        <v>2026-01|FGP primera parte (60%)</v>
      </c>
      <c r="N23" s="52">
        <f t="shared" si="1"/>
        <v>1.0758060931455506</v>
      </c>
      <c r="O23" s="52">
        <f t="shared" si="2"/>
        <v>1.0758060931455506</v>
      </c>
      <c r="P23" s="30">
        <f t="shared" si="3"/>
        <v>6618693.6607263954</v>
      </c>
      <c r="Q23" s="30">
        <f t="shared" si="4"/>
        <v>6618693.6607263954</v>
      </c>
      <c r="R23" s="30">
        <f t="shared" si="5"/>
        <v>6707041.0087076947</v>
      </c>
      <c r="S23" s="53">
        <f t="shared" si="6"/>
        <v>4.7945374003919383</v>
      </c>
      <c r="T23" s="54">
        <v>4.794537</v>
      </c>
      <c r="U23" s="55">
        <f t="shared" si="7"/>
        <v>4.003919382711274E-7</v>
      </c>
      <c r="V23" s="53">
        <f t="shared" si="8"/>
        <v>4.7945374003919383</v>
      </c>
      <c r="W23" s="53">
        <f t="shared" si="9"/>
        <v>4.8444206131698389</v>
      </c>
      <c r="X23" s="54">
        <v>4.8444209999999996</v>
      </c>
      <c r="Y23" s="55">
        <f t="shared" si="10"/>
        <v>-3.8683016079232857E-7</v>
      </c>
      <c r="Z23" s="29">
        <f t="shared" si="11"/>
        <v>16911961.394530509</v>
      </c>
      <c r="AA23" s="23">
        <f t="shared" si="12"/>
        <v>0</v>
      </c>
    </row>
    <row r="24" spans="1:27" x14ac:dyDescent="0.2">
      <c r="A24" s="27" t="s">
        <v>279</v>
      </c>
      <c r="B24" s="27" t="s">
        <v>153</v>
      </c>
      <c r="C24" s="27" t="s">
        <v>69</v>
      </c>
      <c r="D24" s="51">
        <v>575507319</v>
      </c>
      <c r="E24" s="51">
        <v>631307638</v>
      </c>
      <c r="F24" s="45">
        <v>4232451</v>
      </c>
      <c r="G24" s="27" t="s">
        <v>280</v>
      </c>
      <c r="H24" s="51">
        <v>575507319</v>
      </c>
      <c r="I24" s="51">
        <v>631307638</v>
      </c>
      <c r="J24" s="45">
        <v>4178688</v>
      </c>
      <c r="K24" s="27" t="s">
        <v>281</v>
      </c>
      <c r="L24" s="45">
        <v>33903111794</v>
      </c>
      <c r="M24" s="27" t="str">
        <f t="shared" si="0"/>
        <v>2026-01|FGP primera parte (60%)</v>
      </c>
      <c r="N24" s="52">
        <f t="shared" si="1"/>
        <v>1.0969584871604388</v>
      </c>
      <c r="O24" s="52">
        <f t="shared" si="2"/>
        <v>1.0969584871604388</v>
      </c>
      <c r="P24" s="30">
        <f t="shared" si="3"/>
        <v>4642823.045940686</v>
      </c>
      <c r="Q24" s="30">
        <f t="shared" si="4"/>
        <v>4642823.045940686</v>
      </c>
      <c r="R24" s="30">
        <f t="shared" si="5"/>
        <v>4583847.2667954797</v>
      </c>
      <c r="S24" s="53">
        <f t="shared" si="6"/>
        <v>3.36322994811656</v>
      </c>
      <c r="T24" s="54">
        <v>3.3632300000000002</v>
      </c>
      <c r="U24" s="55">
        <f t="shared" si="7"/>
        <v>-5.1883440210787057E-8</v>
      </c>
      <c r="V24" s="53">
        <f t="shared" si="8"/>
        <v>3.36322994811656</v>
      </c>
      <c r="W24" s="53">
        <f t="shared" si="9"/>
        <v>3.310861549535224</v>
      </c>
      <c r="X24" s="54">
        <v>3.3108620000000002</v>
      </c>
      <c r="Y24" s="55">
        <f t="shared" si="10"/>
        <v>-4.5046477614718583E-7</v>
      </c>
      <c r="Z24" s="29">
        <f t="shared" si="11"/>
        <v>-17754516.715757821</v>
      </c>
      <c r="AA24" s="23">
        <f t="shared" si="12"/>
        <v>0</v>
      </c>
    </row>
    <row r="25" spans="1:27" x14ac:dyDescent="0.2">
      <c r="A25" s="27" t="s">
        <v>279</v>
      </c>
      <c r="B25" s="27" t="s">
        <v>153</v>
      </c>
      <c r="C25" s="27" t="s">
        <v>70</v>
      </c>
      <c r="D25" s="51">
        <v>1101798435</v>
      </c>
      <c r="E25" s="51">
        <v>1184829794</v>
      </c>
      <c r="F25" s="45">
        <v>6629599</v>
      </c>
      <c r="G25" s="27" t="s">
        <v>280</v>
      </c>
      <c r="H25" s="51">
        <v>1101798435</v>
      </c>
      <c r="I25" s="51">
        <v>1184829794</v>
      </c>
      <c r="J25" s="45">
        <v>6638706</v>
      </c>
      <c r="K25" s="27" t="s">
        <v>281</v>
      </c>
      <c r="L25" s="45">
        <v>33903111794</v>
      </c>
      <c r="M25" s="27" t="str">
        <f t="shared" si="0"/>
        <v>2026-01|FGP primera parte (60%)</v>
      </c>
      <c r="N25" s="52">
        <f t="shared" si="1"/>
        <v>1.0753598447432902</v>
      </c>
      <c r="O25" s="52">
        <f t="shared" si="2"/>
        <v>1.0753598447432902</v>
      </c>
      <c r="P25" s="30">
        <f t="shared" si="3"/>
        <v>7129204.5513502713</v>
      </c>
      <c r="Q25" s="30">
        <f t="shared" si="4"/>
        <v>7129204.5513502713</v>
      </c>
      <c r="R25" s="30">
        <f t="shared" si="5"/>
        <v>7138997.8534563491</v>
      </c>
      <c r="S25" s="53">
        <f t="shared" si="6"/>
        <v>5.164348073595832</v>
      </c>
      <c r="T25" s="54">
        <v>5.1643480000000004</v>
      </c>
      <c r="U25" s="55">
        <f t="shared" si="7"/>
        <v>7.3595831651118715E-8</v>
      </c>
      <c r="V25" s="53">
        <f t="shared" si="8"/>
        <v>5.164348073595832</v>
      </c>
      <c r="W25" s="53">
        <f t="shared" si="9"/>
        <v>5.156418204951879</v>
      </c>
      <c r="X25" s="54">
        <v>5.1564180000000004</v>
      </c>
      <c r="Y25" s="55">
        <f t="shared" si="10"/>
        <v>2.0495187857960673E-7</v>
      </c>
      <c r="Z25" s="29">
        <f t="shared" si="11"/>
        <v>-2688472.2314767591</v>
      </c>
      <c r="AA25" s="23">
        <f t="shared" si="12"/>
        <v>0</v>
      </c>
    </row>
    <row r="26" spans="1:27" x14ac:dyDescent="0.2">
      <c r="A26" s="27" t="s">
        <v>279</v>
      </c>
      <c r="B26" s="27" t="s">
        <v>153</v>
      </c>
      <c r="C26" s="27" t="s">
        <v>71</v>
      </c>
      <c r="D26" s="51">
        <v>771420538</v>
      </c>
      <c r="E26" s="51">
        <v>800779464</v>
      </c>
      <c r="F26" s="45">
        <v>2528745</v>
      </c>
      <c r="G26" s="27" t="s">
        <v>280</v>
      </c>
      <c r="H26" s="51">
        <v>771420538</v>
      </c>
      <c r="I26" s="51">
        <v>800779464</v>
      </c>
      <c r="J26" s="45">
        <v>2535155</v>
      </c>
      <c r="K26" s="27" t="s">
        <v>281</v>
      </c>
      <c r="L26" s="45">
        <v>33903111794</v>
      </c>
      <c r="M26" s="27" t="str">
        <f t="shared" si="0"/>
        <v>2026-01|FGP primera parte (60%)</v>
      </c>
      <c r="N26" s="52">
        <f t="shared" si="1"/>
        <v>1.0380582633645152</v>
      </c>
      <c r="O26" s="52">
        <f t="shared" si="2"/>
        <v>1.0380582633645152</v>
      </c>
      <c r="P26" s="30">
        <f t="shared" si="3"/>
        <v>2624984.6431917013</v>
      </c>
      <c r="Q26" s="30">
        <f t="shared" si="4"/>
        <v>2624984.6431917013</v>
      </c>
      <c r="R26" s="30">
        <f t="shared" si="5"/>
        <v>2631638.5966598676</v>
      </c>
      <c r="S26" s="53">
        <f t="shared" si="6"/>
        <v>1.901521311058207</v>
      </c>
      <c r="T26" s="54">
        <v>1.901521</v>
      </c>
      <c r="U26" s="55">
        <f t="shared" si="7"/>
        <v>3.1105820696986086E-7</v>
      </c>
      <c r="V26" s="53">
        <f t="shared" si="8"/>
        <v>1.901521311058207</v>
      </c>
      <c r="W26" s="53">
        <f t="shared" si="9"/>
        <v>1.900803088503678</v>
      </c>
      <c r="X26" s="54">
        <v>1.900803</v>
      </c>
      <c r="Y26" s="55">
        <f t="shared" si="10"/>
        <v>8.8503677941886849E-8</v>
      </c>
      <c r="Z26" s="29">
        <f t="shared" si="11"/>
        <v>-243499.79559169774</v>
      </c>
      <c r="AA26" s="23">
        <f t="shared" si="12"/>
        <v>0</v>
      </c>
    </row>
    <row r="27" spans="1:27" x14ac:dyDescent="0.2">
      <c r="A27" s="27" t="s">
        <v>279</v>
      </c>
      <c r="B27" s="27" t="s">
        <v>153</v>
      </c>
      <c r="C27" s="27" t="s">
        <v>72</v>
      </c>
      <c r="D27" s="51">
        <v>506151626</v>
      </c>
      <c r="E27" s="51">
        <v>512293497</v>
      </c>
      <c r="F27" s="45">
        <v>1905221</v>
      </c>
      <c r="G27" s="27" t="s">
        <v>280</v>
      </c>
      <c r="H27" s="51">
        <v>506151626</v>
      </c>
      <c r="I27" s="51">
        <v>512293497</v>
      </c>
      <c r="J27" s="45">
        <v>1975372</v>
      </c>
      <c r="K27" s="27" t="s">
        <v>281</v>
      </c>
      <c r="L27" s="45">
        <v>33903111794</v>
      </c>
      <c r="M27" s="27" t="str">
        <f t="shared" si="0"/>
        <v>2026-01|FGP primera parte (60%)</v>
      </c>
      <c r="N27" s="52">
        <f t="shared" si="1"/>
        <v>1.0121344488183073</v>
      </c>
      <c r="O27" s="52">
        <f t="shared" si="2"/>
        <v>1.0121344488183073</v>
      </c>
      <c r="P27" s="30">
        <f t="shared" si="3"/>
        <v>1928339.8067120642</v>
      </c>
      <c r="Q27" s="30">
        <f t="shared" si="4"/>
        <v>1928339.8067120642</v>
      </c>
      <c r="R27" s="30">
        <f t="shared" si="5"/>
        <v>1999342.0504311172</v>
      </c>
      <c r="S27" s="53">
        <f t="shared" si="6"/>
        <v>1.3968764529480986</v>
      </c>
      <c r="T27" s="54">
        <v>1.396876</v>
      </c>
      <c r="U27" s="55">
        <f t="shared" si="7"/>
        <v>4.5294809858376084E-7</v>
      </c>
      <c r="V27" s="53">
        <f t="shared" si="8"/>
        <v>1.3968764529480986</v>
      </c>
      <c r="W27" s="53">
        <f t="shared" si="9"/>
        <v>1.4441023738055205</v>
      </c>
      <c r="X27" s="54">
        <v>1.444102</v>
      </c>
      <c r="Y27" s="55">
        <f t="shared" si="10"/>
        <v>3.7380552053711824E-7</v>
      </c>
      <c r="Z27" s="29">
        <f t="shared" si="11"/>
        <v>16011056.744037723</v>
      </c>
      <c r="AA27" s="23">
        <f t="shared" si="12"/>
        <v>0</v>
      </c>
    </row>
    <row r="28" spans="1:27" x14ac:dyDescent="0.2">
      <c r="A28" s="27" t="s">
        <v>279</v>
      </c>
      <c r="B28" s="27" t="s">
        <v>153</v>
      </c>
      <c r="C28" s="27" t="s">
        <v>73</v>
      </c>
      <c r="D28" s="51">
        <v>749045737</v>
      </c>
      <c r="E28" s="51">
        <v>776825450</v>
      </c>
      <c r="F28" s="45">
        <v>2885526</v>
      </c>
      <c r="G28" s="27" t="s">
        <v>280</v>
      </c>
      <c r="H28" s="51">
        <v>749045737</v>
      </c>
      <c r="I28" s="51">
        <v>776825450</v>
      </c>
      <c r="J28" s="45">
        <v>2951151</v>
      </c>
      <c r="K28" s="27" t="s">
        <v>281</v>
      </c>
      <c r="L28" s="45">
        <v>33903111794</v>
      </c>
      <c r="M28" s="27" t="str">
        <f t="shared" si="0"/>
        <v>2026-01|FGP primera parte (60%)</v>
      </c>
      <c r="N28" s="52">
        <f t="shared" si="1"/>
        <v>1.0370868047540867</v>
      </c>
      <c r="O28" s="52">
        <f t="shared" si="2"/>
        <v>1.0370868047540867</v>
      </c>
      <c r="P28" s="30">
        <f t="shared" si="3"/>
        <v>2992540.9393748408</v>
      </c>
      <c r="Q28" s="30">
        <f t="shared" si="4"/>
        <v>2992540.9393748408</v>
      </c>
      <c r="R28" s="30">
        <f t="shared" si="5"/>
        <v>3060599.7609368274</v>
      </c>
      <c r="S28" s="53">
        <f t="shared" si="6"/>
        <v>2.1677766325964143</v>
      </c>
      <c r="T28" s="54">
        <v>2.1677770000000001</v>
      </c>
      <c r="U28" s="55">
        <f t="shared" si="7"/>
        <v>-3.6740358577702636E-7</v>
      </c>
      <c r="V28" s="53">
        <f t="shared" si="8"/>
        <v>2.1677766325964143</v>
      </c>
      <c r="W28" s="53">
        <f t="shared" si="9"/>
        <v>2.2106369338275247</v>
      </c>
      <c r="X28" s="54">
        <v>2.2106370000000002</v>
      </c>
      <c r="Y28" s="55">
        <f t="shared" si="10"/>
        <v>-6.6172475499115535E-8</v>
      </c>
      <c r="Z28" s="29">
        <f t="shared" si="11"/>
        <v>14530975.841628516</v>
      </c>
      <c r="AA28" s="23">
        <f t="shared" si="12"/>
        <v>0</v>
      </c>
    </row>
    <row r="29" spans="1:27" x14ac:dyDescent="0.2">
      <c r="A29" s="27" t="s">
        <v>279</v>
      </c>
      <c r="B29" s="27" t="s">
        <v>153</v>
      </c>
      <c r="C29" s="27" t="s">
        <v>74</v>
      </c>
      <c r="D29" s="51">
        <v>691765006</v>
      </c>
      <c r="E29" s="51">
        <v>708269470</v>
      </c>
      <c r="F29" s="45">
        <v>3144666</v>
      </c>
      <c r="G29" s="27" t="s">
        <v>280</v>
      </c>
      <c r="H29" s="51">
        <v>691765006</v>
      </c>
      <c r="I29" s="51">
        <v>708269470</v>
      </c>
      <c r="J29" s="45">
        <v>3085699</v>
      </c>
      <c r="K29" s="27" t="s">
        <v>281</v>
      </c>
      <c r="L29" s="45">
        <v>33903111794</v>
      </c>
      <c r="M29" s="27" t="str">
        <f t="shared" si="0"/>
        <v>2026-01|FGP primera parte (60%)</v>
      </c>
      <c r="N29" s="52">
        <f t="shared" si="1"/>
        <v>1.0238584835267022</v>
      </c>
      <c r="O29" s="52">
        <f t="shared" si="2"/>
        <v>1.0238584835267022</v>
      </c>
      <c r="P29" s="30">
        <f t="shared" si="3"/>
        <v>3219692.9619579804</v>
      </c>
      <c r="Q29" s="30">
        <f t="shared" si="4"/>
        <v>3219692.9619579804</v>
      </c>
      <c r="R29" s="30">
        <f t="shared" si="5"/>
        <v>3159319.0987598612</v>
      </c>
      <c r="S29" s="53">
        <f t="shared" si="6"/>
        <v>2.3323240378210897</v>
      </c>
      <c r="T29" s="54">
        <v>2.3323239999999998</v>
      </c>
      <c r="U29" s="55">
        <f t="shared" si="7"/>
        <v>3.7821089815537334E-8</v>
      </c>
      <c r="V29" s="53">
        <f t="shared" si="8"/>
        <v>2.3323240378210897</v>
      </c>
      <c r="W29" s="53">
        <f t="shared" si="9"/>
        <v>2.2819408060488948</v>
      </c>
      <c r="X29" s="54">
        <v>2.2819410000000002</v>
      </c>
      <c r="Y29" s="55">
        <f t="shared" si="10"/>
        <v>-1.9395110539832672E-7</v>
      </c>
      <c r="Z29" s="29">
        <f t="shared" si="11"/>
        <v>-17081483.393157341</v>
      </c>
      <c r="AA29" s="23">
        <f t="shared" si="12"/>
        <v>0</v>
      </c>
    </row>
    <row r="30" spans="1:27" x14ac:dyDescent="0.2">
      <c r="A30" s="27" t="s">
        <v>279</v>
      </c>
      <c r="B30" s="27" t="s">
        <v>153</v>
      </c>
      <c r="C30" s="27" t="s">
        <v>75</v>
      </c>
      <c r="D30" s="51">
        <v>1066140938</v>
      </c>
      <c r="E30" s="51">
        <v>1101556783</v>
      </c>
      <c r="F30" s="45">
        <v>3042242</v>
      </c>
      <c r="G30" s="27" t="s">
        <v>280</v>
      </c>
      <c r="H30" s="51">
        <v>1066140938</v>
      </c>
      <c r="I30" s="51">
        <v>1101556783</v>
      </c>
      <c r="J30" s="45">
        <v>3035624</v>
      </c>
      <c r="K30" s="27" t="s">
        <v>281</v>
      </c>
      <c r="L30" s="45">
        <v>33903111794</v>
      </c>
      <c r="M30" s="27" t="str">
        <f t="shared" si="0"/>
        <v>2026-01|FGP primera parte (60%)</v>
      </c>
      <c r="N30" s="52">
        <f t="shared" si="1"/>
        <v>1.0332187272223479</v>
      </c>
      <c r="O30" s="52">
        <f t="shared" si="2"/>
        <v>1.0332187272223479</v>
      </c>
      <c r="P30" s="30">
        <f t="shared" si="3"/>
        <v>3143301.40714237</v>
      </c>
      <c r="Q30" s="30">
        <f t="shared" si="4"/>
        <v>3143301.40714237</v>
      </c>
      <c r="R30" s="30">
        <f t="shared" si="5"/>
        <v>3136463.5656056125</v>
      </c>
      <c r="S30" s="53">
        <f t="shared" si="6"/>
        <v>2.2769865066688566</v>
      </c>
      <c r="T30" s="54">
        <v>2.2769870000000001</v>
      </c>
      <c r="U30" s="55">
        <f t="shared" si="7"/>
        <v>-4.9333114349181528E-7</v>
      </c>
      <c r="V30" s="53">
        <f t="shared" si="8"/>
        <v>2.2769865066688566</v>
      </c>
      <c r="W30" s="53">
        <f t="shared" si="9"/>
        <v>2.2654325103945698</v>
      </c>
      <c r="X30" s="54">
        <v>2.2654329999999998</v>
      </c>
      <c r="Y30" s="55">
        <f t="shared" si="10"/>
        <v>-4.8960542997633638E-7</v>
      </c>
      <c r="Z30" s="29">
        <f t="shared" si="11"/>
        <v>-3917164.2735460387</v>
      </c>
      <c r="AA30" s="23">
        <f t="shared" si="12"/>
        <v>0</v>
      </c>
    </row>
    <row r="31" spans="1:27" x14ac:dyDescent="0.2">
      <c r="A31" s="27" t="s">
        <v>279</v>
      </c>
      <c r="B31" s="27" t="s">
        <v>153</v>
      </c>
      <c r="C31" s="27" t="s">
        <v>76</v>
      </c>
      <c r="D31" s="51">
        <v>755926952</v>
      </c>
      <c r="E31" s="51">
        <v>696392466</v>
      </c>
      <c r="F31" s="45">
        <v>2554147</v>
      </c>
      <c r="G31" s="27" t="s">
        <v>280</v>
      </c>
      <c r="H31" s="51">
        <v>755926952</v>
      </c>
      <c r="I31" s="51">
        <v>696392466</v>
      </c>
      <c r="J31" s="45">
        <v>2578825</v>
      </c>
      <c r="K31" s="27" t="s">
        <v>281</v>
      </c>
      <c r="L31" s="45">
        <v>33903111794</v>
      </c>
      <c r="M31" s="27" t="str">
        <f t="shared" si="0"/>
        <v>2026-01|FGP primera parte (60%)</v>
      </c>
      <c r="N31" s="52">
        <f t="shared" si="1"/>
        <v>0.92124307005791217</v>
      </c>
      <c r="O31" s="52">
        <f t="shared" si="2"/>
        <v>0.92124307005791217</v>
      </c>
      <c r="P31" s="30">
        <f t="shared" si="3"/>
        <v>2352990.2236592062</v>
      </c>
      <c r="Q31" s="30">
        <f t="shared" si="4"/>
        <v>2352990.2236592062</v>
      </c>
      <c r="R31" s="30">
        <f t="shared" si="5"/>
        <v>2375724.6601420953</v>
      </c>
      <c r="S31" s="53">
        <f t="shared" si="6"/>
        <v>1.7044903735358137</v>
      </c>
      <c r="T31" s="54">
        <v>1.7044900000000001</v>
      </c>
      <c r="U31" s="55">
        <f t="shared" si="7"/>
        <v>3.7353581361365684E-7</v>
      </c>
      <c r="V31" s="53">
        <f t="shared" si="8"/>
        <v>1.7044903735358137</v>
      </c>
      <c r="W31" s="53">
        <f t="shared" si="9"/>
        <v>1.715959317956492</v>
      </c>
      <c r="X31" s="54">
        <v>1.715959</v>
      </c>
      <c r="Y31" s="55">
        <f t="shared" si="10"/>
        <v>3.1795649202415177E-7</v>
      </c>
      <c r="Z31" s="29">
        <f t="shared" si="11"/>
        <v>3888329.0485343109</v>
      </c>
      <c r="AA31" s="23">
        <f t="shared" si="12"/>
        <v>0</v>
      </c>
    </row>
    <row r="32" spans="1:27" x14ac:dyDescent="0.2">
      <c r="A32" s="27" t="s">
        <v>279</v>
      </c>
      <c r="B32" s="27" t="s">
        <v>153</v>
      </c>
      <c r="C32" s="27" t="s">
        <v>77</v>
      </c>
      <c r="D32" s="51">
        <v>944396524</v>
      </c>
      <c r="E32" s="51">
        <v>1003380332</v>
      </c>
      <c r="F32" s="45">
        <v>3569939</v>
      </c>
      <c r="G32" s="27" t="s">
        <v>280</v>
      </c>
      <c r="H32" s="51">
        <v>944396524</v>
      </c>
      <c r="I32" s="51">
        <v>1003380332</v>
      </c>
      <c r="J32" s="45">
        <v>3602540</v>
      </c>
      <c r="K32" s="27" t="s">
        <v>281</v>
      </c>
      <c r="L32" s="45">
        <v>33903111794</v>
      </c>
      <c r="M32" s="27" t="str">
        <f t="shared" si="0"/>
        <v>2026-01|FGP primera parte (60%)</v>
      </c>
      <c r="N32" s="52">
        <f t="shared" si="1"/>
        <v>1.0624566127691508</v>
      </c>
      <c r="O32" s="52">
        <f t="shared" si="2"/>
        <v>1.0624566127691508</v>
      </c>
      <c r="P32" s="30">
        <f t="shared" si="3"/>
        <v>3792905.2977324896</v>
      </c>
      <c r="Q32" s="30">
        <f t="shared" si="4"/>
        <v>3792905.2977324896</v>
      </c>
      <c r="R32" s="30">
        <f t="shared" si="5"/>
        <v>3827542.4457653766</v>
      </c>
      <c r="S32" s="53">
        <f t="shared" si="6"/>
        <v>2.7475552183400689</v>
      </c>
      <c r="T32" s="54">
        <v>2.7475550000000002</v>
      </c>
      <c r="U32" s="55">
        <f t="shared" si="7"/>
        <v>2.1834006869170253E-7</v>
      </c>
      <c r="V32" s="53">
        <f t="shared" si="8"/>
        <v>2.7475552183400689</v>
      </c>
      <c r="W32" s="53">
        <f t="shared" si="9"/>
        <v>2.7645910466292176</v>
      </c>
      <c r="X32" s="54">
        <v>2.7645909999999998</v>
      </c>
      <c r="Y32" s="55">
        <f t="shared" si="10"/>
        <v>4.6629217820282065E-8</v>
      </c>
      <c r="Z32" s="29">
        <f t="shared" si="11"/>
        <v>5775675.9099039733</v>
      </c>
      <c r="AA32" s="23">
        <f t="shared" si="12"/>
        <v>0</v>
      </c>
    </row>
    <row r="33" spans="1:27" x14ac:dyDescent="0.2">
      <c r="A33" s="27" t="s">
        <v>279</v>
      </c>
      <c r="B33" s="27" t="s">
        <v>153</v>
      </c>
      <c r="C33" s="27" t="s">
        <v>78</v>
      </c>
      <c r="D33" s="51">
        <v>190382859</v>
      </c>
      <c r="E33" s="51">
        <v>199483012</v>
      </c>
      <c r="F33" s="45">
        <v>1476723</v>
      </c>
      <c r="G33" s="27" t="s">
        <v>280</v>
      </c>
      <c r="H33" s="51">
        <v>190382859</v>
      </c>
      <c r="I33" s="51">
        <v>199483012</v>
      </c>
      <c r="J33" s="45">
        <v>1426175</v>
      </c>
      <c r="K33" s="27" t="s">
        <v>281</v>
      </c>
      <c r="L33" s="45">
        <v>33903111794</v>
      </c>
      <c r="M33" s="27" t="str">
        <f t="shared" si="0"/>
        <v>2026-01|FGP primera parte (60%)</v>
      </c>
      <c r="N33" s="52">
        <f t="shared" si="1"/>
        <v>1.0477992244039154</v>
      </c>
      <c r="O33" s="52">
        <f t="shared" si="2"/>
        <v>1.0477992244039154</v>
      </c>
      <c r="P33" s="30">
        <f t="shared" si="3"/>
        <v>1547309.2140594232</v>
      </c>
      <c r="Q33" s="30">
        <f t="shared" si="4"/>
        <v>1547309.2140594232</v>
      </c>
      <c r="R33" s="30">
        <f t="shared" si="5"/>
        <v>1494345.058864254</v>
      </c>
      <c r="S33" s="53">
        <f t="shared" si="6"/>
        <v>1.1208604412074834</v>
      </c>
      <c r="T33" s="54">
        <v>1.12086</v>
      </c>
      <c r="U33" s="55">
        <f t="shared" si="7"/>
        <v>4.4120748343701166E-7</v>
      </c>
      <c r="V33" s="53">
        <f t="shared" si="8"/>
        <v>1.1208604412074834</v>
      </c>
      <c r="W33" s="53">
        <f t="shared" si="9"/>
        <v>1.0793487019017551</v>
      </c>
      <c r="X33" s="54">
        <v>1.0793489999999999</v>
      </c>
      <c r="Y33" s="55">
        <f t="shared" si="10"/>
        <v>-2.9809824475535152E-7</v>
      </c>
      <c r="Z33" s="29">
        <f t="shared" si="11"/>
        <v>-14073771.384454895</v>
      </c>
      <c r="AA33" s="23">
        <f t="shared" si="12"/>
        <v>0</v>
      </c>
    </row>
    <row r="34" spans="1:27" x14ac:dyDescent="0.2">
      <c r="A34" s="27" t="s">
        <v>279</v>
      </c>
      <c r="B34" s="27" t="s">
        <v>153</v>
      </c>
      <c r="C34" s="27" t="s">
        <v>79</v>
      </c>
      <c r="D34" s="51">
        <v>1354310854</v>
      </c>
      <c r="E34" s="51">
        <v>1439874641</v>
      </c>
      <c r="F34" s="45">
        <v>8113343</v>
      </c>
      <c r="G34" s="27" t="s">
        <v>280</v>
      </c>
      <c r="H34" s="51">
        <v>1354310854</v>
      </c>
      <c r="I34" s="51">
        <v>1439874641</v>
      </c>
      <c r="J34" s="45">
        <v>8066173</v>
      </c>
      <c r="K34" s="27" t="s">
        <v>281</v>
      </c>
      <c r="L34" s="45">
        <v>33903111794</v>
      </c>
      <c r="M34" s="27" t="str">
        <f t="shared" si="0"/>
        <v>2026-01|FGP primera parte (60%)</v>
      </c>
      <c r="N34" s="52">
        <f t="shared" si="1"/>
        <v>1.0631788387040424</v>
      </c>
      <c r="O34" s="52">
        <f t="shared" si="2"/>
        <v>1.0631788387040424</v>
      </c>
      <c r="P34" s="30">
        <f t="shared" si="3"/>
        <v>8625934.5887475722</v>
      </c>
      <c r="Q34" s="30">
        <f t="shared" si="4"/>
        <v>8625934.5887475722</v>
      </c>
      <c r="R34" s="30">
        <f t="shared" si="5"/>
        <v>8575784.4429259021</v>
      </c>
      <c r="S34" s="53">
        <f t="shared" si="6"/>
        <v>6.2485692976679861</v>
      </c>
      <c r="T34" s="54">
        <v>6.2485689999999998</v>
      </c>
      <c r="U34" s="55">
        <f t="shared" si="7"/>
        <v>2.9766798625985302E-7</v>
      </c>
      <c r="V34" s="53">
        <f t="shared" si="8"/>
        <v>6.2485692976679861</v>
      </c>
      <c r="W34" s="53">
        <f t="shared" si="9"/>
        <v>6.194193068966527</v>
      </c>
      <c r="X34" s="54">
        <v>6.1941930000000003</v>
      </c>
      <c r="Y34" s="55">
        <f t="shared" si="10"/>
        <v>6.8966526711733422E-8</v>
      </c>
      <c r="Z34" s="29">
        <f t="shared" si="11"/>
        <v>-18435233.606016789</v>
      </c>
      <c r="AA34" s="23">
        <f t="shared" si="12"/>
        <v>0</v>
      </c>
    </row>
    <row r="35" spans="1:27" x14ac:dyDescent="0.2">
      <c r="A35" s="27" t="s">
        <v>279</v>
      </c>
      <c r="B35" s="27" t="s">
        <v>153</v>
      </c>
      <c r="C35" s="27" t="s">
        <v>80</v>
      </c>
      <c r="D35" s="51">
        <v>506034200</v>
      </c>
      <c r="E35" s="51">
        <v>546558258</v>
      </c>
      <c r="F35" s="45">
        <v>2402017</v>
      </c>
      <c r="G35" s="27" t="s">
        <v>280</v>
      </c>
      <c r="H35" s="51">
        <v>506034200</v>
      </c>
      <c r="I35" s="51">
        <v>546558258</v>
      </c>
      <c r="J35" s="45">
        <v>2456821</v>
      </c>
      <c r="K35" s="27" t="s">
        <v>281</v>
      </c>
      <c r="L35" s="45">
        <v>33903111794</v>
      </c>
      <c r="M35" s="27" t="str">
        <f t="shared" si="0"/>
        <v>2026-01|FGP primera parte (60%)</v>
      </c>
      <c r="N35" s="52">
        <f t="shared" si="1"/>
        <v>1.0800816585124089</v>
      </c>
      <c r="O35" s="52">
        <f t="shared" si="2"/>
        <v>1.0800816585124089</v>
      </c>
      <c r="P35" s="30">
        <f t="shared" si="3"/>
        <v>2594374.5051350007</v>
      </c>
      <c r="Q35" s="30">
        <f t="shared" si="4"/>
        <v>2594374.5051350007</v>
      </c>
      <c r="R35" s="30">
        <f t="shared" si="5"/>
        <v>2653567.3003481152</v>
      </c>
      <c r="S35" s="53">
        <f t="shared" si="6"/>
        <v>1.8793475318705017</v>
      </c>
      <c r="T35" s="54">
        <v>1.879348</v>
      </c>
      <c r="U35" s="55">
        <f t="shared" si="7"/>
        <v>-4.6812949827668149E-7</v>
      </c>
      <c r="V35" s="53">
        <f t="shared" si="8"/>
        <v>1.8793475318705017</v>
      </c>
      <c r="W35" s="53">
        <f t="shared" si="9"/>
        <v>1.9166419456136194</v>
      </c>
      <c r="X35" s="54">
        <v>1.916642</v>
      </c>
      <c r="Y35" s="55">
        <f t="shared" si="10"/>
        <v>-5.4386380510251797E-8</v>
      </c>
      <c r="Z35" s="29">
        <f t="shared" si="11"/>
        <v>12643966.784246096</v>
      </c>
      <c r="AA35" s="23">
        <f t="shared" si="12"/>
        <v>0</v>
      </c>
    </row>
    <row r="36" spans="1:27" x14ac:dyDescent="0.2">
      <c r="A36" s="27" t="s">
        <v>279</v>
      </c>
      <c r="B36" s="27" t="s">
        <v>153</v>
      </c>
      <c r="C36" s="27" t="s">
        <v>81</v>
      </c>
      <c r="D36" s="51">
        <v>305155572</v>
      </c>
      <c r="E36" s="51">
        <v>346668814</v>
      </c>
      <c r="F36" s="45">
        <v>1695685</v>
      </c>
      <c r="G36" s="27" t="s">
        <v>280</v>
      </c>
      <c r="H36" s="51">
        <v>305155572</v>
      </c>
      <c r="I36" s="51">
        <v>346668814</v>
      </c>
      <c r="J36" s="45">
        <v>1689186</v>
      </c>
      <c r="K36" s="27" t="s">
        <v>281</v>
      </c>
      <c r="L36" s="45">
        <v>33903111794</v>
      </c>
      <c r="M36" s="27" t="str">
        <f t="shared" si="0"/>
        <v>2026-01|FGP primera parte (60%)</v>
      </c>
      <c r="N36" s="52">
        <f t="shared" si="1"/>
        <v>1.1360396001551629</v>
      </c>
      <c r="O36" s="52">
        <f t="shared" si="2"/>
        <v>1.1360396001551629</v>
      </c>
      <c r="P36" s="30">
        <f t="shared" si="3"/>
        <v>1926365.3093891074</v>
      </c>
      <c r="Q36" s="30">
        <f t="shared" si="4"/>
        <v>1926365.3093891074</v>
      </c>
      <c r="R36" s="30">
        <f t="shared" si="5"/>
        <v>1918982.188027699</v>
      </c>
      <c r="S36" s="53">
        <f t="shared" si="6"/>
        <v>1.3954461402992351</v>
      </c>
      <c r="T36" s="54">
        <v>1.395446</v>
      </c>
      <c r="U36" s="55">
        <f t="shared" si="7"/>
        <v>1.4029923511849063E-7</v>
      </c>
      <c r="V36" s="53">
        <f t="shared" si="8"/>
        <v>1.3954461402992351</v>
      </c>
      <c r="W36" s="53">
        <f t="shared" si="9"/>
        <v>1.3860593450849283</v>
      </c>
      <c r="X36" s="54">
        <v>1.3860589999999999</v>
      </c>
      <c r="Y36" s="55">
        <f t="shared" si="10"/>
        <v>3.4508492841034411E-7</v>
      </c>
      <c r="Z36" s="29">
        <f t="shared" si="11"/>
        <v>-3182415.6753802565</v>
      </c>
      <c r="AA36" s="23">
        <f t="shared" si="12"/>
        <v>0</v>
      </c>
    </row>
    <row r="37" spans="1:27" x14ac:dyDescent="0.2">
      <c r="A37" s="27" t="s">
        <v>279</v>
      </c>
      <c r="B37" s="27" t="s">
        <v>155</v>
      </c>
      <c r="C37" s="27" t="s">
        <v>50</v>
      </c>
      <c r="D37" s="51">
        <v>1503564</v>
      </c>
      <c r="E37" s="51">
        <v>1675240</v>
      </c>
      <c r="F37" s="45">
        <v>1503564</v>
      </c>
      <c r="G37" s="27" t="s">
        <v>280</v>
      </c>
      <c r="H37" s="51">
        <v>1531396</v>
      </c>
      <c r="I37" s="51">
        <v>1737186</v>
      </c>
      <c r="J37" s="45">
        <v>1531396</v>
      </c>
      <c r="K37" s="27" t="s">
        <v>281</v>
      </c>
      <c r="L37" s="45">
        <v>16951555897</v>
      </c>
      <c r="M37" s="27" t="str">
        <f t="shared" si="0"/>
        <v>2026-01|FGP segunda parte (30%)</v>
      </c>
      <c r="N37" s="52">
        <f t="shared" si="1"/>
        <v>1.1141793764681782</v>
      </c>
      <c r="O37" s="52">
        <f t="shared" si="2"/>
        <v>1.1343806566035173</v>
      </c>
      <c r="P37" s="30">
        <f t="shared" si="3"/>
        <v>1675240</v>
      </c>
      <c r="Q37" s="30">
        <f t="shared" si="4"/>
        <v>1705613.917565411</v>
      </c>
      <c r="R37" s="30">
        <f t="shared" si="5"/>
        <v>1737186</v>
      </c>
      <c r="S37" s="53">
        <f t="shared" si="6"/>
        <v>1.1288358470298725</v>
      </c>
      <c r="T37" s="54">
        <v>1.128836</v>
      </c>
      <c r="U37" s="55">
        <f t="shared" si="7"/>
        <v>-1.529701274538553E-7</v>
      </c>
      <c r="V37" s="53">
        <f t="shared" si="8"/>
        <v>1.1676459465154982</v>
      </c>
      <c r="W37" s="53">
        <f t="shared" si="9"/>
        <v>1.1856770801695342</v>
      </c>
      <c r="X37" s="54">
        <v>1.1856770000000001</v>
      </c>
      <c r="Y37" s="55">
        <f t="shared" si="10"/>
        <v>8.0169534122376263E-8</v>
      </c>
      <c r="Z37" s="29">
        <f t="shared" si="11"/>
        <v>3056557.700226686</v>
      </c>
      <c r="AA37" s="23">
        <f t="shared" si="12"/>
        <v>6578915.7079871586</v>
      </c>
    </row>
    <row r="38" spans="1:27" x14ac:dyDescent="0.2">
      <c r="A38" s="27" t="s">
        <v>279</v>
      </c>
      <c r="B38" s="27" t="s">
        <v>155</v>
      </c>
      <c r="C38" s="27" t="s">
        <v>51</v>
      </c>
      <c r="D38" s="51">
        <v>3778283</v>
      </c>
      <c r="E38" s="51">
        <v>4536793</v>
      </c>
      <c r="F38" s="45">
        <v>3778283</v>
      </c>
      <c r="G38" s="27" t="s">
        <v>280</v>
      </c>
      <c r="H38" s="51">
        <v>3830329</v>
      </c>
      <c r="I38" s="51">
        <v>4447138</v>
      </c>
      <c r="J38" s="45">
        <v>3830329</v>
      </c>
      <c r="K38" s="27" t="s">
        <v>281</v>
      </c>
      <c r="L38" s="45">
        <v>16951555897</v>
      </c>
      <c r="M38" s="27" t="str">
        <f t="shared" si="0"/>
        <v>2026-01|FGP segunda parte (30%)</v>
      </c>
      <c r="N38" s="52">
        <f t="shared" si="1"/>
        <v>1.2007552107663719</v>
      </c>
      <c r="O38" s="52">
        <f t="shared" si="2"/>
        <v>1.1610329034398872</v>
      </c>
      <c r="P38" s="30">
        <f t="shared" si="3"/>
        <v>4536793</v>
      </c>
      <c r="Q38" s="30">
        <f t="shared" si="4"/>
        <v>4386710.8815075671</v>
      </c>
      <c r="R38" s="30">
        <f t="shared" si="5"/>
        <v>4447138</v>
      </c>
      <c r="S38" s="53">
        <f t="shared" si="6"/>
        <v>3.057051269641482</v>
      </c>
      <c r="T38" s="54">
        <v>3.057051</v>
      </c>
      <c r="U38" s="55">
        <f t="shared" si="7"/>
        <v>2.6964148203134641E-7</v>
      </c>
      <c r="V38" s="53">
        <f t="shared" si="8"/>
        <v>3.0030976685738162</v>
      </c>
      <c r="W38" s="53">
        <f t="shared" si="9"/>
        <v>3.0352936294392094</v>
      </c>
      <c r="X38" s="54">
        <v>3.0352929999999998</v>
      </c>
      <c r="Y38" s="55">
        <f t="shared" si="10"/>
        <v>6.2943920964286804E-7</v>
      </c>
      <c r="Z38" s="29">
        <f t="shared" si="11"/>
        <v>5457716.3026733771</v>
      </c>
      <c r="AA38" s="23">
        <f t="shared" si="12"/>
        <v>-9145974.8434297536</v>
      </c>
    </row>
    <row r="39" spans="1:27" x14ac:dyDescent="0.2">
      <c r="A39" s="27" t="s">
        <v>279</v>
      </c>
      <c r="B39" s="27" t="s">
        <v>155</v>
      </c>
      <c r="C39" s="27" t="s">
        <v>52</v>
      </c>
      <c r="D39" s="51">
        <v>881164</v>
      </c>
      <c r="E39" s="51">
        <v>1022177</v>
      </c>
      <c r="F39" s="45">
        <v>881164</v>
      </c>
      <c r="G39" s="27" t="s">
        <v>280</v>
      </c>
      <c r="H39" s="51">
        <v>928591</v>
      </c>
      <c r="I39" s="51">
        <v>1017323</v>
      </c>
      <c r="J39" s="45">
        <v>928591</v>
      </c>
      <c r="K39" s="27" t="s">
        <v>281</v>
      </c>
      <c r="L39" s="45">
        <v>16951555897</v>
      </c>
      <c r="M39" s="27" t="str">
        <f t="shared" si="0"/>
        <v>2026-01|FGP segunda parte (30%)</v>
      </c>
      <c r="N39" s="52">
        <f t="shared" si="1"/>
        <v>1.1600303689211089</v>
      </c>
      <c r="O39" s="52">
        <f t="shared" si="2"/>
        <v>1.0955555244451001</v>
      </c>
      <c r="P39" s="30">
        <f t="shared" si="3"/>
        <v>1022177</v>
      </c>
      <c r="Q39" s="30">
        <f t="shared" si="4"/>
        <v>965364.08814214217</v>
      </c>
      <c r="R39" s="30">
        <f t="shared" si="5"/>
        <v>1017322.9999999999</v>
      </c>
      <c r="S39" s="53">
        <f t="shared" si="6"/>
        <v>0.68877894487324431</v>
      </c>
      <c r="T39" s="54">
        <v>0.68877900000000003</v>
      </c>
      <c r="U39" s="55">
        <f t="shared" si="7"/>
        <v>-5.5126755715839693E-8</v>
      </c>
      <c r="V39" s="53">
        <f t="shared" si="8"/>
        <v>0.66087843961766557</v>
      </c>
      <c r="W39" s="53">
        <f t="shared" si="9"/>
        <v>0.69435084339230857</v>
      </c>
      <c r="X39" s="54">
        <v>0.69435100000000005</v>
      </c>
      <c r="Y39" s="55">
        <f t="shared" si="10"/>
        <v>-1.5660769148162501E-7</v>
      </c>
      <c r="Z39" s="29">
        <f t="shared" si="11"/>
        <v>5674093.2359281462</v>
      </c>
      <c r="AA39" s="23">
        <f t="shared" si="12"/>
        <v>-4729569.7439448535</v>
      </c>
    </row>
    <row r="40" spans="1:27" x14ac:dyDescent="0.2">
      <c r="A40" s="27" t="s">
        <v>279</v>
      </c>
      <c r="B40" s="27" t="s">
        <v>155</v>
      </c>
      <c r="C40" s="27" t="s">
        <v>53</v>
      </c>
      <c r="D40" s="51">
        <v>925978</v>
      </c>
      <c r="E40" s="51">
        <v>1054048</v>
      </c>
      <c r="F40" s="45">
        <v>925978</v>
      </c>
      <c r="G40" s="27" t="s">
        <v>280</v>
      </c>
      <c r="H40" s="51">
        <v>935371</v>
      </c>
      <c r="I40" s="51">
        <v>971973</v>
      </c>
      <c r="J40" s="45">
        <v>935371</v>
      </c>
      <c r="K40" s="27" t="s">
        <v>281</v>
      </c>
      <c r="L40" s="45">
        <v>16951555897</v>
      </c>
      <c r="M40" s="27" t="str">
        <f t="shared" si="0"/>
        <v>2026-01|FGP segunda parte (30%)</v>
      </c>
      <c r="N40" s="52">
        <f t="shared" si="1"/>
        <v>1.1383078215681151</v>
      </c>
      <c r="O40" s="52">
        <f t="shared" si="2"/>
        <v>1.0391309972192853</v>
      </c>
      <c r="P40" s="30">
        <f t="shared" si="3"/>
        <v>1054048</v>
      </c>
      <c r="Q40" s="30">
        <f t="shared" si="4"/>
        <v>962212.44254311931</v>
      </c>
      <c r="R40" s="30">
        <f t="shared" si="5"/>
        <v>971973.00000000012</v>
      </c>
      <c r="S40" s="53">
        <f t="shared" si="6"/>
        <v>0.71025474970162072</v>
      </c>
      <c r="T40" s="54">
        <v>0.71025499999999997</v>
      </c>
      <c r="U40" s="55">
        <f t="shared" si="7"/>
        <v>-2.5029837924517295E-7</v>
      </c>
      <c r="V40" s="53">
        <f t="shared" si="8"/>
        <v>0.65872085508422951</v>
      </c>
      <c r="W40" s="53">
        <f t="shared" si="9"/>
        <v>0.6633982248553828</v>
      </c>
      <c r="X40" s="54">
        <v>0.66339800000000004</v>
      </c>
      <c r="Y40" s="55">
        <f t="shared" si="10"/>
        <v>2.248553827577382E-7</v>
      </c>
      <c r="Z40" s="29">
        <f t="shared" si="11"/>
        <v>792886.95126643172</v>
      </c>
      <c r="AA40" s="23">
        <f t="shared" si="12"/>
        <v>-8735796.9519681465</v>
      </c>
    </row>
    <row r="41" spans="1:27" x14ac:dyDescent="0.2">
      <c r="A41" s="27" t="s">
        <v>279</v>
      </c>
      <c r="B41" s="27" t="s">
        <v>155</v>
      </c>
      <c r="C41" s="27" t="s">
        <v>54</v>
      </c>
      <c r="D41" s="51">
        <v>3452989</v>
      </c>
      <c r="E41" s="51">
        <v>3994439</v>
      </c>
      <c r="F41" s="45">
        <v>3452989</v>
      </c>
      <c r="G41" s="27" t="s">
        <v>280</v>
      </c>
      <c r="H41" s="51">
        <v>3590747</v>
      </c>
      <c r="I41" s="51">
        <v>4181500</v>
      </c>
      <c r="J41" s="45">
        <v>3590747</v>
      </c>
      <c r="K41" s="27" t="s">
        <v>281</v>
      </c>
      <c r="L41" s="45">
        <v>16951555897</v>
      </c>
      <c r="M41" s="27" t="str">
        <f t="shared" si="0"/>
        <v>2026-01|FGP segunda parte (30%)</v>
      </c>
      <c r="N41" s="52">
        <f t="shared" si="1"/>
        <v>1.1568061757509218</v>
      </c>
      <c r="O41" s="52">
        <f t="shared" si="2"/>
        <v>1.1645209200202631</v>
      </c>
      <c r="P41" s="30">
        <f t="shared" si="3"/>
        <v>3994439</v>
      </c>
      <c r="Q41" s="30">
        <f t="shared" si="4"/>
        <v>4021077.9270998482</v>
      </c>
      <c r="R41" s="30">
        <f t="shared" si="5"/>
        <v>4181499.9999999995</v>
      </c>
      <c r="S41" s="53">
        <f t="shared" si="6"/>
        <v>2.6915939996502929</v>
      </c>
      <c r="T41" s="54">
        <v>2.6915939999999998</v>
      </c>
      <c r="U41" s="55">
        <f t="shared" si="7"/>
        <v>-3.4970693008062881E-10</v>
      </c>
      <c r="V41" s="53">
        <f t="shared" si="8"/>
        <v>2.7527890654779541</v>
      </c>
      <c r="W41" s="53">
        <f t="shared" si="9"/>
        <v>2.8539884104113824</v>
      </c>
      <c r="X41" s="54">
        <v>2.8539889999999999</v>
      </c>
      <c r="Y41" s="55">
        <f t="shared" si="10"/>
        <v>-5.8958861748337199E-7</v>
      </c>
      <c r="Z41" s="29">
        <f t="shared" si="11"/>
        <v>17154863.523787934</v>
      </c>
      <c r="AA41" s="23">
        <f t="shared" si="12"/>
        <v>10373515.789981937</v>
      </c>
    </row>
    <row r="42" spans="1:27" x14ac:dyDescent="0.2">
      <c r="A42" s="27" t="s">
        <v>279</v>
      </c>
      <c r="B42" s="27" t="s">
        <v>155</v>
      </c>
      <c r="C42" s="27" t="s">
        <v>55</v>
      </c>
      <c r="D42" s="51">
        <v>728776</v>
      </c>
      <c r="E42" s="51">
        <v>796349</v>
      </c>
      <c r="F42" s="45">
        <v>728776</v>
      </c>
      <c r="G42" s="27" t="s">
        <v>280</v>
      </c>
      <c r="H42" s="51">
        <v>762355</v>
      </c>
      <c r="I42" s="51">
        <v>837762</v>
      </c>
      <c r="J42" s="45">
        <v>762355</v>
      </c>
      <c r="K42" s="27" t="s">
        <v>281</v>
      </c>
      <c r="L42" s="45">
        <v>16951555897</v>
      </c>
      <c r="M42" s="27" t="str">
        <f t="shared" si="0"/>
        <v>2026-01|FGP segunda parte (30%)</v>
      </c>
      <c r="N42" s="52">
        <f t="shared" si="1"/>
        <v>1.0927212202377685</v>
      </c>
      <c r="O42" s="52">
        <f t="shared" si="2"/>
        <v>1.0989132359596252</v>
      </c>
      <c r="P42" s="30">
        <f t="shared" si="3"/>
        <v>796349</v>
      </c>
      <c r="Q42" s="30">
        <f t="shared" si="4"/>
        <v>800861.59244971187</v>
      </c>
      <c r="R42" s="30">
        <f t="shared" si="5"/>
        <v>837762.00000000012</v>
      </c>
      <c r="S42" s="53">
        <f t="shared" si="6"/>
        <v>0.53660806687184637</v>
      </c>
      <c r="T42" s="54">
        <v>0.53660799999999997</v>
      </c>
      <c r="U42" s="55">
        <f t="shared" si="7"/>
        <v>6.687184639364574E-8</v>
      </c>
      <c r="V42" s="53">
        <f t="shared" si="8"/>
        <v>0.54826170360912918</v>
      </c>
      <c r="W42" s="53">
        <f t="shared" si="9"/>
        <v>0.57179553717160381</v>
      </c>
      <c r="X42" s="54">
        <v>0.57179599999999997</v>
      </c>
      <c r="Y42" s="55">
        <f t="shared" si="10"/>
        <v>-4.6282839616385019E-7</v>
      </c>
      <c r="Z42" s="29">
        <f t="shared" si="11"/>
        <v>3989350.9510498326</v>
      </c>
      <c r="AA42" s="23">
        <f t="shared" si="12"/>
        <v>1975472.7455538232</v>
      </c>
    </row>
    <row r="43" spans="1:27" x14ac:dyDescent="0.2">
      <c r="A43" s="27" t="s">
        <v>279</v>
      </c>
      <c r="B43" s="27" t="s">
        <v>155</v>
      </c>
      <c r="C43" s="27" t="s">
        <v>56</v>
      </c>
      <c r="D43" s="51">
        <v>5975155</v>
      </c>
      <c r="E43" s="51">
        <v>6606827</v>
      </c>
      <c r="F43" s="45">
        <v>5975155</v>
      </c>
      <c r="G43" s="27" t="s">
        <v>280</v>
      </c>
      <c r="H43" s="51">
        <v>5891372</v>
      </c>
      <c r="I43" s="51">
        <v>7259797</v>
      </c>
      <c r="J43" s="45">
        <v>5891372</v>
      </c>
      <c r="K43" s="27" t="s">
        <v>281</v>
      </c>
      <c r="L43" s="45">
        <v>16951555897</v>
      </c>
      <c r="M43" s="27" t="str">
        <f t="shared" si="0"/>
        <v>2026-01|FGP segunda parte (30%)</v>
      </c>
      <c r="N43" s="52">
        <f t="shared" si="1"/>
        <v>1.1057164207455705</v>
      </c>
      <c r="O43" s="52">
        <f t="shared" si="2"/>
        <v>1.2322761149694841</v>
      </c>
      <c r="P43" s="30">
        <f t="shared" si="3"/>
        <v>6606826.9999999991</v>
      </c>
      <c r="Q43" s="30">
        <f t="shared" si="4"/>
        <v>7363040.7897404879</v>
      </c>
      <c r="R43" s="30">
        <f t="shared" si="5"/>
        <v>7259796.9999999991</v>
      </c>
      <c r="S43" s="53">
        <f t="shared" si="6"/>
        <v>4.4519132498775278</v>
      </c>
      <c r="T43" s="54">
        <v>4.4519130000000002</v>
      </c>
      <c r="U43" s="55">
        <f t="shared" si="7"/>
        <v>2.4987752755833981E-7</v>
      </c>
      <c r="V43" s="53">
        <f t="shared" si="8"/>
        <v>5.0406628625783583</v>
      </c>
      <c r="W43" s="53">
        <f t="shared" si="9"/>
        <v>4.9550105225252477</v>
      </c>
      <c r="X43" s="54">
        <v>4.9550109999999998</v>
      </c>
      <c r="Y43" s="55">
        <f t="shared" si="10"/>
        <v>-4.7747475218073987E-7</v>
      </c>
      <c r="Z43" s="29">
        <f t="shared" si="11"/>
        <v>-14519404.301191567</v>
      </c>
      <c r="AA43" s="23">
        <f t="shared" si="12"/>
        <v>99802219.690352291</v>
      </c>
    </row>
    <row r="44" spans="1:27" x14ac:dyDescent="0.2">
      <c r="A44" s="27" t="s">
        <v>279</v>
      </c>
      <c r="B44" s="27" t="s">
        <v>155</v>
      </c>
      <c r="C44" s="27" t="s">
        <v>57</v>
      </c>
      <c r="D44" s="51">
        <v>3976037</v>
      </c>
      <c r="E44" s="51">
        <v>4720611</v>
      </c>
      <c r="F44" s="45">
        <v>3976037</v>
      </c>
      <c r="G44" s="27" t="s">
        <v>280</v>
      </c>
      <c r="H44" s="51">
        <v>4015493</v>
      </c>
      <c r="I44" s="51">
        <v>4358240</v>
      </c>
      <c r="J44" s="45">
        <v>4015493</v>
      </c>
      <c r="K44" s="27" t="s">
        <v>281</v>
      </c>
      <c r="L44" s="45">
        <v>16951555897</v>
      </c>
      <c r="M44" s="27" t="str">
        <f t="shared" si="0"/>
        <v>2026-01|FGP segunda parte (30%)</v>
      </c>
      <c r="N44" s="52">
        <f t="shared" si="1"/>
        <v>1.1872653599551513</v>
      </c>
      <c r="O44" s="52">
        <f t="shared" si="2"/>
        <v>1.0853561443140356</v>
      </c>
      <c r="P44" s="30">
        <f t="shared" si="3"/>
        <v>4720611</v>
      </c>
      <c r="Q44" s="30">
        <f t="shared" si="4"/>
        <v>4315416.1879699454</v>
      </c>
      <c r="R44" s="30">
        <f t="shared" si="5"/>
        <v>4358240</v>
      </c>
      <c r="S44" s="53">
        <f t="shared" si="6"/>
        <v>3.1809143267135056</v>
      </c>
      <c r="T44" s="54">
        <v>3.180914</v>
      </c>
      <c r="U44" s="55">
        <f t="shared" si="7"/>
        <v>3.2671350558288736E-7</v>
      </c>
      <c r="V44" s="53">
        <f t="shared" si="8"/>
        <v>2.9542900462508843</v>
      </c>
      <c r="W44" s="53">
        <f t="shared" si="9"/>
        <v>2.9746183067777836</v>
      </c>
      <c r="X44" s="54">
        <v>2.974618</v>
      </c>
      <c r="Y44" s="55">
        <f t="shared" si="10"/>
        <v>3.0677778362075969E-7</v>
      </c>
      <c r="Z44" s="29">
        <f t="shared" si="11"/>
        <v>3445956.4461051198</v>
      </c>
      <c r="AA44" s="23">
        <f t="shared" si="12"/>
        <v>-38416341.578795299</v>
      </c>
    </row>
    <row r="45" spans="1:27" x14ac:dyDescent="0.2">
      <c r="A45" s="27" t="s">
        <v>279</v>
      </c>
      <c r="B45" s="27" t="s">
        <v>155</v>
      </c>
      <c r="C45" s="27" t="s">
        <v>58</v>
      </c>
      <c r="D45" s="51">
        <v>9350964</v>
      </c>
      <c r="E45" s="51">
        <v>10362978</v>
      </c>
      <c r="F45" s="45">
        <v>9350964</v>
      </c>
      <c r="G45" s="27" t="s">
        <v>280</v>
      </c>
      <c r="H45" s="51">
        <v>9336468</v>
      </c>
      <c r="I45" s="51">
        <v>10671518</v>
      </c>
      <c r="J45" s="45">
        <v>9336468</v>
      </c>
      <c r="K45" s="27" t="s">
        <v>281</v>
      </c>
      <c r="L45" s="45">
        <v>16951555897</v>
      </c>
      <c r="M45" s="27" t="str">
        <f t="shared" si="0"/>
        <v>2026-01|FGP segunda parte (30%)</v>
      </c>
      <c r="N45" s="52">
        <f t="shared" si="1"/>
        <v>1.1082256332074425</v>
      </c>
      <c r="O45" s="52">
        <f t="shared" si="2"/>
        <v>1.1429930461926288</v>
      </c>
      <c r="P45" s="30">
        <f t="shared" si="3"/>
        <v>10362978</v>
      </c>
      <c r="Q45" s="30">
        <f t="shared" si="4"/>
        <v>10688086.827197609</v>
      </c>
      <c r="R45" s="30">
        <f t="shared" si="5"/>
        <v>10671518</v>
      </c>
      <c r="S45" s="53">
        <f t="shared" si="6"/>
        <v>6.9829403836954311</v>
      </c>
      <c r="T45" s="54">
        <v>6.9829400000000001</v>
      </c>
      <c r="U45" s="55">
        <f t="shared" si="7"/>
        <v>3.8369543098326631E-7</v>
      </c>
      <c r="V45" s="53">
        <f t="shared" si="8"/>
        <v>7.3169555731561804</v>
      </c>
      <c r="W45" s="53">
        <f t="shared" si="9"/>
        <v>7.2836036574187384</v>
      </c>
      <c r="X45" s="54">
        <v>7.2836040000000004</v>
      </c>
      <c r="Y45" s="55">
        <f t="shared" si="10"/>
        <v>-3.4258126202502126E-7</v>
      </c>
      <c r="Z45" s="29">
        <f t="shared" si="11"/>
        <v>-5653668.6389528215</v>
      </c>
      <c r="AA45" s="23">
        <f t="shared" si="12"/>
        <v>56620771.545909368</v>
      </c>
    </row>
    <row r="46" spans="1:27" x14ac:dyDescent="0.2">
      <c r="A46" s="27" t="s">
        <v>279</v>
      </c>
      <c r="B46" s="27" t="s">
        <v>155</v>
      </c>
      <c r="C46" s="27" t="s">
        <v>59</v>
      </c>
      <c r="D46" s="51">
        <v>1944614</v>
      </c>
      <c r="E46" s="51">
        <v>2294966</v>
      </c>
      <c r="F46" s="45">
        <v>1944614</v>
      </c>
      <c r="G46" s="27" t="s">
        <v>280</v>
      </c>
      <c r="H46" s="51">
        <v>1968132</v>
      </c>
      <c r="I46" s="51">
        <v>2306397</v>
      </c>
      <c r="J46" s="45">
        <v>1968132</v>
      </c>
      <c r="K46" s="27" t="s">
        <v>281</v>
      </c>
      <c r="L46" s="45">
        <v>16951555897</v>
      </c>
      <c r="M46" s="27" t="str">
        <f t="shared" si="0"/>
        <v>2026-01|FGP segunda parte (30%)</v>
      </c>
      <c r="N46" s="52">
        <f t="shared" si="1"/>
        <v>1.1801653181556855</v>
      </c>
      <c r="O46" s="52">
        <f t="shared" si="2"/>
        <v>1.171871094011987</v>
      </c>
      <c r="P46" s="30">
        <f t="shared" si="3"/>
        <v>2294966</v>
      </c>
      <c r="Q46" s="30">
        <f t="shared" si="4"/>
        <v>2278836.9356110259</v>
      </c>
      <c r="R46" s="30">
        <f t="shared" si="5"/>
        <v>2306397</v>
      </c>
      <c r="S46" s="53">
        <f t="shared" si="6"/>
        <v>1.5464291018091487</v>
      </c>
      <c r="T46" s="54">
        <v>1.5464290000000001</v>
      </c>
      <c r="U46" s="55">
        <f t="shared" si="7"/>
        <v>1.018091486670869E-7</v>
      </c>
      <c r="V46" s="53">
        <f t="shared" si="8"/>
        <v>1.5600685965521082</v>
      </c>
      <c r="W46" s="53">
        <f t="shared" si="9"/>
        <v>1.5741791959362865</v>
      </c>
      <c r="X46" s="54">
        <v>1.574179</v>
      </c>
      <c r="Y46" s="55">
        <f t="shared" si="10"/>
        <v>1.9593628652891937E-7</v>
      </c>
      <c r="Z46" s="29">
        <f t="shared" si="11"/>
        <v>2391966.1420107321</v>
      </c>
      <c r="AA46" s="23">
        <f t="shared" si="12"/>
        <v>2312106.575421147</v>
      </c>
    </row>
    <row r="47" spans="1:27" x14ac:dyDescent="0.2">
      <c r="A47" s="27" t="s">
        <v>279</v>
      </c>
      <c r="B47" s="27" t="s">
        <v>155</v>
      </c>
      <c r="C47" s="27" t="s">
        <v>60</v>
      </c>
      <c r="D47" s="51">
        <v>6345807</v>
      </c>
      <c r="E47" s="51">
        <v>7157665</v>
      </c>
      <c r="F47" s="45">
        <v>6345807</v>
      </c>
      <c r="G47" s="27" t="s">
        <v>280</v>
      </c>
      <c r="H47" s="51">
        <v>6402249</v>
      </c>
      <c r="I47" s="51">
        <v>6991678</v>
      </c>
      <c r="J47" s="45">
        <v>6402249</v>
      </c>
      <c r="K47" s="27" t="s">
        <v>281</v>
      </c>
      <c r="L47" s="45">
        <v>16951555897</v>
      </c>
      <c r="M47" s="27" t="str">
        <f t="shared" si="0"/>
        <v>2026-01|FGP segunda parte (30%)</v>
      </c>
      <c r="N47" s="52">
        <f t="shared" si="1"/>
        <v>1.1279361316850638</v>
      </c>
      <c r="O47" s="52">
        <f t="shared" si="2"/>
        <v>1.0920659287072403</v>
      </c>
      <c r="P47" s="30">
        <f t="shared" si="3"/>
        <v>7157665</v>
      </c>
      <c r="Q47" s="30">
        <f t="shared" si="4"/>
        <v>6930039.614851906</v>
      </c>
      <c r="R47" s="30">
        <f t="shared" si="5"/>
        <v>6991678</v>
      </c>
      <c r="S47" s="53">
        <f t="shared" si="6"/>
        <v>4.8230873385491462</v>
      </c>
      <c r="T47" s="54">
        <v>4.8230870000000001</v>
      </c>
      <c r="U47" s="55">
        <f t="shared" si="7"/>
        <v>3.3854914605058184E-7</v>
      </c>
      <c r="V47" s="53">
        <f t="shared" si="8"/>
        <v>4.7442346606926815</v>
      </c>
      <c r="W47" s="53">
        <f t="shared" si="9"/>
        <v>4.7720119529662171</v>
      </c>
      <c r="X47" s="54">
        <v>4.7720120000000001</v>
      </c>
      <c r="Y47" s="55">
        <f t="shared" si="10"/>
        <v>-4.7033783090455472E-8</v>
      </c>
      <c r="Z47" s="29">
        <f t="shared" si="11"/>
        <v>4708683.2264214391</v>
      </c>
      <c r="AA47" s="23">
        <f t="shared" si="12"/>
        <v>-13366755.763119947</v>
      </c>
    </row>
    <row r="48" spans="1:27" x14ac:dyDescent="0.2">
      <c r="A48" s="27" t="s">
        <v>279</v>
      </c>
      <c r="B48" s="27" t="s">
        <v>155</v>
      </c>
      <c r="C48" s="27" t="s">
        <v>61</v>
      </c>
      <c r="D48" s="51">
        <v>3606579</v>
      </c>
      <c r="E48" s="51">
        <v>3951734</v>
      </c>
      <c r="F48" s="45">
        <v>3606579</v>
      </c>
      <c r="G48" s="27" t="s">
        <v>280</v>
      </c>
      <c r="H48" s="51">
        <v>3569633</v>
      </c>
      <c r="I48" s="51">
        <v>4028357</v>
      </c>
      <c r="J48" s="45">
        <v>3569633</v>
      </c>
      <c r="K48" s="27" t="s">
        <v>281</v>
      </c>
      <c r="L48" s="45">
        <v>16951555897</v>
      </c>
      <c r="M48" s="27" t="str">
        <f t="shared" si="0"/>
        <v>2026-01|FGP segunda parte (30%)</v>
      </c>
      <c r="N48" s="52">
        <f t="shared" si="1"/>
        <v>1.0957014944078585</v>
      </c>
      <c r="O48" s="52">
        <f t="shared" si="2"/>
        <v>1.1285073283443985</v>
      </c>
      <c r="P48" s="30">
        <f t="shared" si="3"/>
        <v>3951734</v>
      </c>
      <c r="Q48" s="30">
        <f t="shared" si="4"/>
        <v>4070050.8317530123</v>
      </c>
      <c r="R48" s="30">
        <f t="shared" si="5"/>
        <v>4028357</v>
      </c>
      <c r="S48" s="53">
        <f t="shared" si="6"/>
        <v>2.6628178631878092</v>
      </c>
      <c r="T48" s="54">
        <v>2.6628180000000001</v>
      </c>
      <c r="U48" s="55">
        <f t="shared" si="7"/>
        <v>-1.368121909095521E-7</v>
      </c>
      <c r="V48" s="53">
        <f t="shared" si="8"/>
        <v>2.7863154180824052</v>
      </c>
      <c r="W48" s="53">
        <f t="shared" si="9"/>
        <v>2.7494641135954954</v>
      </c>
      <c r="X48" s="54">
        <v>2.7494640000000001</v>
      </c>
      <c r="Y48" s="55">
        <f t="shared" si="10"/>
        <v>1.1359549523248802E-7</v>
      </c>
      <c r="Z48" s="29">
        <f t="shared" si="11"/>
        <v>-6246869.4788721958</v>
      </c>
      <c r="AA48" s="23">
        <f t="shared" si="12"/>
        <v>20934757.049385704</v>
      </c>
    </row>
    <row r="49" spans="1:27" x14ac:dyDescent="0.2">
      <c r="A49" s="27" t="s">
        <v>279</v>
      </c>
      <c r="B49" s="27" t="s">
        <v>155</v>
      </c>
      <c r="C49" s="27" t="s">
        <v>62</v>
      </c>
      <c r="D49" s="51">
        <v>3248649</v>
      </c>
      <c r="E49" s="51">
        <v>3633690</v>
      </c>
      <c r="F49" s="45">
        <v>3248649</v>
      </c>
      <c r="G49" s="27" t="s">
        <v>280</v>
      </c>
      <c r="H49" s="51">
        <v>3215821</v>
      </c>
      <c r="I49" s="51">
        <v>3605828</v>
      </c>
      <c r="J49" s="45">
        <v>3215821</v>
      </c>
      <c r="K49" s="27" t="s">
        <v>281</v>
      </c>
      <c r="L49" s="45">
        <v>16951555897</v>
      </c>
      <c r="M49" s="27" t="str">
        <f t="shared" si="0"/>
        <v>2026-01|FGP segunda parte (30%)</v>
      </c>
      <c r="N49" s="52">
        <f t="shared" si="1"/>
        <v>1.1185234231214267</v>
      </c>
      <c r="O49" s="52">
        <f t="shared" si="2"/>
        <v>1.1212775835470943</v>
      </c>
      <c r="P49" s="30">
        <f t="shared" si="3"/>
        <v>3633690</v>
      </c>
      <c r="Q49" s="30">
        <f t="shared" si="4"/>
        <v>3642637.3005126845</v>
      </c>
      <c r="R49" s="30">
        <f t="shared" si="5"/>
        <v>3605828.0000000005</v>
      </c>
      <c r="S49" s="53">
        <f t="shared" si="6"/>
        <v>2.4485085892134726</v>
      </c>
      <c r="T49" s="54">
        <v>2.448509</v>
      </c>
      <c r="U49" s="55">
        <f t="shared" si="7"/>
        <v>-4.1078652746051603E-7</v>
      </c>
      <c r="V49" s="53">
        <f t="shared" si="8"/>
        <v>2.4937124602271994</v>
      </c>
      <c r="W49" s="53">
        <f t="shared" si="9"/>
        <v>2.4610764849783227</v>
      </c>
      <c r="X49" s="54">
        <v>2.4610759999999998</v>
      </c>
      <c r="Y49" s="55">
        <f t="shared" si="10"/>
        <v>4.8497832283445064E-7</v>
      </c>
      <c r="Z49" s="29">
        <f t="shared" si="11"/>
        <v>-5532305.5868444247</v>
      </c>
      <c r="AA49" s="23">
        <f t="shared" si="12"/>
        <v>7662759.46249968</v>
      </c>
    </row>
    <row r="50" spans="1:27" x14ac:dyDescent="0.2">
      <c r="A50" s="27" t="s">
        <v>279</v>
      </c>
      <c r="B50" s="27" t="s">
        <v>155</v>
      </c>
      <c r="C50" s="27" t="s">
        <v>63</v>
      </c>
      <c r="D50" s="51">
        <v>8739649</v>
      </c>
      <c r="E50" s="51">
        <v>9949634</v>
      </c>
      <c r="F50" s="45">
        <v>8739649</v>
      </c>
      <c r="G50" s="27" t="s">
        <v>280</v>
      </c>
      <c r="H50" s="51">
        <v>8750952</v>
      </c>
      <c r="I50" s="51">
        <v>9918726</v>
      </c>
      <c r="J50" s="45">
        <v>8750952</v>
      </c>
      <c r="K50" s="27" t="s">
        <v>281</v>
      </c>
      <c r="L50" s="45">
        <v>16951555897</v>
      </c>
      <c r="M50" s="27" t="str">
        <f t="shared" si="0"/>
        <v>2026-01|FGP segunda parte (30%)</v>
      </c>
      <c r="N50" s="52">
        <f t="shared" si="1"/>
        <v>1.1384477797678145</v>
      </c>
      <c r="O50" s="52">
        <f t="shared" si="2"/>
        <v>1.1334453668583715</v>
      </c>
      <c r="P50" s="30">
        <f t="shared" si="3"/>
        <v>9949634</v>
      </c>
      <c r="Q50" s="30">
        <f t="shared" si="4"/>
        <v>9905914.6670184005</v>
      </c>
      <c r="R50" s="30">
        <f t="shared" si="5"/>
        <v>9918726</v>
      </c>
      <c r="S50" s="53">
        <f t="shared" si="6"/>
        <v>6.7044146056846889</v>
      </c>
      <c r="T50" s="54">
        <v>6.7044139999999999</v>
      </c>
      <c r="U50" s="55">
        <f t="shared" si="7"/>
        <v>6.05684689070074E-7</v>
      </c>
      <c r="V50" s="53">
        <f t="shared" si="8"/>
        <v>6.7814884648587963</v>
      </c>
      <c r="W50" s="53">
        <f t="shared" si="9"/>
        <v>6.7698024751993424</v>
      </c>
      <c r="X50" s="54">
        <v>6.7698029999999996</v>
      </c>
      <c r="Y50" s="55">
        <f t="shared" si="10"/>
        <v>-5.2480065715343471E-7</v>
      </c>
      <c r="Z50" s="29">
        <f t="shared" si="11"/>
        <v>-1980957.0692399656</v>
      </c>
      <c r="AA50" s="23">
        <f t="shared" si="12"/>
        <v>13065218.319873873</v>
      </c>
    </row>
    <row r="51" spans="1:27" x14ac:dyDescent="0.2">
      <c r="A51" s="27" t="s">
        <v>279</v>
      </c>
      <c r="B51" s="27" t="s">
        <v>155</v>
      </c>
      <c r="C51" s="27" t="s">
        <v>64</v>
      </c>
      <c r="D51" s="51">
        <v>17788768</v>
      </c>
      <c r="E51" s="51">
        <v>20115642</v>
      </c>
      <c r="F51" s="45">
        <v>17788768</v>
      </c>
      <c r="G51" s="27" t="s">
        <v>280</v>
      </c>
      <c r="H51" s="51">
        <v>17753727</v>
      </c>
      <c r="I51" s="51">
        <v>19679734</v>
      </c>
      <c r="J51" s="45">
        <v>17753727</v>
      </c>
      <c r="K51" s="27" t="s">
        <v>281</v>
      </c>
      <c r="L51" s="45">
        <v>16951555897</v>
      </c>
      <c r="M51" s="27" t="str">
        <f t="shared" si="0"/>
        <v>2026-01|FGP segunda parte (30%)</v>
      </c>
      <c r="N51" s="52">
        <f t="shared" si="1"/>
        <v>1.1308057983554567</v>
      </c>
      <c r="O51" s="52">
        <f t="shared" si="2"/>
        <v>1.1084846578974656</v>
      </c>
      <c r="P51" s="30">
        <f t="shared" si="3"/>
        <v>20115642</v>
      </c>
      <c r="Q51" s="30">
        <f t="shared" si="4"/>
        <v>19718576.410897385</v>
      </c>
      <c r="R51" s="30">
        <f t="shared" si="5"/>
        <v>19679734</v>
      </c>
      <c r="S51" s="53">
        <f t="shared" si="6"/>
        <v>13.554629650449893</v>
      </c>
      <c r="T51" s="54">
        <v>13.55463</v>
      </c>
      <c r="U51" s="55">
        <f t="shared" si="7"/>
        <v>-3.495501061934192E-7</v>
      </c>
      <c r="V51" s="53">
        <f t="shared" si="8"/>
        <v>13.499136926664685</v>
      </c>
      <c r="W51" s="53">
        <f t="shared" si="9"/>
        <v>13.431958090632271</v>
      </c>
      <c r="X51" s="54">
        <v>13.431958</v>
      </c>
      <c r="Y51" s="55">
        <f t="shared" si="10"/>
        <v>9.0632271465551639E-8</v>
      </c>
      <c r="Z51" s="29">
        <f t="shared" si="11"/>
        <v>-11387857.940988511</v>
      </c>
      <c r="AA51" s="23">
        <f t="shared" si="12"/>
        <v>-9406880.091217475</v>
      </c>
    </row>
    <row r="52" spans="1:27" x14ac:dyDescent="0.2">
      <c r="A52" s="27" t="s">
        <v>279</v>
      </c>
      <c r="B52" s="27" t="s">
        <v>155</v>
      </c>
      <c r="C52" s="27" t="s">
        <v>65</v>
      </c>
      <c r="D52" s="51">
        <v>4950874</v>
      </c>
      <c r="E52" s="51">
        <v>5686887</v>
      </c>
      <c r="F52" s="45">
        <v>4950874</v>
      </c>
      <c r="G52" s="27" t="s">
        <v>280</v>
      </c>
      <c r="H52" s="51">
        <v>4945881</v>
      </c>
      <c r="I52" s="51">
        <v>5171427</v>
      </c>
      <c r="J52" s="45">
        <v>4945881</v>
      </c>
      <c r="K52" s="27" t="s">
        <v>281</v>
      </c>
      <c r="L52" s="45">
        <v>16951555897</v>
      </c>
      <c r="M52" s="27" t="str">
        <f t="shared" si="0"/>
        <v>2026-01|FGP segunda parte (30%)</v>
      </c>
      <c r="N52" s="52">
        <f t="shared" si="1"/>
        <v>1.1486632461258355</v>
      </c>
      <c r="O52" s="52">
        <f t="shared" si="2"/>
        <v>1.045602795538348</v>
      </c>
      <c r="P52" s="30">
        <f t="shared" si="3"/>
        <v>5686887</v>
      </c>
      <c r="Q52" s="30">
        <f t="shared" si="4"/>
        <v>5176647.6947581228</v>
      </c>
      <c r="R52" s="30">
        <f t="shared" si="5"/>
        <v>5171427</v>
      </c>
      <c r="S52" s="53">
        <f t="shared" si="6"/>
        <v>3.8320252045128878</v>
      </c>
      <c r="T52" s="54">
        <v>3.8320249999999998</v>
      </c>
      <c r="U52" s="55">
        <f t="shared" si="7"/>
        <v>2.0451288795797495E-7</v>
      </c>
      <c r="V52" s="53">
        <f t="shared" si="8"/>
        <v>3.5438803794184635</v>
      </c>
      <c r="W52" s="53">
        <f t="shared" si="9"/>
        <v>3.5296407325812518</v>
      </c>
      <c r="X52" s="54">
        <v>3.5296400000000001</v>
      </c>
      <c r="Y52" s="55">
        <f t="shared" si="10"/>
        <v>7.325812516612018E-7</v>
      </c>
      <c r="Z52" s="29">
        <f t="shared" si="11"/>
        <v>-2413841.6931453315</v>
      </c>
      <c r="AA52" s="23">
        <f t="shared" si="12"/>
        <v>-48845031.090194218</v>
      </c>
    </row>
    <row r="53" spans="1:27" x14ac:dyDescent="0.2">
      <c r="A53" s="27" t="s">
        <v>279</v>
      </c>
      <c r="B53" s="27" t="s">
        <v>155</v>
      </c>
      <c r="C53" s="27" t="s">
        <v>66</v>
      </c>
      <c r="D53" s="51">
        <v>1984308</v>
      </c>
      <c r="E53" s="51">
        <v>2201161</v>
      </c>
      <c r="F53" s="45">
        <v>1984308</v>
      </c>
      <c r="G53" s="27" t="s">
        <v>280</v>
      </c>
      <c r="H53" s="51">
        <v>1988503</v>
      </c>
      <c r="I53" s="51">
        <v>2188180</v>
      </c>
      <c r="J53" s="45">
        <v>1988503</v>
      </c>
      <c r="K53" s="27" t="s">
        <v>281</v>
      </c>
      <c r="L53" s="45">
        <v>16951555897</v>
      </c>
      <c r="M53" s="27" t="str">
        <f t="shared" si="0"/>
        <v>2026-01|FGP segunda parte (30%)</v>
      </c>
      <c r="N53" s="52">
        <f t="shared" si="1"/>
        <v>1.109283941807421</v>
      </c>
      <c r="O53" s="52">
        <f t="shared" si="2"/>
        <v>1.1004157398807042</v>
      </c>
      <c r="P53" s="30">
        <f t="shared" si="3"/>
        <v>2201161</v>
      </c>
      <c r="Q53" s="30">
        <f t="shared" si="4"/>
        <v>2183563.7559712003</v>
      </c>
      <c r="R53" s="30">
        <f t="shared" si="5"/>
        <v>2188180</v>
      </c>
      <c r="S53" s="53">
        <f t="shared" si="6"/>
        <v>1.4832199815454032</v>
      </c>
      <c r="T53" s="54">
        <v>1.48322</v>
      </c>
      <c r="U53" s="55">
        <f t="shared" si="7"/>
        <v>-1.8454596739658768E-8</v>
      </c>
      <c r="V53" s="53">
        <f t="shared" si="8"/>
        <v>1.4948455464395267</v>
      </c>
      <c r="W53" s="53">
        <f t="shared" si="9"/>
        <v>1.4934928518220683</v>
      </c>
      <c r="X53" s="54">
        <v>1.493493</v>
      </c>
      <c r="Y53" s="55">
        <f t="shared" si="10"/>
        <v>-1.4817793170252003E-7</v>
      </c>
      <c r="Z53" s="29">
        <f t="shared" si="11"/>
        <v>-229302.78419418132</v>
      </c>
      <c r="AA53" s="23">
        <f t="shared" si="12"/>
        <v>1970714.1313693498</v>
      </c>
    </row>
    <row r="54" spans="1:27" x14ac:dyDescent="0.2">
      <c r="A54" s="27" t="s">
        <v>279</v>
      </c>
      <c r="B54" s="27" t="s">
        <v>155</v>
      </c>
      <c r="C54" s="27" t="s">
        <v>67</v>
      </c>
      <c r="D54" s="51">
        <v>1245276</v>
      </c>
      <c r="E54" s="51">
        <v>1512175</v>
      </c>
      <c r="F54" s="45">
        <v>1245276</v>
      </c>
      <c r="G54" s="27" t="s">
        <v>280</v>
      </c>
      <c r="H54" s="51">
        <v>1279298</v>
      </c>
      <c r="I54" s="51">
        <v>1441921</v>
      </c>
      <c r="J54" s="45">
        <v>1279298</v>
      </c>
      <c r="K54" s="27" t="s">
        <v>281</v>
      </c>
      <c r="L54" s="45">
        <v>16951555897</v>
      </c>
      <c r="M54" s="27" t="str">
        <f t="shared" si="0"/>
        <v>2026-01|FGP segunda parte (30%)</v>
      </c>
      <c r="N54" s="52">
        <f t="shared" si="1"/>
        <v>1.2143291928857538</v>
      </c>
      <c r="O54" s="52">
        <f t="shared" si="2"/>
        <v>1.1271189355412108</v>
      </c>
      <c r="P54" s="30">
        <f t="shared" si="3"/>
        <v>1512175</v>
      </c>
      <c r="Q54" s="30">
        <f t="shared" si="4"/>
        <v>1403574.1595750167</v>
      </c>
      <c r="R54" s="30">
        <f t="shared" si="5"/>
        <v>1441920.9999999998</v>
      </c>
      <c r="S54" s="53">
        <f t="shared" si="6"/>
        <v>1.0189568939270774</v>
      </c>
      <c r="T54" s="54">
        <v>1.0189569999999999</v>
      </c>
      <c r="U54" s="55">
        <f t="shared" si="7"/>
        <v>-1.0607292244557698E-7</v>
      </c>
      <c r="V54" s="53">
        <f t="shared" si="8"/>
        <v>0.96087259911726974</v>
      </c>
      <c r="W54" s="53">
        <f t="shared" si="9"/>
        <v>0.98415062124328367</v>
      </c>
      <c r="X54" s="54">
        <v>0.984151</v>
      </c>
      <c r="Y54" s="55">
        <f t="shared" si="10"/>
        <v>-3.7875671632381369E-7</v>
      </c>
      <c r="Z54" s="29">
        <f t="shared" si="11"/>
        <v>3945986.9324072795</v>
      </c>
      <c r="AA54" s="23">
        <f t="shared" si="12"/>
        <v>-9846191.702062821</v>
      </c>
    </row>
    <row r="55" spans="1:27" x14ac:dyDescent="0.2">
      <c r="A55" s="27" t="s">
        <v>279</v>
      </c>
      <c r="B55" s="27" t="s">
        <v>155</v>
      </c>
      <c r="C55" s="27" t="s">
        <v>68</v>
      </c>
      <c r="D55" s="51">
        <v>6152311</v>
      </c>
      <c r="E55" s="51">
        <v>7138854</v>
      </c>
      <c r="F55" s="45">
        <v>6152311</v>
      </c>
      <c r="G55" s="27" t="s">
        <v>280</v>
      </c>
      <c r="H55" s="51">
        <v>6234433</v>
      </c>
      <c r="I55" s="51">
        <v>6862310</v>
      </c>
      <c r="J55" s="45">
        <v>6234433</v>
      </c>
      <c r="K55" s="27" t="s">
        <v>281</v>
      </c>
      <c r="L55" s="45">
        <v>16951555897</v>
      </c>
      <c r="M55" s="27" t="str">
        <f t="shared" si="0"/>
        <v>2026-01|FGP segunda parte (30%)</v>
      </c>
      <c r="N55" s="52">
        <f t="shared" si="1"/>
        <v>1.1603532396200387</v>
      </c>
      <c r="O55" s="52">
        <f t="shared" si="2"/>
        <v>1.1007111633086761</v>
      </c>
      <c r="P55" s="30">
        <f t="shared" si="3"/>
        <v>7138854</v>
      </c>
      <c r="Q55" s="30">
        <f t="shared" si="4"/>
        <v>6771917.3978467649</v>
      </c>
      <c r="R55" s="30">
        <f t="shared" si="5"/>
        <v>6862310</v>
      </c>
      <c r="S55" s="53">
        <f t="shared" si="6"/>
        <v>4.8104118227314254</v>
      </c>
      <c r="T55" s="54">
        <v>4.8104120000000004</v>
      </c>
      <c r="U55" s="55">
        <f t="shared" si="7"/>
        <v>-1.7726857493016723E-7</v>
      </c>
      <c r="V55" s="53">
        <f t="shared" si="8"/>
        <v>4.6359857986034001</v>
      </c>
      <c r="W55" s="53">
        <f t="shared" si="9"/>
        <v>4.6837147455817609</v>
      </c>
      <c r="X55" s="54">
        <v>4.6837150000000003</v>
      </c>
      <c r="Y55" s="55">
        <f t="shared" si="10"/>
        <v>-2.5441823936489527E-7</v>
      </c>
      <c r="Z55" s="29">
        <f t="shared" si="11"/>
        <v>8090799.1260863291</v>
      </c>
      <c r="AA55" s="23">
        <f t="shared" si="12"/>
        <v>-29567924.97897692</v>
      </c>
    </row>
    <row r="56" spans="1:27" x14ac:dyDescent="0.2">
      <c r="A56" s="27" t="s">
        <v>279</v>
      </c>
      <c r="B56" s="27" t="s">
        <v>155</v>
      </c>
      <c r="C56" s="27" t="s">
        <v>69</v>
      </c>
      <c r="D56" s="51">
        <v>4232451</v>
      </c>
      <c r="E56" s="51">
        <v>4851041</v>
      </c>
      <c r="F56" s="45">
        <v>4232451</v>
      </c>
      <c r="G56" s="27" t="s">
        <v>280</v>
      </c>
      <c r="H56" s="51">
        <v>4178688</v>
      </c>
      <c r="I56" s="51">
        <v>4783053</v>
      </c>
      <c r="J56" s="45">
        <v>4178688</v>
      </c>
      <c r="K56" s="27" t="s">
        <v>281</v>
      </c>
      <c r="L56" s="45">
        <v>16951555897</v>
      </c>
      <c r="M56" s="27" t="str">
        <f t="shared" si="0"/>
        <v>2026-01|FGP segunda parte (30%)</v>
      </c>
      <c r="N56" s="52">
        <f t="shared" si="1"/>
        <v>1.1461540842410225</v>
      </c>
      <c r="O56" s="52">
        <f t="shared" si="2"/>
        <v>1.144630324159162</v>
      </c>
      <c r="P56" s="30">
        <f t="shared" si="3"/>
        <v>4851041</v>
      </c>
      <c r="Q56" s="30">
        <f t="shared" si="4"/>
        <v>4844591.7601177692</v>
      </c>
      <c r="R56" s="30">
        <f t="shared" si="5"/>
        <v>4783053</v>
      </c>
      <c r="S56" s="53">
        <f t="shared" si="6"/>
        <v>3.2688026648191535</v>
      </c>
      <c r="T56" s="54">
        <v>3.2688030000000001</v>
      </c>
      <c r="U56" s="55">
        <f t="shared" si="7"/>
        <v>-3.3518084663342051E-7</v>
      </c>
      <c r="V56" s="53">
        <f t="shared" si="8"/>
        <v>3.3165582626684662</v>
      </c>
      <c r="W56" s="53">
        <f t="shared" si="9"/>
        <v>3.2645648280242483</v>
      </c>
      <c r="X56" s="54">
        <v>3.2645650000000002</v>
      </c>
      <c r="Y56" s="55">
        <f t="shared" si="10"/>
        <v>-1.7197575186145286E-7</v>
      </c>
      <c r="Z56" s="29">
        <f t="shared" si="11"/>
        <v>-8813696.1364847627</v>
      </c>
      <c r="AA56" s="23">
        <f t="shared" si="12"/>
        <v>8095316.8633727748</v>
      </c>
    </row>
    <row r="57" spans="1:27" x14ac:dyDescent="0.2">
      <c r="A57" s="27" t="s">
        <v>279</v>
      </c>
      <c r="B57" s="27" t="s">
        <v>155</v>
      </c>
      <c r="C57" s="27" t="s">
        <v>70</v>
      </c>
      <c r="D57" s="51">
        <v>6629599</v>
      </c>
      <c r="E57" s="51">
        <v>7449541</v>
      </c>
      <c r="F57" s="45">
        <v>6629599</v>
      </c>
      <c r="G57" s="27" t="s">
        <v>280</v>
      </c>
      <c r="H57" s="51">
        <v>6638706</v>
      </c>
      <c r="I57" s="51">
        <v>7255226</v>
      </c>
      <c r="J57" s="45">
        <v>6638706</v>
      </c>
      <c r="K57" s="27" t="s">
        <v>281</v>
      </c>
      <c r="L57" s="45">
        <v>16951555897</v>
      </c>
      <c r="M57" s="27" t="str">
        <f t="shared" si="0"/>
        <v>2026-01|FGP segunda parte (30%)</v>
      </c>
      <c r="N57" s="52">
        <f t="shared" si="1"/>
        <v>1.1236789736453139</v>
      </c>
      <c r="O57" s="52">
        <f t="shared" si="2"/>
        <v>1.0928674955631414</v>
      </c>
      <c r="P57" s="30">
        <f t="shared" si="3"/>
        <v>7449540.9999999991</v>
      </c>
      <c r="Q57" s="30">
        <f t="shared" si="4"/>
        <v>7245273.2557179071</v>
      </c>
      <c r="R57" s="30">
        <f t="shared" si="5"/>
        <v>7255226.0000000009</v>
      </c>
      <c r="S57" s="53">
        <f t="shared" si="6"/>
        <v>5.0197636904077996</v>
      </c>
      <c r="T57" s="54">
        <v>5.0197640000000003</v>
      </c>
      <c r="U57" s="55">
        <f t="shared" si="7"/>
        <v>-3.095922007645413E-7</v>
      </c>
      <c r="V57" s="53">
        <f t="shared" si="8"/>
        <v>4.9600404061616841</v>
      </c>
      <c r="W57" s="53">
        <f t="shared" si="9"/>
        <v>4.9518906896844035</v>
      </c>
      <c r="X57" s="54">
        <v>4.9518909999999998</v>
      </c>
      <c r="Y57" s="55">
        <f t="shared" si="10"/>
        <v>-3.1031559633021288E-7</v>
      </c>
      <c r="Z57" s="29">
        <f t="shared" si="11"/>
        <v>-1381503.7440932363</v>
      </c>
      <c r="AA57" s="23">
        <f t="shared" si="12"/>
        <v>-10124025.912504464</v>
      </c>
    </row>
    <row r="58" spans="1:27" x14ac:dyDescent="0.2">
      <c r="A58" s="27" t="s">
        <v>279</v>
      </c>
      <c r="B58" s="27" t="s">
        <v>155</v>
      </c>
      <c r="C58" s="27" t="s">
        <v>71</v>
      </c>
      <c r="D58" s="51">
        <v>2528745</v>
      </c>
      <c r="E58" s="51">
        <v>2967058</v>
      </c>
      <c r="F58" s="45">
        <v>2528745</v>
      </c>
      <c r="G58" s="27" t="s">
        <v>280</v>
      </c>
      <c r="H58" s="51">
        <v>2535155</v>
      </c>
      <c r="I58" s="51">
        <v>2747979</v>
      </c>
      <c r="J58" s="45">
        <v>2535155</v>
      </c>
      <c r="K58" s="27" t="s">
        <v>281</v>
      </c>
      <c r="L58" s="45">
        <v>16951555897</v>
      </c>
      <c r="M58" s="27" t="str">
        <f t="shared" si="0"/>
        <v>2026-01|FGP segunda parte (30%)</v>
      </c>
      <c r="N58" s="52">
        <f t="shared" si="1"/>
        <v>1.1733322260647079</v>
      </c>
      <c r="O58" s="52">
        <f t="shared" si="2"/>
        <v>1.0839491076482504</v>
      </c>
      <c r="P58" s="30">
        <f t="shared" si="3"/>
        <v>2967057.9999999995</v>
      </c>
      <c r="Q58" s="30">
        <f t="shared" si="4"/>
        <v>2741030.8862199751</v>
      </c>
      <c r="R58" s="30">
        <f t="shared" si="5"/>
        <v>2747979</v>
      </c>
      <c r="S58" s="53">
        <f t="shared" si="6"/>
        <v>1.9993084158787748</v>
      </c>
      <c r="T58" s="54">
        <v>1.9993080000000001</v>
      </c>
      <c r="U58" s="55">
        <f t="shared" si="7"/>
        <v>4.1587877475102175E-7</v>
      </c>
      <c r="V58" s="53">
        <f t="shared" si="8"/>
        <v>1.8764818758849013</v>
      </c>
      <c r="W58" s="53">
        <f t="shared" si="9"/>
        <v>1.8755710195034943</v>
      </c>
      <c r="X58" s="54">
        <v>1.8755710000000001</v>
      </c>
      <c r="Y58" s="55">
        <f t="shared" si="10"/>
        <v>1.95034941530281E-8</v>
      </c>
      <c r="Z58" s="29">
        <f t="shared" si="11"/>
        <v>-154404.32863561405</v>
      </c>
      <c r="AA58" s="23">
        <f t="shared" si="12"/>
        <v>-20821009.583412528</v>
      </c>
    </row>
    <row r="59" spans="1:27" x14ac:dyDescent="0.2">
      <c r="A59" s="27" t="s">
        <v>279</v>
      </c>
      <c r="B59" s="27" t="s">
        <v>155</v>
      </c>
      <c r="C59" s="27" t="s">
        <v>72</v>
      </c>
      <c r="D59" s="51">
        <v>1905221</v>
      </c>
      <c r="E59" s="51">
        <v>2333466</v>
      </c>
      <c r="F59" s="45">
        <v>1905221</v>
      </c>
      <c r="G59" s="27" t="s">
        <v>280</v>
      </c>
      <c r="H59" s="51">
        <v>1975372</v>
      </c>
      <c r="I59" s="51">
        <v>2314635</v>
      </c>
      <c r="J59" s="45">
        <v>1975372</v>
      </c>
      <c r="K59" s="27" t="s">
        <v>281</v>
      </c>
      <c r="L59" s="45">
        <v>16951555897</v>
      </c>
      <c r="M59" s="27" t="str">
        <f t="shared" si="0"/>
        <v>2026-01|FGP segunda parte (30%)</v>
      </c>
      <c r="N59" s="52">
        <f t="shared" si="1"/>
        <v>1.2247744487384928</v>
      </c>
      <c r="O59" s="52">
        <f t="shared" si="2"/>
        <v>1.1717463849847016</v>
      </c>
      <c r="P59" s="30">
        <f t="shared" si="3"/>
        <v>2333466</v>
      </c>
      <c r="Q59" s="30">
        <f t="shared" si="4"/>
        <v>2232435.8193469383</v>
      </c>
      <c r="R59" s="30">
        <f t="shared" si="5"/>
        <v>2314635</v>
      </c>
      <c r="S59" s="53">
        <f t="shared" si="6"/>
        <v>1.572371760837497</v>
      </c>
      <c r="T59" s="54">
        <v>1.5723720000000001</v>
      </c>
      <c r="U59" s="55">
        <f t="shared" si="7"/>
        <v>-2.3916250313504861E-7</v>
      </c>
      <c r="V59" s="53">
        <f t="shared" si="8"/>
        <v>1.528302864130733</v>
      </c>
      <c r="W59" s="53">
        <f t="shared" si="9"/>
        <v>1.5798018568294991</v>
      </c>
      <c r="X59" s="54">
        <v>1.5798019999999999</v>
      </c>
      <c r="Y59" s="55">
        <f t="shared" si="10"/>
        <v>-1.4317050078815896E-7</v>
      </c>
      <c r="Z59" s="29">
        <f t="shared" si="11"/>
        <v>8729880.5337232873</v>
      </c>
      <c r="AA59" s="23">
        <f t="shared" si="12"/>
        <v>-7470363.658438283</v>
      </c>
    </row>
    <row r="60" spans="1:27" x14ac:dyDescent="0.2">
      <c r="A60" s="27" t="s">
        <v>279</v>
      </c>
      <c r="B60" s="27" t="s">
        <v>155</v>
      </c>
      <c r="C60" s="27" t="s">
        <v>73</v>
      </c>
      <c r="D60" s="51">
        <v>2885526</v>
      </c>
      <c r="E60" s="51">
        <v>3338426</v>
      </c>
      <c r="F60" s="45">
        <v>2885526</v>
      </c>
      <c r="G60" s="27" t="s">
        <v>280</v>
      </c>
      <c r="H60" s="51">
        <v>2951151</v>
      </c>
      <c r="I60" s="51">
        <v>3412006</v>
      </c>
      <c r="J60" s="45">
        <v>2951151</v>
      </c>
      <c r="K60" s="27" t="s">
        <v>281</v>
      </c>
      <c r="L60" s="45">
        <v>16951555897</v>
      </c>
      <c r="M60" s="27" t="str">
        <f t="shared" si="0"/>
        <v>2026-01|FGP segunda parte (30%)</v>
      </c>
      <c r="N60" s="52">
        <f t="shared" si="1"/>
        <v>1.1569557855309569</v>
      </c>
      <c r="O60" s="52">
        <f t="shared" si="2"/>
        <v>1.1561611045995275</v>
      </c>
      <c r="P60" s="30">
        <f t="shared" si="3"/>
        <v>3338426</v>
      </c>
      <c r="Q60" s="30">
        <f t="shared" si="4"/>
        <v>3336132.927510656</v>
      </c>
      <c r="R60" s="30">
        <f t="shared" si="5"/>
        <v>3412006</v>
      </c>
      <c r="S60" s="53">
        <f t="shared" si="6"/>
        <v>2.2495492833603241</v>
      </c>
      <c r="T60" s="54">
        <v>2.249549</v>
      </c>
      <c r="U60" s="55">
        <f t="shared" si="7"/>
        <v>2.8336032409370659E-7</v>
      </c>
      <c r="V60" s="53">
        <f t="shared" si="8"/>
        <v>2.2838826827849856</v>
      </c>
      <c r="W60" s="53">
        <f t="shared" si="9"/>
        <v>2.3287876552084419</v>
      </c>
      <c r="X60" s="54">
        <v>2.3287870000000002</v>
      </c>
      <c r="Y60" s="55">
        <f t="shared" si="10"/>
        <v>6.5520844172439752E-7</v>
      </c>
      <c r="Z60" s="29">
        <f t="shared" si="11"/>
        <v>7612091.5008946238</v>
      </c>
      <c r="AA60" s="23">
        <f t="shared" si="12"/>
        <v>5820045.3948117727</v>
      </c>
    </row>
    <row r="61" spans="1:27" x14ac:dyDescent="0.2">
      <c r="A61" s="27" t="s">
        <v>279</v>
      </c>
      <c r="B61" s="27" t="s">
        <v>155</v>
      </c>
      <c r="C61" s="27" t="s">
        <v>74</v>
      </c>
      <c r="D61" s="51">
        <v>3144666</v>
      </c>
      <c r="E61" s="51">
        <v>3383657</v>
      </c>
      <c r="F61" s="45">
        <v>3144666</v>
      </c>
      <c r="G61" s="27" t="s">
        <v>280</v>
      </c>
      <c r="H61" s="51">
        <v>3085699</v>
      </c>
      <c r="I61" s="51">
        <v>3240121</v>
      </c>
      <c r="J61" s="45">
        <v>3085699</v>
      </c>
      <c r="K61" s="27" t="s">
        <v>281</v>
      </c>
      <c r="L61" s="45">
        <v>16951555897</v>
      </c>
      <c r="M61" s="27" t="str">
        <f t="shared" si="0"/>
        <v>2026-01|FGP segunda parte (30%)</v>
      </c>
      <c r="N61" s="52">
        <f t="shared" si="1"/>
        <v>1.0759988501163558</v>
      </c>
      <c r="O61" s="52">
        <f t="shared" si="2"/>
        <v>1.0500444145718686</v>
      </c>
      <c r="P61" s="30">
        <f t="shared" si="3"/>
        <v>3383657</v>
      </c>
      <c r="Q61" s="30">
        <f t="shared" si="4"/>
        <v>3302038.9689940596</v>
      </c>
      <c r="R61" s="30">
        <f t="shared" si="5"/>
        <v>3240121.0000000005</v>
      </c>
      <c r="S61" s="53">
        <f t="shared" si="6"/>
        <v>2.2800275277891866</v>
      </c>
      <c r="T61" s="54">
        <v>2.280027</v>
      </c>
      <c r="U61" s="55">
        <f t="shared" si="7"/>
        <v>5.277891865773654E-7</v>
      </c>
      <c r="V61" s="53">
        <f t="shared" si="8"/>
        <v>2.2605423054272564</v>
      </c>
      <c r="W61" s="53">
        <f t="shared" si="9"/>
        <v>2.2114714294704152</v>
      </c>
      <c r="X61" s="54">
        <v>2.211471</v>
      </c>
      <c r="Y61" s="55">
        <f t="shared" si="10"/>
        <v>4.2947041523078155E-7</v>
      </c>
      <c r="Z61" s="29">
        <f t="shared" si="11"/>
        <v>-8318276.9669714756</v>
      </c>
      <c r="AA61" s="23">
        <f t="shared" si="12"/>
        <v>-3303048.3603373375</v>
      </c>
    </row>
    <row r="62" spans="1:27" x14ac:dyDescent="0.2">
      <c r="A62" s="27" t="s">
        <v>279</v>
      </c>
      <c r="B62" s="27" t="s">
        <v>155</v>
      </c>
      <c r="C62" s="27" t="s">
        <v>75</v>
      </c>
      <c r="D62" s="51">
        <v>3042242</v>
      </c>
      <c r="E62" s="51">
        <v>3446383</v>
      </c>
      <c r="F62" s="45">
        <v>3042242</v>
      </c>
      <c r="G62" s="27" t="s">
        <v>280</v>
      </c>
      <c r="H62" s="51">
        <v>3035624</v>
      </c>
      <c r="I62" s="51">
        <v>3447305</v>
      </c>
      <c r="J62" s="45">
        <v>3035624</v>
      </c>
      <c r="K62" s="27" t="s">
        <v>281</v>
      </c>
      <c r="L62" s="45">
        <v>16951555897</v>
      </c>
      <c r="M62" s="27" t="str">
        <f t="shared" si="0"/>
        <v>2026-01|FGP segunda parte (30%)</v>
      </c>
      <c r="N62" s="52">
        <f t="shared" si="1"/>
        <v>1.1328431466004347</v>
      </c>
      <c r="O62" s="52">
        <f t="shared" si="2"/>
        <v>1.1356165981030588</v>
      </c>
      <c r="P62" s="30">
        <f t="shared" si="3"/>
        <v>3446382.9999999995</v>
      </c>
      <c r="Q62" s="30">
        <f t="shared" si="4"/>
        <v>3454820.5106462459</v>
      </c>
      <c r="R62" s="30">
        <f t="shared" si="5"/>
        <v>3447305</v>
      </c>
      <c r="S62" s="53">
        <f t="shared" si="6"/>
        <v>2.3222945207817101</v>
      </c>
      <c r="T62" s="54">
        <v>2.3222939999999999</v>
      </c>
      <c r="U62" s="55">
        <f t="shared" si="7"/>
        <v>5.2078171020042419E-7</v>
      </c>
      <c r="V62" s="53">
        <f t="shared" si="8"/>
        <v>2.3651349954700325</v>
      </c>
      <c r="W62" s="53">
        <f t="shared" si="9"/>
        <v>2.3528801906380989</v>
      </c>
      <c r="X62" s="54">
        <v>2.3528799999999999</v>
      </c>
      <c r="Y62" s="55">
        <f t="shared" si="10"/>
        <v>1.9063809908459461E-7</v>
      </c>
      <c r="Z62" s="29">
        <f t="shared" si="11"/>
        <v>-2077380.0911534689</v>
      </c>
      <c r="AA62" s="23">
        <f t="shared" si="12"/>
        <v>7262127.0133311115</v>
      </c>
    </row>
    <row r="63" spans="1:27" x14ac:dyDescent="0.2">
      <c r="A63" s="27" t="s">
        <v>279</v>
      </c>
      <c r="B63" s="27" t="s">
        <v>155</v>
      </c>
      <c r="C63" s="27" t="s">
        <v>76</v>
      </c>
      <c r="D63" s="51">
        <v>2554147</v>
      </c>
      <c r="E63" s="51">
        <v>2864546</v>
      </c>
      <c r="F63" s="45">
        <v>2554147</v>
      </c>
      <c r="G63" s="27" t="s">
        <v>280</v>
      </c>
      <c r="H63" s="51">
        <v>2578825</v>
      </c>
      <c r="I63" s="51">
        <v>2872850</v>
      </c>
      <c r="J63" s="45">
        <v>2578825</v>
      </c>
      <c r="K63" s="27" t="s">
        <v>281</v>
      </c>
      <c r="L63" s="45">
        <v>16951555897</v>
      </c>
      <c r="M63" s="27" t="str">
        <f t="shared" si="0"/>
        <v>2026-01|FGP segunda parte (30%)</v>
      </c>
      <c r="N63" s="52">
        <f t="shared" si="1"/>
        <v>1.1215274610271062</v>
      </c>
      <c r="O63" s="52">
        <f t="shared" si="2"/>
        <v>1.1140151037778834</v>
      </c>
      <c r="P63" s="30">
        <f t="shared" si="3"/>
        <v>2864546.0000000005</v>
      </c>
      <c r="Q63" s="30">
        <f t="shared" si="4"/>
        <v>2845358.3352689696</v>
      </c>
      <c r="R63" s="30">
        <f t="shared" si="5"/>
        <v>2872850</v>
      </c>
      <c r="S63" s="53">
        <f t="shared" si="6"/>
        <v>1.9302322116628265</v>
      </c>
      <c r="T63" s="54">
        <v>1.9302319999999999</v>
      </c>
      <c r="U63" s="55">
        <f t="shared" si="7"/>
        <v>2.1166282659912383E-7</v>
      </c>
      <c r="V63" s="53">
        <f t="shared" si="8"/>
        <v>1.9479033867777316</v>
      </c>
      <c r="W63" s="53">
        <f t="shared" si="9"/>
        <v>1.9607989010762501</v>
      </c>
      <c r="X63" s="54">
        <v>1.960799</v>
      </c>
      <c r="Y63" s="55">
        <f t="shared" si="10"/>
        <v>-9.8923749858315091E-8</v>
      </c>
      <c r="Z63" s="29">
        <f t="shared" si="11"/>
        <v>2185990.3145189974</v>
      </c>
      <c r="AA63" s="23">
        <f t="shared" si="12"/>
        <v>2995539.127259877</v>
      </c>
    </row>
    <row r="64" spans="1:27" x14ac:dyDescent="0.2">
      <c r="A64" s="27" t="s">
        <v>279</v>
      </c>
      <c r="B64" s="27" t="s">
        <v>155</v>
      </c>
      <c r="C64" s="27" t="s">
        <v>77</v>
      </c>
      <c r="D64" s="51">
        <v>3569939</v>
      </c>
      <c r="E64" s="51">
        <v>3954159</v>
      </c>
      <c r="F64" s="45">
        <v>3569939</v>
      </c>
      <c r="G64" s="27" t="s">
        <v>280</v>
      </c>
      <c r="H64" s="51">
        <v>3602540</v>
      </c>
      <c r="I64" s="51">
        <v>3971843</v>
      </c>
      <c r="J64" s="45">
        <v>3602540</v>
      </c>
      <c r="K64" s="27" t="s">
        <v>281</v>
      </c>
      <c r="L64" s="45">
        <v>16951555897</v>
      </c>
      <c r="M64" s="27" t="str">
        <f t="shared" si="0"/>
        <v>2026-01|FGP segunda parte (30%)</v>
      </c>
      <c r="N64" s="52">
        <f t="shared" si="1"/>
        <v>1.1076264888559721</v>
      </c>
      <c r="O64" s="52">
        <f t="shared" si="2"/>
        <v>1.1025118388692423</v>
      </c>
      <c r="P64" s="30">
        <f t="shared" si="3"/>
        <v>3954159.0000000005</v>
      </c>
      <c r="Q64" s="30">
        <f t="shared" si="4"/>
        <v>3935900.0115410239</v>
      </c>
      <c r="R64" s="30">
        <f t="shared" si="5"/>
        <v>3971843</v>
      </c>
      <c r="S64" s="53">
        <f t="shared" si="6"/>
        <v>2.6644519137889464</v>
      </c>
      <c r="T64" s="54">
        <v>2.6644519999999998</v>
      </c>
      <c r="U64" s="55">
        <f t="shared" si="7"/>
        <v>-8.6211053407225791E-8</v>
      </c>
      <c r="V64" s="53">
        <f t="shared" si="8"/>
        <v>2.6944771305138762</v>
      </c>
      <c r="W64" s="53">
        <f t="shared" si="9"/>
        <v>2.7108917589318611</v>
      </c>
      <c r="X64" s="54">
        <v>2.7108910000000002</v>
      </c>
      <c r="Y64" s="55">
        <f t="shared" si="10"/>
        <v>7.5893186091136045E-7</v>
      </c>
      <c r="Z64" s="29">
        <f t="shared" si="11"/>
        <v>2782534.9115595589</v>
      </c>
      <c r="AA64" s="23">
        <f t="shared" si="12"/>
        <v>5089741.3963218592</v>
      </c>
    </row>
    <row r="65" spans="1:27" x14ac:dyDescent="0.2">
      <c r="A65" s="27" t="s">
        <v>279</v>
      </c>
      <c r="B65" s="27" t="s">
        <v>155</v>
      </c>
      <c r="C65" s="27" t="s">
        <v>78</v>
      </c>
      <c r="D65" s="51">
        <v>1476723</v>
      </c>
      <c r="E65" s="51">
        <v>1676136</v>
      </c>
      <c r="F65" s="45">
        <v>1476723</v>
      </c>
      <c r="G65" s="27" t="s">
        <v>280</v>
      </c>
      <c r="H65" s="51">
        <v>1426175</v>
      </c>
      <c r="I65" s="51">
        <v>1580852</v>
      </c>
      <c r="J65" s="45">
        <v>1426175</v>
      </c>
      <c r="K65" s="27" t="s">
        <v>281</v>
      </c>
      <c r="L65" s="45">
        <v>16951555897</v>
      </c>
      <c r="M65" s="27" t="str">
        <f t="shared" si="0"/>
        <v>2026-01|FGP segunda parte (30%)</v>
      </c>
      <c r="N65" s="52">
        <f t="shared" si="1"/>
        <v>1.135037512112969</v>
      </c>
      <c r="O65" s="52">
        <f t="shared" si="2"/>
        <v>1.1084558346626465</v>
      </c>
      <c r="P65" s="30">
        <f t="shared" si="3"/>
        <v>1676136</v>
      </c>
      <c r="Q65" s="30">
        <f t="shared" si="4"/>
        <v>1636882.2255305273</v>
      </c>
      <c r="R65" s="30">
        <f t="shared" si="5"/>
        <v>1580852</v>
      </c>
      <c r="S65" s="53">
        <f t="shared" si="6"/>
        <v>1.1294396034581686</v>
      </c>
      <c r="T65" s="54">
        <v>1.1294390000000001</v>
      </c>
      <c r="U65" s="55">
        <f t="shared" si="7"/>
        <v>6.0345816854656675E-7</v>
      </c>
      <c r="V65" s="53">
        <f t="shared" si="8"/>
        <v>1.1205929289625938</v>
      </c>
      <c r="W65" s="53">
        <f t="shared" si="9"/>
        <v>1.0789748383536182</v>
      </c>
      <c r="X65" s="54">
        <v>1.078975</v>
      </c>
      <c r="Y65" s="55">
        <f t="shared" si="10"/>
        <v>-1.6164638183546742E-7</v>
      </c>
      <c r="Z65" s="29">
        <f t="shared" si="11"/>
        <v>-7054913.8928446043</v>
      </c>
      <c r="AA65" s="23">
        <f t="shared" si="12"/>
        <v>-1499648.9721430149</v>
      </c>
    </row>
    <row r="66" spans="1:27" x14ac:dyDescent="0.2">
      <c r="A66" s="27" t="s">
        <v>279</v>
      </c>
      <c r="B66" s="27" t="s">
        <v>155</v>
      </c>
      <c r="C66" s="27" t="s">
        <v>79</v>
      </c>
      <c r="D66" s="51">
        <v>8113343</v>
      </c>
      <c r="E66" s="51">
        <v>9125042</v>
      </c>
      <c r="F66" s="45">
        <v>8113343</v>
      </c>
      <c r="G66" s="27" t="s">
        <v>280</v>
      </c>
      <c r="H66" s="51">
        <v>8066173</v>
      </c>
      <c r="I66" s="51">
        <v>8623233</v>
      </c>
      <c r="J66" s="45">
        <v>8066173</v>
      </c>
      <c r="K66" s="27" t="s">
        <v>281</v>
      </c>
      <c r="L66" s="45">
        <v>16951555897</v>
      </c>
      <c r="M66" s="27" t="str">
        <f t="shared" si="0"/>
        <v>2026-01|FGP segunda parte (30%)</v>
      </c>
      <c r="N66" s="52">
        <f t="shared" si="1"/>
        <v>1.1246957018826889</v>
      </c>
      <c r="O66" s="52">
        <f t="shared" si="2"/>
        <v>1.0690612512278128</v>
      </c>
      <c r="P66" s="30">
        <f t="shared" si="3"/>
        <v>9125042</v>
      </c>
      <c r="Q66" s="30">
        <f t="shared" si="4"/>
        <v>8673660.619220417</v>
      </c>
      <c r="R66" s="30">
        <f t="shared" si="5"/>
        <v>8623233</v>
      </c>
      <c r="S66" s="53">
        <f t="shared" si="6"/>
        <v>6.1487754084508257</v>
      </c>
      <c r="T66" s="54">
        <v>6.1487749999999997</v>
      </c>
      <c r="U66" s="55">
        <f t="shared" si="7"/>
        <v>4.0845082605045491E-7</v>
      </c>
      <c r="V66" s="53">
        <f t="shared" si="8"/>
        <v>5.9378998724049881</v>
      </c>
      <c r="W66" s="53">
        <f t="shared" si="9"/>
        <v>5.8855929791407338</v>
      </c>
      <c r="X66" s="54">
        <v>5.8855930000000001</v>
      </c>
      <c r="Y66" s="55">
        <f t="shared" si="10"/>
        <v>-2.0859266314232627E-8</v>
      </c>
      <c r="Z66" s="29">
        <f t="shared" si="11"/>
        <v>-8866832.2496741973</v>
      </c>
      <c r="AA66" s="23">
        <f t="shared" si="12"/>
        <v>-35746684.365908556</v>
      </c>
    </row>
    <row r="67" spans="1:27" x14ac:dyDescent="0.2">
      <c r="A67" s="27" t="s">
        <v>279</v>
      </c>
      <c r="B67" s="27" t="s">
        <v>155</v>
      </c>
      <c r="C67" s="27" t="s">
        <v>80</v>
      </c>
      <c r="D67" s="51">
        <v>2402017</v>
      </c>
      <c r="E67" s="51">
        <v>2818464</v>
      </c>
      <c r="F67" s="45">
        <v>2402017</v>
      </c>
      <c r="G67" s="27" t="s">
        <v>280</v>
      </c>
      <c r="H67" s="51">
        <v>2456821</v>
      </c>
      <c r="I67" s="51">
        <v>2722907</v>
      </c>
      <c r="J67" s="45">
        <v>2456821</v>
      </c>
      <c r="K67" s="27" t="s">
        <v>281</v>
      </c>
      <c r="L67" s="45">
        <v>16951555897</v>
      </c>
      <c r="M67" s="27" t="str">
        <f t="shared" si="0"/>
        <v>2026-01|FGP segunda parte (30%)</v>
      </c>
      <c r="N67" s="52">
        <f t="shared" si="1"/>
        <v>1.1733738770375064</v>
      </c>
      <c r="O67" s="52">
        <f t="shared" si="2"/>
        <v>1.108305000649213</v>
      </c>
      <c r="P67" s="30">
        <f t="shared" si="3"/>
        <v>2818464</v>
      </c>
      <c r="Q67" s="30">
        <f t="shared" si="4"/>
        <v>2662167.4527444206</v>
      </c>
      <c r="R67" s="30">
        <f t="shared" si="5"/>
        <v>2722907</v>
      </c>
      <c r="S67" s="53">
        <f t="shared" si="6"/>
        <v>1.8991805333941421</v>
      </c>
      <c r="T67" s="54">
        <v>1.899181</v>
      </c>
      <c r="U67" s="55">
        <f t="shared" si="7"/>
        <v>-4.6660585795166298E-7</v>
      </c>
      <c r="V67" s="53">
        <f t="shared" si="8"/>
        <v>1.8224927711539389</v>
      </c>
      <c r="W67" s="53">
        <f t="shared" si="9"/>
        <v>1.8584586920071806</v>
      </c>
      <c r="X67" s="54">
        <v>1.8584590000000001</v>
      </c>
      <c r="Y67" s="55">
        <f t="shared" si="10"/>
        <v>-3.0799281947047064E-7</v>
      </c>
      <c r="Z67" s="29">
        <f t="shared" si="11"/>
        <v>6096783.1773080435</v>
      </c>
      <c r="AA67" s="23">
        <f t="shared" si="12"/>
        <v>-12999768.882306492</v>
      </c>
    </row>
    <row r="68" spans="1:27" x14ac:dyDescent="0.2">
      <c r="A68" s="27" t="s">
        <v>279</v>
      </c>
      <c r="B68" s="27" t="s">
        <v>155</v>
      </c>
      <c r="C68" s="27" t="s">
        <v>81</v>
      </c>
      <c r="D68" s="51">
        <v>1695685</v>
      </c>
      <c r="E68" s="51">
        <v>1784428</v>
      </c>
      <c r="F68" s="45">
        <v>1695685</v>
      </c>
      <c r="G68" s="27" t="s">
        <v>280</v>
      </c>
      <c r="H68" s="51">
        <v>1689186</v>
      </c>
      <c r="I68" s="51">
        <v>1865255</v>
      </c>
      <c r="J68" s="45">
        <v>1689186</v>
      </c>
      <c r="K68" s="27" t="s">
        <v>281</v>
      </c>
      <c r="L68" s="45">
        <v>16951555897</v>
      </c>
      <c r="M68" s="27" t="str">
        <f t="shared" si="0"/>
        <v>2026-01|FGP segunda parte (30%)</v>
      </c>
      <c r="N68" s="52">
        <f t="shared" si="1"/>
        <v>1.0523346022403925</v>
      </c>
      <c r="O68" s="52">
        <f t="shared" si="2"/>
        <v>1.1042330447919886</v>
      </c>
      <c r="P68" s="30">
        <f t="shared" si="3"/>
        <v>1784428</v>
      </c>
      <c r="Q68" s="30">
        <f t="shared" si="4"/>
        <v>1872431.4105581031</v>
      </c>
      <c r="R68" s="30">
        <f t="shared" si="5"/>
        <v>1865255</v>
      </c>
      <c r="S68" s="53">
        <f t="shared" si="6"/>
        <v>1.2024105757048669</v>
      </c>
      <c r="T68" s="54">
        <v>1.20241</v>
      </c>
      <c r="U68" s="55">
        <f t="shared" si="7"/>
        <v>5.7570486688973688E-7</v>
      </c>
      <c r="V68" s="53">
        <f t="shared" si="8"/>
        <v>1.2818475061385743</v>
      </c>
      <c r="W68" s="53">
        <f t="shared" si="9"/>
        <v>1.273087684434266</v>
      </c>
      <c r="X68" s="54">
        <v>1.273088</v>
      </c>
      <c r="Y68" s="55">
        <f t="shared" si="10"/>
        <v>-3.1556573398816568E-7</v>
      </c>
      <c r="Z68" s="29">
        <f t="shared" si="11"/>
        <v>-1484926.0726833653</v>
      </c>
      <c r="AA68" s="23">
        <f t="shared" si="12"/>
        <v>13465795.665330926</v>
      </c>
    </row>
    <row r="69" spans="1:27" x14ac:dyDescent="0.2">
      <c r="A69" s="27" t="s">
        <v>279</v>
      </c>
      <c r="B69" s="27" t="s">
        <v>157</v>
      </c>
      <c r="C69" s="27" t="s">
        <v>50</v>
      </c>
      <c r="D69" s="51">
        <v>5384140862</v>
      </c>
      <c r="F69" s="45">
        <v>1503564</v>
      </c>
      <c r="G69" s="27" t="s">
        <v>280</v>
      </c>
      <c r="H69" s="51">
        <v>5999239609</v>
      </c>
      <c r="J69" s="45">
        <v>1531396</v>
      </c>
      <c r="K69" s="27" t="s">
        <v>281</v>
      </c>
      <c r="L69" s="45">
        <v>5650518632</v>
      </c>
      <c r="M69" s="27" t="str">
        <f t="shared" ref="M69:M132" si="13">A69&amp;"|"&amp;B69</f>
        <v>2026-01|FGP tercera parte (10%)</v>
      </c>
      <c r="N69" s="52">
        <f t="shared" ref="N69:N132" si="14">IF(E69="",D69,E69/D69)</f>
        <v>5384140862</v>
      </c>
      <c r="O69" s="52">
        <f t="shared" ref="O69:O132" si="15">IF(I69="",H69,I69/H69)</f>
        <v>5999239609</v>
      </c>
      <c r="P69" s="30">
        <f t="shared" ref="P69:P132" si="16">N69*F69</f>
        <v>8095400371032168</v>
      </c>
      <c r="Q69" s="30">
        <f t="shared" ref="Q69:Q132" si="17">O69*F69</f>
        <v>9020240703466476</v>
      </c>
      <c r="R69" s="30">
        <f t="shared" ref="R69:R132" si="18">O69*J69</f>
        <v>9187211540264164</v>
      </c>
      <c r="S69" s="53">
        <f t="shared" ref="S69:S132" si="19">P69/SUMIFS($P$5:$P$516,$M$5:$M$516,M69)*100</f>
        <v>0.25064005647280846</v>
      </c>
      <c r="T69" s="54">
        <v>0.25063999999999997</v>
      </c>
      <c r="U69" s="55">
        <f t="shared" ref="U69:U132" si="20">S69-T69</f>
        <v>5.647280848508629E-8</v>
      </c>
      <c r="V69" s="53">
        <f t="shared" ref="V69:V132" si="21">Q69/SUMIFS($Q$5:$Q$516,$M$5:$M$516,M69)*100</f>
        <v>0.24627694632460337</v>
      </c>
      <c r="W69" s="53">
        <f t="shared" ref="W69:W132" si="22">R69/SUMIFS($R$5:$R$516,$M$5:$M$516,M69)*100</f>
        <v>0.25028246893387673</v>
      </c>
      <c r="X69" s="54">
        <v>0.250282</v>
      </c>
      <c r="Y69" s="55">
        <f t="shared" ref="Y69:Y132" si="23">W69-X69</f>
        <v>4.68933876729416E-7</v>
      </c>
      <c r="Z69" s="29">
        <f t="shared" ref="Z69:Z132" si="24">(W69-V69)/100*L69</f>
        <v>226332.80134596408</v>
      </c>
      <c r="AA69" s="23">
        <f t="shared" ref="AA69:AA132" si="25">(V69-S69)/100*L69</f>
        <v>-246538.35185901143</v>
      </c>
    </row>
    <row r="70" spans="1:27" x14ac:dyDescent="0.2">
      <c r="A70" s="27" t="s">
        <v>279</v>
      </c>
      <c r="B70" s="27" t="s">
        <v>157</v>
      </c>
      <c r="C70" s="27" t="s">
        <v>51</v>
      </c>
      <c r="D70" s="51">
        <v>29484012362</v>
      </c>
      <c r="F70" s="45">
        <v>3778283</v>
      </c>
      <c r="G70" s="27" t="s">
        <v>280</v>
      </c>
      <c r="H70" s="51">
        <v>32050362891</v>
      </c>
      <c r="J70" s="45">
        <v>3830329</v>
      </c>
      <c r="K70" s="27" t="s">
        <v>281</v>
      </c>
      <c r="L70" s="45">
        <v>5650518632</v>
      </c>
      <c r="M70" s="27" t="str">
        <f t="shared" si="13"/>
        <v>2026-01|FGP tercera parte (10%)</v>
      </c>
      <c r="N70" s="52">
        <f t="shared" si="14"/>
        <v>29484012362</v>
      </c>
      <c r="O70" s="52">
        <f t="shared" si="15"/>
        <v>32050362891</v>
      </c>
      <c r="P70" s="30">
        <f t="shared" si="16"/>
        <v>1.1139894267913445E+17</v>
      </c>
      <c r="Q70" s="30">
        <f t="shared" si="17"/>
        <v>1.2109534125489616E+17</v>
      </c>
      <c r="R70" s="30">
        <f t="shared" si="18"/>
        <v>1.2276343444192114E+17</v>
      </c>
      <c r="S70" s="53">
        <f t="shared" si="19"/>
        <v>3.4490001734836331</v>
      </c>
      <c r="T70" s="54">
        <v>3.4489999999999998</v>
      </c>
      <c r="U70" s="55">
        <f t="shared" si="20"/>
        <v>1.7348363323677063E-7</v>
      </c>
      <c r="V70" s="53">
        <f t="shared" si="21"/>
        <v>3.3062300484875773</v>
      </c>
      <c r="W70" s="53">
        <f t="shared" si="22"/>
        <v>3.3443809726452294</v>
      </c>
      <c r="X70" s="54">
        <v>3.3443809999999998</v>
      </c>
      <c r="Y70" s="55">
        <f t="shared" si="23"/>
        <v>-2.7354770448795307E-8</v>
      </c>
      <c r="Z70" s="29">
        <f t="shared" si="24"/>
        <v>2155725.0778083201</v>
      </c>
      <c r="AA70" s="23">
        <f t="shared" si="25"/>
        <v>-8067252.5138318213</v>
      </c>
    </row>
    <row r="71" spans="1:27" x14ac:dyDescent="0.2">
      <c r="A71" s="27" t="s">
        <v>279</v>
      </c>
      <c r="B71" s="27" t="s">
        <v>157</v>
      </c>
      <c r="C71" s="27" t="s">
        <v>52</v>
      </c>
      <c r="D71" s="51">
        <v>5736083240</v>
      </c>
      <c r="F71" s="45">
        <v>881164</v>
      </c>
      <c r="G71" s="27" t="s">
        <v>280</v>
      </c>
      <c r="H71" s="51">
        <v>6240882605</v>
      </c>
      <c r="J71" s="45">
        <v>928591</v>
      </c>
      <c r="K71" s="27" t="s">
        <v>281</v>
      </c>
      <c r="L71" s="45">
        <v>5650518632</v>
      </c>
      <c r="M71" s="27" t="str">
        <f t="shared" si="13"/>
        <v>2026-01|FGP tercera parte (10%)</v>
      </c>
      <c r="N71" s="52">
        <f t="shared" si="14"/>
        <v>5736083240</v>
      </c>
      <c r="O71" s="52">
        <f t="shared" si="15"/>
        <v>6240882605</v>
      </c>
      <c r="P71" s="30">
        <f t="shared" si="16"/>
        <v>5054430052091360</v>
      </c>
      <c r="Q71" s="30">
        <f t="shared" si="17"/>
        <v>5499241079752220</v>
      </c>
      <c r="R71" s="30">
        <f t="shared" si="18"/>
        <v>5795227419059555</v>
      </c>
      <c r="S71" s="53">
        <f t="shared" si="19"/>
        <v>0.15648918838247844</v>
      </c>
      <c r="T71" s="54">
        <v>0.15648899999999999</v>
      </c>
      <c r="U71" s="55">
        <f t="shared" si="20"/>
        <v>1.8838247844987777E-7</v>
      </c>
      <c r="V71" s="53">
        <f t="shared" si="21"/>
        <v>0.15014414190784511</v>
      </c>
      <c r="W71" s="53">
        <f t="shared" si="22"/>
        <v>0.15787639373696388</v>
      </c>
      <c r="X71" s="54">
        <v>0.15787599999999999</v>
      </c>
      <c r="Y71" s="55">
        <f t="shared" si="23"/>
        <v>3.9373696389399804E-7</v>
      </c>
      <c r="Z71" s="29">
        <f t="shared" si="24"/>
        <v>436912.33027751686</v>
      </c>
      <c r="AA71" s="23">
        <f t="shared" si="25"/>
        <v>-358528.03325821518</v>
      </c>
    </row>
    <row r="72" spans="1:27" x14ac:dyDescent="0.2">
      <c r="A72" s="27" t="s">
        <v>279</v>
      </c>
      <c r="B72" s="27" t="s">
        <v>157</v>
      </c>
      <c r="C72" s="27" t="s">
        <v>53</v>
      </c>
      <c r="D72" s="51">
        <v>3605167152</v>
      </c>
      <c r="F72" s="45">
        <v>925978</v>
      </c>
      <c r="G72" s="27" t="s">
        <v>280</v>
      </c>
      <c r="H72" s="51">
        <v>3313630825</v>
      </c>
      <c r="J72" s="45">
        <v>935371</v>
      </c>
      <c r="K72" s="27" t="s">
        <v>281</v>
      </c>
      <c r="L72" s="45">
        <v>5650518632</v>
      </c>
      <c r="M72" s="27" t="str">
        <f t="shared" si="13"/>
        <v>2026-01|FGP tercera parte (10%)</v>
      </c>
      <c r="N72" s="52">
        <f t="shared" si="14"/>
        <v>3605167152</v>
      </c>
      <c r="O72" s="52">
        <f t="shared" si="15"/>
        <v>3313630825</v>
      </c>
      <c r="P72" s="30">
        <f t="shared" si="16"/>
        <v>3338305469074656</v>
      </c>
      <c r="Q72" s="30">
        <f t="shared" si="17"/>
        <v>3068349244071850</v>
      </c>
      <c r="R72" s="30">
        <f t="shared" si="18"/>
        <v>3099474178411075</v>
      </c>
      <c r="S72" s="53">
        <f t="shared" si="19"/>
        <v>0.10335660164336948</v>
      </c>
      <c r="T72" s="54">
        <v>0.103357</v>
      </c>
      <c r="U72" s="55">
        <f t="shared" si="20"/>
        <v>-3.9835663052933956E-7</v>
      </c>
      <c r="V72" s="53">
        <f t="shared" si="21"/>
        <v>8.3774225869274077E-2</v>
      </c>
      <c r="W72" s="53">
        <f t="shared" si="22"/>
        <v>8.4437377584016926E-2</v>
      </c>
      <c r="X72" s="54">
        <v>8.4436999999999998E-2</v>
      </c>
      <c r="Y72" s="55">
        <f t="shared" si="23"/>
        <v>3.775840169278899E-7</v>
      </c>
      <c r="Z72" s="29">
        <f t="shared" si="24"/>
        <v>37471.51119997217</v>
      </c>
      <c r="AA72" s="23">
        <f t="shared" si="25"/>
        <v>-1106505.7917035148</v>
      </c>
    </row>
    <row r="73" spans="1:27" x14ac:dyDescent="0.2">
      <c r="A73" s="27" t="s">
        <v>279</v>
      </c>
      <c r="B73" s="27" t="s">
        <v>157</v>
      </c>
      <c r="C73" s="27" t="s">
        <v>54</v>
      </c>
      <c r="D73" s="51">
        <v>13249731591</v>
      </c>
      <c r="F73" s="45">
        <v>3452989</v>
      </c>
      <c r="G73" s="27" t="s">
        <v>280</v>
      </c>
      <c r="H73" s="51">
        <v>16399735233</v>
      </c>
      <c r="J73" s="45">
        <v>3590747</v>
      </c>
      <c r="K73" s="27" t="s">
        <v>281</v>
      </c>
      <c r="L73" s="45">
        <v>5650518632</v>
      </c>
      <c r="M73" s="27" t="str">
        <f t="shared" si="13"/>
        <v>2026-01|FGP tercera parte (10%)</v>
      </c>
      <c r="N73" s="52">
        <f t="shared" si="14"/>
        <v>13249731591</v>
      </c>
      <c r="O73" s="52">
        <f t="shared" si="15"/>
        <v>16399735233</v>
      </c>
      <c r="P73" s="30">
        <f t="shared" si="16"/>
        <v>4.5751177436675496E+16</v>
      </c>
      <c r="Q73" s="30">
        <f t="shared" si="17"/>
        <v>5.662810536246144E+16</v>
      </c>
      <c r="R73" s="30">
        <f t="shared" si="18"/>
        <v>5.8887300088689048E+16</v>
      </c>
      <c r="S73" s="53">
        <f t="shared" si="19"/>
        <v>1.4164929677176386</v>
      </c>
      <c r="T73" s="54">
        <v>1.416493</v>
      </c>
      <c r="U73" s="55">
        <f t="shared" si="20"/>
        <v>-3.2282361450697294E-8</v>
      </c>
      <c r="V73" s="53">
        <f t="shared" si="21"/>
        <v>1.5461003007885787</v>
      </c>
      <c r="W73" s="53">
        <f t="shared" si="22"/>
        <v>1.6042363660022367</v>
      </c>
      <c r="X73" s="54">
        <v>1.604236</v>
      </c>
      <c r="Y73" s="55">
        <f t="shared" si="23"/>
        <v>3.6600223674021493E-7</v>
      </c>
      <c r="Z73" s="29">
        <f t="shared" si="24"/>
        <v>3284989.1968094157</v>
      </c>
      <c r="AA73" s="23">
        <f t="shared" si="25"/>
        <v>7323486.5036117733</v>
      </c>
    </row>
    <row r="74" spans="1:27" x14ac:dyDescent="0.2">
      <c r="A74" s="27" t="s">
        <v>279</v>
      </c>
      <c r="B74" s="27" t="s">
        <v>157</v>
      </c>
      <c r="C74" s="27" t="s">
        <v>55</v>
      </c>
      <c r="D74" s="51">
        <v>2781620079</v>
      </c>
      <c r="F74" s="45">
        <v>728776</v>
      </c>
      <c r="G74" s="27" t="s">
        <v>280</v>
      </c>
      <c r="H74" s="51">
        <v>3126852128</v>
      </c>
      <c r="J74" s="45">
        <v>762355</v>
      </c>
      <c r="K74" s="27" t="s">
        <v>281</v>
      </c>
      <c r="L74" s="45">
        <v>5650518632</v>
      </c>
      <c r="M74" s="27" t="str">
        <f t="shared" si="13"/>
        <v>2026-01|FGP tercera parte (10%)</v>
      </c>
      <c r="N74" s="52">
        <f t="shared" si="14"/>
        <v>2781620079</v>
      </c>
      <c r="O74" s="52">
        <f t="shared" si="15"/>
        <v>3126852128</v>
      </c>
      <c r="P74" s="30">
        <f t="shared" si="16"/>
        <v>2027177954693304</v>
      </c>
      <c r="Q74" s="30">
        <f t="shared" si="17"/>
        <v>2278774786435328</v>
      </c>
      <c r="R74" s="30">
        <f t="shared" si="18"/>
        <v>2383771354041440</v>
      </c>
      <c r="S74" s="53">
        <f t="shared" si="19"/>
        <v>6.2763047379703618E-2</v>
      </c>
      <c r="T74" s="54">
        <v>6.2762999999999999E-2</v>
      </c>
      <c r="U74" s="55">
        <f t="shared" si="20"/>
        <v>4.7379703618788405E-8</v>
      </c>
      <c r="V74" s="53">
        <f t="shared" si="21"/>
        <v>6.2216709532941838E-2</v>
      </c>
      <c r="W74" s="53">
        <f t="shared" si="22"/>
        <v>6.4939854410513254E-2</v>
      </c>
      <c r="X74" s="54">
        <v>6.4939999999999998E-2</v>
      </c>
      <c r="Y74" s="55">
        <f t="shared" si="23"/>
        <v>-1.4558948674414651E-7</v>
      </c>
      <c r="Z74" s="29">
        <f t="shared" si="24"/>
        <v>153871.80868352641</v>
      </c>
      <c r="AA74" s="23">
        <f t="shared" si="25"/>
        <v>-30870.921824941965</v>
      </c>
    </row>
    <row r="75" spans="1:27" x14ac:dyDescent="0.2">
      <c r="A75" s="27" t="s">
        <v>279</v>
      </c>
      <c r="B75" s="27" t="s">
        <v>157</v>
      </c>
      <c r="C75" s="27" t="s">
        <v>56</v>
      </c>
      <c r="D75" s="51">
        <v>5216080441</v>
      </c>
      <c r="F75" s="45">
        <v>5975155</v>
      </c>
      <c r="G75" s="27" t="s">
        <v>280</v>
      </c>
      <c r="H75" s="51">
        <v>8053623880</v>
      </c>
      <c r="J75" s="45">
        <v>5891372</v>
      </c>
      <c r="K75" s="27" t="s">
        <v>281</v>
      </c>
      <c r="L75" s="45">
        <v>5650518632</v>
      </c>
      <c r="M75" s="27" t="str">
        <f t="shared" si="13"/>
        <v>2026-01|FGP tercera parte (10%)</v>
      </c>
      <c r="N75" s="52">
        <f t="shared" si="14"/>
        <v>5216080441</v>
      </c>
      <c r="O75" s="52">
        <f t="shared" si="15"/>
        <v>8053623880</v>
      </c>
      <c r="P75" s="30">
        <f t="shared" si="16"/>
        <v>3.1166889127443356E+16</v>
      </c>
      <c r="Q75" s="30">
        <f t="shared" si="17"/>
        <v>4.81216509947014E+16</v>
      </c>
      <c r="R75" s="30">
        <f t="shared" si="18"/>
        <v>4.744689422516336E+16</v>
      </c>
      <c r="S75" s="53">
        <f t="shared" si="19"/>
        <v>0.96495176185932996</v>
      </c>
      <c r="T75" s="54">
        <v>0.96495200000000003</v>
      </c>
      <c r="U75" s="55">
        <f t="shared" si="20"/>
        <v>-2.3814067007243978E-7</v>
      </c>
      <c r="V75" s="53">
        <f t="shared" si="21"/>
        <v>1.3138511098178276</v>
      </c>
      <c r="W75" s="53">
        <f t="shared" si="22"/>
        <v>1.292571285408427</v>
      </c>
      <c r="X75" s="54">
        <v>1.2925709999999999</v>
      </c>
      <c r="Y75" s="55">
        <f t="shared" si="23"/>
        <v>2.8540842711421988E-7</v>
      </c>
      <c r="Z75" s="29">
        <f t="shared" si="24"/>
        <v>-1202420.4431100632</v>
      </c>
      <c r="AA75" s="23">
        <f t="shared" si="25"/>
        <v>19714622.663321421</v>
      </c>
    </row>
    <row r="76" spans="1:27" x14ac:dyDescent="0.2">
      <c r="A76" s="27" t="s">
        <v>279</v>
      </c>
      <c r="B76" s="27" t="s">
        <v>157</v>
      </c>
      <c r="C76" s="27" t="s">
        <v>57</v>
      </c>
      <c r="D76" s="51">
        <v>28092470321</v>
      </c>
      <c r="F76" s="45">
        <v>3976037</v>
      </c>
      <c r="G76" s="27" t="s">
        <v>280</v>
      </c>
      <c r="H76" s="51">
        <v>29378013855</v>
      </c>
      <c r="J76" s="45">
        <v>4015493</v>
      </c>
      <c r="K76" s="27" t="s">
        <v>281</v>
      </c>
      <c r="L76" s="45">
        <v>5650518632</v>
      </c>
      <c r="M76" s="27" t="str">
        <f t="shared" si="13"/>
        <v>2026-01|FGP tercera parte (10%)</v>
      </c>
      <c r="N76" s="52">
        <f t="shared" si="14"/>
        <v>28092470321</v>
      </c>
      <c r="O76" s="52">
        <f t="shared" si="15"/>
        <v>29378013855</v>
      </c>
      <c r="P76" s="30">
        <f t="shared" si="16"/>
        <v>1.1169670141769787E+17</v>
      </c>
      <c r="Q76" s="30">
        <f t="shared" si="17"/>
        <v>1.1680807007399264E+17</v>
      </c>
      <c r="R76" s="30">
        <f t="shared" si="18"/>
        <v>1.1796720898865552E+17</v>
      </c>
      <c r="S76" s="53">
        <f t="shared" si="19"/>
        <v>3.4582190216725204</v>
      </c>
      <c r="T76" s="54">
        <v>3.4582190000000002</v>
      </c>
      <c r="U76" s="55">
        <f t="shared" si="20"/>
        <v>2.1672520222892899E-8</v>
      </c>
      <c r="V76" s="53">
        <f t="shared" si="21"/>
        <v>3.189175959887411</v>
      </c>
      <c r="W76" s="53">
        <f t="shared" si="22"/>
        <v>3.2137198745801787</v>
      </c>
      <c r="X76" s="54">
        <v>3.2137199999999999</v>
      </c>
      <c r="Y76" s="55">
        <f t="shared" si="23"/>
        <v>-1.2541982119529393E-7</v>
      </c>
      <c r="Z76" s="29">
        <f t="shared" si="24"/>
        <v>1386858.4727370264</v>
      </c>
      <c r="AA76" s="23">
        <f t="shared" si="25"/>
        <v>-15202328.334270878</v>
      </c>
    </row>
    <row r="77" spans="1:27" x14ac:dyDescent="0.2">
      <c r="A77" s="27" t="s">
        <v>279</v>
      </c>
      <c r="B77" s="27" t="s">
        <v>157</v>
      </c>
      <c r="C77" s="27" t="s">
        <v>58</v>
      </c>
      <c r="D77" s="51">
        <v>83248412524</v>
      </c>
      <c r="F77" s="45">
        <v>9350964</v>
      </c>
      <c r="G77" s="27" t="s">
        <v>280</v>
      </c>
      <c r="H77" s="51">
        <v>103599810122</v>
      </c>
      <c r="J77" s="45">
        <v>9336468</v>
      </c>
      <c r="K77" s="27" t="s">
        <v>281</v>
      </c>
      <c r="L77" s="45">
        <v>5650518632</v>
      </c>
      <c r="M77" s="27" t="str">
        <f t="shared" si="13"/>
        <v>2026-01|FGP tercera parte (10%)</v>
      </c>
      <c r="N77" s="52">
        <f t="shared" si="14"/>
        <v>83248412524</v>
      </c>
      <c r="O77" s="52">
        <f t="shared" si="15"/>
        <v>103599810122</v>
      </c>
      <c r="P77" s="30">
        <f t="shared" si="16"/>
        <v>7.7845290856907315E+17</v>
      </c>
      <c r="Q77" s="30">
        <f t="shared" si="17"/>
        <v>9.687580948576576E+17</v>
      </c>
      <c r="R77" s="30">
        <f t="shared" si="18"/>
        <v>9.6725631201012915E+17</v>
      </c>
      <c r="S77" s="53">
        <f t="shared" si="19"/>
        <v>24.101523337047468</v>
      </c>
      <c r="T77" s="54">
        <v>24.101523</v>
      </c>
      <c r="U77" s="55">
        <f t="shared" si="20"/>
        <v>3.3704746726925805E-7</v>
      </c>
      <c r="V77" s="53">
        <f t="shared" si="21"/>
        <v>26.449713834919841</v>
      </c>
      <c r="W77" s="53">
        <f t="shared" si="22"/>
        <v>26.350465187482826</v>
      </c>
      <c r="X77" s="54">
        <v>26.350465</v>
      </c>
      <c r="Y77" s="55">
        <f t="shared" si="23"/>
        <v>1.8748282570868469E-7</v>
      </c>
      <c r="Z77" s="29">
        <f t="shared" si="24"/>
        <v>-5608063.315436542</v>
      </c>
      <c r="AA77" s="23">
        <f t="shared" si="25"/>
        <v>132684941.59713201</v>
      </c>
    </row>
    <row r="78" spans="1:27" x14ac:dyDescent="0.2">
      <c r="A78" s="27" t="s">
        <v>279</v>
      </c>
      <c r="B78" s="27" t="s">
        <v>157</v>
      </c>
      <c r="C78" s="27" t="s">
        <v>59</v>
      </c>
      <c r="D78" s="51">
        <v>5165207847</v>
      </c>
      <c r="F78" s="45">
        <v>1944614</v>
      </c>
      <c r="G78" s="27" t="s">
        <v>280</v>
      </c>
      <c r="H78" s="51">
        <v>5695831479</v>
      </c>
      <c r="J78" s="45">
        <v>1968132</v>
      </c>
      <c r="K78" s="27" t="s">
        <v>281</v>
      </c>
      <c r="L78" s="45">
        <v>5650518632</v>
      </c>
      <c r="M78" s="27" t="str">
        <f t="shared" si="13"/>
        <v>2026-01|FGP tercera parte (10%)</v>
      </c>
      <c r="N78" s="52">
        <f t="shared" si="14"/>
        <v>5165207847</v>
      </c>
      <c r="O78" s="52">
        <f t="shared" si="15"/>
        <v>5695831479</v>
      </c>
      <c r="P78" s="30">
        <f t="shared" si="16"/>
        <v>1.0044335492186058E+16</v>
      </c>
      <c r="Q78" s="30">
        <f t="shared" si="17"/>
        <v>1.1076193635704106E+16</v>
      </c>
      <c r="R78" s="30">
        <f t="shared" si="18"/>
        <v>1.1210148200427228E+16</v>
      </c>
      <c r="S78" s="53">
        <f t="shared" si="19"/>
        <v>0.31098064328007585</v>
      </c>
      <c r="T78" s="54">
        <v>0.31098100000000001</v>
      </c>
      <c r="U78" s="55">
        <f t="shared" si="20"/>
        <v>-3.5671992415498011E-7</v>
      </c>
      <c r="V78" s="53">
        <f t="shared" si="21"/>
        <v>0.3024100171132813</v>
      </c>
      <c r="W78" s="53">
        <f t="shared" si="22"/>
        <v>0.30539228975203375</v>
      </c>
      <c r="X78" s="54">
        <v>0.305392</v>
      </c>
      <c r="Y78" s="55">
        <f t="shared" si="23"/>
        <v>2.8975203375525282E-7</v>
      </c>
      <c r="Z78" s="29">
        <f t="shared" si="24"/>
        <v>168513.87110974512</v>
      </c>
      <c r="AA78" s="23">
        <f t="shared" si="25"/>
        <v>-484284.82843379339</v>
      </c>
    </row>
    <row r="79" spans="1:27" x14ac:dyDescent="0.2">
      <c r="A79" s="27" t="s">
        <v>279</v>
      </c>
      <c r="B79" s="27" t="s">
        <v>157</v>
      </c>
      <c r="C79" s="27" t="s">
        <v>60</v>
      </c>
      <c r="D79" s="51">
        <v>20656951459</v>
      </c>
      <c r="F79" s="45">
        <v>6345807</v>
      </c>
      <c r="G79" s="27" t="s">
        <v>280</v>
      </c>
      <c r="H79" s="51">
        <v>22628728014</v>
      </c>
      <c r="J79" s="45">
        <v>6402249</v>
      </c>
      <c r="K79" s="27" t="s">
        <v>281</v>
      </c>
      <c r="L79" s="45">
        <v>5650518632</v>
      </c>
      <c r="M79" s="27" t="str">
        <f t="shared" si="13"/>
        <v>2026-01|FGP tercera parte (10%)</v>
      </c>
      <c r="N79" s="52">
        <f t="shared" si="14"/>
        <v>20656951459</v>
      </c>
      <c r="O79" s="52">
        <f t="shared" si="15"/>
        <v>22628728014</v>
      </c>
      <c r="P79" s="30">
        <f t="shared" si="16"/>
        <v>1.3108502716718242E+17</v>
      </c>
      <c r="Q79" s="30">
        <f t="shared" si="17"/>
        <v>1.435975406323373E+17</v>
      </c>
      <c r="R79" s="30">
        <f t="shared" si="18"/>
        <v>1.4487475129890349E+17</v>
      </c>
      <c r="S79" s="53">
        <f t="shared" si="19"/>
        <v>4.0584970608109883</v>
      </c>
      <c r="T79" s="54">
        <v>4.058497</v>
      </c>
      <c r="U79" s="55">
        <f t="shared" si="20"/>
        <v>6.0810988244952568E-8</v>
      </c>
      <c r="V79" s="53">
        <f t="shared" si="21"/>
        <v>3.9206008984953709</v>
      </c>
      <c r="W79" s="53">
        <f t="shared" si="22"/>
        <v>3.9467481816825938</v>
      </c>
      <c r="X79" s="54">
        <v>3.9467479999999999</v>
      </c>
      <c r="Y79" s="55">
        <f t="shared" si="23"/>
        <v>1.816825938583122E-7</v>
      </c>
      <c r="Z79" s="29">
        <f t="shared" si="24"/>
        <v>1477457.1082558348</v>
      </c>
      <c r="AA79" s="23">
        <f t="shared" si="25"/>
        <v>-7791848.3444569251</v>
      </c>
    </row>
    <row r="80" spans="1:27" x14ac:dyDescent="0.2">
      <c r="A80" s="27" t="s">
        <v>279</v>
      </c>
      <c r="B80" s="27" t="s">
        <v>157</v>
      </c>
      <c r="C80" s="27" t="s">
        <v>61</v>
      </c>
      <c r="D80" s="51">
        <v>4116629127</v>
      </c>
      <c r="F80" s="45">
        <v>3606579</v>
      </c>
      <c r="G80" s="27" t="s">
        <v>280</v>
      </c>
      <c r="H80" s="51">
        <v>5343602918</v>
      </c>
      <c r="J80" s="45">
        <v>3569633</v>
      </c>
      <c r="K80" s="27" t="s">
        <v>281</v>
      </c>
      <c r="L80" s="45">
        <v>5650518632</v>
      </c>
      <c r="M80" s="27" t="str">
        <f t="shared" si="13"/>
        <v>2026-01|FGP tercera parte (10%)</v>
      </c>
      <c r="N80" s="52">
        <f t="shared" si="14"/>
        <v>4116629127</v>
      </c>
      <c r="O80" s="52">
        <f t="shared" si="15"/>
        <v>5343602918</v>
      </c>
      <c r="P80" s="30">
        <f t="shared" si="16"/>
        <v>1.4846948160226532E+16</v>
      </c>
      <c r="Q80" s="30">
        <f t="shared" si="17"/>
        <v>1.927212606839752E+16</v>
      </c>
      <c r="R80" s="30">
        <f t="shared" si="18"/>
        <v>1.9074701314989096E+16</v>
      </c>
      <c r="S80" s="53">
        <f t="shared" si="19"/>
        <v>0.45967336447543461</v>
      </c>
      <c r="T80" s="54">
        <v>0.459673</v>
      </c>
      <c r="U80" s="55">
        <f t="shared" si="20"/>
        <v>3.6447543461104459E-7</v>
      </c>
      <c r="V80" s="53">
        <f t="shared" si="21"/>
        <v>0.52618112014280627</v>
      </c>
      <c r="W80" s="53">
        <f t="shared" si="22"/>
        <v>0.51964225688815091</v>
      </c>
      <c r="X80" s="54">
        <v>0.51964200000000005</v>
      </c>
      <c r="Y80" s="55">
        <f t="shared" si="23"/>
        <v>2.5688815086244432E-7</v>
      </c>
      <c r="Z80" s="29">
        <f t="shared" si="24"/>
        <v>-369479.68652530259</v>
      </c>
      <c r="AA80" s="23">
        <f t="shared" si="25"/>
        <v>3758033.1257098718</v>
      </c>
    </row>
    <row r="81" spans="1:27" x14ac:dyDescent="0.2">
      <c r="A81" s="27" t="s">
        <v>279</v>
      </c>
      <c r="B81" s="27" t="s">
        <v>157</v>
      </c>
      <c r="C81" s="27" t="s">
        <v>62</v>
      </c>
      <c r="D81" s="51">
        <v>5796645284</v>
      </c>
      <c r="F81" s="45">
        <v>3248649</v>
      </c>
      <c r="G81" s="27" t="s">
        <v>280</v>
      </c>
      <c r="H81" s="51">
        <v>6359045350</v>
      </c>
      <c r="J81" s="45">
        <v>3215821</v>
      </c>
      <c r="K81" s="27" t="s">
        <v>281</v>
      </c>
      <c r="L81" s="45">
        <v>5650518632</v>
      </c>
      <c r="M81" s="27" t="str">
        <f t="shared" si="13"/>
        <v>2026-01|FGP tercera parte (10%)</v>
      </c>
      <c r="N81" s="52">
        <f t="shared" si="14"/>
        <v>5796645284</v>
      </c>
      <c r="O81" s="52">
        <f t="shared" si="15"/>
        <v>6359045350</v>
      </c>
      <c r="P81" s="30">
        <f t="shared" si="16"/>
        <v>1.8831265905221316E+16</v>
      </c>
      <c r="Q81" s="30">
        <f t="shared" si="17"/>
        <v>2.0658306317232152E+16</v>
      </c>
      <c r="R81" s="30">
        <f t="shared" si="18"/>
        <v>2.0449551576482352E+16</v>
      </c>
      <c r="S81" s="53">
        <f t="shared" si="19"/>
        <v>0.58303102176740862</v>
      </c>
      <c r="T81" s="54">
        <v>0.58303099999999997</v>
      </c>
      <c r="U81" s="55">
        <f t="shared" si="20"/>
        <v>2.176740865333926E-8</v>
      </c>
      <c r="V81" s="53">
        <f t="shared" si="21"/>
        <v>0.56402758676838949</v>
      </c>
      <c r="W81" s="53">
        <f t="shared" si="22"/>
        <v>0.55709659396886924</v>
      </c>
      <c r="X81" s="54">
        <v>0.55709699999999995</v>
      </c>
      <c r="Y81" s="55">
        <f t="shared" si="23"/>
        <v>-4.0603113071746577E-7</v>
      </c>
      <c r="Z81" s="29">
        <f t="shared" si="24"/>
        <v>-391637.0395194703</v>
      </c>
      <c r="AA81" s="23">
        <f t="shared" si="25"/>
        <v>-1073792.6353395851</v>
      </c>
    </row>
    <row r="82" spans="1:27" x14ac:dyDescent="0.2">
      <c r="A82" s="27" t="s">
        <v>279</v>
      </c>
      <c r="B82" s="27" t="s">
        <v>157</v>
      </c>
      <c r="C82" s="27" t="s">
        <v>63</v>
      </c>
      <c r="D82" s="51">
        <v>32342104929</v>
      </c>
      <c r="F82" s="45">
        <v>8739649</v>
      </c>
      <c r="G82" s="27" t="s">
        <v>280</v>
      </c>
      <c r="H82" s="51">
        <v>37400090365</v>
      </c>
      <c r="J82" s="45">
        <v>8750952</v>
      </c>
      <c r="K82" s="27" t="s">
        <v>281</v>
      </c>
      <c r="L82" s="45">
        <v>5650518632</v>
      </c>
      <c r="M82" s="27" t="str">
        <f t="shared" si="13"/>
        <v>2026-01|FGP tercera parte (10%)</v>
      </c>
      <c r="N82" s="52">
        <f t="shared" si="14"/>
        <v>32342104929</v>
      </c>
      <c r="O82" s="52">
        <f t="shared" si="15"/>
        <v>37400090365</v>
      </c>
      <c r="P82" s="30">
        <f t="shared" si="16"/>
        <v>2.8265864500062992E+17</v>
      </c>
      <c r="Q82" s="30">
        <f t="shared" si="17"/>
        <v>3.2686366235838189E+17</v>
      </c>
      <c r="R82" s="30">
        <f t="shared" si="18"/>
        <v>3.2728639557977747E+17</v>
      </c>
      <c r="S82" s="53">
        <f t="shared" si="19"/>
        <v>8.7513372407117362</v>
      </c>
      <c r="T82" s="54">
        <v>8.7513369999999995</v>
      </c>
      <c r="U82" s="55">
        <f t="shared" si="20"/>
        <v>2.4071173676531998E-7</v>
      </c>
      <c r="V82" s="53">
        <f t="shared" si="21"/>
        <v>8.9242612560397365</v>
      </c>
      <c r="W82" s="53">
        <f t="shared" si="22"/>
        <v>8.9160945924862034</v>
      </c>
      <c r="X82" s="54">
        <v>8.9160950000000003</v>
      </c>
      <c r="Y82" s="55">
        <f t="shared" si="23"/>
        <v>-4.0751379692949286E-7</v>
      </c>
      <c r="Z82" s="29">
        <f t="shared" si="24"/>
        <v>-461458.84570514265</v>
      </c>
      <c r="AA82" s="23">
        <f t="shared" si="25"/>
        <v>9771103.7053111922</v>
      </c>
    </row>
    <row r="83" spans="1:27" x14ac:dyDescent="0.2">
      <c r="A83" s="27" t="s">
        <v>279</v>
      </c>
      <c r="B83" s="27" t="s">
        <v>157</v>
      </c>
      <c r="C83" s="27" t="s">
        <v>64</v>
      </c>
      <c r="D83" s="51">
        <v>50154698531</v>
      </c>
      <c r="F83" s="45">
        <v>17788768</v>
      </c>
      <c r="G83" s="27" t="s">
        <v>280</v>
      </c>
      <c r="H83" s="51">
        <v>53147294196</v>
      </c>
      <c r="J83" s="45">
        <v>17753727</v>
      </c>
      <c r="K83" s="27" t="s">
        <v>281</v>
      </c>
      <c r="L83" s="45">
        <v>5650518632</v>
      </c>
      <c r="M83" s="27" t="str">
        <f t="shared" si="13"/>
        <v>2026-01|FGP tercera parte (10%)</v>
      </c>
      <c r="N83" s="52">
        <f t="shared" si="14"/>
        <v>50154698531</v>
      </c>
      <c r="O83" s="52">
        <f t="shared" si="15"/>
        <v>53147294196</v>
      </c>
      <c r="P83" s="30">
        <f t="shared" si="16"/>
        <v>8.9219029627789978E+17</v>
      </c>
      <c r="Q83" s="30">
        <f t="shared" si="17"/>
        <v>9.4542488628039053E+17</v>
      </c>
      <c r="R83" s="30">
        <f t="shared" si="18"/>
        <v>9.4356255194446848E+17</v>
      </c>
      <c r="S83" s="53">
        <f t="shared" si="19"/>
        <v>27.622923634976814</v>
      </c>
      <c r="T83" s="54">
        <v>27.622924000000001</v>
      </c>
      <c r="U83" s="55">
        <f t="shared" si="20"/>
        <v>-3.6502318678799384E-7</v>
      </c>
      <c r="V83" s="53">
        <f t="shared" si="21"/>
        <v>25.812654188146112</v>
      </c>
      <c r="W83" s="53">
        <f t="shared" si="22"/>
        <v>25.70498829369728</v>
      </c>
      <c r="X83" s="54">
        <v>25.704988</v>
      </c>
      <c r="Y83" s="55">
        <f t="shared" si="23"/>
        <v>2.9369727982953009E-7</v>
      </c>
      <c r="Z83" s="29">
        <f t="shared" si="24"/>
        <v>-6083681.4261407191</v>
      </c>
      <c r="AA83" s="23">
        <f t="shared" si="25"/>
        <v>-102289612.38257216</v>
      </c>
    </row>
    <row r="84" spans="1:27" x14ac:dyDescent="0.2">
      <c r="A84" s="27" t="s">
        <v>279</v>
      </c>
      <c r="B84" s="27" t="s">
        <v>157</v>
      </c>
      <c r="C84" s="27" t="s">
        <v>65</v>
      </c>
      <c r="D84" s="51">
        <v>9111204420</v>
      </c>
      <c r="F84" s="45">
        <v>4950874</v>
      </c>
      <c r="G84" s="27" t="s">
        <v>280</v>
      </c>
      <c r="H84" s="51">
        <v>9995352838</v>
      </c>
      <c r="J84" s="45">
        <v>4945881</v>
      </c>
      <c r="K84" s="27" t="s">
        <v>281</v>
      </c>
      <c r="L84" s="45">
        <v>5650518632</v>
      </c>
      <c r="M84" s="27" t="str">
        <f t="shared" si="13"/>
        <v>2026-01|FGP tercera parte (10%)</v>
      </c>
      <c r="N84" s="52">
        <f t="shared" si="14"/>
        <v>9111204420</v>
      </c>
      <c r="O84" s="52">
        <f t="shared" si="15"/>
        <v>9995352838</v>
      </c>
      <c r="P84" s="30">
        <f t="shared" si="16"/>
        <v>4.510842507166308E+16</v>
      </c>
      <c r="Q84" s="30">
        <f t="shared" si="17"/>
        <v>4.9485732486480416E+16</v>
      </c>
      <c r="R84" s="30">
        <f t="shared" si="18"/>
        <v>4.943582568976028E+16</v>
      </c>
      <c r="S84" s="53">
        <f t="shared" si="19"/>
        <v>1.3965928415124904</v>
      </c>
      <c r="T84" s="54">
        <v>1.396593</v>
      </c>
      <c r="U84" s="55">
        <f t="shared" si="20"/>
        <v>-1.5848750956060087E-7</v>
      </c>
      <c r="V84" s="53">
        <f t="shared" si="21"/>
        <v>1.3510942206589989</v>
      </c>
      <c r="W84" s="53">
        <f t="shared" si="22"/>
        <v>1.3467547202099375</v>
      </c>
      <c r="X84" s="54">
        <v>1.3467549999999999</v>
      </c>
      <c r="Y84" s="55">
        <f t="shared" si="23"/>
        <v>-2.7979006245182347E-7</v>
      </c>
      <c r="Z84" s="29">
        <f t="shared" si="24"/>
        <v>-245204.28140993783</v>
      </c>
      <c r="AA84" s="23">
        <f t="shared" si="25"/>
        <v>-2570908.0486295773</v>
      </c>
    </row>
    <row r="85" spans="1:27" x14ac:dyDescent="0.2">
      <c r="A85" s="27" t="s">
        <v>279</v>
      </c>
      <c r="B85" s="27" t="s">
        <v>157</v>
      </c>
      <c r="C85" s="27" t="s">
        <v>66</v>
      </c>
      <c r="D85" s="51">
        <v>4622484543</v>
      </c>
      <c r="F85" s="45">
        <v>1984308</v>
      </c>
      <c r="G85" s="27" t="s">
        <v>280</v>
      </c>
      <c r="H85" s="51">
        <v>5098806088</v>
      </c>
      <c r="J85" s="45">
        <v>1988503</v>
      </c>
      <c r="K85" s="27" t="s">
        <v>281</v>
      </c>
      <c r="L85" s="45">
        <v>5650518632</v>
      </c>
      <c r="M85" s="27" t="str">
        <f t="shared" si="13"/>
        <v>2026-01|FGP tercera parte (10%)</v>
      </c>
      <c r="N85" s="52">
        <f t="shared" si="14"/>
        <v>4622484543</v>
      </c>
      <c r="O85" s="52">
        <f t="shared" si="15"/>
        <v>5098806088</v>
      </c>
      <c r="P85" s="30">
        <f t="shared" si="16"/>
        <v>9172433058551244</v>
      </c>
      <c r="Q85" s="30">
        <f t="shared" si="17"/>
        <v>1.0117601710867104E+16</v>
      </c>
      <c r="R85" s="30">
        <f t="shared" si="18"/>
        <v>1.0138991202406264E+16</v>
      </c>
      <c r="S85" s="53">
        <f t="shared" si="19"/>
        <v>0.28398584806438898</v>
      </c>
      <c r="T85" s="54">
        <v>0.28398600000000002</v>
      </c>
      <c r="U85" s="55">
        <f t="shared" si="20"/>
        <v>-1.5193561103687969E-7</v>
      </c>
      <c r="V85" s="53">
        <f t="shared" si="21"/>
        <v>0.27623786719165494</v>
      </c>
      <c r="W85" s="53">
        <f t="shared" si="22"/>
        <v>0.27621131172561747</v>
      </c>
      <c r="X85" s="54">
        <v>0.27621099999999998</v>
      </c>
      <c r="Y85" s="55">
        <f t="shared" si="23"/>
        <v>3.1172561748560312E-7</v>
      </c>
      <c r="Z85" s="29">
        <f t="shared" si="24"/>
        <v>-1500.5215562616775</v>
      </c>
      <c r="AA85" s="23">
        <f t="shared" si="25"/>
        <v>-437801.10281763307</v>
      </c>
    </row>
    <row r="86" spans="1:27" x14ac:dyDescent="0.2">
      <c r="A86" s="27" t="s">
        <v>279</v>
      </c>
      <c r="B86" s="27" t="s">
        <v>157</v>
      </c>
      <c r="C86" s="27" t="s">
        <v>67</v>
      </c>
      <c r="D86" s="51">
        <v>3580532424</v>
      </c>
      <c r="F86" s="45">
        <v>1245276</v>
      </c>
      <c r="G86" s="27" t="s">
        <v>280</v>
      </c>
      <c r="H86" s="51">
        <v>4160780168</v>
      </c>
      <c r="J86" s="45">
        <v>1279298</v>
      </c>
      <c r="K86" s="27" t="s">
        <v>281</v>
      </c>
      <c r="L86" s="45">
        <v>5650518632</v>
      </c>
      <c r="M86" s="27" t="str">
        <f t="shared" si="13"/>
        <v>2026-01|FGP tercera parte (10%)</v>
      </c>
      <c r="N86" s="52">
        <f t="shared" si="14"/>
        <v>3580532424</v>
      </c>
      <c r="O86" s="52">
        <f t="shared" si="15"/>
        <v>4160780168</v>
      </c>
      <c r="P86" s="30">
        <f t="shared" si="16"/>
        <v>4458751094829024</v>
      </c>
      <c r="Q86" s="30">
        <f t="shared" si="17"/>
        <v>5181319684486368</v>
      </c>
      <c r="R86" s="30">
        <f t="shared" si="18"/>
        <v>5322877747362064</v>
      </c>
      <c r="S86" s="53">
        <f t="shared" si="19"/>
        <v>0.13804649245083059</v>
      </c>
      <c r="T86" s="54">
        <v>0.138046</v>
      </c>
      <c r="U86" s="55">
        <f t="shared" si="20"/>
        <v>4.9245083058591099E-7</v>
      </c>
      <c r="V86" s="53">
        <f t="shared" si="21"/>
        <v>0.14146402870784572</v>
      </c>
      <c r="W86" s="53">
        <f t="shared" si="22"/>
        <v>0.1450084150783213</v>
      </c>
      <c r="X86" s="54">
        <v>0.145008</v>
      </c>
      <c r="Y86" s="55">
        <f t="shared" si="23"/>
        <v>4.1507832129750177E-7</v>
      </c>
      <c r="Z86" s="29">
        <f t="shared" si="24"/>
        <v>200276.21225379105</v>
      </c>
      <c r="AA86" s="23">
        <f t="shared" si="25"/>
        <v>193108.52295799533</v>
      </c>
    </row>
    <row r="87" spans="1:27" x14ac:dyDescent="0.2">
      <c r="A87" s="27" t="s">
        <v>279</v>
      </c>
      <c r="B87" s="27" t="s">
        <v>157</v>
      </c>
      <c r="C87" s="27" t="s">
        <v>68</v>
      </c>
      <c r="D87" s="51">
        <v>40632791075</v>
      </c>
      <c r="F87" s="45">
        <v>6152311</v>
      </c>
      <c r="G87" s="27" t="s">
        <v>280</v>
      </c>
      <c r="H87" s="51">
        <v>44971267966</v>
      </c>
      <c r="J87" s="45">
        <v>6234433</v>
      </c>
      <c r="K87" s="27" t="s">
        <v>281</v>
      </c>
      <c r="L87" s="45">
        <v>5650518632</v>
      </c>
      <c r="M87" s="27" t="str">
        <f t="shared" si="13"/>
        <v>2026-01|FGP tercera parte (10%)</v>
      </c>
      <c r="N87" s="52">
        <f t="shared" si="14"/>
        <v>40632791075</v>
      </c>
      <c r="O87" s="52">
        <f t="shared" si="15"/>
        <v>44971267966</v>
      </c>
      <c r="P87" s="30">
        <f t="shared" si="16"/>
        <v>2.4998556749142432E+17</v>
      </c>
      <c r="Q87" s="30">
        <f t="shared" si="17"/>
        <v>2.7667722659116944E+17</v>
      </c>
      <c r="R87" s="30">
        <f t="shared" si="18"/>
        <v>2.8037035705907328E+17</v>
      </c>
      <c r="S87" s="53">
        <f t="shared" si="19"/>
        <v>7.739752684455425</v>
      </c>
      <c r="T87" s="54">
        <v>7.7397530000000003</v>
      </c>
      <c r="U87" s="55">
        <f t="shared" si="20"/>
        <v>-3.1554457535776237E-7</v>
      </c>
      <c r="V87" s="53">
        <f t="shared" si="21"/>
        <v>7.5540359423277552</v>
      </c>
      <c r="W87" s="53">
        <f t="shared" si="22"/>
        <v>7.6379851354331336</v>
      </c>
      <c r="X87" s="54">
        <v>7.6379849999999996</v>
      </c>
      <c r="Y87" s="55">
        <f t="shared" si="23"/>
        <v>1.3543313404085211E-7</v>
      </c>
      <c r="Z87" s="29">
        <f t="shared" si="24"/>
        <v>4743564.7978330664</v>
      </c>
      <c r="AA87" s="23">
        <f t="shared" si="25"/>
        <v>-10493959.116667373</v>
      </c>
    </row>
    <row r="88" spans="1:27" x14ac:dyDescent="0.2">
      <c r="A88" s="27" t="s">
        <v>279</v>
      </c>
      <c r="B88" s="27" t="s">
        <v>157</v>
      </c>
      <c r="C88" s="27" t="s">
        <v>69</v>
      </c>
      <c r="D88" s="51">
        <v>5023050899</v>
      </c>
      <c r="F88" s="45">
        <v>4232451</v>
      </c>
      <c r="G88" s="27" t="s">
        <v>280</v>
      </c>
      <c r="H88" s="51">
        <v>5676564891</v>
      </c>
      <c r="J88" s="45">
        <v>4178688</v>
      </c>
      <c r="K88" s="27" t="s">
        <v>281</v>
      </c>
      <c r="L88" s="45">
        <v>5650518632</v>
      </c>
      <c r="M88" s="27" t="str">
        <f t="shared" si="13"/>
        <v>2026-01|FGP tercera parte (10%)</v>
      </c>
      <c r="N88" s="52">
        <f t="shared" si="14"/>
        <v>5023050899</v>
      </c>
      <c r="O88" s="52">
        <f t="shared" si="15"/>
        <v>5676564891</v>
      </c>
      <c r="P88" s="30">
        <f t="shared" si="16"/>
        <v>2.1259816800523448E+16</v>
      </c>
      <c r="Q88" s="30">
        <f t="shared" si="17"/>
        <v>2.402578274947784E+16</v>
      </c>
      <c r="R88" s="30">
        <f t="shared" si="18"/>
        <v>2.3720593591243008E+16</v>
      </c>
      <c r="S88" s="53">
        <f t="shared" si="19"/>
        <v>0.65822089572641673</v>
      </c>
      <c r="T88" s="54">
        <v>0.65822099999999995</v>
      </c>
      <c r="U88" s="55">
        <f t="shared" si="20"/>
        <v>-1.0427358321241087E-7</v>
      </c>
      <c r="V88" s="53">
        <f t="shared" si="21"/>
        <v>0.65596879319704127</v>
      </c>
      <c r="W88" s="53">
        <f t="shared" si="22"/>
        <v>0.64620790569307918</v>
      </c>
      <c r="X88" s="54">
        <v>0.646208</v>
      </c>
      <c r="Y88" s="55">
        <f t="shared" si="23"/>
        <v>-9.4306920828124419E-8</v>
      </c>
      <c r="Z88" s="29">
        <f t="shared" si="24"/>
        <v>-551540.76705993759</v>
      </c>
      <c r="AA88" s="23">
        <f t="shared" si="25"/>
        <v>-127255.47303410398</v>
      </c>
    </row>
    <row r="89" spans="1:27" x14ac:dyDescent="0.2">
      <c r="A89" s="27" t="s">
        <v>279</v>
      </c>
      <c r="B89" s="27" t="s">
        <v>157</v>
      </c>
      <c r="C89" s="27" t="s">
        <v>70</v>
      </c>
      <c r="D89" s="51">
        <v>11122445539</v>
      </c>
      <c r="F89" s="45">
        <v>6629599</v>
      </c>
      <c r="G89" s="27" t="s">
        <v>280</v>
      </c>
      <c r="H89" s="51">
        <v>12070661710</v>
      </c>
      <c r="J89" s="45">
        <v>6638706</v>
      </c>
      <c r="K89" s="27" t="s">
        <v>281</v>
      </c>
      <c r="L89" s="45">
        <v>5650518632</v>
      </c>
      <c r="M89" s="27" t="str">
        <f t="shared" si="13"/>
        <v>2026-01|FGP tercera parte (10%)</v>
      </c>
      <c r="N89" s="52">
        <f t="shared" si="14"/>
        <v>11122445539</v>
      </c>
      <c r="O89" s="52">
        <f t="shared" si="15"/>
        <v>12070661710</v>
      </c>
      <c r="P89" s="30">
        <f t="shared" si="16"/>
        <v>7.3737353822908864E+16</v>
      </c>
      <c r="Q89" s="30">
        <f t="shared" si="17"/>
        <v>8.0023646801954288E+16</v>
      </c>
      <c r="R89" s="30">
        <f t="shared" si="18"/>
        <v>8.0133574318147264E+16</v>
      </c>
      <c r="S89" s="53">
        <f t="shared" si="19"/>
        <v>2.2829673245639528</v>
      </c>
      <c r="T89" s="54">
        <v>2.2829670000000002</v>
      </c>
      <c r="U89" s="55">
        <f t="shared" si="20"/>
        <v>3.2456395260282989E-7</v>
      </c>
      <c r="V89" s="53">
        <f t="shared" si="21"/>
        <v>2.1848618031412559</v>
      </c>
      <c r="W89" s="53">
        <f t="shared" si="22"/>
        <v>2.1830376645779852</v>
      </c>
      <c r="X89" s="54">
        <v>2.1830379999999998</v>
      </c>
      <c r="Y89" s="55">
        <f t="shared" si="23"/>
        <v>-3.3542201460790011E-7</v>
      </c>
      <c r="Z89" s="29">
        <f t="shared" si="24"/>
        <v>-103073.28939110704</v>
      </c>
      <c r="AA89" s="23">
        <f t="shared" si="25"/>
        <v>-5543470.7670102399</v>
      </c>
    </row>
    <row r="90" spans="1:27" x14ac:dyDescent="0.2">
      <c r="A90" s="27" t="s">
        <v>279</v>
      </c>
      <c r="B90" s="27" t="s">
        <v>157</v>
      </c>
      <c r="C90" s="27" t="s">
        <v>71</v>
      </c>
      <c r="D90" s="51">
        <v>15221679435</v>
      </c>
      <c r="F90" s="45">
        <v>2528745</v>
      </c>
      <c r="G90" s="27" t="s">
        <v>280</v>
      </c>
      <c r="H90" s="51">
        <v>16610144570</v>
      </c>
      <c r="J90" s="45">
        <v>2535155</v>
      </c>
      <c r="K90" s="27" t="s">
        <v>281</v>
      </c>
      <c r="L90" s="45">
        <v>5650518632</v>
      </c>
      <c r="M90" s="27" t="str">
        <f t="shared" si="13"/>
        <v>2026-01|FGP tercera parte (10%)</v>
      </c>
      <c r="N90" s="52">
        <f t="shared" si="14"/>
        <v>15221679435</v>
      </c>
      <c r="O90" s="52">
        <f t="shared" si="15"/>
        <v>16610144570</v>
      </c>
      <c r="P90" s="30">
        <f t="shared" si="16"/>
        <v>3.8491745762859072E+16</v>
      </c>
      <c r="Q90" s="30">
        <f t="shared" si="17"/>
        <v>4.2002820030664648E+16</v>
      </c>
      <c r="R90" s="30">
        <f t="shared" si="18"/>
        <v>4.2109291057358352E+16</v>
      </c>
      <c r="S90" s="53">
        <f t="shared" si="19"/>
        <v>1.1917351693020606</v>
      </c>
      <c r="T90" s="54">
        <v>1.191735</v>
      </c>
      <c r="U90" s="55">
        <f t="shared" si="20"/>
        <v>1.693020605930684E-7</v>
      </c>
      <c r="V90" s="53">
        <f t="shared" si="21"/>
        <v>1.1467904897702619</v>
      </c>
      <c r="W90" s="53">
        <f t="shared" si="22"/>
        <v>1.1471617132904102</v>
      </c>
      <c r="X90" s="54">
        <v>1.147162</v>
      </c>
      <c r="Y90" s="55">
        <f t="shared" si="23"/>
        <v>-2.8670958984733375E-7</v>
      </c>
      <c r="Z90" s="29">
        <f t="shared" si="24"/>
        <v>20976.054172345368</v>
      </c>
      <c r="AA90" s="23">
        <f t="shared" si="25"/>
        <v>-2539607.4910369762</v>
      </c>
    </row>
    <row r="91" spans="1:27" x14ac:dyDescent="0.2">
      <c r="A91" s="27" t="s">
        <v>279</v>
      </c>
      <c r="B91" s="27" t="s">
        <v>157</v>
      </c>
      <c r="C91" s="27" t="s">
        <v>72</v>
      </c>
      <c r="D91" s="51">
        <v>18124327099</v>
      </c>
      <c r="F91" s="45">
        <v>1905221</v>
      </c>
      <c r="G91" s="27" t="s">
        <v>280</v>
      </c>
      <c r="H91" s="51">
        <v>19369943128</v>
      </c>
      <c r="J91" s="45">
        <v>1975372</v>
      </c>
      <c r="K91" s="27" t="s">
        <v>281</v>
      </c>
      <c r="L91" s="45">
        <v>5650518632</v>
      </c>
      <c r="M91" s="27" t="str">
        <f t="shared" si="13"/>
        <v>2026-01|FGP tercera parte (10%)</v>
      </c>
      <c r="N91" s="52">
        <f t="shared" si="14"/>
        <v>18124327099</v>
      </c>
      <c r="O91" s="52">
        <f t="shared" si="15"/>
        <v>19369943128</v>
      </c>
      <c r="P91" s="30">
        <f t="shared" si="16"/>
        <v>3.453084859988388E+16</v>
      </c>
      <c r="Q91" s="30">
        <f t="shared" si="17"/>
        <v>3.6904022416271288E+16</v>
      </c>
      <c r="R91" s="30">
        <f t="shared" si="18"/>
        <v>3.8262843296643616E+16</v>
      </c>
      <c r="S91" s="53">
        <f t="shared" si="19"/>
        <v>1.0691026319215144</v>
      </c>
      <c r="T91" s="54">
        <v>1.0691029999999999</v>
      </c>
      <c r="U91" s="55">
        <f t="shared" si="20"/>
        <v>-3.6807848546871469E-7</v>
      </c>
      <c r="V91" s="53">
        <f t="shared" si="21"/>
        <v>1.0075795365728157</v>
      </c>
      <c r="W91" s="53">
        <f t="shared" si="22"/>
        <v>1.0423749193913348</v>
      </c>
      <c r="X91" s="54">
        <v>1.0423750000000001</v>
      </c>
      <c r="Y91" s="55">
        <f t="shared" si="23"/>
        <v>-8.0608665298242954E-8</v>
      </c>
      <c r="Z91" s="29">
        <f t="shared" si="24"/>
        <v>1966119.5892361437</v>
      </c>
      <c r="AA91" s="23">
        <f t="shared" si="25"/>
        <v>-3476373.965661346</v>
      </c>
    </row>
    <row r="92" spans="1:27" x14ac:dyDescent="0.2">
      <c r="A92" s="27" t="s">
        <v>279</v>
      </c>
      <c r="B92" s="27" t="s">
        <v>157</v>
      </c>
      <c r="C92" s="27" t="s">
        <v>73</v>
      </c>
      <c r="D92" s="51">
        <v>7487153499</v>
      </c>
      <c r="F92" s="45">
        <v>2885526</v>
      </c>
      <c r="G92" s="27" t="s">
        <v>280</v>
      </c>
      <c r="H92" s="51">
        <v>8859478216</v>
      </c>
      <c r="J92" s="45">
        <v>2951151</v>
      </c>
      <c r="K92" s="27" t="s">
        <v>281</v>
      </c>
      <c r="L92" s="45">
        <v>5650518632</v>
      </c>
      <c r="M92" s="27" t="str">
        <f t="shared" si="13"/>
        <v>2026-01|FGP tercera parte (10%)</v>
      </c>
      <c r="N92" s="52">
        <f t="shared" si="14"/>
        <v>7487153499</v>
      </c>
      <c r="O92" s="52">
        <f t="shared" si="15"/>
        <v>8859478216</v>
      </c>
      <c r="P92" s="30">
        <f t="shared" si="16"/>
        <v>2.1604376087355472E+16</v>
      </c>
      <c r="Q92" s="30">
        <f t="shared" si="17"/>
        <v>2.5564254738701616E+16</v>
      </c>
      <c r="R92" s="30">
        <f t="shared" si="18"/>
        <v>2.6145657996626616E+16</v>
      </c>
      <c r="S92" s="53">
        <f t="shared" si="19"/>
        <v>0.6688887262414871</v>
      </c>
      <c r="T92" s="54">
        <v>0.66888899999999996</v>
      </c>
      <c r="U92" s="55">
        <f t="shared" si="20"/>
        <v>-2.7375851285871278E-7</v>
      </c>
      <c r="V92" s="53">
        <f t="shared" si="21"/>
        <v>0.69797323586855031</v>
      </c>
      <c r="W92" s="53">
        <f t="shared" si="22"/>
        <v>0.71227268541900912</v>
      </c>
      <c r="X92" s="54">
        <v>0.71227300000000004</v>
      </c>
      <c r="Y92" s="55">
        <f t="shared" si="23"/>
        <v>-3.1458099092329661E-7</v>
      </c>
      <c r="Z92" s="29">
        <f t="shared" si="24"/>
        <v>807993.06112211524</v>
      </c>
      <c r="AA92" s="23">
        <f t="shared" si="25"/>
        <v>1643425.6355030409</v>
      </c>
    </row>
    <row r="93" spans="1:27" x14ac:dyDescent="0.2">
      <c r="A93" s="27" t="s">
        <v>279</v>
      </c>
      <c r="B93" s="27" t="s">
        <v>157</v>
      </c>
      <c r="C93" s="27" t="s">
        <v>74</v>
      </c>
      <c r="D93" s="51">
        <v>12537579490</v>
      </c>
      <c r="F93" s="45">
        <v>3144666</v>
      </c>
      <c r="G93" s="27" t="s">
        <v>280</v>
      </c>
      <c r="H93" s="51">
        <v>13161541989</v>
      </c>
      <c r="J93" s="45">
        <v>3085699</v>
      </c>
      <c r="K93" s="27" t="s">
        <v>281</v>
      </c>
      <c r="L93" s="45">
        <v>5650518632</v>
      </c>
      <c r="M93" s="27" t="str">
        <f t="shared" si="13"/>
        <v>2026-01|FGP tercera parte (10%)</v>
      </c>
      <c r="N93" s="52">
        <f t="shared" si="14"/>
        <v>12537579490</v>
      </c>
      <c r="O93" s="52">
        <f t="shared" si="15"/>
        <v>13161541989</v>
      </c>
      <c r="P93" s="30">
        <f t="shared" si="16"/>
        <v>3.9426499944500336E+16</v>
      </c>
      <c r="Q93" s="30">
        <f t="shared" si="17"/>
        <v>4.1388653600380672E+16</v>
      </c>
      <c r="R93" s="30">
        <f t="shared" si="18"/>
        <v>4.0612556953915312E+16</v>
      </c>
      <c r="S93" s="53">
        <f t="shared" si="19"/>
        <v>1.2206759047983693</v>
      </c>
      <c r="T93" s="54">
        <v>1.2206760000000001</v>
      </c>
      <c r="U93" s="55">
        <f t="shared" si="20"/>
        <v>-9.5201630800900716E-8</v>
      </c>
      <c r="V93" s="53">
        <f t="shared" si="21"/>
        <v>1.1300220865803898</v>
      </c>
      <c r="W93" s="53">
        <f t="shared" si="22"/>
        <v>1.1063869575219709</v>
      </c>
      <c r="X93" s="54">
        <v>1.106387</v>
      </c>
      <c r="Y93" s="55">
        <f t="shared" si="23"/>
        <v>-4.2478029094183967E-8</v>
      </c>
      <c r="Z93" s="29">
        <f t="shared" si="24"/>
        <v>-1335507.371143207</v>
      </c>
      <c r="AA93" s="23">
        <f t="shared" si="25"/>
        <v>-5122410.8890263401</v>
      </c>
    </row>
    <row r="94" spans="1:27" x14ac:dyDescent="0.2">
      <c r="A94" s="27" t="s">
        <v>279</v>
      </c>
      <c r="B94" s="27" t="s">
        <v>157</v>
      </c>
      <c r="C94" s="27" t="s">
        <v>75</v>
      </c>
      <c r="D94" s="51">
        <v>13680442636</v>
      </c>
      <c r="F94" s="45">
        <v>3042242</v>
      </c>
      <c r="G94" s="27" t="s">
        <v>280</v>
      </c>
      <c r="H94" s="51">
        <v>16407372864</v>
      </c>
      <c r="J94" s="45">
        <v>3035624</v>
      </c>
      <c r="K94" s="27" t="s">
        <v>281</v>
      </c>
      <c r="L94" s="45">
        <v>5650518632</v>
      </c>
      <c r="M94" s="27" t="str">
        <f t="shared" si="13"/>
        <v>2026-01|FGP tercera parte (10%)</v>
      </c>
      <c r="N94" s="52">
        <f t="shared" si="14"/>
        <v>13680442636</v>
      </c>
      <c r="O94" s="52">
        <f t="shared" si="15"/>
        <v>16407372864</v>
      </c>
      <c r="P94" s="30">
        <f t="shared" si="16"/>
        <v>4.1619217165829912E+16</v>
      </c>
      <c r="Q94" s="30">
        <f t="shared" si="17"/>
        <v>4.9915198836521088E+16</v>
      </c>
      <c r="R94" s="30">
        <f t="shared" si="18"/>
        <v>4.9806614842907136E+16</v>
      </c>
      <c r="S94" s="53">
        <f t="shared" si="19"/>
        <v>1.2885641799909737</v>
      </c>
      <c r="T94" s="54">
        <v>1.288564</v>
      </c>
      <c r="U94" s="55">
        <f t="shared" si="20"/>
        <v>1.7999097368104344E-7</v>
      </c>
      <c r="V94" s="53">
        <f t="shared" si="21"/>
        <v>1.3628198125488631</v>
      </c>
      <c r="W94" s="53">
        <f t="shared" si="22"/>
        <v>1.3568559380056504</v>
      </c>
      <c r="X94" s="54">
        <v>1.3568560000000001</v>
      </c>
      <c r="Y94" s="55">
        <f t="shared" si="23"/>
        <v>-6.1994349653815561E-8</v>
      </c>
      <c r="Z94" s="29">
        <f t="shared" si="24"/>
        <v>-336989.84225333721</v>
      </c>
      <c r="AA94" s="23">
        <f t="shared" si="25"/>
        <v>4195828.3529929966</v>
      </c>
    </row>
    <row r="95" spans="1:27" x14ac:dyDescent="0.2">
      <c r="A95" s="27" t="s">
        <v>279</v>
      </c>
      <c r="B95" s="27" t="s">
        <v>157</v>
      </c>
      <c r="C95" s="27" t="s">
        <v>76</v>
      </c>
      <c r="D95" s="51">
        <v>4346228391</v>
      </c>
      <c r="F95" s="45">
        <v>2554147</v>
      </c>
      <c r="G95" s="27" t="s">
        <v>280</v>
      </c>
      <c r="H95" s="51">
        <v>4819016505</v>
      </c>
      <c r="J95" s="45">
        <v>2578825</v>
      </c>
      <c r="K95" s="27" t="s">
        <v>281</v>
      </c>
      <c r="L95" s="45">
        <v>5650518632</v>
      </c>
      <c r="M95" s="27" t="str">
        <f t="shared" si="13"/>
        <v>2026-01|FGP tercera parte (10%)</v>
      </c>
      <c r="N95" s="52">
        <f t="shared" si="14"/>
        <v>4346228391</v>
      </c>
      <c r="O95" s="52">
        <f t="shared" si="15"/>
        <v>4819016505</v>
      </c>
      <c r="P95" s="30">
        <f t="shared" si="16"/>
        <v>1.1100906206187476E+16</v>
      </c>
      <c r="Q95" s="30">
        <f t="shared" si="17"/>
        <v>1.2308476549196236E+16</v>
      </c>
      <c r="R95" s="30">
        <f t="shared" si="18"/>
        <v>1.2427400238506624E+16</v>
      </c>
      <c r="S95" s="53">
        <f t="shared" si="19"/>
        <v>0.34369291584073075</v>
      </c>
      <c r="T95" s="54">
        <v>0.34369300000000003</v>
      </c>
      <c r="U95" s="55">
        <f t="shared" si="20"/>
        <v>-8.4159269275740911E-8</v>
      </c>
      <c r="V95" s="53">
        <f t="shared" si="21"/>
        <v>0.33605467061196215</v>
      </c>
      <c r="W95" s="53">
        <f t="shared" si="22"/>
        <v>0.3385532596578758</v>
      </c>
      <c r="X95" s="54">
        <v>0.33855299999999999</v>
      </c>
      <c r="Y95" s="55">
        <f t="shared" si="23"/>
        <v>2.5965787581183619E-7</v>
      </c>
      <c r="Z95" s="29">
        <f t="shared" si="24"/>
        <v>141183.23957646225</v>
      </c>
      <c r="AA95" s="23">
        <f t="shared" si="25"/>
        <v>-431600.46980942099</v>
      </c>
    </row>
    <row r="96" spans="1:27" x14ac:dyDescent="0.2">
      <c r="A96" s="27" t="s">
        <v>279</v>
      </c>
      <c r="B96" s="27" t="s">
        <v>157</v>
      </c>
      <c r="C96" s="27" t="s">
        <v>77</v>
      </c>
      <c r="D96" s="51">
        <v>13854166845</v>
      </c>
      <c r="F96" s="45">
        <v>3569939</v>
      </c>
      <c r="G96" s="27" t="s">
        <v>280</v>
      </c>
      <c r="H96" s="51">
        <v>15297439759</v>
      </c>
      <c r="J96" s="45">
        <v>3602540</v>
      </c>
      <c r="K96" s="27" t="s">
        <v>281</v>
      </c>
      <c r="L96" s="45">
        <v>5650518632</v>
      </c>
      <c r="M96" s="27" t="str">
        <f t="shared" si="13"/>
        <v>2026-01|FGP tercera parte (10%)</v>
      </c>
      <c r="N96" s="52">
        <f t="shared" si="14"/>
        <v>13854166845</v>
      </c>
      <c r="O96" s="52">
        <f t="shared" si="15"/>
        <v>15297439759</v>
      </c>
      <c r="P96" s="30">
        <f t="shared" si="16"/>
        <v>4.9458530532472456E+16</v>
      </c>
      <c r="Q96" s="30">
        <f t="shared" si="17"/>
        <v>5.4610926795804704E+16</v>
      </c>
      <c r="R96" s="30">
        <f t="shared" si="18"/>
        <v>5.5109638629387856E+16</v>
      </c>
      <c r="S96" s="53">
        <f t="shared" si="19"/>
        <v>1.5312755784233667</v>
      </c>
      <c r="T96" s="54">
        <v>1.5312760000000001</v>
      </c>
      <c r="U96" s="55">
        <f t="shared" si="20"/>
        <v>-4.2157663338038276E-7</v>
      </c>
      <c r="V96" s="53">
        <f t="shared" si="21"/>
        <v>1.4910258749590388</v>
      </c>
      <c r="W96" s="53">
        <f t="shared" si="22"/>
        <v>1.5013234818603451</v>
      </c>
      <c r="X96" s="54">
        <v>1.501323</v>
      </c>
      <c r="Y96" s="55">
        <f t="shared" si="23"/>
        <v>4.8186034518060694E-7</v>
      </c>
      <c r="Z96" s="29">
        <f t="shared" si="24"/>
        <v>581868.19660843152</v>
      </c>
      <c r="AA96" s="23">
        <f t="shared" si="25"/>
        <v>-2274316.993576596</v>
      </c>
    </row>
    <row r="97" spans="1:27" x14ac:dyDescent="0.2">
      <c r="A97" s="27" t="s">
        <v>279</v>
      </c>
      <c r="B97" s="27" t="s">
        <v>157</v>
      </c>
      <c r="C97" s="27" t="s">
        <v>78</v>
      </c>
      <c r="D97" s="51">
        <v>2013001528</v>
      </c>
      <c r="F97" s="45">
        <v>1476723</v>
      </c>
      <c r="G97" s="27" t="s">
        <v>280</v>
      </c>
      <c r="H97" s="51">
        <v>2196216088</v>
      </c>
      <c r="J97" s="45">
        <v>1426175</v>
      </c>
      <c r="K97" s="27" t="s">
        <v>281</v>
      </c>
      <c r="L97" s="45">
        <v>5650518632</v>
      </c>
      <c r="M97" s="27" t="str">
        <f t="shared" si="13"/>
        <v>2026-01|FGP tercera parte (10%)</v>
      </c>
      <c r="N97" s="52">
        <f t="shared" si="14"/>
        <v>2013001528</v>
      </c>
      <c r="O97" s="52">
        <f t="shared" si="15"/>
        <v>2196216088</v>
      </c>
      <c r="P97" s="30">
        <f t="shared" si="16"/>
        <v>2972645655432744</v>
      </c>
      <c r="Q97" s="30">
        <f t="shared" si="17"/>
        <v>3243202810119624</v>
      </c>
      <c r="R97" s="30">
        <f t="shared" si="18"/>
        <v>3132188479303400</v>
      </c>
      <c r="S97" s="53">
        <f t="shared" si="19"/>
        <v>9.2035481977813E-2</v>
      </c>
      <c r="T97" s="54">
        <v>9.2035000000000006E-2</v>
      </c>
      <c r="U97" s="55">
        <f t="shared" si="20"/>
        <v>4.8197781299386122E-7</v>
      </c>
      <c r="V97" s="53">
        <f t="shared" si="21"/>
        <v>8.8548200723810311E-2</v>
      </c>
      <c r="W97" s="53">
        <f t="shared" si="22"/>
        <v>8.5328596422387284E-2</v>
      </c>
      <c r="X97" s="54">
        <v>8.5329000000000002E-2</v>
      </c>
      <c r="Y97" s="55">
        <f t="shared" si="23"/>
        <v>-4.0357761271758719E-7</v>
      </c>
      <c r="Z97" s="29">
        <f t="shared" si="24"/>
        <v>-181924.34092858154</v>
      </c>
      <c r="AA97" s="23">
        <f t="shared" si="25"/>
        <v>-197049.47700766518</v>
      </c>
    </row>
    <row r="98" spans="1:27" x14ac:dyDescent="0.2">
      <c r="A98" s="27" t="s">
        <v>279</v>
      </c>
      <c r="B98" s="27" t="s">
        <v>157</v>
      </c>
      <c r="C98" s="27" t="s">
        <v>79</v>
      </c>
      <c r="D98" s="51">
        <v>14058779342</v>
      </c>
      <c r="F98" s="45">
        <v>8113343</v>
      </c>
      <c r="G98" s="27" t="s">
        <v>280</v>
      </c>
      <c r="H98" s="51">
        <v>15085123820</v>
      </c>
      <c r="J98" s="45">
        <v>8066173</v>
      </c>
      <c r="K98" s="27" t="s">
        <v>281</v>
      </c>
      <c r="L98" s="45">
        <v>5650518632</v>
      </c>
      <c r="M98" s="27" t="str">
        <f t="shared" si="13"/>
        <v>2026-01|FGP tercera parte (10%)</v>
      </c>
      <c r="N98" s="52">
        <f t="shared" si="14"/>
        <v>14058779342</v>
      </c>
      <c r="O98" s="52">
        <f t="shared" si="15"/>
        <v>15085123820</v>
      </c>
      <c r="P98" s="30">
        <f t="shared" si="16"/>
        <v>1.140636989629603E+17</v>
      </c>
      <c r="Q98" s="30">
        <f t="shared" si="17"/>
        <v>1.2239078374913026E+17</v>
      </c>
      <c r="R98" s="30">
        <f t="shared" si="18"/>
        <v>1.2167921845854086E+17</v>
      </c>
      <c r="S98" s="53">
        <f t="shared" si="19"/>
        <v>3.5315031547882167</v>
      </c>
      <c r="T98" s="54">
        <v>3.5315029999999998</v>
      </c>
      <c r="U98" s="55">
        <f t="shared" si="20"/>
        <v>1.5478821691061739E-7</v>
      </c>
      <c r="V98" s="53">
        <f t="shared" si="21"/>
        <v>3.3415991292147131</v>
      </c>
      <c r="W98" s="53">
        <f t="shared" si="22"/>
        <v>3.314844235411226</v>
      </c>
      <c r="X98" s="54">
        <v>3.3148439999999999</v>
      </c>
      <c r="Y98" s="55">
        <f t="shared" si="23"/>
        <v>2.354112260682939E-7</v>
      </c>
      <c r="Z98" s="29">
        <f t="shared" si="24"/>
        <v>-1511790.2593378557</v>
      </c>
      <c r="AA98" s="23">
        <f t="shared" si="25"/>
        <v>-10730562.347948866</v>
      </c>
    </row>
    <row r="99" spans="1:27" x14ac:dyDescent="0.2">
      <c r="A99" s="27" t="s">
        <v>279</v>
      </c>
      <c r="B99" s="27" t="s">
        <v>157</v>
      </c>
      <c r="C99" s="27" t="s">
        <v>80</v>
      </c>
      <c r="D99" s="51">
        <v>7530932633</v>
      </c>
      <c r="F99" s="45">
        <v>2402017</v>
      </c>
      <c r="G99" s="27" t="s">
        <v>280</v>
      </c>
      <c r="H99" s="51">
        <v>8921829182</v>
      </c>
      <c r="J99" s="45">
        <v>2456821</v>
      </c>
      <c r="K99" s="27" t="s">
        <v>281</v>
      </c>
      <c r="L99" s="45">
        <v>5650518632</v>
      </c>
      <c r="M99" s="27" t="str">
        <f t="shared" si="13"/>
        <v>2026-01|FGP tercera parte (10%)</v>
      </c>
      <c r="N99" s="52">
        <f t="shared" si="14"/>
        <v>7530932633</v>
      </c>
      <c r="O99" s="52">
        <f t="shared" si="15"/>
        <v>8921829182</v>
      </c>
      <c r="P99" s="30">
        <f t="shared" si="16"/>
        <v>1.808942821032076E+16</v>
      </c>
      <c r="Q99" s="30">
        <f t="shared" si="17"/>
        <v>2.1430385366260096E+16</v>
      </c>
      <c r="R99" s="30">
        <f t="shared" si="18"/>
        <v>2.1919337292750424E+16</v>
      </c>
      <c r="S99" s="53">
        <f t="shared" si="19"/>
        <v>0.56006313466835134</v>
      </c>
      <c r="T99" s="54">
        <v>0.56006299999999998</v>
      </c>
      <c r="U99" s="55">
        <f t="shared" si="20"/>
        <v>1.3466835135922395E-7</v>
      </c>
      <c r="V99" s="53">
        <f t="shared" si="21"/>
        <v>0.58510743117240116</v>
      </c>
      <c r="W99" s="53">
        <f t="shared" si="22"/>
        <v>0.59713720871460763</v>
      </c>
      <c r="X99" s="54">
        <v>0.59713700000000003</v>
      </c>
      <c r="Y99" s="55">
        <f t="shared" si="23"/>
        <v>2.0871460759686045E-7</v>
      </c>
      <c r="Z99" s="29">
        <f t="shared" si="24"/>
        <v>679744.82141052803</v>
      </c>
      <c r="AA99" s="23">
        <f t="shared" si="25"/>
        <v>1415132.6402146597</v>
      </c>
    </row>
    <row r="100" spans="1:27" x14ac:dyDescent="0.2">
      <c r="A100" s="27" t="s">
        <v>279</v>
      </c>
      <c r="B100" s="27" t="s">
        <v>157</v>
      </c>
      <c r="C100" s="27" t="s">
        <v>81</v>
      </c>
      <c r="D100" s="51">
        <v>4819410776</v>
      </c>
      <c r="F100" s="45">
        <v>1695685</v>
      </c>
      <c r="G100" s="27" t="s">
        <v>280</v>
      </c>
      <c r="H100" s="51">
        <v>5425831297</v>
      </c>
      <c r="J100" s="45">
        <v>1689186</v>
      </c>
      <c r="K100" s="27" t="s">
        <v>281</v>
      </c>
      <c r="L100" s="45">
        <v>5650518632</v>
      </c>
      <c r="M100" s="27" t="str">
        <f t="shared" si="13"/>
        <v>2026-01|FGP tercera parte (10%)</v>
      </c>
      <c r="N100" s="52">
        <f t="shared" si="14"/>
        <v>4819410776</v>
      </c>
      <c r="O100" s="52">
        <f t="shared" si="15"/>
        <v>5425831297</v>
      </c>
      <c r="P100" s="30">
        <f t="shared" si="16"/>
        <v>8172202561701560</v>
      </c>
      <c r="Q100" s="30">
        <f t="shared" si="17"/>
        <v>9200500742853444</v>
      </c>
      <c r="R100" s="30">
        <f t="shared" si="18"/>
        <v>9165238265254242</v>
      </c>
      <c r="S100" s="53">
        <f t="shared" si="19"/>
        <v>0.25301791359220349</v>
      </c>
      <c r="T100" s="54">
        <v>0.25301800000000002</v>
      </c>
      <c r="U100" s="55">
        <f t="shared" si="20"/>
        <v>-8.6407796529019976E-8</v>
      </c>
      <c r="V100" s="53">
        <f t="shared" si="21"/>
        <v>0.25119853251104673</v>
      </c>
      <c r="W100" s="53">
        <f t="shared" si="22"/>
        <v>0.24968386232773254</v>
      </c>
      <c r="X100" s="54">
        <v>0.24968399999999999</v>
      </c>
      <c r="Y100" s="55">
        <f t="shared" si="23"/>
        <v>-1.3767226744731964E-7</v>
      </c>
      <c r="Z100" s="29">
        <f t="shared" si="24"/>
        <v>-85586.720921517015</v>
      </c>
      <c r="AA100" s="23">
        <f t="shared" si="25"/>
        <v>-102804.46697784559</v>
      </c>
    </row>
    <row r="101" spans="1:27" x14ac:dyDescent="0.2">
      <c r="A101" s="27" t="s">
        <v>279</v>
      </c>
      <c r="B101" s="27" t="s">
        <v>44</v>
      </c>
      <c r="C101" s="27" t="s">
        <v>50</v>
      </c>
      <c r="D101" s="51">
        <v>2207122394</v>
      </c>
      <c r="E101" s="51">
        <v>2325992855</v>
      </c>
      <c r="F101" s="45">
        <v>1503564</v>
      </c>
      <c r="G101" s="27" t="s">
        <v>280</v>
      </c>
      <c r="H101" s="51">
        <v>2325992855</v>
      </c>
      <c r="I101" s="51">
        <v>2685180317</v>
      </c>
      <c r="J101" s="45">
        <v>1531396</v>
      </c>
      <c r="K101" s="27" t="s">
        <v>281</v>
      </c>
      <c r="L101" s="45">
        <v>1508208534</v>
      </c>
      <c r="M101" s="27" t="str">
        <f t="shared" si="13"/>
        <v>2026-01|FFM 70%</v>
      </c>
      <c r="N101" s="52">
        <f t="shared" si="14"/>
        <v>1.0538576661281431</v>
      </c>
      <c r="O101" s="52">
        <f t="shared" si="15"/>
        <v>1.1544232869107416</v>
      </c>
      <c r="P101" s="30">
        <f t="shared" si="16"/>
        <v>1584542.4479142954</v>
      </c>
      <c r="Q101" s="30">
        <f t="shared" si="17"/>
        <v>1735749.2949606623</v>
      </c>
      <c r="R101" s="30">
        <f t="shared" si="18"/>
        <v>1767879.203881962</v>
      </c>
      <c r="S101" s="53">
        <f t="shared" si="19"/>
        <v>1.1431382670165267</v>
      </c>
      <c r="T101" s="54">
        <v>1.143138</v>
      </c>
      <c r="U101" s="55">
        <f t="shared" si="20"/>
        <v>2.6701652666716313E-7</v>
      </c>
      <c r="V101" s="53">
        <f t="shared" si="21"/>
        <v>1.1991385001470714</v>
      </c>
      <c r="W101" s="53">
        <f t="shared" si="22"/>
        <v>1.2177254192393179</v>
      </c>
      <c r="X101" s="54">
        <v>1.2177249999999999</v>
      </c>
      <c r="Y101" s="55">
        <f t="shared" si="23"/>
        <v>4.1923931792808844E-7</v>
      </c>
      <c r="Z101" s="29">
        <f t="shared" si="24"/>
        <v>280329.49995693739</v>
      </c>
      <c r="AA101" s="23">
        <f t="shared" si="25"/>
        <v>844600.29513477045</v>
      </c>
    </row>
    <row r="102" spans="1:27" x14ac:dyDescent="0.2">
      <c r="A102" s="27" t="s">
        <v>279</v>
      </c>
      <c r="B102" s="27" t="s">
        <v>44</v>
      </c>
      <c r="C102" s="27" t="s">
        <v>51</v>
      </c>
      <c r="D102" s="51">
        <v>12057564919</v>
      </c>
      <c r="E102" s="51">
        <v>13420132605</v>
      </c>
      <c r="F102" s="45">
        <v>3778283</v>
      </c>
      <c r="G102" s="27" t="s">
        <v>280</v>
      </c>
      <c r="H102" s="51">
        <v>13420132605</v>
      </c>
      <c r="I102" s="51">
        <v>15205577447</v>
      </c>
      <c r="J102" s="45">
        <v>3830329</v>
      </c>
      <c r="K102" s="27" t="s">
        <v>281</v>
      </c>
      <c r="L102" s="45">
        <v>1508208534</v>
      </c>
      <c r="M102" s="27" t="str">
        <f t="shared" si="13"/>
        <v>2026-01|FFM 70%</v>
      </c>
      <c r="N102" s="52">
        <f t="shared" si="14"/>
        <v>1.1130052125079501</v>
      </c>
      <c r="O102" s="52">
        <f t="shared" si="15"/>
        <v>1.1330422652705225</v>
      </c>
      <c r="P102" s="30">
        <f t="shared" si="16"/>
        <v>4205248.6733301757</v>
      </c>
      <c r="Q102" s="30">
        <f t="shared" si="17"/>
        <v>4280954.3291531056</v>
      </c>
      <c r="R102" s="30">
        <f t="shared" si="18"/>
        <v>4339924.6468913751</v>
      </c>
      <c r="S102" s="53">
        <f t="shared" si="19"/>
        <v>3.033797350857852</v>
      </c>
      <c r="T102" s="54">
        <v>3.0337969999999999</v>
      </c>
      <c r="U102" s="55">
        <f t="shared" si="20"/>
        <v>3.5085785210497988E-7</v>
      </c>
      <c r="V102" s="53">
        <f t="shared" si="21"/>
        <v>2.957487678873064</v>
      </c>
      <c r="W102" s="53">
        <f t="shared" si="22"/>
        <v>2.9893651944647841</v>
      </c>
      <c r="X102" s="54">
        <v>2.9893649999999998</v>
      </c>
      <c r="Y102" s="55">
        <f t="shared" si="23"/>
        <v>1.944647842755387E-7</v>
      </c>
      <c r="Z102" s="29">
        <f t="shared" si="24"/>
        <v>480779.4105815037</v>
      </c>
      <c r="AA102" s="23">
        <f t="shared" si="25"/>
        <v>-1150908.9851419798</v>
      </c>
    </row>
    <row r="103" spans="1:27" x14ac:dyDescent="0.2">
      <c r="A103" s="27" t="s">
        <v>279</v>
      </c>
      <c r="B103" s="27" t="s">
        <v>44</v>
      </c>
      <c r="C103" s="27" t="s">
        <v>52</v>
      </c>
      <c r="D103" s="51">
        <v>2462231484</v>
      </c>
      <c r="E103" s="51">
        <v>2519870154</v>
      </c>
      <c r="F103" s="45">
        <v>881164</v>
      </c>
      <c r="G103" s="27" t="s">
        <v>280</v>
      </c>
      <c r="H103" s="51">
        <v>2519870154</v>
      </c>
      <c r="I103" s="51">
        <v>2654174283</v>
      </c>
      <c r="J103" s="45">
        <v>928591</v>
      </c>
      <c r="K103" s="27" t="s">
        <v>281</v>
      </c>
      <c r="L103" s="45">
        <v>1508208534</v>
      </c>
      <c r="M103" s="27" t="str">
        <f t="shared" si="13"/>
        <v>2026-01|FFM 70%</v>
      </c>
      <c r="N103" s="52">
        <f t="shared" si="14"/>
        <v>1.0234091190753372</v>
      </c>
      <c r="O103" s="52">
        <f t="shared" si="15"/>
        <v>1.0532980355304451</v>
      </c>
      <c r="P103" s="30">
        <f t="shared" si="16"/>
        <v>901791.2730009004</v>
      </c>
      <c r="Q103" s="30">
        <f t="shared" si="17"/>
        <v>928128.31018014916</v>
      </c>
      <c r="R103" s="30">
        <f t="shared" si="18"/>
        <v>978083.07611125149</v>
      </c>
      <c r="S103" s="53">
        <f t="shared" si="19"/>
        <v>0.65058030751135454</v>
      </c>
      <c r="T103" s="54">
        <v>0.65058000000000005</v>
      </c>
      <c r="U103" s="55">
        <f t="shared" si="20"/>
        <v>3.0751135449147426E-7</v>
      </c>
      <c r="V103" s="53">
        <f t="shared" si="21"/>
        <v>0.64119535755806423</v>
      </c>
      <c r="W103" s="53">
        <f t="shared" si="22"/>
        <v>0.6737092790577216</v>
      </c>
      <c r="X103" s="54">
        <v>0.673709</v>
      </c>
      <c r="Y103" s="55">
        <f t="shared" si="23"/>
        <v>2.7905772159719788E-7</v>
      </c>
      <c r="Z103" s="29">
        <f t="shared" si="24"/>
        <v>490377.73879589327</v>
      </c>
      <c r="AA103" s="23">
        <f t="shared" si="25"/>
        <v>-141544.61610715347</v>
      </c>
    </row>
    <row r="104" spans="1:27" x14ac:dyDescent="0.2">
      <c r="A104" s="27" t="s">
        <v>279</v>
      </c>
      <c r="B104" s="27" t="s">
        <v>44</v>
      </c>
      <c r="C104" s="27" t="s">
        <v>53</v>
      </c>
      <c r="D104" s="51">
        <v>521998784</v>
      </c>
      <c r="E104" s="51">
        <v>517415843</v>
      </c>
      <c r="F104" s="45">
        <v>925978</v>
      </c>
      <c r="G104" s="27" t="s">
        <v>280</v>
      </c>
      <c r="H104" s="51">
        <v>517415843</v>
      </c>
      <c r="I104" s="51">
        <v>550844550</v>
      </c>
      <c r="J104" s="45">
        <v>935371</v>
      </c>
      <c r="K104" s="27" t="s">
        <v>281</v>
      </c>
      <c r="L104" s="45">
        <v>1508208534</v>
      </c>
      <c r="M104" s="27" t="str">
        <f t="shared" si="13"/>
        <v>2026-01|FFM 70%</v>
      </c>
      <c r="N104" s="52">
        <f t="shared" si="14"/>
        <v>0.99122039908813275</v>
      </c>
      <c r="O104" s="52">
        <f t="shared" si="15"/>
        <v>1.0646070418064102</v>
      </c>
      <c r="P104" s="30">
        <f t="shared" si="16"/>
        <v>917848.282706831</v>
      </c>
      <c r="Q104" s="30">
        <f t="shared" si="17"/>
        <v>985802.69935781613</v>
      </c>
      <c r="R104" s="30">
        <f t="shared" si="18"/>
        <v>995802.55330150377</v>
      </c>
      <c r="S104" s="53">
        <f t="shared" si="19"/>
        <v>0.6621643343532142</v>
      </c>
      <c r="T104" s="54">
        <v>0.66216399999999997</v>
      </c>
      <c r="U104" s="55">
        <f t="shared" si="20"/>
        <v>3.3435321422636832E-7</v>
      </c>
      <c r="V104" s="53">
        <f t="shared" si="21"/>
        <v>0.68103957972551354</v>
      </c>
      <c r="W104" s="53">
        <f t="shared" si="22"/>
        <v>0.68591455741770291</v>
      </c>
      <c r="X104" s="54">
        <v>0.68591500000000005</v>
      </c>
      <c r="Y104" s="55">
        <f t="shared" si="23"/>
        <v>-4.4258229714433384E-7</v>
      </c>
      <c r="Z104" s="29">
        <f t="shared" si="24"/>
        <v>73524.829584196239</v>
      </c>
      <c r="AA104" s="23">
        <f t="shared" si="25"/>
        <v>284678.06151845877</v>
      </c>
    </row>
    <row r="105" spans="1:27" x14ac:dyDescent="0.2">
      <c r="A105" s="27" t="s">
        <v>279</v>
      </c>
      <c r="B105" s="27" t="s">
        <v>44</v>
      </c>
      <c r="C105" s="27" t="s">
        <v>54</v>
      </c>
      <c r="D105" s="51">
        <v>4352564104</v>
      </c>
      <c r="E105" s="51">
        <v>4784874505</v>
      </c>
      <c r="F105" s="45">
        <v>3452989</v>
      </c>
      <c r="G105" s="27" t="s">
        <v>280</v>
      </c>
      <c r="H105" s="51">
        <v>4784874505</v>
      </c>
      <c r="I105" s="51">
        <v>5238424574</v>
      </c>
      <c r="J105" s="45">
        <v>3590747</v>
      </c>
      <c r="K105" s="27" t="s">
        <v>281</v>
      </c>
      <c r="L105" s="45">
        <v>1508208534</v>
      </c>
      <c r="M105" s="27" t="str">
        <f t="shared" si="13"/>
        <v>2026-01|FFM 70%</v>
      </c>
      <c r="N105" s="52">
        <f t="shared" si="14"/>
        <v>1.09932315542526</v>
      </c>
      <c r="O105" s="52">
        <f t="shared" si="15"/>
        <v>1.0947882893325747</v>
      </c>
      <c r="P105" s="30">
        <f t="shared" si="16"/>
        <v>3795950.7631287132</v>
      </c>
      <c r="Q105" s="30">
        <f t="shared" si="17"/>
        <v>3780291.9203941976</v>
      </c>
      <c r="R105" s="30">
        <f t="shared" si="18"/>
        <v>3931107.7655560747</v>
      </c>
      <c r="S105" s="53">
        <f t="shared" si="19"/>
        <v>2.7385170922714992</v>
      </c>
      <c r="T105" s="54">
        <v>2.7385169999999999</v>
      </c>
      <c r="U105" s="55">
        <f t="shared" si="20"/>
        <v>9.2271499330109918E-8</v>
      </c>
      <c r="V105" s="53">
        <f t="shared" si="21"/>
        <v>2.6116061787842031</v>
      </c>
      <c r="W105" s="53">
        <f t="shared" si="22"/>
        <v>2.7077697624222572</v>
      </c>
      <c r="X105" s="54">
        <v>2.70777</v>
      </c>
      <c r="Y105" s="55">
        <f t="shared" si="23"/>
        <v>-2.3757774281207844E-7</v>
      </c>
      <c r="Z105" s="29">
        <f t="shared" si="24"/>
        <v>1450347.3750293597</v>
      </c>
      <c r="AA105" s="23">
        <f t="shared" si="25"/>
        <v>-1914081.2277927571</v>
      </c>
    </row>
    <row r="106" spans="1:27" x14ac:dyDescent="0.2">
      <c r="A106" s="27" t="s">
        <v>279</v>
      </c>
      <c r="B106" s="27" t="s">
        <v>44</v>
      </c>
      <c r="C106" s="27" t="s">
        <v>55</v>
      </c>
      <c r="D106" s="51">
        <v>1484931675</v>
      </c>
      <c r="E106" s="51">
        <v>1573298254</v>
      </c>
      <c r="F106" s="45">
        <v>728776</v>
      </c>
      <c r="G106" s="27" t="s">
        <v>280</v>
      </c>
      <c r="H106" s="51">
        <v>1573298254</v>
      </c>
      <c r="I106" s="51">
        <v>1761626340</v>
      </c>
      <c r="J106" s="45">
        <v>762355</v>
      </c>
      <c r="K106" s="27" t="s">
        <v>281</v>
      </c>
      <c r="L106" s="45">
        <v>1508208534</v>
      </c>
      <c r="M106" s="27" t="str">
        <f t="shared" si="13"/>
        <v>2026-01|FFM 70%</v>
      </c>
      <c r="N106" s="52">
        <f t="shared" si="14"/>
        <v>1.0595088518129967</v>
      </c>
      <c r="O106" s="52">
        <f t="shared" si="15"/>
        <v>1.1197027235752592</v>
      </c>
      <c r="P106" s="30">
        <f t="shared" si="16"/>
        <v>772144.6229888685</v>
      </c>
      <c r="Q106" s="30">
        <f t="shared" si="17"/>
        <v>816012.47207628319</v>
      </c>
      <c r="R106" s="30">
        <f t="shared" si="18"/>
        <v>853610.96983121673</v>
      </c>
      <c r="S106" s="53">
        <f t="shared" si="19"/>
        <v>0.55704917679640864</v>
      </c>
      <c r="T106" s="54">
        <v>0.55704900000000002</v>
      </c>
      <c r="U106" s="55">
        <f t="shared" si="20"/>
        <v>1.7679640862411361E-7</v>
      </c>
      <c r="V106" s="53">
        <f t="shared" si="21"/>
        <v>0.56374038273138649</v>
      </c>
      <c r="W106" s="53">
        <f t="shared" si="22"/>
        <v>0.58797217243266031</v>
      </c>
      <c r="X106" s="54">
        <v>0.58797200000000005</v>
      </c>
      <c r="Y106" s="55">
        <f t="shared" si="23"/>
        <v>1.7243266026145676E-7</v>
      </c>
      <c r="Z106" s="29">
        <f t="shared" si="24"/>
        <v>365465.92021554487</v>
      </c>
      <c r="AA106" s="23">
        <f t="shared" si="25"/>
        <v>100917.33893885044</v>
      </c>
    </row>
    <row r="107" spans="1:27" x14ac:dyDescent="0.2">
      <c r="A107" s="27" t="s">
        <v>279</v>
      </c>
      <c r="B107" s="27" t="s">
        <v>44</v>
      </c>
      <c r="C107" s="27" t="s">
        <v>56</v>
      </c>
      <c r="D107" s="51">
        <v>1744005137</v>
      </c>
      <c r="E107" s="51">
        <v>1815319906</v>
      </c>
      <c r="F107" s="45">
        <v>5975155</v>
      </c>
      <c r="G107" s="27" t="s">
        <v>280</v>
      </c>
      <c r="H107" s="51">
        <v>1815319906</v>
      </c>
      <c r="I107" s="51">
        <v>2015743275</v>
      </c>
      <c r="J107" s="45">
        <v>5891372</v>
      </c>
      <c r="K107" s="27" t="s">
        <v>281</v>
      </c>
      <c r="L107" s="45">
        <v>1508208534</v>
      </c>
      <c r="M107" s="27" t="str">
        <f t="shared" si="13"/>
        <v>2026-01|FFM 70%</v>
      </c>
      <c r="N107" s="52">
        <f t="shared" si="14"/>
        <v>1.0408913755395663</v>
      </c>
      <c r="O107" s="52">
        <f t="shared" si="15"/>
        <v>1.1104066387073486</v>
      </c>
      <c r="P107" s="30">
        <f t="shared" si="16"/>
        <v>6219487.3070121175</v>
      </c>
      <c r="Q107" s="30">
        <f t="shared" si="17"/>
        <v>6634851.7793054078</v>
      </c>
      <c r="R107" s="30">
        <f t="shared" si="18"/>
        <v>6541818.5798945893</v>
      </c>
      <c r="S107" s="53">
        <f t="shared" si="19"/>
        <v>4.4869318276878802</v>
      </c>
      <c r="T107" s="54">
        <v>4.4869320000000004</v>
      </c>
      <c r="U107" s="55">
        <f t="shared" si="20"/>
        <v>-1.7231212012802644E-7</v>
      </c>
      <c r="V107" s="53">
        <f t="shared" si="21"/>
        <v>4.5836724430383393</v>
      </c>
      <c r="W107" s="53">
        <f t="shared" si="22"/>
        <v>4.5060424690201755</v>
      </c>
      <c r="X107" s="54">
        <v>4.5060419999999999</v>
      </c>
      <c r="Y107" s="55">
        <f t="shared" si="23"/>
        <v>4.6902017558636544E-7</v>
      </c>
      <c r="Z107" s="29">
        <f t="shared" si="24"/>
        <v>-1170821.8930839298</v>
      </c>
      <c r="AA107" s="23">
        <f t="shared" si="25"/>
        <v>1459050.2165597379</v>
      </c>
    </row>
    <row r="108" spans="1:27" x14ac:dyDescent="0.2">
      <c r="A108" s="27" t="s">
        <v>279</v>
      </c>
      <c r="B108" s="27" t="s">
        <v>44</v>
      </c>
      <c r="C108" s="27" t="s">
        <v>57</v>
      </c>
      <c r="D108" s="51">
        <v>8865227370</v>
      </c>
      <c r="E108" s="51">
        <v>9521809148</v>
      </c>
      <c r="F108" s="45">
        <v>3976037</v>
      </c>
      <c r="G108" s="27" t="s">
        <v>280</v>
      </c>
      <c r="H108" s="51">
        <v>9521809148</v>
      </c>
      <c r="I108" s="51">
        <v>10593672612</v>
      </c>
      <c r="J108" s="45">
        <v>4015493</v>
      </c>
      <c r="K108" s="27" t="s">
        <v>281</v>
      </c>
      <c r="L108" s="45">
        <v>1508208534</v>
      </c>
      <c r="M108" s="27" t="str">
        <f t="shared" si="13"/>
        <v>2026-01|FFM 70%</v>
      </c>
      <c r="N108" s="52">
        <f t="shared" si="14"/>
        <v>1.0740625988028099</v>
      </c>
      <c r="O108" s="52">
        <f t="shared" si="15"/>
        <v>1.1125693077166054</v>
      </c>
      <c r="P108" s="30">
        <f t="shared" si="16"/>
        <v>4270512.6331561273</v>
      </c>
      <c r="Q108" s="30">
        <f t="shared" si="17"/>
        <v>4423616.7325456087</v>
      </c>
      <c r="R108" s="30">
        <f t="shared" si="18"/>
        <v>4467514.2671508752</v>
      </c>
      <c r="S108" s="53">
        <f t="shared" si="19"/>
        <v>3.080880803896473</v>
      </c>
      <c r="T108" s="54">
        <v>3.0808810000000002</v>
      </c>
      <c r="U108" s="55">
        <f t="shared" si="20"/>
        <v>-1.9610352719467983E-7</v>
      </c>
      <c r="V108" s="53">
        <f t="shared" si="21"/>
        <v>3.0560456796904227</v>
      </c>
      <c r="W108" s="53">
        <f t="shared" si="22"/>
        <v>3.0772496627474135</v>
      </c>
      <c r="X108" s="54">
        <v>3.0772499999999998</v>
      </c>
      <c r="Y108" s="55">
        <f t="shared" si="23"/>
        <v>-3.3725258630212807E-7</v>
      </c>
      <c r="Z108" s="29">
        <f t="shared" si="24"/>
        <v>319800.28201344906</v>
      </c>
      <c r="AA108" s="23">
        <f t="shared" si="25"/>
        <v>-374565.46270514996</v>
      </c>
    </row>
    <row r="109" spans="1:27" x14ac:dyDescent="0.2">
      <c r="A109" s="27" t="s">
        <v>279</v>
      </c>
      <c r="B109" s="27" t="s">
        <v>44</v>
      </c>
      <c r="C109" s="27" t="s">
        <v>58</v>
      </c>
      <c r="D109" s="51">
        <v>31486327492</v>
      </c>
      <c r="E109" s="51">
        <v>33493698824</v>
      </c>
      <c r="F109" s="45">
        <v>9350964</v>
      </c>
      <c r="G109" s="27" t="s">
        <v>280</v>
      </c>
      <c r="H109" s="51">
        <v>33493698824</v>
      </c>
      <c r="I109" s="51">
        <v>38907672159</v>
      </c>
      <c r="J109" s="45">
        <v>9336468</v>
      </c>
      <c r="K109" s="27" t="s">
        <v>281</v>
      </c>
      <c r="L109" s="45">
        <v>1508208534</v>
      </c>
      <c r="M109" s="27" t="str">
        <f t="shared" si="13"/>
        <v>2026-01|FFM 70%</v>
      </c>
      <c r="N109" s="52">
        <f t="shared" si="14"/>
        <v>1.0637537462096851</v>
      </c>
      <c r="O109" s="52">
        <f t="shared" si="15"/>
        <v>1.1616415482640157</v>
      </c>
      <c r="P109" s="30">
        <f t="shared" si="16"/>
        <v>9947122.9856719021</v>
      </c>
      <c r="Q109" s="30">
        <f t="shared" si="17"/>
        <v>10862468.298721073</v>
      </c>
      <c r="R109" s="30">
        <f t="shared" si="18"/>
        <v>10845629.142837439</v>
      </c>
      <c r="S109" s="53">
        <f t="shared" si="19"/>
        <v>7.1761642905865948</v>
      </c>
      <c r="T109" s="54">
        <v>7.176164</v>
      </c>
      <c r="U109" s="55">
        <f t="shared" si="20"/>
        <v>2.9058659478664595E-7</v>
      </c>
      <c r="V109" s="53">
        <f t="shared" si="21"/>
        <v>7.5043118159058215</v>
      </c>
      <c r="W109" s="53">
        <f t="shared" si="22"/>
        <v>7.4705320736142848</v>
      </c>
      <c r="X109" s="54">
        <v>7.4705320000000004</v>
      </c>
      <c r="Y109" s="55">
        <f t="shared" si="23"/>
        <v>7.3614284445966405E-8</v>
      </c>
      <c r="Z109" s="29">
        <f t="shared" si="24"/>
        <v>-509468.95600416348</v>
      </c>
      <c r="AA109" s="23">
        <f t="shared" si="25"/>
        <v>4949148.9809743883</v>
      </c>
    </row>
    <row r="110" spans="1:27" x14ac:dyDescent="0.2">
      <c r="A110" s="27" t="s">
        <v>279</v>
      </c>
      <c r="B110" s="27" t="s">
        <v>44</v>
      </c>
      <c r="C110" s="27" t="s">
        <v>59</v>
      </c>
      <c r="D110" s="51">
        <v>1334905929</v>
      </c>
      <c r="E110" s="51">
        <v>1513863761</v>
      </c>
      <c r="F110" s="45">
        <v>1944614</v>
      </c>
      <c r="G110" s="27" t="s">
        <v>280</v>
      </c>
      <c r="H110" s="51">
        <v>1513863761</v>
      </c>
      <c r="I110" s="51">
        <v>1682810165</v>
      </c>
      <c r="J110" s="45">
        <v>1968132</v>
      </c>
      <c r="K110" s="27" t="s">
        <v>281</v>
      </c>
      <c r="L110" s="45">
        <v>1508208534</v>
      </c>
      <c r="M110" s="27" t="str">
        <f t="shared" si="13"/>
        <v>2026-01|FFM 70%</v>
      </c>
      <c r="N110" s="52">
        <f t="shared" si="14"/>
        <v>1.1340602570654998</v>
      </c>
      <c r="O110" s="52">
        <f t="shared" si="15"/>
        <v>1.1115994770152899</v>
      </c>
      <c r="P110" s="30">
        <f t="shared" si="16"/>
        <v>2205309.4527331698</v>
      </c>
      <c r="Q110" s="30">
        <f t="shared" si="17"/>
        <v>2161631.905396611</v>
      </c>
      <c r="R110" s="30">
        <f t="shared" si="18"/>
        <v>2187774.5018970566</v>
      </c>
      <c r="S110" s="53">
        <f t="shared" si="19"/>
        <v>1.5909789159330334</v>
      </c>
      <c r="T110" s="54">
        <v>1.5909789999999999</v>
      </c>
      <c r="U110" s="55">
        <f t="shared" si="20"/>
        <v>-8.4066966499207751E-8</v>
      </c>
      <c r="V110" s="53">
        <f t="shared" si="21"/>
        <v>1.4933585445967836</v>
      </c>
      <c r="W110" s="53">
        <f t="shared" si="22"/>
        <v>1.5069517287571197</v>
      </c>
      <c r="X110" s="54">
        <v>1.5069520000000001</v>
      </c>
      <c r="Y110" s="55">
        <f t="shared" si="23"/>
        <v>-2.7124288037860822E-7</v>
      </c>
      <c r="Z110" s="29">
        <f t="shared" si="24"/>
        <v>205013.56354852469</v>
      </c>
      <c r="AA110" s="23">
        <f t="shared" si="25"/>
        <v>-1472318.7714158092</v>
      </c>
    </row>
    <row r="111" spans="1:27" x14ac:dyDescent="0.2">
      <c r="A111" s="27" t="s">
        <v>279</v>
      </c>
      <c r="B111" s="27" t="s">
        <v>44</v>
      </c>
      <c r="C111" s="27" t="s">
        <v>60</v>
      </c>
      <c r="D111" s="51">
        <v>8541908458</v>
      </c>
      <c r="E111" s="51">
        <v>8649635331</v>
      </c>
      <c r="F111" s="45">
        <v>6345807</v>
      </c>
      <c r="G111" s="27" t="s">
        <v>280</v>
      </c>
      <c r="H111" s="51">
        <v>8649635331</v>
      </c>
      <c r="I111" s="51">
        <v>9505316553</v>
      </c>
      <c r="J111" s="45">
        <v>6402249</v>
      </c>
      <c r="K111" s="27" t="s">
        <v>281</v>
      </c>
      <c r="L111" s="45">
        <v>1508208534</v>
      </c>
      <c r="M111" s="27" t="str">
        <f t="shared" si="13"/>
        <v>2026-01|FFM 70%</v>
      </c>
      <c r="N111" s="52">
        <f t="shared" si="14"/>
        <v>1.0126115695959148</v>
      </c>
      <c r="O111" s="52">
        <f t="shared" si="15"/>
        <v>1.0989268552089435</v>
      </c>
      <c r="P111" s="30">
        <f t="shared" si="16"/>
        <v>6425837.5866227429</v>
      </c>
      <c r="Q111" s="30">
        <f t="shared" si="17"/>
        <v>6973577.7302729003</v>
      </c>
      <c r="R111" s="30">
        <f t="shared" si="18"/>
        <v>7035603.359834603</v>
      </c>
      <c r="S111" s="53">
        <f t="shared" si="19"/>
        <v>4.6357993454643589</v>
      </c>
      <c r="T111" s="54">
        <v>4.6357989999999996</v>
      </c>
      <c r="U111" s="55">
        <f t="shared" si="20"/>
        <v>3.4546435934146302E-7</v>
      </c>
      <c r="V111" s="53">
        <f t="shared" si="21"/>
        <v>4.8176805051376848</v>
      </c>
      <c r="W111" s="53">
        <f t="shared" si="22"/>
        <v>4.846164280989063</v>
      </c>
      <c r="X111" s="54">
        <v>4.8461639999999999</v>
      </c>
      <c r="Y111" s="55">
        <f t="shared" si="23"/>
        <v>2.8098906312834515E-7</v>
      </c>
      <c r="Z111" s="29">
        <f t="shared" si="24"/>
        <v>429594.7381959185</v>
      </c>
      <c r="AA111" s="23">
        <f t="shared" si="25"/>
        <v>2743147.1719312673</v>
      </c>
    </row>
    <row r="112" spans="1:27" x14ac:dyDescent="0.2">
      <c r="A112" s="27" t="s">
        <v>279</v>
      </c>
      <c r="B112" s="27" t="s">
        <v>44</v>
      </c>
      <c r="C112" s="27" t="s">
        <v>61</v>
      </c>
      <c r="D112" s="51">
        <v>1948086444</v>
      </c>
      <c r="E112" s="51">
        <v>1892957129</v>
      </c>
      <c r="F112" s="45">
        <v>3606579</v>
      </c>
      <c r="G112" s="27" t="s">
        <v>280</v>
      </c>
      <c r="H112" s="51">
        <v>1892957129</v>
      </c>
      <c r="I112" s="51">
        <v>2078450286</v>
      </c>
      <c r="J112" s="45">
        <v>3569633</v>
      </c>
      <c r="K112" s="27" t="s">
        <v>281</v>
      </c>
      <c r="L112" s="45">
        <v>1508208534</v>
      </c>
      <c r="M112" s="27" t="str">
        <f t="shared" si="13"/>
        <v>2026-01|FFM 70%</v>
      </c>
      <c r="N112" s="52">
        <f t="shared" si="14"/>
        <v>0.97170078608688271</v>
      </c>
      <c r="O112" s="52">
        <f t="shared" si="15"/>
        <v>1.0979912086535162</v>
      </c>
      <c r="P112" s="30">
        <f t="shared" si="16"/>
        <v>3504515.6493844432</v>
      </c>
      <c r="Q112" s="30">
        <f t="shared" si="17"/>
        <v>3959992.03531439</v>
      </c>
      <c r="R112" s="30">
        <f t="shared" si="18"/>
        <v>3919425.6521194768</v>
      </c>
      <c r="S112" s="53">
        <f t="shared" si="19"/>
        <v>2.5282667254782907</v>
      </c>
      <c r="T112" s="54">
        <v>2.528267</v>
      </c>
      <c r="U112" s="55">
        <f t="shared" si="20"/>
        <v>-2.7452170936470566E-7</v>
      </c>
      <c r="V112" s="53">
        <f t="shared" si="21"/>
        <v>2.7357515993857073</v>
      </c>
      <c r="W112" s="53">
        <f t="shared" si="22"/>
        <v>2.6997230551297311</v>
      </c>
      <c r="X112" s="54">
        <v>2.6997230000000001</v>
      </c>
      <c r="Y112" s="55">
        <f t="shared" si="23"/>
        <v>5.5129731002523386E-8</v>
      </c>
      <c r="Z112" s="29">
        <f t="shared" si="24"/>
        <v>-543385.57914460031</v>
      </c>
      <c r="AA112" s="23">
        <f t="shared" si="25"/>
        <v>3129304.5750307976</v>
      </c>
    </row>
    <row r="113" spans="1:27" x14ac:dyDescent="0.2">
      <c r="A113" s="27" t="s">
        <v>279</v>
      </c>
      <c r="B113" s="27" t="s">
        <v>44</v>
      </c>
      <c r="C113" s="27" t="s">
        <v>62</v>
      </c>
      <c r="D113" s="51">
        <v>2273811624</v>
      </c>
      <c r="E113" s="51">
        <v>2561806971</v>
      </c>
      <c r="F113" s="45">
        <v>3248649</v>
      </c>
      <c r="G113" s="27" t="s">
        <v>280</v>
      </c>
      <c r="H113" s="51">
        <v>2561806971</v>
      </c>
      <c r="I113" s="51">
        <v>2753891044</v>
      </c>
      <c r="J113" s="45">
        <v>3215821</v>
      </c>
      <c r="K113" s="27" t="s">
        <v>281</v>
      </c>
      <c r="L113" s="45">
        <v>1508208534</v>
      </c>
      <c r="M113" s="27" t="str">
        <f t="shared" si="13"/>
        <v>2026-01|FFM 70%</v>
      </c>
      <c r="N113" s="52">
        <f t="shared" si="14"/>
        <v>1.1266575225318665</v>
      </c>
      <c r="O113" s="52">
        <f t="shared" si="15"/>
        <v>1.0749799165879466</v>
      </c>
      <c r="P113" s="30">
        <f t="shared" si="16"/>
        <v>3660114.8339156252</v>
      </c>
      <c r="Q113" s="30">
        <f t="shared" si="17"/>
        <v>3492232.4310435159</v>
      </c>
      <c r="R113" s="30">
        <f t="shared" si="18"/>
        <v>3456942.9903417667</v>
      </c>
      <c r="S113" s="53">
        <f t="shared" si="19"/>
        <v>2.640520822797229</v>
      </c>
      <c r="T113" s="54">
        <v>2.6405210000000001</v>
      </c>
      <c r="U113" s="55">
        <f t="shared" si="20"/>
        <v>-1.7720277112331928E-7</v>
      </c>
      <c r="V113" s="53">
        <f t="shared" si="21"/>
        <v>2.4126009278438958</v>
      </c>
      <c r="W113" s="53">
        <f t="shared" si="22"/>
        <v>2.3811623231704786</v>
      </c>
      <c r="X113" s="54">
        <v>2.3811619999999998</v>
      </c>
      <c r="Y113" s="55">
        <f t="shared" si="23"/>
        <v>3.2317047882202132E-7</v>
      </c>
      <c r="Z113" s="29">
        <f t="shared" si="24"/>
        <v>-474159.71865500091</v>
      </c>
      <c r="AA113" s="23">
        <f t="shared" si="25"/>
        <v>-3437507.3063700064</v>
      </c>
    </row>
    <row r="114" spans="1:27" x14ac:dyDescent="0.2">
      <c r="A114" s="27" t="s">
        <v>279</v>
      </c>
      <c r="B114" s="27" t="s">
        <v>44</v>
      </c>
      <c r="C114" s="27" t="s">
        <v>63</v>
      </c>
      <c r="D114" s="51">
        <v>11989654420</v>
      </c>
      <c r="E114" s="51">
        <v>12962869372</v>
      </c>
      <c r="F114" s="45">
        <v>8739649</v>
      </c>
      <c r="G114" s="27" t="s">
        <v>280</v>
      </c>
      <c r="H114" s="51">
        <v>12962869372</v>
      </c>
      <c r="I114" s="51">
        <v>14385676589</v>
      </c>
      <c r="J114" s="45">
        <v>8750952</v>
      </c>
      <c r="K114" s="27" t="s">
        <v>281</v>
      </c>
      <c r="L114" s="45">
        <v>1508208534</v>
      </c>
      <c r="M114" s="27" t="str">
        <f t="shared" si="13"/>
        <v>2026-01|FFM 70%</v>
      </c>
      <c r="N114" s="52">
        <f t="shared" si="14"/>
        <v>1.081171226284602</v>
      </c>
      <c r="O114" s="52">
        <f t="shared" si="15"/>
        <v>1.1097602063377485</v>
      </c>
      <c r="P114" s="30">
        <f t="shared" si="16"/>
        <v>9449057.0266269967</v>
      </c>
      <c r="Q114" s="30">
        <f t="shared" si="17"/>
        <v>9698914.6775594968</v>
      </c>
      <c r="R114" s="30">
        <f t="shared" si="18"/>
        <v>9711458.2971717324</v>
      </c>
      <c r="S114" s="53">
        <f t="shared" si="19"/>
        <v>6.8168439971908885</v>
      </c>
      <c r="T114" s="54">
        <v>6.8168439999999997</v>
      </c>
      <c r="U114" s="55">
        <f t="shared" si="20"/>
        <v>-2.8091111659023227E-9</v>
      </c>
      <c r="V114" s="53">
        <f t="shared" si="21"/>
        <v>6.7004734112633999</v>
      </c>
      <c r="W114" s="53">
        <f t="shared" si="22"/>
        <v>6.6893086362354168</v>
      </c>
      <c r="X114" s="54">
        <v>6.6893089999999997</v>
      </c>
      <c r="Y114" s="55">
        <f t="shared" si="23"/>
        <v>-3.6376458290021674E-7</v>
      </c>
      <c r="Z114" s="29">
        <f t="shared" si="24"/>
        <v>-168388.08977394164</v>
      </c>
      <c r="AA114" s="23">
        <f t="shared" si="25"/>
        <v>-1755111.1080241865</v>
      </c>
    </row>
    <row r="115" spans="1:27" x14ac:dyDescent="0.2">
      <c r="A115" s="27" t="s">
        <v>279</v>
      </c>
      <c r="B115" s="27" t="s">
        <v>44</v>
      </c>
      <c r="C115" s="27" t="s">
        <v>64</v>
      </c>
      <c r="D115" s="51">
        <v>15655134223</v>
      </c>
      <c r="E115" s="51">
        <v>16658474505</v>
      </c>
      <c r="F115" s="45">
        <v>17788768</v>
      </c>
      <c r="G115" s="27" t="s">
        <v>280</v>
      </c>
      <c r="H115" s="51">
        <v>16658474505</v>
      </c>
      <c r="I115" s="51">
        <v>17892416722</v>
      </c>
      <c r="J115" s="45">
        <v>17753727</v>
      </c>
      <c r="K115" s="27" t="s">
        <v>281</v>
      </c>
      <c r="L115" s="45">
        <v>1508208534</v>
      </c>
      <c r="M115" s="27" t="str">
        <f t="shared" si="13"/>
        <v>2026-01|FFM 70%</v>
      </c>
      <c r="N115" s="52">
        <f t="shared" si="14"/>
        <v>1.0640901743611961</v>
      </c>
      <c r="O115" s="52">
        <f t="shared" si="15"/>
        <v>1.0740729420709942</v>
      </c>
      <c r="P115" s="30">
        <f t="shared" si="16"/>
        <v>18928853.242790867</v>
      </c>
      <c r="Q115" s="30">
        <f t="shared" si="17"/>
        <v>19106434.381578356</v>
      </c>
      <c r="R115" s="30">
        <f t="shared" si="18"/>
        <v>19068797.791615248</v>
      </c>
      <c r="S115" s="53">
        <f t="shared" si="19"/>
        <v>13.655864202979359</v>
      </c>
      <c r="T115" s="54">
        <v>13.655863999999999</v>
      </c>
      <c r="U115" s="55">
        <f t="shared" si="20"/>
        <v>2.0297935954260993E-7</v>
      </c>
      <c r="V115" s="53">
        <f t="shared" si="21"/>
        <v>13.199637259828787</v>
      </c>
      <c r="W115" s="53">
        <f t="shared" si="22"/>
        <v>13.134698193290614</v>
      </c>
      <c r="X115" s="54">
        <v>13.134698</v>
      </c>
      <c r="Y115" s="55">
        <f t="shared" si="23"/>
        <v>1.9329061373696277E-7</v>
      </c>
      <c r="Z115" s="29">
        <f t="shared" si="24"/>
        <v>-979416.54342866433</v>
      </c>
      <c r="AA115" s="23">
        <f t="shared" si="25"/>
        <v>-6880853.6910042539</v>
      </c>
    </row>
    <row r="116" spans="1:27" x14ac:dyDescent="0.2">
      <c r="A116" s="27" t="s">
        <v>279</v>
      </c>
      <c r="B116" s="27" t="s">
        <v>44</v>
      </c>
      <c r="C116" s="27" t="s">
        <v>65</v>
      </c>
      <c r="D116" s="51">
        <v>3360450841</v>
      </c>
      <c r="E116" s="51">
        <v>3596469228</v>
      </c>
      <c r="F116" s="45">
        <v>4950874</v>
      </c>
      <c r="G116" s="27" t="s">
        <v>280</v>
      </c>
      <c r="H116" s="51">
        <v>3596469228</v>
      </c>
      <c r="I116" s="51">
        <v>4081188314</v>
      </c>
      <c r="J116" s="45">
        <v>4945881</v>
      </c>
      <c r="K116" s="27" t="s">
        <v>281</v>
      </c>
      <c r="L116" s="45">
        <v>1508208534</v>
      </c>
      <c r="M116" s="27" t="str">
        <f t="shared" si="13"/>
        <v>2026-01|FFM 70%</v>
      </c>
      <c r="N116" s="52">
        <f t="shared" si="14"/>
        <v>1.0702341436215641</v>
      </c>
      <c r="O116" s="52">
        <f t="shared" si="15"/>
        <v>1.1347763751810418</v>
      </c>
      <c r="P116" s="30">
        <f t="shared" si="16"/>
        <v>5298594.3955682674</v>
      </c>
      <c r="Q116" s="30">
        <f t="shared" si="17"/>
        <v>5618134.8516980652</v>
      </c>
      <c r="R116" s="30">
        <f t="shared" si="18"/>
        <v>5612468.9132567858</v>
      </c>
      <c r="S116" s="53">
        <f t="shared" si="19"/>
        <v>3.8225710033493545</v>
      </c>
      <c r="T116" s="54">
        <v>3.8225709999999999</v>
      </c>
      <c r="U116" s="55">
        <f t="shared" si="20"/>
        <v>3.3493545714691209E-9</v>
      </c>
      <c r="V116" s="53">
        <f t="shared" si="21"/>
        <v>3.8812758381917631</v>
      </c>
      <c r="W116" s="53">
        <f t="shared" si="22"/>
        <v>3.8659010442319688</v>
      </c>
      <c r="X116" s="54">
        <v>3.865901</v>
      </c>
      <c r="Y116" s="55">
        <f t="shared" si="23"/>
        <v>4.4231968754360196E-8</v>
      </c>
      <c r="Z116" s="29">
        <f t="shared" si="24"/>
        <v>-231883.95458653496</v>
      </c>
      <c r="AA116" s="23">
        <f t="shared" si="25"/>
        <v>885391.32896381244</v>
      </c>
    </row>
    <row r="117" spans="1:27" x14ac:dyDescent="0.2">
      <c r="A117" s="27" t="s">
        <v>279</v>
      </c>
      <c r="B117" s="27" t="s">
        <v>44</v>
      </c>
      <c r="C117" s="27" t="s">
        <v>66</v>
      </c>
      <c r="D117" s="51">
        <v>1992262825</v>
      </c>
      <c r="E117" s="51">
        <v>2040265749</v>
      </c>
      <c r="F117" s="45">
        <v>1984308</v>
      </c>
      <c r="G117" s="27" t="s">
        <v>280</v>
      </c>
      <c r="H117" s="51">
        <v>2040265749</v>
      </c>
      <c r="I117" s="51">
        <v>2177978663</v>
      </c>
      <c r="J117" s="45">
        <v>1988503</v>
      </c>
      <c r="K117" s="27" t="s">
        <v>281</v>
      </c>
      <c r="L117" s="45">
        <v>1508208534</v>
      </c>
      <c r="M117" s="27" t="str">
        <f t="shared" si="13"/>
        <v>2026-01|FFM 70%</v>
      </c>
      <c r="N117" s="52">
        <f t="shared" si="14"/>
        <v>1.0240946743560304</v>
      </c>
      <c r="O117" s="52">
        <f t="shared" si="15"/>
        <v>1.0674975375474971</v>
      </c>
      <c r="P117" s="30">
        <f t="shared" si="16"/>
        <v>2032119.2550820659</v>
      </c>
      <c r="Q117" s="30">
        <f t="shared" si="17"/>
        <v>2118243.9037357988</v>
      </c>
      <c r="R117" s="30">
        <f t="shared" si="18"/>
        <v>2122722.0559058106</v>
      </c>
      <c r="S117" s="53">
        <f t="shared" si="19"/>
        <v>1.4660341139381543</v>
      </c>
      <c r="T117" s="54">
        <v>1.4660340000000001</v>
      </c>
      <c r="U117" s="55">
        <f t="shared" si="20"/>
        <v>1.1393815424476372E-7</v>
      </c>
      <c r="V117" s="53">
        <f t="shared" si="21"/>
        <v>1.4633840411434471</v>
      </c>
      <c r="W117" s="53">
        <f t="shared" si="22"/>
        <v>1.4621432277615267</v>
      </c>
      <c r="X117" s="54">
        <v>1.462143</v>
      </c>
      <c r="Y117" s="55">
        <f t="shared" si="23"/>
        <v>2.2776152674985894E-7</v>
      </c>
      <c r="Z117" s="29">
        <f t="shared" si="24"/>
        <v>-18714.053317137357</v>
      </c>
      <c r="AA117" s="23">
        <f t="shared" si="25"/>
        <v>-39968.624046986173</v>
      </c>
    </row>
    <row r="118" spans="1:27" x14ac:dyDescent="0.2">
      <c r="A118" s="27" t="s">
        <v>279</v>
      </c>
      <c r="B118" s="27" t="s">
        <v>44</v>
      </c>
      <c r="C118" s="27" t="s">
        <v>67</v>
      </c>
      <c r="D118" s="51">
        <v>933018792</v>
      </c>
      <c r="E118" s="51">
        <v>1039445326</v>
      </c>
      <c r="F118" s="45">
        <v>1245276</v>
      </c>
      <c r="G118" s="27" t="s">
        <v>280</v>
      </c>
      <c r="H118" s="51">
        <v>1039445326</v>
      </c>
      <c r="I118" s="51">
        <v>1264832168</v>
      </c>
      <c r="J118" s="45">
        <v>1279298</v>
      </c>
      <c r="K118" s="27" t="s">
        <v>281</v>
      </c>
      <c r="L118" s="45">
        <v>1508208534</v>
      </c>
      <c r="M118" s="27" t="str">
        <f t="shared" si="13"/>
        <v>2026-01|FFM 70%</v>
      </c>
      <c r="N118" s="52">
        <f t="shared" si="14"/>
        <v>1.1140668707988894</v>
      </c>
      <c r="O118" s="52">
        <f t="shared" si="15"/>
        <v>1.2168337635105206</v>
      </c>
      <c r="P118" s="30">
        <f t="shared" si="16"/>
        <v>1387320.7366009578</v>
      </c>
      <c r="Q118" s="30">
        <f t="shared" si="17"/>
        <v>1515293.8816893271</v>
      </c>
      <c r="R118" s="30">
        <f t="shared" si="18"/>
        <v>1556692.9999914821</v>
      </c>
      <c r="S118" s="53">
        <f t="shared" si="19"/>
        <v>1.0008563826873815</v>
      </c>
      <c r="T118" s="54">
        <v>1.000856</v>
      </c>
      <c r="U118" s="55">
        <f t="shared" si="20"/>
        <v>3.826873815615528E-7</v>
      </c>
      <c r="V118" s="53">
        <f t="shared" si="21"/>
        <v>1.0468373732579586</v>
      </c>
      <c r="W118" s="53">
        <f t="shared" si="22"/>
        <v>1.0722591407145181</v>
      </c>
      <c r="X118" s="54">
        <v>1.0722590000000001</v>
      </c>
      <c r="Y118" s="55">
        <f t="shared" si="23"/>
        <v>1.4071451803765456E-7</v>
      </c>
      <c r="Z118" s="29">
        <f t="shared" si="24"/>
        <v>383413.26627346594</v>
      </c>
      <c r="AA118" s="23">
        <f t="shared" si="25"/>
        <v>693489.22380317806</v>
      </c>
    </row>
    <row r="119" spans="1:27" x14ac:dyDescent="0.2">
      <c r="A119" s="27" t="s">
        <v>279</v>
      </c>
      <c r="B119" s="27" t="s">
        <v>44</v>
      </c>
      <c r="C119" s="27" t="s">
        <v>68</v>
      </c>
      <c r="D119" s="51">
        <v>13238060362</v>
      </c>
      <c r="E119" s="51">
        <v>14903709928</v>
      </c>
      <c r="F119" s="45">
        <v>6152311</v>
      </c>
      <c r="G119" s="27" t="s">
        <v>280</v>
      </c>
      <c r="H119" s="51">
        <v>14903709928</v>
      </c>
      <c r="I119" s="51">
        <v>16472101478</v>
      </c>
      <c r="J119" s="45">
        <v>6234433</v>
      </c>
      <c r="K119" s="27" t="s">
        <v>281</v>
      </c>
      <c r="L119" s="45">
        <v>1508208534</v>
      </c>
      <c r="M119" s="27" t="str">
        <f t="shared" si="13"/>
        <v>2026-01|FFM 70%</v>
      </c>
      <c r="N119" s="52">
        <f t="shared" si="14"/>
        <v>1.1258227807134997</v>
      </c>
      <c r="O119" s="52">
        <f t="shared" si="15"/>
        <v>1.105234975558228</v>
      </c>
      <c r="P119" s="30">
        <f t="shared" si="16"/>
        <v>6926411.8778342521</v>
      </c>
      <c r="Q119" s="30">
        <f t="shared" si="17"/>
        <v>6799749.2977116173</v>
      </c>
      <c r="R119" s="30">
        <f t="shared" si="18"/>
        <v>6890513.4043744104</v>
      </c>
      <c r="S119" s="53">
        <f t="shared" si="19"/>
        <v>4.996929227798379</v>
      </c>
      <c r="T119" s="54">
        <v>4.9969289999999997</v>
      </c>
      <c r="U119" s="55">
        <f t="shared" si="20"/>
        <v>2.2779837927089375E-7</v>
      </c>
      <c r="V119" s="53">
        <f t="shared" si="21"/>
        <v>4.6975915231000007</v>
      </c>
      <c r="W119" s="53">
        <f t="shared" si="22"/>
        <v>4.7462254806161539</v>
      </c>
      <c r="X119" s="54">
        <v>4.7462249999999999</v>
      </c>
      <c r="Y119" s="55">
        <f t="shared" si="23"/>
        <v>4.8061615398609092E-7</v>
      </c>
      <c r="Z119" s="29">
        <f t="shared" si="24"/>
        <v>733501.49768055673</v>
      </c>
      <c r="AA119" s="23">
        <f t="shared" si="25"/>
        <v>-4514636.8077406604</v>
      </c>
    </row>
    <row r="120" spans="1:27" x14ac:dyDescent="0.2">
      <c r="A120" s="27" t="s">
        <v>279</v>
      </c>
      <c r="B120" s="27" t="s">
        <v>44</v>
      </c>
      <c r="C120" s="27" t="s">
        <v>69</v>
      </c>
      <c r="D120" s="51">
        <v>785553577</v>
      </c>
      <c r="E120" s="51">
        <v>780859947</v>
      </c>
      <c r="F120" s="45">
        <v>4232451</v>
      </c>
      <c r="G120" s="27" t="s">
        <v>280</v>
      </c>
      <c r="H120" s="51">
        <v>780859947</v>
      </c>
      <c r="I120" s="51">
        <v>959523539</v>
      </c>
      <c r="J120" s="45">
        <v>4178688</v>
      </c>
      <c r="K120" s="27" t="s">
        <v>281</v>
      </c>
      <c r="L120" s="45">
        <v>1508208534</v>
      </c>
      <c r="M120" s="27" t="str">
        <f t="shared" si="13"/>
        <v>2026-01|FFM 70%</v>
      </c>
      <c r="N120" s="52">
        <f t="shared" si="14"/>
        <v>0.99402506698788795</v>
      </c>
      <c r="O120" s="52">
        <f t="shared" si="15"/>
        <v>1.2288036320551603</v>
      </c>
      <c r="P120" s="30">
        <f t="shared" si="16"/>
        <v>4207162.3887979537</v>
      </c>
      <c r="Q120" s="30">
        <f t="shared" si="17"/>
        <v>5200851.161295495</v>
      </c>
      <c r="R120" s="30">
        <f t="shared" si="18"/>
        <v>5134786.9916253136</v>
      </c>
      <c r="S120" s="53">
        <f t="shared" si="19"/>
        <v>3.0351779647923531</v>
      </c>
      <c r="T120" s="54">
        <v>3.0351780000000002</v>
      </c>
      <c r="U120" s="55">
        <f t="shared" si="20"/>
        <v>-3.5207647020030208E-8</v>
      </c>
      <c r="V120" s="53">
        <f t="shared" si="21"/>
        <v>3.5929963383251002</v>
      </c>
      <c r="W120" s="53">
        <f t="shared" si="22"/>
        <v>3.5368709741884699</v>
      </c>
      <c r="X120" s="54">
        <v>3.5368710000000001</v>
      </c>
      <c r="Y120" s="55">
        <f t="shared" si="23"/>
        <v>-2.581153024650007E-8</v>
      </c>
      <c r="Z120" s="29">
        <f t="shared" si="24"/>
        <v>-846487.53164723492</v>
      </c>
      <c r="AA120" s="23">
        <f t="shared" si="25"/>
        <v>8413064.3138408903</v>
      </c>
    </row>
    <row r="121" spans="1:27" x14ac:dyDescent="0.2">
      <c r="A121" s="27" t="s">
        <v>279</v>
      </c>
      <c r="B121" s="27" t="s">
        <v>44</v>
      </c>
      <c r="C121" s="27" t="s">
        <v>70</v>
      </c>
      <c r="D121" s="51">
        <v>3663252126</v>
      </c>
      <c r="E121" s="51">
        <v>3842817237</v>
      </c>
      <c r="F121" s="45">
        <v>6629599</v>
      </c>
      <c r="G121" s="27" t="s">
        <v>280</v>
      </c>
      <c r="H121" s="51">
        <v>3842817237</v>
      </c>
      <c r="I121" s="51">
        <v>4275370590</v>
      </c>
      <c r="J121" s="45">
        <v>6638706</v>
      </c>
      <c r="K121" s="27" t="s">
        <v>281</v>
      </c>
      <c r="L121" s="45">
        <v>1508208534</v>
      </c>
      <c r="M121" s="27" t="str">
        <f t="shared" si="13"/>
        <v>2026-01|FFM 70%</v>
      </c>
      <c r="N121" s="52">
        <f t="shared" si="14"/>
        <v>1.0490179503959156</v>
      </c>
      <c r="O121" s="52">
        <f t="shared" si="15"/>
        <v>1.1125615209683208</v>
      </c>
      <c r="P121" s="30">
        <f t="shared" si="16"/>
        <v>6954568.3549268115</v>
      </c>
      <c r="Q121" s="30">
        <f t="shared" si="17"/>
        <v>7375836.7468500584</v>
      </c>
      <c r="R121" s="30">
        <f t="shared" si="18"/>
        <v>7385968.8446215177</v>
      </c>
      <c r="S121" s="53">
        <f t="shared" si="19"/>
        <v>5.0172421872089936</v>
      </c>
      <c r="T121" s="54">
        <v>5.0172420000000004</v>
      </c>
      <c r="U121" s="55">
        <f t="shared" si="20"/>
        <v>1.8720899319646378E-7</v>
      </c>
      <c r="V121" s="53">
        <f t="shared" si="21"/>
        <v>5.0955802428529182</v>
      </c>
      <c r="W121" s="53">
        <f t="shared" si="22"/>
        <v>5.0874980530659588</v>
      </c>
      <c r="X121" s="54">
        <v>5.0874980000000001</v>
      </c>
      <c r="Y121" s="55">
        <f t="shared" si="23"/>
        <v>5.3065958738329755E-8</v>
      </c>
      <c r="Z121" s="29">
        <f t="shared" si="24"/>
        <v>-121896.27610099815</v>
      </c>
      <c r="AA121" s="23">
        <f t="shared" si="25"/>
        <v>1181501.2405913395</v>
      </c>
    </row>
    <row r="122" spans="1:27" x14ac:dyDescent="0.2">
      <c r="A122" s="27" t="s">
        <v>279</v>
      </c>
      <c r="B122" s="27" t="s">
        <v>44</v>
      </c>
      <c r="C122" s="27" t="s">
        <v>71</v>
      </c>
      <c r="D122" s="51">
        <v>6089114278</v>
      </c>
      <c r="E122" s="51">
        <v>6342492623</v>
      </c>
      <c r="F122" s="45">
        <v>2528745</v>
      </c>
      <c r="G122" s="27" t="s">
        <v>280</v>
      </c>
      <c r="H122" s="51">
        <v>6342492623</v>
      </c>
      <c r="I122" s="51">
        <v>6951984946</v>
      </c>
      <c r="J122" s="45">
        <v>2535155</v>
      </c>
      <c r="K122" s="27" t="s">
        <v>281</v>
      </c>
      <c r="L122" s="45">
        <v>1508208534</v>
      </c>
      <c r="M122" s="27" t="str">
        <f t="shared" si="13"/>
        <v>2026-01|FFM 70%</v>
      </c>
      <c r="N122" s="52">
        <f t="shared" si="14"/>
        <v>1.0416116915255569</v>
      </c>
      <c r="O122" s="52">
        <f t="shared" si="15"/>
        <v>1.0960966546164794</v>
      </c>
      <c r="P122" s="30">
        <f t="shared" si="16"/>
        <v>2633970.3568867943</v>
      </c>
      <c r="Q122" s="30">
        <f t="shared" si="17"/>
        <v>2771748.9348781491</v>
      </c>
      <c r="R122" s="30">
        <f t="shared" si="18"/>
        <v>2778774.9144342411</v>
      </c>
      <c r="S122" s="53">
        <f t="shared" si="19"/>
        <v>1.9002282413499161</v>
      </c>
      <c r="T122" s="54">
        <v>1.900228</v>
      </c>
      <c r="U122" s="55">
        <f t="shared" si="20"/>
        <v>2.4134991605251344E-7</v>
      </c>
      <c r="V122" s="53">
        <f t="shared" si="21"/>
        <v>1.9148565234643244</v>
      </c>
      <c r="W122" s="53">
        <f t="shared" si="22"/>
        <v>1.9140362306547416</v>
      </c>
      <c r="X122" s="54">
        <v>1.9140360000000001</v>
      </c>
      <c r="Y122" s="55">
        <f t="shared" si="23"/>
        <v>2.3065474152872412E-7</v>
      </c>
      <c r="Z122" s="29">
        <f t="shared" si="24"/>
        <v>-12371.726157916844</v>
      </c>
      <c r="AA122" s="23">
        <f t="shared" si="25"/>
        <v>220624.99922710258</v>
      </c>
    </row>
    <row r="123" spans="1:27" x14ac:dyDescent="0.2">
      <c r="A123" s="27" t="s">
        <v>279</v>
      </c>
      <c r="B123" s="27" t="s">
        <v>44</v>
      </c>
      <c r="C123" s="27" t="s">
        <v>72</v>
      </c>
      <c r="D123" s="51">
        <v>5916680527</v>
      </c>
      <c r="E123" s="51">
        <v>6088161317</v>
      </c>
      <c r="F123" s="45">
        <v>1905221</v>
      </c>
      <c r="G123" s="27" t="s">
        <v>280</v>
      </c>
      <c r="H123" s="51">
        <v>6088161317</v>
      </c>
      <c r="I123" s="51">
        <v>6371125057</v>
      </c>
      <c r="J123" s="45">
        <v>1975372</v>
      </c>
      <c r="K123" s="27" t="s">
        <v>281</v>
      </c>
      <c r="L123" s="45">
        <v>1508208534</v>
      </c>
      <c r="M123" s="27" t="str">
        <f t="shared" si="13"/>
        <v>2026-01|FFM 70%</v>
      </c>
      <c r="N123" s="52">
        <f t="shared" si="14"/>
        <v>1.0289826008379985</v>
      </c>
      <c r="O123" s="52">
        <f t="shared" si="15"/>
        <v>1.0464777007813311</v>
      </c>
      <c r="P123" s="30">
        <f t="shared" si="16"/>
        <v>1960439.2597511725</v>
      </c>
      <c r="Q123" s="30">
        <f t="shared" si="17"/>
        <v>1993771.2915603083</v>
      </c>
      <c r="R123" s="30">
        <f t="shared" si="18"/>
        <v>2067182.7487478196</v>
      </c>
      <c r="S123" s="53">
        <f t="shared" si="19"/>
        <v>1.4143219330810455</v>
      </c>
      <c r="T123" s="54">
        <v>1.4143220000000001</v>
      </c>
      <c r="U123" s="55">
        <f t="shared" si="20"/>
        <v>-6.6918954599870517E-8</v>
      </c>
      <c r="V123" s="53">
        <f t="shared" si="21"/>
        <v>1.3773924167153995</v>
      </c>
      <c r="W123" s="53">
        <f t="shared" si="22"/>
        <v>1.4238874318085464</v>
      </c>
      <c r="X123" s="54">
        <v>1.4238869999999999</v>
      </c>
      <c r="Y123" s="55">
        <f t="shared" si="23"/>
        <v>4.3180854647495437E-7</v>
      </c>
      <c r="Z123" s="29">
        <f t="shared" si="24"/>
        <v>701241.78551942972</v>
      </c>
      <c r="AA123" s="23">
        <f t="shared" si="25"/>
        <v>-556974.11739159969</v>
      </c>
    </row>
    <row r="124" spans="1:27" x14ac:dyDescent="0.2">
      <c r="A124" s="27" t="s">
        <v>279</v>
      </c>
      <c r="B124" s="27" t="s">
        <v>44</v>
      </c>
      <c r="C124" s="27" t="s">
        <v>73</v>
      </c>
      <c r="D124" s="51">
        <v>2449054350</v>
      </c>
      <c r="E124" s="51">
        <v>2527538116</v>
      </c>
      <c r="F124" s="45">
        <v>2885526</v>
      </c>
      <c r="G124" s="27" t="s">
        <v>280</v>
      </c>
      <c r="H124" s="51">
        <v>2527538116</v>
      </c>
      <c r="I124" s="51">
        <v>2740573920</v>
      </c>
      <c r="J124" s="45">
        <v>2951151</v>
      </c>
      <c r="K124" s="27" t="s">
        <v>281</v>
      </c>
      <c r="L124" s="45">
        <v>1508208534</v>
      </c>
      <c r="M124" s="27" t="str">
        <f t="shared" si="13"/>
        <v>2026-01|FFM 70%</v>
      </c>
      <c r="N124" s="52">
        <f t="shared" si="14"/>
        <v>1.0320465595220458</v>
      </c>
      <c r="O124" s="52">
        <f t="shared" si="15"/>
        <v>1.0842858917345009</v>
      </c>
      <c r="P124" s="30">
        <f t="shared" si="16"/>
        <v>2977997.1807114109</v>
      </c>
      <c r="Q124" s="30">
        <f t="shared" si="17"/>
        <v>3128735.1320330873</v>
      </c>
      <c r="R124" s="30">
        <f t="shared" si="18"/>
        <v>3199891.3936781641</v>
      </c>
      <c r="S124" s="53">
        <f t="shared" si="19"/>
        <v>2.1484199055819011</v>
      </c>
      <c r="T124" s="54">
        <v>2.1484200000000002</v>
      </c>
      <c r="U124" s="55">
        <f t="shared" si="20"/>
        <v>-9.4418099116921894E-8</v>
      </c>
      <c r="V124" s="53">
        <f t="shared" si="21"/>
        <v>2.16147963561099</v>
      </c>
      <c r="W124" s="53">
        <f t="shared" si="22"/>
        <v>2.2041036968650238</v>
      </c>
      <c r="X124" s="54">
        <v>2.2041040000000001</v>
      </c>
      <c r="Y124" s="55">
        <f t="shared" si="23"/>
        <v>-3.0313497623168928E-7</v>
      </c>
      <c r="Z124" s="29">
        <f t="shared" si="24"/>
        <v>642859.72937072581</v>
      </c>
      <c r="AA124" s="23">
        <f t="shared" si="25"/>
        <v>196967.96281607932</v>
      </c>
    </row>
    <row r="125" spans="1:27" x14ac:dyDescent="0.2">
      <c r="A125" s="27" t="s">
        <v>279</v>
      </c>
      <c r="B125" s="27" t="s">
        <v>44</v>
      </c>
      <c r="C125" s="27" t="s">
        <v>74</v>
      </c>
      <c r="D125" s="51">
        <v>5127365283</v>
      </c>
      <c r="E125" s="51">
        <v>5096208896</v>
      </c>
      <c r="F125" s="45">
        <v>3144666</v>
      </c>
      <c r="G125" s="27" t="s">
        <v>280</v>
      </c>
      <c r="H125" s="51">
        <v>5096208896</v>
      </c>
      <c r="I125" s="51">
        <v>5225519381</v>
      </c>
      <c r="J125" s="45">
        <v>3085699</v>
      </c>
      <c r="K125" s="27" t="s">
        <v>281</v>
      </c>
      <c r="L125" s="45">
        <v>1508208534</v>
      </c>
      <c r="M125" s="27" t="str">
        <f t="shared" si="13"/>
        <v>2026-01|FFM 70%</v>
      </c>
      <c r="N125" s="52">
        <f t="shared" si="14"/>
        <v>0.99392350938925678</v>
      </c>
      <c r="O125" s="52">
        <f t="shared" si="15"/>
        <v>1.0253738588113011</v>
      </c>
      <c r="P125" s="30">
        <f t="shared" si="16"/>
        <v>3125557.4665770764</v>
      </c>
      <c r="Q125" s="30">
        <f t="shared" si="17"/>
        <v>3224458.3110926989</v>
      </c>
      <c r="R125" s="30">
        <f t="shared" si="18"/>
        <v>3163995.0907601728</v>
      </c>
      <c r="S125" s="53">
        <f t="shared" si="19"/>
        <v>2.2548744910598559</v>
      </c>
      <c r="T125" s="54">
        <v>2.254874</v>
      </c>
      <c r="U125" s="55">
        <f t="shared" si="20"/>
        <v>4.9105985588937529E-7</v>
      </c>
      <c r="V125" s="53">
        <f t="shared" si="21"/>
        <v>2.2276097787717015</v>
      </c>
      <c r="W125" s="53">
        <f t="shared" si="22"/>
        <v>2.1793781158276042</v>
      </c>
      <c r="X125" s="54">
        <v>2.1793779999999998</v>
      </c>
      <c r="Y125" s="55">
        <f t="shared" si="23"/>
        <v>1.1582760439665662E-7</v>
      </c>
      <c r="Z125" s="29">
        <f t="shared" si="24"/>
        <v>-727434.05661299126</v>
      </c>
      <c r="AA125" s="23">
        <f t="shared" si="25"/>
        <v>-411208.71750049153</v>
      </c>
    </row>
    <row r="126" spans="1:27" x14ac:dyDescent="0.2">
      <c r="A126" s="27" t="s">
        <v>279</v>
      </c>
      <c r="B126" s="27" t="s">
        <v>44</v>
      </c>
      <c r="C126" s="27" t="s">
        <v>75</v>
      </c>
      <c r="D126" s="51">
        <v>4498545546</v>
      </c>
      <c r="E126" s="51">
        <v>5072399122</v>
      </c>
      <c r="F126" s="45">
        <v>3042242</v>
      </c>
      <c r="G126" s="27" t="s">
        <v>280</v>
      </c>
      <c r="H126" s="51">
        <v>5072399122</v>
      </c>
      <c r="I126" s="51">
        <v>5527852624</v>
      </c>
      <c r="J126" s="45">
        <v>3035624</v>
      </c>
      <c r="K126" s="27" t="s">
        <v>281</v>
      </c>
      <c r="L126" s="45">
        <v>1508208534</v>
      </c>
      <c r="M126" s="27" t="str">
        <f t="shared" si="13"/>
        <v>2026-01|FFM 70%</v>
      </c>
      <c r="N126" s="52">
        <f t="shared" si="14"/>
        <v>1.1275642471843499</v>
      </c>
      <c r="O126" s="52">
        <f t="shared" si="15"/>
        <v>1.0897905490174478</v>
      </c>
      <c r="P126" s="30">
        <f t="shared" si="16"/>
        <v>3430323.3104826109</v>
      </c>
      <c r="Q126" s="30">
        <f t="shared" si="17"/>
        <v>3315406.5794239384</v>
      </c>
      <c r="R126" s="30">
        <f t="shared" si="18"/>
        <v>3308194.345570541</v>
      </c>
      <c r="S126" s="53">
        <f t="shared" si="19"/>
        <v>2.47474206173086</v>
      </c>
      <c r="T126" s="54">
        <v>2.474742</v>
      </c>
      <c r="U126" s="55">
        <f t="shared" si="20"/>
        <v>6.1730859979292063E-8</v>
      </c>
      <c r="V126" s="53">
        <f t="shared" si="21"/>
        <v>2.2904411855850726</v>
      </c>
      <c r="W126" s="53">
        <f t="shared" si="22"/>
        <v>2.2787033964420127</v>
      </c>
      <c r="X126" s="54">
        <v>2.2787030000000001</v>
      </c>
      <c r="Y126" s="55">
        <f t="shared" si="23"/>
        <v>3.9644201255129019E-7</v>
      </c>
      <c r="Z126" s="29">
        <f t="shared" si="24"/>
        <v>-177030.33755855481</v>
      </c>
      <c r="AA126" s="23">
        <f t="shared" si="25"/>
        <v>-2779641.5422675358</v>
      </c>
    </row>
    <row r="127" spans="1:27" x14ac:dyDescent="0.2">
      <c r="A127" s="27" t="s">
        <v>279</v>
      </c>
      <c r="B127" s="27" t="s">
        <v>44</v>
      </c>
      <c r="C127" s="27" t="s">
        <v>76</v>
      </c>
      <c r="D127" s="51">
        <v>584669981</v>
      </c>
      <c r="E127" s="51">
        <v>567303935</v>
      </c>
      <c r="F127" s="45">
        <v>2554147</v>
      </c>
      <c r="G127" s="27" t="s">
        <v>280</v>
      </c>
      <c r="H127" s="51">
        <v>567303935</v>
      </c>
      <c r="I127" s="51">
        <v>665596908</v>
      </c>
      <c r="J127" s="45">
        <v>2578825</v>
      </c>
      <c r="K127" s="27" t="s">
        <v>281</v>
      </c>
      <c r="L127" s="45">
        <v>1508208534</v>
      </c>
      <c r="M127" s="27" t="str">
        <f t="shared" si="13"/>
        <v>2026-01|FFM 70%</v>
      </c>
      <c r="N127" s="52">
        <f t="shared" si="14"/>
        <v>0.97029769517104725</v>
      </c>
      <c r="O127" s="52">
        <f t="shared" si="15"/>
        <v>1.1732633372268078</v>
      </c>
      <c r="P127" s="30">
        <f t="shared" si="16"/>
        <v>2478282.9472280447</v>
      </c>
      <c r="Q127" s="30">
        <f t="shared" si="17"/>
        <v>2996687.0329878395</v>
      </c>
      <c r="R127" s="30">
        <f t="shared" si="18"/>
        <v>3025640.8256239225</v>
      </c>
      <c r="S127" s="53">
        <f t="shared" si="19"/>
        <v>1.787910495676484</v>
      </c>
      <c r="T127" s="54">
        <v>1.7879100000000001</v>
      </c>
      <c r="U127" s="55">
        <f t="shared" si="20"/>
        <v>4.956764838581762E-7</v>
      </c>
      <c r="V127" s="53">
        <f t="shared" si="21"/>
        <v>2.0702545031012982</v>
      </c>
      <c r="W127" s="53">
        <f t="shared" si="22"/>
        <v>2.0840788979021712</v>
      </c>
      <c r="X127" s="54">
        <v>2.084079</v>
      </c>
      <c r="Y127" s="55">
        <f t="shared" si="23"/>
        <v>-1.0209782885794993E-7</v>
      </c>
      <c r="Z127" s="29">
        <f t="shared" si="24"/>
        <v>208500.70216061801</v>
      </c>
      <c r="AA127" s="23">
        <f t="shared" si="25"/>
        <v>4258336.415218642</v>
      </c>
    </row>
    <row r="128" spans="1:27" x14ac:dyDescent="0.2">
      <c r="A128" s="27" t="s">
        <v>279</v>
      </c>
      <c r="B128" s="27" t="s">
        <v>44</v>
      </c>
      <c r="C128" s="27" t="s">
        <v>77</v>
      </c>
      <c r="D128" s="51">
        <v>4561458079</v>
      </c>
      <c r="E128" s="51">
        <v>5005541870</v>
      </c>
      <c r="F128" s="45">
        <v>3569939</v>
      </c>
      <c r="G128" s="27" t="s">
        <v>280</v>
      </c>
      <c r="H128" s="51">
        <v>5005541870</v>
      </c>
      <c r="I128" s="51">
        <v>5440571346</v>
      </c>
      <c r="J128" s="45">
        <v>3602540</v>
      </c>
      <c r="K128" s="27" t="s">
        <v>281</v>
      </c>
      <c r="L128" s="45">
        <v>1508208534</v>
      </c>
      <c r="M128" s="27" t="str">
        <f t="shared" si="13"/>
        <v>2026-01|FFM 70%</v>
      </c>
      <c r="N128" s="52">
        <f t="shared" si="14"/>
        <v>1.0973556663919524</v>
      </c>
      <c r="O128" s="52">
        <f t="shared" si="15"/>
        <v>1.0869095668957016</v>
      </c>
      <c r="P128" s="30">
        <f t="shared" si="16"/>
        <v>3917492.7903236202</v>
      </c>
      <c r="Q128" s="30">
        <f t="shared" si="17"/>
        <v>3880200.8523340742</v>
      </c>
      <c r="R128" s="30">
        <f t="shared" si="18"/>
        <v>3915635.1911244411</v>
      </c>
      <c r="S128" s="53">
        <f t="shared" si="19"/>
        <v>2.8262012956957396</v>
      </c>
      <c r="T128" s="54">
        <v>2.8262010000000002</v>
      </c>
      <c r="U128" s="55">
        <f t="shared" si="20"/>
        <v>2.9569573944954186E-7</v>
      </c>
      <c r="V128" s="53">
        <f t="shared" si="21"/>
        <v>2.6806280399167433</v>
      </c>
      <c r="W128" s="53">
        <f t="shared" si="22"/>
        <v>2.6971121636762003</v>
      </c>
      <c r="X128" s="54">
        <v>2.6971120000000002</v>
      </c>
      <c r="Y128" s="55">
        <f t="shared" si="23"/>
        <v>1.6367620014889894E-7</v>
      </c>
      <c r="Z128" s="29">
        <f t="shared" si="24"/>
        <v>248614.96129525313</v>
      </c>
      <c r="AA128" s="23">
        <f t="shared" si="25"/>
        <v>-2195548.2668804717</v>
      </c>
    </row>
    <row r="129" spans="1:27" x14ac:dyDescent="0.2">
      <c r="A129" s="27" t="s">
        <v>279</v>
      </c>
      <c r="B129" s="27" t="s">
        <v>44</v>
      </c>
      <c r="C129" s="27" t="s">
        <v>78</v>
      </c>
      <c r="D129" s="51">
        <v>451672513</v>
      </c>
      <c r="E129" s="51">
        <v>461261777</v>
      </c>
      <c r="F129" s="45">
        <v>1476723</v>
      </c>
      <c r="G129" s="27" t="s">
        <v>280</v>
      </c>
      <c r="H129" s="51">
        <v>461261777</v>
      </c>
      <c r="I129" s="51">
        <v>558824590</v>
      </c>
      <c r="J129" s="45">
        <v>1426175</v>
      </c>
      <c r="K129" s="27" t="s">
        <v>281</v>
      </c>
      <c r="L129" s="45">
        <v>1508208534</v>
      </c>
      <c r="M129" s="27" t="str">
        <f t="shared" si="13"/>
        <v>2026-01|FFM 70%</v>
      </c>
      <c r="N129" s="52">
        <f t="shared" si="14"/>
        <v>1.0212305679978362</v>
      </c>
      <c r="O129" s="52">
        <f t="shared" si="15"/>
        <v>1.2115128932523711</v>
      </c>
      <c r="P129" s="30">
        <f t="shared" si="16"/>
        <v>1508074.6680654685</v>
      </c>
      <c r="Q129" s="30">
        <f t="shared" si="17"/>
        <v>1789068.9542623211</v>
      </c>
      <c r="R129" s="30">
        <f t="shared" si="18"/>
        <v>1727829.4005342002</v>
      </c>
      <c r="S129" s="53">
        <f t="shared" si="19"/>
        <v>1.0879720293092001</v>
      </c>
      <c r="T129" s="54">
        <v>1.0879719999999999</v>
      </c>
      <c r="U129" s="55">
        <f t="shared" si="20"/>
        <v>2.930920017796268E-8</v>
      </c>
      <c r="V129" s="53">
        <f t="shared" si="21"/>
        <v>1.2359742669648783</v>
      </c>
      <c r="W129" s="53">
        <f t="shared" si="22"/>
        <v>1.1901388830862734</v>
      </c>
      <c r="X129" s="54">
        <v>1.1901390000000001</v>
      </c>
      <c r="Y129" s="55">
        <f t="shared" si="23"/>
        <v>-1.1691372669986322E-7</v>
      </c>
      <c r="Z129" s="29">
        <f t="shared" si="24"/>
        <v>-691293.17124878045</v>
      </c>
      <c r="AA129" s="23">
        <f t="shared" si="25"/>
        <v>2232182.3788339002</v>
      </c>
    </row>
    <row r="130" spans="1:27" x14ac:dyDescent="0.2">
      <c r="A130" s="27" t="s">
        <v>279</v>
      </c>
      <c r="B130" s="27" t="s">
        <v>44</v>
      </c>
      <c r="C130" s="27" t="s">
        <v>79</v>
      </c>
      <c r="D130" s="51">
        <v>4628462870</v>
      </c>
      <c r="E130" s="51">
        <v>4968141044</v>
      </c>
      <c r="F130" s="45">
        <v>8113343</v>
      </c>
      <c r="G130" s="27" t="s">
        <v>280</v>
      </c>
      <c r="H130" s="51">
        <v>4968141044</v>
      </c>
      <c r="I130" s="51">
        <v>5256423850</v>
      </c>
      <c r="J130" s="45">
        <v>8066173</v>
      </c>
      <c r="K130" s="27" t="s">
        <v>281</v>
      </c>
      <c r="L130" s="45">
        <v>1508208534</v>
      </c>
      <c r="M130" s="27" t="str">
        <f t="shared" si="13"/>
        <v>2026-01|FFM 70%</v>
      </c>
      <c r="N130" s="52">
        <f t="shared" si="14"/>
        <v>1.0733889810808832</v>
      </c>
      <c r="O130" s="52">
        <f t="shared" si="15"/>
        <v>1.0580262926206891</v>
      </c>
      <c r="P130" s="30">
        <f t="shared" si="16"/>
        <v>8708772.9759297166</v>
      </c>
      <c r="Q130" s="30">
        <f t="shared" si="17"/>
        <v>8584130.2150500193</v>
      </c>
      <c r="R130" s="30">
        <f t="shared" si="18"/>
        <v>8534223.1148271021</v>
      </c>
      <c r="S130" s="53">
        <f t="shared" si="19"/>
        <v>6.2827800294329013</v>
      </c>
      <c r="T130" s="54">
        <v>6.2827799999999998</v>
      </c>
      <c r="U130" s="55">
        <f t="shared" si="20"/>
        <v>2.943290144941102E-8</v>
      </c>
      <c r="V130" s="53">
        <f t="shared" si="21"/>
        <v>5.9303270702901374</v>
      </c>
      <c r="W130" s="53">
        <f t="shared" si="22"/>
        <v>5.8784222347120201</v>
      </c>
      <c r="X130" s="54">
        <v>5.8784219999999996</v>
      </c>
      <c r="Y130" s="55">
        <f t="shared" si="23"/>
        <v>2.3471202048597206E-7</v>
      </c>
      <c r="Z130" s="29">
        <f t="shared" si="24"/>
        <v>-782833.1597478335</v>
      </c>
      <c r="AA130" s="23">
        <f t="shared" si="25"/>
        <v>-5315725.6081266981</v>
      </c>
    </row>
    <row r="131" spans="1:27" x14ac:dyDescent="0.2">
      <c r="A131" s="27" t="s">
        <v>279</v>
      </c>
      <c r="B131" s="27" t="s">
        <v>44</v>
      </c>
      <c r="C131" s="27" t="s">
        <v>80</v>
      </c>
      <c r="D131" s="51">
        <v>1925506884</v>
      </c>
      <c r="E131" s="51">
        <v>1981620237</v>
      </c>
      <c r="F131" s="45">
        <v>2402017</v>
      </c>
      <c r="G131" s="27" t="s">
        <v>280</v>
      </c>
      <c r="H131" s="51">
        <v>1981620237</v>
      </c>
      <c r="I131" s="51">
        <v>2285077031</v>
      </c>
      <c r="J131" s="45">
        <v>2456821</v>
      </c>
      <c r="K131" s="27" t="s">
        <v>281</v>
      </c>
      <c r="L131" s="45">
        <v>1508208534</v>
      </c>
      <c r="M131" s="27" t="str">
        <f t="shared" si="13"/>
        <v>2026-01|FFM 70%</v>
      </c>
      <c r="N131" s="52">
        <f t="shared" si="14"/>
        <v>1.0291421201691222</v>
      </c>
      <c r="O131" s="52">
        <f t="shared" si="15"/>
        <v>1.1531356958987293</v>
      </c>
      <c r="P131" s="30">
        <f t="shared" si="16"/>
        <v>2472016.8680622745</v>
      </c>
      <c r="Q131" s="30">
        <f t="shared" si="17"/>
        <v>2769851.5448555783</v>
      </c>
      <c r="R131" s="30">
        <f t="shared" si="18"/>
        <v>2833047.9935336122</v>
      </c>
      <c r="S131" s="53">
        <f t="shared" si="19"/>
        <v>1.7833899510309461</v>
      </c>
      <c r="T131" s="54">
        <v>1.78339</v>
      </c>
      <c r="U131" s="55">
        <f t="shared" si="20"/>
        <v>-4.8969053922931494E-8</v>
      </c>
      <c r="V131" s="53">
        <f t="shared" si="21"/>
        <v>1.9135457158307192</v>
      </c>
      <c r="W131" s="53">
        <f t="shared" si="22"/>
        <v>1.9514198413983763</v>
      </c>
      <c r="X131" s="54">
        <v>1.9514199999999999</v>
      </c>
      <c r="Y131" s="55">
        <f t="shared" si="23"/>
        <v>-1.5860162361214236E-7</v>
      </c>
      <c r="Z131" s="29">
        <f t="shared" si="24"/>
        <v>571220.7939892807</v>
      </c>
      <c r="AA131" s="23">
        <f t="shared" si="25"/>
        <v>1963020.3522031456</v>
      </c>
    </row>
    <row r="132" spans="1:27" x14ac:dyDescent="0.2">
      <c r="A132" s="27" t="s">
        <v>279</v>
      </c>
      <c r="B132" s="27" t="s">
        <v>44</v>
      </c>
      <c r="C132" s="27" t="s">
        <v>81</v>
      </c>
      <c r="D132" s="51">
        <v>1412961700</v>
      </c>
      <c r="E132" s="51">
        <v>1504822070</v>
      </c>
      <c r="F132" s="45">
        <v>1695685</v>
      </c>
      <c r="G132" s="27" t="s">
        <v>280</v>
      </c>
      <c r="H132" s="51">
        <v>1504822070</v>
      </c>
      <c r="I132" s="51">
        <v>1621236790</v>
      </c>
      <c r="J132" s="45">
        <v>1689186</v>
      </c>
      <c r="K132" s="27" t="s">
        <v>281</v>
      </c>
      <c r="L132" s="45">
        <v>1508208534</v>
      </c>
      <c r="M132" s="27" t="str">
        <f t="shared" si="13"/>
        <v>2026-01|FFM 70%</v>
      </c>
      <c r="N132" s="52">
        <f t="shared" si="14"/>
        <v>1.065012639762281</v>
      </c>
      <c r="O132" s="52">
        <f t="shared" si="15"/>
        <v>1.0773611195109598</v>
      </c>
      <c r="P132" s="30">
        <f t="shared" si="16"/>
        <v>1805925.9580553034</v>
      </c>
      <c r="Q132" s="30">
        <f t="shared" si="17"/>
        <v>1826865.0899379419</v>
      </c>
      <c r="R132" s="30">
        <f t="shared" si="18"/>
        <v>1819863.32002224</v>
      </c>
      <c r="S132" s="53">
        <f t="shared" si="19"/>
        <v>1.3028512254555649</v>
      </c>
      <c r="T132" s="54">
        <v>1.302851</v>
      </c>
      <c r="U132" s="55">
        <f t="shared" si="20"/>
        <v>2.2545556488395846E-7</v>
      </c>
      <c r="V132" s="53">
        <f t="shared" si="21"/>
        <v>1.2620856423674225</v>
      </c>
      <c r="W132" s="53">
        <f t="shared" si="22"/>
        <v>1.2535323790597086</v>
      </c>
      <c r="X132" s="54">
        <v>1.2535320000000001</v>
      </c>
      <c r="Y132" s="55">
        <f t="shared" si="23"/>
        <v>3.7905970851070947E-7</v>
      </c>
      <c r="Z132" s="29">
        <f t="shared" si="24"/>
        <v>-129001.04714243152</v>
      </c>
      <c r="AA132" s="23">
        <f t="shared" si="25"/>
        <v>-614830.00307022408</v>
      </c>
    </row>
    <row r="133" spans="1:27" x14ac:dyDescent="0.2">
      <c r="A133" s="27" t="s">
        <v>282</v>
      </c>
      <c r="B133" s="27" t="s">
        <v>153</v>
      </c>
      <c r="C133" s="27" t="s">
        <v>50</v>
      </c>
      <c r="D133" s="51">
        <v>424041038</v>
      </c>
      <c r="E133" s="51">
        <v>435173210</v>
      </c>
      <c r="F133" s="45">
        <v>1503564</v>
      </c>
      <c r="G133" s="27" t="s">
        <v>280</v>
      </c>
      <c r="H133" s="51">
        <v>424041038</v>
      </c>
      <c r="I133" s="51">
        <v>435173210</v>
      </c>
      <c r="J133" s="45">
        <v>1531396</v>
      </c>
      <c r="K133" s="27" t="s">
        <v>281</v>
      </c>
      <c r="L133" s="45">
        <v>49600505682</v>
      </c>
      <c r="M133" s="27" t="str">
        <f t="shared" ref="M133:M196" si="26">A133&amp;"|"&amp;B133</f>
        <v>2026-02|FGP primera parte (60%)</v>
      </c>
      <c r="N133" s="52">
        <f t="shared" ref="N133:N196" si="27">IF(E133="",D133,E133/D133)</f>
        <v>1.0262525817135653</v>
      </c>
      <c r="O133" s="52">
        <f t="shared" ref="O133:O196" si="28">IF(I133="",H133,I133/H133)</f>
        <v>1.0262525817135653</v>
      </c>
      <c r="P133" s="30">
        <f t="shared" ref="P133:P196" si="29">N133*F133</f>
        <v>1543036.4367715751</v>
      </c>
      <c r="Q133" s="30">
        <f t="shared" ref="Q133:Q196" si="30">O133*F133</f>
        <v>1543036.4367715751</v>
      </c>
      <c r="R133" s="30">
        <f t="shared" ref="R133:R196" si="31">O133*J133</f>
        <v>1571599.0986258269</v>
      </c>
      <c r="S133" s="53">
        <f t="shared" ref="S133:S196" si="32">P133/SUMIFS($P$5:$P$516,$M$5:$M$516,M133)*100</f>
        <v>1.1177652699304546</v>
      </c>
      <c r="T133" s="54">
        <v>1.1177649999999999</v>
      </c>
      <c r="U133" s="55">
        <f t="shared" ref="U133:U196" si="33">S133-T133</f>
        <v>2.6993045465495413E-7</v>
      </c>
      <c r="V133" s="53">
        <f t="shared" ref="V133:V196" si="34">Q133/SUMIFS($Q$5:$Q$516,$M$5:$M$516,M133)*100</f>
        <v>1.1177652699304546</v>
      </c>
      <c r="W133" s="53">
        <f t="shared" ref="W133:W196" si="35">R133/SUMIFS($R$5:$R$516,$M$5:$M$516,M133)*100</f>
        <v>1.1351484297080587</v>
      </c>
      <c r="X133" s="54">
        <v>1.135148</v>
      </c>
      <c r="Y133" s="55">
        <f t="shared" ref="Y133:Y196" si="36">W133-X133</f>
        <v>4.2970805869124717E-7</v>
      </c>
      <c r="Z133" s="29">
        <f t="shared" ref="Z133:Z196" si="37">(W133-V133)/100*L133</f>
        <v>8622135.153201703</v>
      </c>
      <c r="AA133" s="23">
        <f t="shared" ref="AA133:AA196" si="38">(V133-S133)/100*L133</f>
        <v>0</v>
      </c>
    </row>
    <row r="134" spans="1:27" x14ac:dyDescent="0.2">
      <c r="A134" s="27" t="s">
        <v>282</v>
      </c>
      <c r="B134" s="27" t="s">
        <v>153</v>
      </c>
      <c r="C134" s="27" t="s">
        <v>51</v>
      </c>
      <c r="D134" s="51">
        <v>1248958117</v>
      </c>
      <c r="E134" s="51">
        <v>1292417521</v>
      </c>
      <c r="F134" s="45">
        <v>3778283</v>
      </c>
      <c r="G134" s="27" t="s">
        <v>280</v>
      </c>
      <c r="H134" s="51">
        <v>1248958117</v>
      </c>
      <c r="I134" s="51">
        <v>1292417521</v>
      </c>
      <c r="J134" s="45">
        <v>3830329</v>
      </c>
      <c r="K134" s="27" t="s">
        <v>281</v>
      </c>
      <c r="L134" s="45">
        <v>49600505682</v>
      </c>
      <c r="M134" s="27" t="str">
        <f t="shared" si="26"/>
        <v>2026-02|FGP primera parte (60%)</v>
      </c>
      <c r="N134" s="52">
        <f t="shared" si="27"/>
        <v>1.0347965263273917</v>
      </c>
      <c r="O134" s="52">
        <f t="shared" si="28"/>
        <v>1.0347965263273917</v>
      </c>
      <c r="P134" s="30">
        <f t="shared" si="29"/>
        <v>3909754.1238818364</v>
      </c>
      <c r="Q134" s="30">
        <f t="shared" si="30"/>
        <v>3909754.1238818364</v>
      </c>
      <c r="R134" s="30">
        <f t="shared" si="31"/>
        <v>3963611.1438910719</v>
      </c>
      <c r="S134" s="53">
        <f t="shared" si="32"/>
        <v>2.8321997261361065</v>
      </c>
      <c r="T134" s="54">
        <v>2.8321999999999998</v>
      </c>
      <c r="U134" s="55">
        <f t="shared" si="33"/>
        <v>-2.7386389334083105E-7</v>
      </c>
      <c r="V134" s="53">
        <f t="shared" si="34"/>
        <v>2.8321997261361065</v>
      </c>
      <c r="W134" s="53">
        <f t="shared" si="35"/>
        <v>2.8628719435480678</v>
      </c>
      <c r="X134" s="54">
        <v>2.8628719999999999</v>
      </c>
      <c r="Y134" s="55">
        <f t="shared" si="36"/>
        <v>-5.6451932017864692E-8</v>
      </c>
      <c r="Z134" s="29">
        <f t="shared" si="37"/>
        <v>15213574.940215286</v>
      </c>
      <c r="AA134" s="23">
        <f t="shared" si="38"/>
        <v>0</v>
      </c>
    </row>
    <row r="135" spans="1:27" x14ac:dyDescent="0.2">
      <c r="A135" s="27" t="s">
        <v>282</v>
      </c>
      <c r="B135" s="27" t="s">
        <v>153</v>
      </c>
      <c r="C135" s="27" t="s">
        <v>52</v>
      </c>
      <c r="D135" s="51">
        <v>235075861</v>
      </c>
      <c r="E135" s="51">
        <v>251902223</v>
      </c>
      <c r="F135" s="45">
        <v>881164</v>
      </c>
      <c r="G135" s="27" t="s">
        <v>280</v>
      </c>
      <c r="H135" s="51">
        <v>235075861</v>
      </c>
      <c r="I135" s="51">
        <v>251902223</v>
      </c>
      <c r="J135" s="45">
        <v>928591</v>
      </c>
      <c r="K135" s="27" t="s">
        <v>281</v>
      </c>
      <c r="L135" s="45">
        <v>49600505682</v>
      </c>
      <c r="M135" s="27" t="str">
        <f t="shared" si="26"/>
        <v>2026-02|FGP primera parte (60%)</v>
      </c>
      <c r="N135" s="52">
        <f t="shared" si="27"/>
        <v>1.0715784339932717</v>
      </c>
      <c r="O135" s="52">
        <f t="shared" si="28"/>
        <v>1.0715784339932717</v>
      </c>
      <c r="P135" s="30">
        <f t="shared" si="29"/>
        <v>944236.33921124728</v>
      </c>
      <c r="Q135" s="30">
        <f t="shared" si="30"/>
        <v>944236.33921124728</v>
      </c>
      <c r="R135" s="30">
        <f t="shared" si="31"/>
        <v>995058.08960024617</v>
      </c>
      <c r="S135" s="53">
        <f t="shared" si="32"/>
        <v>0.68399848598834245</v>
      </c>
      <c r="T135" s="54">
        <v>0.68399799999999999</v>
      </c>
      <c r="U135" s="55">
        <f t="shared" si="33"/>
        <v>4.8598834245794365E-7</v>
      </c>
      <c r="V135" s="53">
        <f t="shared" si="34"/>
        <v>0.68399848598834245</v>
      </c>
      <c r="W135" s="53">
        <f t="shared" si="35"/>
        <v>0.71871931516483112</v>
      </c>
      <c r="X135" s="54">
        <v>0.718719</v>
      </c>
      <c r="Y135" s="55">
        <f t="shared" si="36"/>
        <v>3.151648311217059E-7</v>
      </c>
      <c r="Z135" s="29">
        <f t="shared" si="37"/>
        <v>17221706.848521776</v>
      </c>
      <c r="AA135" s="23">
        <f t="shared" si="38"/>
        <v>0</v>
      </c>
    </row>
    <row r="136" spans="1:27" x14ac:dyDescent="0.2">
      <c r="A136" s="27" t="s">
        <v>282</v>
      </c>
      <c r="B136" s="27" t="s">
        <v>153</v>
      </c>
      <c r="C136" s="27" t="s">
        <v>53</v>
      </c>
      <c r="D136" s="51">
        <v>600899202</v>
      </c>
      <c r="E136" s="51">
        <v>520398428</v>
      </c>
      <c r="F136" s="45">
        <v>925978</v>
      </c>
      <c r="G136" s="27" t="s">
        <v>280</v>
      </c>
      <c r="H136" s="51">
        <v>600899202</v>
      </c>
      <c r="I136" s="51">
        <v>520398428</v>
      </c>
      <c r="J136" s="45">
        <v>935371</v>
      </c>
      <c r="K136" s="27" t="s">
        <v>281</v>
      </c>
      <c r="L136" s="45">
        <v>49600505682</v>
      </c>
      <c r="M136" s="27" t="str">
        <f t="shared" si="26"/>
        <v>2026-02|FGP primera parte (60%)</v>
      </c>
      <c r="N136" s="52">
        <f t="shared" si="27"/>
        <v>0.8660328159330789</v>
      </c>
      <c r="O136" s="52">
        <f t="shared" si="28"/>
        <v>0.8660328159330789</v>
      </c>
      <c r="P136" s="30">
        <f t="shared" si="29"/>
        <v>801927.33483208052</v>
      </c>
      <c r="Q136" s="30">
        <f t="shared" si="30"/>
        <v>801927.33483208052</v>
      </c>
      <c r="R136" s="30">
        <f t="shared" si="31"/>
        <v>810061.98107213993</v>
      </c>
      <c r="S136" s="53">
        <f t="shared" si="32"/>
        <v>0.58091079544344226</v>
      </c>
      <c r="T136" s="54">
        <v>0.58091099999999996</v>
      </c>
      <c r="U136" s="55">
        <f t="shared" si="33"/>
        <v>-2.0455655769247016E-7</v>
      </c>
      <c r="V136" s="53">
        <f t="shared" si="34"/>
        <v>0.58091079544344226</v>
      </c>
      <c r="W136" s="53">
        <f t="shared" si="35"/>
        <v>0.58509869761586508</v>
      </c>
      <c r="X136" s="54">
        <v>0.58509900000000004</v>
      </c>
      <c r="Y136" s="55">
        <f t="shared" si="36"/>
        <v>-3.0238413495364824E-7</v>
      </c>
      <c r="Z136" s="29">
        <f t="shared" si="37"/>
        <v>2077220.654989182</v>
      </c>
      <c r="AA136" s="23">
        <f t="shared" si="38"/>
        <v>0</v>
      </c>
    </row>
    <row r="137" spans="1:27" x14ac:dyDescent="0.2">
      <c r="A137" s="27" t="s">
        <v>282</v>
      </c>
      <c r="B137" s="27" t="s">
        <v>153</v>
      </c>
      <c r="C137" s="27" t="s">
        <v>54</v>
      </c>
      <c r="D137" s="51">
        <v>1180088820</v>
      </c>
      <c r="E137" s="51">
        <v>1236355664</v>
      </c>
      <c r="F137" s="45">
        <v>3452989</v>
      </c>
      <c r="G137" s="27" t="s">
        <v>280</v>
      </c>
      <c r="H137" s="51">
        <v>1180088820</v>
      </c>
      <c r="I137" s="51">
        <v>1236355664</v>
      </c>
      <c r="J137" s="45">
        <v>3590747</v>
      </c>
      <c r="K137" s="27" t="s">
        <v>281</v>
      </c>
      <c r="L137" s="45">
        <v>49600505682</v>
      </c>
      <c r="M137" s="27" t="str">
        <f t="shared" si="26"/>
        <v>2026-02|FGP primera parte (60%)</v>
      </c>
      <c r="N137" s="52">
        <f t="shared" si="27"/>
        <v>1.0476801771581905</v>
      </c>
      <c r="O137" s="52">
        <f t="shared" si="28"/>
        <v>1.0476801771581905</v>
      </c>
      <c r="P137" s="30">
        <f t="shared" si="29"/>
        <v>3617628.1272452832</v>
      </c>
      <c r="Q137" s="30">
        <f t="shared" si="30"/>
        <v>3617628.1272452832</v>
      </c>
      <c r="R137" s="30">
        <f t="shared" si="31"/>
        <v>3761954.4530902412</v>
      </c>
      <c r="S137" s="53">
        <f t="shared" si="32"/>
        <v>2.6205856088652659</v>
      </c>
      <c r="T137" s="54">
        <v>2.6205859999999999</v>
      </c>
      <c r="U137" s="55">
        <f t="shared" si="33"/>
        <v>-3.9113473393470599E-7</v>
      </c>
      <c r="V137" s="53">
        <f t="shared" si="34"/>
        <v>2.6205856088652659</v>
      </c>
      <c r="W137" s="53">
        <f t="shared" si="35"/>
        <v>2.7172175739936182</v>
      </c>
      <c r="X137" s="54">
        <v>2.7172179999999999</v>
      </c>
      <c r="Y137" s="55">
        <f t="shared" si="36"/>
        <v>-4.2600638172629601E-7</v>
      </c>
      <c r="Z137" s="29">
        <f t="shared" si="37"/>
        <v>47929943.354116619</v>
      </c>
      <c r="AA137" s="23">
        <f t="shared" si="38"/>
        <v>0</v>
      </c>
    </row>
    <row r="138" spans="1:27" x14ac:dyDescent="0.2">
      <c r="A138" s="27" t="s">
        <v>282</v>
      </c>
      <c r="B138" s="27" t="s">
        <v>153</v>
      </c>
      <c r="C138" s="27" t="s">
        <v>55</v>
      </c>
      <c r="D138" s="51">
        <v>204172711</v>
      </c>
      <c r="E138" s="51">
        <v>214421765</v>
      </c>
      <c r="F138" s="45">
        <v>728776</v>
      </c>
      <c r="G138" s="27" t="s">
        <v>280</v>
      </c>
      <c r="H138" s="51">
        <v>204172711</v>
      </c>
      <c r="I138" s="51">
        <v>214421765</v>
      </c>
      <c r="J138" s="45">
        <v>762355</v>
      </c>
      <c r="K138" s="27" t="s">
        <v>281</v>
      </c>
      <c r="L138" s="45">
        <v>49600505682</v>
      </c>
      <c r="M138" s="27" t="str">
        <f t="shared" si="26"/>
        <v>2026-02|FGP primera parte (60%)</v>
      </c>
      <c r="N138" s="52">
        <f t="shared" si="27"/>
        <v>1.0501979620577209</v>
      </c>
      <c r="O138" s="52">
        <f t="shared" si="28"/>
        <v>1.0501979620577209</v>
      </c>
      <c r="P138" s="30">
        <f t="shared" si="29"/>
        <v>765359.06999657757</v>
      </c>
      <c r="Q138" s="30">
        <f t="shared" si="30"/>
        <v>765359.06999657757</v>
      </c>
      <c r="R138" s="30">
        <f t="shared" si="31"/>
        <v>800623.66736451385</v>
      </c>
      <c r="S138" s="53">
        <f t="shared" si="32"/>
        <v>0.55442098908458215</v>
      </c>
      <c r="T138" s="54">
        <v>0.55442100000000005</v>
      </c>
      <c r="U138" s="55">
        <f t="shared" si="33"/>
        <v>-1.0915417902879199E-8</v>
      </c>
      <c r="V138" s="53">
        <f t="shared" si="34"/>
        <v>0.55442098908458215</v>
      </c>
      <c r="W138" s="53">
        <f t="shared" si="35"/>
        <v>0.57828150931786226</v>
      </c>
      <c r="X138" s="54">
        <v>0.57828199999999996</v>
      </c>
      <c r="Y138" s="55">
        <f t="shared" si="36"/>
        <v>-4.9068213769931646E-7</v>
      </c>
      <c r="Z138" s="29">
        <f t="shared" si="37"/>
        <v>11834938.694062863</v>
      </c>
      <c r="AA138" s="23">
        <f t="shared" si="38"/>
        <v>0</v>
      </c>
    </row>
    <row r="139" spans="1:27" x14ac:dyDescent="0.2">
      <c r="A139" s="27" t="s">
        <v>282</v>
      </c>
      <c r="B139" s="27" t="s">
        <v>153</v>
      </c>
      <c r="C139" s="27" t="s">
        <v>56</v>
      </c>
      <c r="D139" s="51">
        <v>499823695</v>
      </c>
      <c r="E139" s="51">
        <v>532775844</v>
      </c>
      <c r="F139" s="45">
        <v>5975155</v>
      </c>
      <c r="G139" s="27" t="s">
        <v>280</v>
      </c>
      <c r="H139" s="51">
        <v>499823695</v>
      </c>
      <c r="I139" s="51">
        <v>532775844</v>
      </c>
      <c r="J139" s="45">
        <v>5891372</v>
      </c>
      <c r="K139" s="27" t="s">
        <v>281</v>
      </c>
      <c r="L139" s="45">
        <v>49600505682</v>
      </c>
      <c r="M139" s="27" t="str">
        <f t="shared" si="26"/>
        <v>2026-02|FGP primera parte (60%)</v>
      </c>
      <c r="N139" s="52">
        <f t="shared" si="27"/>
        <v>1.0659275447115408</v>
      </c>
      <c r="O139" s="52">
        <f t="shared" si="28"/>
        <v>1.0659275447115408</v>
      </c>
      <c r="P139" s="30">
        <f t="shared" si="29"/>
        <v>6369082.2984208865</v>
      </c>
      <c r="Q139" s="30">
        <f t="shared" si="30"/>
        <v>6369082.2984208865</v>
      </c>
      <c r="R139" s="30">
        <f t="shared" si="31"/>
        <v>6279775.69094232</v>
      </c>
      <c r="S139" s="53">
        <f t="shared" si="32"/>
        <v>4.6137205997537896</v>
      </c>
      <c r="T139" s="54">
        <v>4.613721</v>
      </c>
      <c r="U139" s="55">
        <f t="shared" si="33"/>
        <v>-4.002462103969151E-7</v>
      </c>
      <c r="V139" s="53">
        <f t="shared" si="34"/>
        <v>4.6137205997537896</v>
      </c>
      <c r="W139" s="53">
        <f t="shared" si="35"/>
        <v>4.5358116587907213</v>
      </c>
      <c r="X139" s="54">
        <v>4.535812</v>
      </c>
      <c r="Y139" s="55">
        <f t="shared" si="36"/>
        <v>-3.4120927860925576E-7</v>
      </c>
      <c r="Z139" s="29">
        <f t="shared" si="37"/>
        <v>-38643228.689172678</v>
      </c>
      <c r="AA139" s="23">
        <f t="shared" si="38"/>
        <v>0</v>
      </c>
    </row>
    <row r="140" spans="1:27" x14ac:dyDescent="0.2">
      <c r="A140" s="27" t="s">
        <v>282</v>
      </c>
      <c r="B140" s="27" t="s">
        <v>153</v>
      </c>
      <c r="C140" s="27" t="s">
        <v>57</v>
      </c>
      <c r="D140" s="51">
        <v>1235956187</v>
      </c>
      <c r="E140" s="51">
        <v>1282412409</v>
      </c>
      <c r="F140" s="45">
        <v>3976037</v>
      </c>
      <c r="G140" s="27" t="s">
        <v>280</v>
      </c>
      <c r="H140" s="51">
        <v>1235956187</v>
      </c>
      <c r="I140" s="51">
        <v>1282412409</v>
      </c>
      <c r="J140" s="45">
        <v>4015493</v>
      </c>
      <c r="K140" s="27" t="s">
        <v>281</v>
      </c>
      <c r="L140" s="45">
        <v>49600505682</v>
      </c>
      <c r="M140" s="27" t="str">
        <f t="shared" si="26"/>
        <v>2026-02|FGP primera parte (60%)</v>
      </c>
      <c r="N140" s="52">
        <f t="shared" si="27"/>
        <v>1.0375872725009467</v>
      </c>
      <c r="O140" s="52">
        <f t="shared" si="28"/>
        <v>1.0375872725009467</v>
      </c>
      <c r="P140" s="30">
        <f t="shared" si="29"/>
        <v>4125485.3861928466</v>
      </c>
      <c r="Q140" s="30">
        <f t="shared" si="30"/>
        <v>4125485.3861928466</v>
      </c>
      <c r="R140" s="30">
        <f t="shared" si="31"/>
        <v>4166424.429616644</v>
      </c>
      <c r="S140" s="53">
        <f t="shared" si="32"/>
        <v>2.9884740090389936</v>
      </c>
      <c r="T140" s="54">
        <v>2.9884740000000001</v>
      </c>
      <c r="U140" s="55">
        <f t="shared" si="33"/>
        <v>9.0389935536450139E-9</v>
      </c>
      <c r="V140" s="53">
        <f t="shared" si="34"/>
        <v>2.9884740090389936</v>
      </c>
      <c r="W140" s="53">
        <f t="shared" si="35"/>
        <v>3.0093617086647684</v>
      </c>
      <c r="X140" s="54">
        <v>3.0093619999999999</v>
      </c>
      <c r="Y140" s="55">
        <f t="shared" si="36"/>
        <v>-2.9133523149482698E-7</v>
      </c>
      <c r="Z140" s="29">
        <f t="shared" si="37"/>
        <v>10360404.639721496</v>
      </c>
      <c r="AA140" s="23">
        <f t="shared" si="38"/>
        <v>0</v>
      </c>
    </row>
    <row r="141" spans="1:27" x14ac:dyDescent="0.2">
      <c r="A141" s="27" t="s">
        <v>282</v>
      </c>
      <c r="B141" s="27" t="s">
        <v>153</v>
      </c>
      <c r="C141" s="27" t="s">
        <v>58</v>
      </c>
      <c r="D141" s="51">
        <v>4714038082</v>
      </c>
      <c r="E141" s="51">
        <v>5019086938</v>
      </c>
      <c r="F141" s="45">
        <v>9350964</v>
      </c>
      <c r="G141" s="27" t="s">
        <v>280</v>
      </c>
      <c r="H141" s="51">
        <v>4714038082</v>
      </c>
      <c r="I141" s="51">
        <v>5019086938</v>
      </c>
      <c r="J141" s="45">
        <v>9336468</v>
      </c>
      <c r="K141" s="27" t="s">
        <v>281</v>
      </c>
      <c r="L141" s="45">
        <v>49600505682</v>
      </c>
      <c r="M141" s="27" t="str">
        <f t="shared" si="26"/>
        <v>2026-02|FGP primera parte (60%)</v>
      </c>
      <c r="N141" s="52">
        <f t="shared" si="27"/>
        <v>1.064710732220173</v>
      </c>
      <c r="O141" s="52">
        <f t="shared" si="28"/>
        <v>1.064710732220173</v>
      </c>
      <c r="P141" s="30">
        <f t="shared" si="29"/>
        <v>9956071.7274044771</v>
      </c>
      <c r="Q141" s="30">
        <f t="shared" si="30"/>
        <v>9956071.7274044771</v>
      </c>
      <c r="R141" s="30">
        <f t="shared" si="31"/>
        <v>9940637.6806302145</v>
      </c>
      <c r="S141" s="53">
        <f t="shared" si="32"/>
        <v>7.2121117406099584</v>
      </c>
      <c r="T141" s="54">
        <v>7.2121120000000003</v>
      </c>
      <c r="U141" s="55">
        <f t="shared" si="33"/>
        <v>-2.5939004189012849E-7</v>
      </c>
      <c r="V141" s="53">
        <f t="shared" si="34"/>
        <v>7.2121117406099584</v>
      </c>
      <c r="W141" s="53">
        <f t="shared" si="35"/>
        <v>7.1800112785319907</v>
      </c>
      <c r="X141" s="54">
        <v>7.1800110000000004</v>
      </c>
      <c r="Y141" s="55">
        <f t="shared" si="36"/>
        <v>2.7853199036087517E-7</v>
      </c>
      <c r="Z141" s="29">
        <f t="shared" si="37"/>
        <v>-15921991.516930617</v>
      </c>
      <c r="AA141" s="23">
        <f t="shared" si="38"/>
        <v>0</v>
      </c>
    </row>
    <row r="142" spans="1:27" x14ac:dyDescent="0.2">
      <c r="A142" s="27" t="s">
        <v>282</v>
      </c>
      <c r="B142" s="27" t="s">
        <v>153</v>
      </c>
      <c r="C142" s="27" t="s">
        <v>59</v>
      </c>
      <c r="D142" s="51">
        <v>412374115</v>
      </c>
      <c r="E142" s="51">
        <v>451314096</v>
      </c>
      <c r="F142" s="45">
        <v>1944614</v>
      </c>
      <c r="G142" s="27" t="s">
        <v>280</v>
      </c>
      <c r="H142" s="51">
        <v>412374115</v>
      </c>
      <c r="I142" s="51">
        <v>451314096</v>
      </c>
      <c r="J142" s="45">
        <v>1968132</v>
      </c>
      <c r="K142" s="27" t="s">
        <v>281</v>
      </c>
      <c r="L142" s="45">
        <v>49600505682</v>
      </c>
      <c r="M142" s="27" t="str">
        <f t="shared" si="26"/>
        <v>2026-02|FGP primera parte (60%)</v>
      </c>
      <c r="N142" s="52">
        <f t="shared" si="27"/>
        <v>1.0944287713112157</v>
      </c>
      <c r="O142" s="52">
        <f t="shared" si="28"/>
        <v>1.0944287713112157</v>
      </c>
      <c r="P142" s="30">
        <f t="shared" si="29"/>
        <v>2128241.5106945885</v>
      </c>
      <c r="Q142" s="30">
        <f t="shared" si="30"/>
        <v>2128241.5106945885</v>
      </c>
      <c r="R142" s="30">
        <f t="shared" si="31"/>
        <v>2153980.2865382857</v>
      </c>
      <c r="S142" s="53">
        <f t="shared" si="32"/>
        <v>1.541683909717612</v>
      </c>
      <c r="T142" s="54">
        <v>1.5416840000000001</v>
      </c>
      <c r="U142" s="55">
        <f t="shared" si="33"/>
        <v>-9.0282388010010095E-8</v>
      </c>
      <c r="V142" s="53">
        <f t="shared" si="34"/>
        <v>1.541683909717612</v>
      </c>
      <c r="W142" s="53">
        <f t="shared" si="35"/>
        <v>1.5557958400612359</v>
      </c>
      <c r="X142" s="54">
        <v>1.555796</v>
      </c>
      <c r="Y142" s="55">
        <f t="shared" si="36"/>
        <v>-1.5993876401054763E-7</v>
      </c>
      <c r="Z142" s="29">
        <f t="shared" si="37"/>
        <v>6999588.8119290555</v>
      </c>
      <c r="AA142" s="23">
        <f t="shared" si="38"/>
        <v>0</v>
      </c>
    </row>
    <row r="143" spans="1:27" x14ac:dyDescent="0.2">
      <c r="A143" s="27" t="s">
        <v>282</v>
      </c>
      <c r="B143" s="27" t="s">
        <v>153</v>
      </c>
      <c r="C143" s="27" t="s">
        <v>60</v>
      </c>
      <c r="D143" s="51">
        <v>1413043069</v>
      </c>
      <c r="E143" s="51">
        <v>1521161531</v>
      </c>
      <c r="F143" s="45">
        <v>6345807</v>
      </c>
      <c r="G143" s="27" t="s">
        <v>280</v>
      </c>
      <c r="H143" s="51">
        <v>1413043069</v>
      </c>
      <c r="I143" s="51">
        <v>1521161531</v>
      </c>
      <c r="J143" s="45">
        <v>6402249</v>
      </c>
      <c r="K143" s="27" t="s">
        <v>281</v>
      </c>
      <c r="L143" s="45">
        <v>49600505682</v>
      </c>
      <c r="M143" s="27" t="str">
        <f t="shared" si="26"/>
        <v>2026-02|FGP primera parte (60%)</v>
      </c>
      <c r="N143" s="52">
        <f t="shared" si="27"/>
        <v>1.076514626037913</v>
      </c>
      <c r="O143" s="52">
        <f t="shared" si="28"/>
        <v>1.076514626037913</v>
      </c>
      <c r="P143" s="30">
        <f t="shared" si="29"/>
        <v>6831354.0495137712</v>
      </c>
      <c r="Q143" s="30">
        <f t="shared" si="30"/>
        <v>6831354.0495137712</v>
      </c>
      <c r="R143" s="30">
        <f t="shared" si="31"/>
        <v>6892114.6880366029</v>
      </c>
      <c r="S143" s="53">
        <f t="shared" si="32"/>
        <v>4.948587163062335</v>
      </c>
      <c r="T143" s="54">
        <v>4.9485869999999998</v>
      </c>
      <c r="U143" s="55">
        <f t="shared" si="33"/>
        <v>1.6306233519003399E-7</v>
      </c>
      <c r="V143" s="53">
        <f t="shared" si="34"/>
        <v>4.948587163062335</v>
      </c>
      <c r="W143" s="53">
        <f t="shared" si="35"/>
        <v>4.978097259239564</v>
      </c>
      <c r="X143" s="54">
        <v>4.978097</v>
      </c>
      <c r="Y143" s="55">
        <f t="shared" si="36"/>
        <v>2.5923956403772763E-7</v>
      </c>
      <c r="Z143" s="29">
        <f t="shared" si="37"/>
        <v>14637156.931150133</v>
      </c>
      <c r="AA143" s="23">
        <f t="shared" si="38"/>
        <v>0</v>
      </c>
    </row>
    <row r="144" spans="1:27" x14ac:dyDescent="0.2">
      <c r="A144" s="27" t="s">
        <v>282</v>
      </c>
      <c r="B144" s="27" t="s">
        <v>153</v>
      </c>
      <c r="C144" s="27" t="s">
        <v>61</v>
      </c>
      <c r="D144" s="51">
        <v>406787621</v>
      </c>
      <c r="E144" s="51">
        <v>430966290</v>
      </c>
      <c r="F144" s="45">
        <v>3606579</v>
      </c>
      <c r="G144" s="27" t="s">
        <v>280</v>
      </c>
      <c r="H144" s="51">
        <v>406787621</v>
      </c>
      <c r="I144" s="51">
        <v>430966290</v>
      </c>
      <c r="J144" s="45">
        <v>3569633</v>
      </c>
      <c r="K144" s="27" t="s">
        <v>281</v>
      </c>
      <c r="L144" s="45">
        <v>49600505682</v>
      </c>
      <c r="M144" s="27" t="str">
        <f t="shared" si="26"/>
        <v>2026-02|FGP primera parte (60%)</v>
      </c>
      <c r="N144" s="52">
        <f t="shared" si="27"/>
        <v>1.0594380648569441</v>
      </c>
      <c r="O144" s="52">
        <f t="shared" si="28"/>
        <v>1.0594380648569441</v>
      </c>
      <c r="P144" s="30">
        <f t="shared" si="29"/>
        <v>3820947.0765136927</v>
      </c>
      <c r="Q144" s="30">
        <f t="shared" si="30"/>
        <v>3820947.0765136927</v>
      </c>
      <c r="R144" s="30">
        <f t="shared" si="31"/>
        <v>3781805.0777694881</v>
      </c>
      <c r="S144" s="53">
        <f t="shared" si="32"/>
        <v>2.7678684952541786</v>
      </c>
      <c r="T144" s="54">
        <v>2.767868</v>
      </c>
      <c r="U144" s="55">
        <f t="shared" si="33"/>
        <v>4.9525417855633691E-7</v>
      </c>
      <c r="V144" s="53">
        <f t="shared" si="34"/>
        <v>2.7678684952541786</v>
      </c>
      <c r="W144" s="53">
        <f t="shared" si="35"/>
        <v>2.7315554579062993</v>
      </c>
      <c r="X144" s="54">
        <v>2.7315550000000002</v>
      </c>
      <c r="Y144" s="55">
        <f t="shared" si="36"/>
        <v>4.5790629910058556E-7</v>
      </c>
      <c r="Z144" s="29">
        <f t="shared" si="37"/>
        <v>-18011450.153041642</v>
      </c>
      <c r="AA144" s="23">
        <f t="shared" si="38"/>
        <v>0</v>
      </c>
    </row>
    <row r="145" spans="1:27" x14ac:dyDescent="0.2">
      <c r="A145" s="27" t="s">
        <v>282</v>
      </c>
      <c r="B145" s="27" t="s">
        <v>153</v>
      </c>
      <c r="C145" s="27" t="s">
        <v>62</v>
      </c>
      <c r="D145" s="51">
        <v>544779418</v>
      </c>
      <c r="E145" s="51">
        <v>585823220</v>
      </c>
      <c r="F145" s="45">
        <v>3248649</v>
      </c>
      <c r="G145" s="27" t="s">
        <v>280</v>
      </c>
      <c r="H145" s="51">
        <v>544779418</v>
      </c>
      <c r="I145" s="51">
        <v>585823220</v>
      </c>
      <c r="J145" s="45">
        <v>3215821</v>
      </c>
      <c r="K145" s="27" t="s">
        <v>281</v>
      </c>
      <c r="L145" s="45">
        <v>49600505682</v>
      </c>
      <c r="M145" s="27" t="str">
        <f t="shared" si="26"/>
        <v>2026-02|FGP primera parte (60%)</v>
      </c>
      <c r="N145" s="52">
        <f t="shared" si="27"/>
        <v>1.0753402214618908</v>
      </c>
      <c r="O145" s="52">
        <f t="shared" si="28"/>
        <v>1.0753402214618908</v>
      </c>
      <c r="P145" s="30">
        <f t="shared" si="29"/>
        <v>3493402.9351119502</v>
      </c>
      <c r="Q145" s="30">
        <f t="shared" si="30"/>
        <v>3493402.9351119502</v>
      </c>
      <c r="R145" s="30">
        <f t="shared" si="31"/>
        <v>3458101.6663217992</v>
      </c>
      <c r="S145" s="53">
        <f t="shared" si="32"/>
        <v>2.5305977109076538</v>
      </c>
      <c r="T145" s="54">
        <v>2.5305979999999999</v>
      </c>
      <c r="U145" s="55">
        <f t="shared" si="33"/>
        <v>-2.8909234606189216E-7</v>
      </c>
      <c r="V145" s="53">
        <f t="shared" si="34"/>
        <v>2.5305977109076538</v>
      </c>
      <c r="W145" s="53">
        <f t="shared" si="35"/>
        <v>2.4977481087437314</v>
      </c>
      <c r="X145" s="54">
        <v>2.4977480000000001</v>
      </c>
      <c r="Y145" s="55">
        <f t="shared" si="36"/>
        <v>1.0874373135294491E-7</v>
      </c>
      <c r="Z145" s="29">
        <f t="shared" si="37"/>
        <v>-16293568.787830731</v>
      </c>
      <c r="AA145" s="23">
        <f t="shared" si="38"/>
        <v>0</v>
      </c>
    </row>
    <row r="146" spans="1:27" x14ac:dyDescent="0.2">
      <c r="A146" s="27" t="s">
        <v>282</v>
      </c>
      <c r="B146" s="27" t="s">
        <v>153</v>
      </c>
      <c r="C146" s="27" t="s">
        <v>63</v>
      </c>
      <c r="D146" s="51">
        <v>2396338446</v>
      </c>
      <c r="E146" s="51">
        <v>2528861330</v>
      </c>
      <c r="F146" s="45">
        <v>8739649</v>
      </c>
      <c r="G146" s="27" t="s">
        <v>280</v>
      </c>
      <c r="H146" s="51">
        <v>2396338446</v>
      </c>
      <c r="I146" s="51">
        <v>2528861330</v>
      </c>
      <c r="J146" s="45">
        <v>8750952</v>
      </c>
      <c r="K146" s="27" t="s">
        <v>281</v>
      </c>
      <c r="L146" s="45">
        <v>49600505682</v>
      </c>
      <c r="M146" s="27" t="str">
        <f t="shared" si="26"/>
        <v>2026-02|FGP primera parte (60%)</v>
      </c>
      <c r="N146" s="52">
        <f t="shared" si="27"/>
        <v>1.0553022400576217</v>
      </c>
      <c r="O146" s="52">
        <f t="shared" si="28"/>
        <v>1.0553022400576217</v>
      </c>
      <c r="P146" s="30">
        <f t="shared" si="29"/>
        <v>9222971.1670173537</v>
      </c>
      <c r="Q146" s="30">
        <f t="shared" si="30"/>
        <v>9222971.1670173537</v>
      </c>
      <c r="R146" s="30">
        <f t="shared" si="31"/>
        <v>9234899.2482367251</v>
      </c>
      <c r="S146" s="53">
        <f t="shared" si="32"/>
        <v>6.6810586000362031</v>
      </c>
      <c r="T146" s="54">
        <v>6.6810590000000003</v>
      </c>
      <c r="U146" s="55">
        <f t="shared" si="33"/>
        <v>-3.9996379719298147E-7</v>
      </c>
      <c r="V146" s="53">
        <f t="shared" si="34"/>
        <v>6.6810586000362031</v>
      </c>
      <c r="W146" s="53">
        <f t="shared" si="35"/>
        <v>6.6702643118809055</v>
      </c>
      <c r="X146" s="54">
        <v>6.6702640000000004</v>
      </c>
      <c r="Y146" s="55">
        <f t="shared" si="36"/>
        <v>3.1188090510170241E-7</v>
      </c>
      <c r="Z146" s="29">
        <f t="shared" si="37"/>
        <v>-5354021.5097998362</v>
      </c>
      <c r="AA146" s="23">
        <f t="shared" si="38"/>
        <v>0</v>
      </c>
    </row>
    <row r="147" spans="1:27" x14ac:dyDescent="0.2">
      <c r="A147" s="27" t="s">
        <v>282</v>
      </c>
      <c r="B147" s="27" t="s">
        <v>153</v>
      </c>
      <c r="C147" s="27" t="s">
        <v>64</v>
      </c>
      <c r="D147" s="51">
        <v>2883021204</v>
      </c>
      <c r="E147" s="51">
        <v>3052582506</v>
      </c>
      <c r="F147" s="45">
        <v>17788768</v>
      </c>
      <c r="G147" s="27" t="s">
        <v>280</v>
      </c>
      <c r="H147" s="51">
        <v>2883021204</v>
      </c>
      <c r="I147" s="51">
        <v>3052582506</v>
      </c>
      <c r="J147" s="45">
        <v>17753727</v>
      </c>
      <c r="K147" s="27" t="s">
        <v>281</v>
      </c>
      <c r="L147" s="45">
        <v>49600505682</v>
      </c>
      <c r="M147" s="27" t="str">
        <f t="shared" si="26"/>
        <v>2026-02|FGP primera parte (60%)</v>
      </c>
      <c r="N147" s="52">
        <f t="shared" si="27"/>
        <v>1.0588137547392107</v>
      </c>
      <c r="O147" s="52">
        <f t="shared" si="28"/>
        <v>1.0588137547392107</v>
      </c>
      <c r="P147" s="30">
        <f t="shared" si="29"/>
        <v>18834992.238264721</v>
      </c>
      <c r="Q147" s="30">
        <f t="shared" si="30"/>
        <v>18834992.238264721</v>
      </c>
      <c r="R147" s="30">
        <f t="shared" si="31"/>
        <v>18797890.345484901</v>
      </c>
      <c r="S147" s="53">
        <f t="shared" si="32"/>
        <v>13.643942347460325</v>
      </c>
      <c r="T147" s="54">
        <v>13.643941999999999</v>
      </c>
      <c r="U147" s="55">
        <f t="shared" si="33"/>
        <v>3.4746032540056149E-7</v>
      </c>
      <c r="V147" s="53">
        <f t="shared" si="34"/>
        <v>13.643942347460325</v>
      </c>
      <c r="W147" s="53">
        <f t="shared" si="35"/>
        <v>13.577505692233666</v>
      </c>
      <c r="X147" s="54">
        <v>13.577506</v>
      </c>
      <c r="Y147" s="55">
        <f t="shared" si="36"/>
        <v>-3.0776633330731329E-7</v>
      </c>
      <c r="Z147" s="29">
        <f t="shared" si="37"/>
        <v>-32952916.950629354</v>
      </c>
      <c r="AA147" s="23">
        <f t="shared" si="38"/>
        <v>0</v>
      </c>
    </row>
    <row r="148" spans="1:27" x14ac:dyDescent="0.2">
      <c r="A148" s="27" t="s">
        <v>282</v>
      </c>
      <c r="B148" s="27" t="s">
        <v>153</v>
      </c>
      <c r="C148" s="27" t="s">
        <v>65</v>
      </c>
      <c r="D148" s="51">
        <v>881074925</v>
      </c>
      <c r="E148" s="51">
        <v>922949796</v>
      </c>
      <c r="F148" s="45">
        <v>4950874</v>
      </c>
      <c r="G148" s="27" t="s">
        <v>280</v>
      </c>
      <c r="H148" s="51">
        <v>881074925</v>
      </c>
      <c r="I148" s="51">
        <v>922949796</v>
      </c>
      <c r="J148" s="45">
        <v>4945881</v>
      </c>
      <c r="K148" s="27" t="s">
        <v>281</v>
      </c>
      <c r="L148" s="45">
        <v>49600505682</v>
      </c>
      <c r="M148" s="27" t="str">
        <f t="shared" si="26"/>
        <v>2026-02|FGP primera parte (60%)</v>
      </c>
      <c r="N148" s="52">
        <f t="shared" si="27"/>
        <v>1.0475270261493368</v>
      </c>
      <c r="O148" s="52">
        <f t="shared" si="28"/>
        <v>1.0475270261493368</v>
      </c>
      <c r="P148" s="30">
        <f t="shared" si="29"/>
        <v>5186174.3180600712</v>
      </c>
      <c r="Q148" s="30">
        <f t="shared" si="30"/>
        <v>5186174.3180600712</v>
      </c>
      <c r="R148" s="30">
        <f t="shared" si="31"/>
        <v>5180944.0156185078</v>
      </c>
      <c r="S148" s="53">
        <f t="shared" si="32"/>
        <v>3.7568299739320796</v>
      </c>
      <c r="T148" s="54">
        <v>3.7568299999999999</v>
      </c>
      <c r="U148" s="55">
        <f t="shared" si="33"/>
        <v>-2.6067920266825695E-8</v>
      </c>
      <c r="V148" s="53">
        <f t="shared" si="34"/>
        <v>3.7568299739320796</v>
      </c>
      <c r="W148" s="53">
        <f t="shared" si="35"/>
        <v>3.7421378447449216</v>
      </c>
      <c r="X148" s="54">
        <v>3.7421380000000002</v>
      </c>
      <c r="Y148" s="55">
        <f t="shared" si="36"/>
        <v>-1.5525507857105936E-7</v>
      </c>
      <c r="Z148" s="29">
        <f t="shared" si="37"/>
        <v>-7287370.372283089</v>
      </c>
      <c r="AA148" s="23">
        <f t="shared" si="38"/>
        <v>0</v>
      </c>
    </row>
    <row r="149" spans="1:27" x14ac:dyDescent="0.2">
      <c r="A149" s="27" t="s">
        <v>282</v>
      </c>
      <c r="B149" s="27" t="s">
        <v>153</v>
      </c>
      <c r="C149" s="27" t="s">
        <v>66</v>
      </c>
      <c r="D149" s="51">
        <v>341344156</v>
      </c>
      <c r="E149" s="51">
        <v>355087156</v>
      </c>
      <c r="F149" s="45">
        <v>1984308</v>
      </c>
      <c r="G149" s="27" t="s">
        <v>280</v>
      </c>
      <c r="H149" s="51">
        <v>341344156</v>
      </c>
      <c r="I149" s="51">
        <v>355087156</v>
      </c>
      <c r="J149" s="45">
        <v>1988503</v>
      </c>
      <c r="K149" s="27" t="s">
        <v>281</v>
      </c>
      <c r="L149" s="45">
        <v>49600505682</v>
      </c>
      <c r="M149" s="27" t="str">
        <f t="shared" si="26"/>
        <v>2026-02|FGP primera parte (60%)</v>
      </c>
      <c r="N149" s="52">
        <f t="shared" si="27"/>
        <v>1.0402614187424377</v>
      </c>
      <c r="O149" s="52">
        <f t="shared" si="28"/>
        <v>1.0402614187424377</v>
      </c>
      <c r="P149" s="30">
        <f t="shared" si="29"/>
        <v>2064199.0553019692</v>
      </c>
      <c r="Q149" s="30">
        <f t="shared" si="30"/>
        <v>2064199.0553019692</v>
      </c>
      <c r="R149" s="30">
        <f t="shared" si="31"/>
        <v>2068562.9519535936</v>
      </c>
      <c r="S149" s="53">
        <f t="shared" si="32"/>
        <v>1.4952919835562877</v>
      </c>
      <c r="T149" s="54">
        <v>1.4952920000000001</v>
      </c>
      <c r="U149" s="55">
        <f t="shared" si="33"/>
        <v>-1.6443712391733811E-8</v>
      </c>
      <c r="V149" s="53">
        <f t="shared" si="34"/>
        <v>1.4952919835562877</v>
      </c>
      <c r="W149" s="53">
        <f t="shared" si="35"/>
        <v>1.4940998558191718</v>
      </c>
      <c r="X149" s="54">
        <v>1.4941</v>
      </c>
      <c r="Y149" s="55">
        <f t="shared" si="36"/>
        <v>-1.441808281654744E-7</v>
      </c>
      <c r="Z149" s="29">
        <f t="shared" si="37"/>
        <v>-591301.38598484802</v>
      </c>
      <c r="AA149" s="23">
        <f t="shared" si="38"/>
        <v>0</v>
      </c>
    </row>
    <row r="150" spans="1:27" x14ac:dyDescent="0.2">
      <c r="A150" s="27" t="s">
        <v>282</v>
      </c>
      <c r="B150" s="27" t="s">
        <v>153</v>
      </c>
      <c r="C150" s="27" t="s">
        <v>67</v>
      </c>
      <c r="D150" s="51">
        <v>218524605</v>
      </c>
      <c r="E150" s="51">
        <v>226764339</v>
      </c>
      <c r="F150" s="45">
        <v>1245276</v>
      </c>
      <c r="G150" s="27" t="s">
        <v>280</v>
      </c>
      <c r="H150" s="51">
        <v>218524605</v>
      </c>
      <c r="I150" s="51">
        <v>226764339</v>
      </c>
      <c r="J150" s="45">
        <v>1279298</v>
      </c>
      <c r="K150" s="27" t="s">
        <v>281</v>
      </c>
      <c r="L150" s="45">
        <v>49600505682</v>
      </c>
      <c r="M150" s="27" t="str">
        <f t="shared" si="26"/>
        <v>2026-02|FGP primera parte (60%)</v>
      </c>
      <c r="N150" s="52">
        <f t="shared" si="27"/>
        <v>1.0377062070424519</v>
      </c>
      <c r="O150" s="52">
        <f t="shared" si="28"/>
        <v>1.0377062070424519</v>
      </c>
      <c r="P150" s="30">
        <f t="shared" si="29"/>
        <v>1292230.6346809962</v>
      </c>
      <c r="Q150" s="30">
        <f t="shared" si="30"/>
        <v>1292230.6346809962</v>
      </c>
      <c r="R150" s="30">
        <f t="shared" si="31"/>
        <v>1327535.4752569946</v>
      </c>
      <c r="S150" s="53">
        <f t="shared" si="32"/>
        <v>0.93608322510431474</v>
      </c>
      <c r="T150" s="54">
        <v>0.936083</v>
      </c>
      <c r="U150" s="55">
        <f t="shared" si="33"/>
        <v>2.251043147438736E-7</v>
      </c>
      <c r="V150" s="53">
        <f t="shared" si="34"/>
        <v>0.93608322510431474</v>
      </c>
      <c r="W150" s="53">
        <f t="shared" si="35"/>
        <v>0.95886400764505675</v>
      </c>
      <c r="X150" s="54">
        <v>0.95886400000000005</v>
      </c>
      <c r="Y150" s="55">
        <f t="shared" si="36"/>
        <v>7.6450566988128799E-9</v>
      </c>
      <c r="Z150" s="29">
        <f t="shared" si="37"/>
        <v>11299383.338524802</v>
      </c>
      <c r="AA150" s="23">
        <f t="shared" si="38"/>
        <v>0</v>
      </c>
    </row>
    <row r="151" spans="1:27" x14ac:dyDescent="0.2">
      <c r="A151" s="27" t="s">
        <v>282</v>
      </c>
      <c r="B151" s="27" t="s">
        <v>153</v>
      </c>
      <c r="C151" s="27" t="s">
        <v>68</v>
      </c>
      <c r="D151" s="51">
        <v>2508047719</v>
      </c>
      <c r="E151" s="51">
        <v>2698173018</v>
      </c>
      <c r="F151" s="45">
        <v>6152311</v>
      </c>
      <c r="G151" s="27" t="s">
        <v>280</v>
      </c>
      <c r="H151" s="51">
        <v>2508047719</v>
      </c>
      <c r="I151" s="51">
        <v>2698173018</v>
      </c>
      <c r="J151" s="45">
        <v>6234433</v>
      </c>
      <c r="K151" s="27" t="s">
        <v>281</v>
      </c>
      <c r="L151" s="45">
        <v>49600505682</v>
      </c>
      <c r="M151" s="27" t="str">
        <f t="shared" si="26"/>
        <v>2026-02|FGP primera parte (60%)</v>
      </c>
      <c r="N151" s="52">
        <f t="shared" si="27"/>
        <v>1.0758060931455506</v>
      </c>
      <c r="O151" s="52">
        <f t="shared" si="28"/>
        <v>1.0758060931455506</v>
      </c>
      <c r="P151" s="30">
        <f t="shared" si="29"/>
        <v>6618693.6607263954</v>
      </c>
      <c r="Q151" s="30">
        <f t="shared" si="30"/>
        <v>6618693.6607263954</v>
      </c>
      <c r="R151" s="30">
        <f t="shared" si="31"/>
        <v>6707041.0087076947</v>
      </c>
      <c r="S151" s="53">
        <f t="shared" si="32"/>
        <v>4.7945374003919383</v>
      </c>
      <c r="T151" s="54">
        <v>4.794537</v>
      </c>
      <c r="U151" s="55">
        <f t="shared" si="33"/>
        <v>4.003919382711274E-7</v>
      </c>
      <c r="V151" s="53">
        <f t="shared" si="34"/>
        <v>4.7945374003919383</v>
      </c>
      <c r="W151" s="53">
        <f t="shared" si="35"/>
        <v>4.8444206131698389</v>
      </c>
      <c r="X151" s="54">
        <v>4.8444209999999996</v>
      </c>
      <c r="Y151" s="55">
        <f t="shared" si="36"/>
        <v>-3.8683016079232857E-7</v>
      </c>
      <c r="Z151" s="29">
        <f t="shared" si="37"/>
        <v>24742325.788266703</v>
      </c>
      <c r="AA151" s="23">
        <f t="shared" si="38"/>
        <v>0</v>
      </c>
    </row>
    <row r="152" spans="1:27" x14ac:dyDescent="0.2">
      <c r="A152" s="27" t="s">
        <v>282</v>
      </c>
      <c r="B152" s="27" t="s">
        <v>153</v>
      </c>
      <c r="C152" s="27" t="s">
        <v>69</v>
      </c>
      <c r="D152" s="51">
        <v>575507319</v>
      </c>
      <c r="E152" s="51">
        <v>631307638</v>
      </c>
      <c r="F152" s="45">
        <v>4232451</v>
      </c>
      <c r="G152" s="27" t="s">
        <v>280</v>
      </c>
      <c r="H152" s="51">
        <v>575507319</v>
      </c>
      <c r="I152" s="51">
        <v>631307638</v>
      </c>
      <c r="J152" s="45">
        <v>4178688</v>
      </c>
      <c r="K152" s="27" t="s">
        <v>281</v>
      </c>
      <c r="L152" s="45">
        <v>49600505682</v>
      </c>
      <c r="M152" s="27" t="str">
        <f t="shared" si="26"/>
        <v>2026-02|FGP primera parte (60%)</v>
      </c>
      <c r="N152" s="52">
        <f t="shared" si="27"/>
        <v>1.0969584871604388</v>
      </c>
      <c r="O152" s="52">
        <f t="shared" si="28"/>
        <v>1.0969584871604388</v>
      </c>
      <c r="P152" s="30">
        <f t="shared" si="29"/>
        <v>4642823.045940686</v>
      </c>
      <c r="Q152" s="30">
        <f t="shared" si="30"/>
        <v>4642823.045940686</v>
      </c>
      <c r="R152" s="30">
        <f t="shared" si="31"/>
        <v>4583847.2667954797</v>
      </c>
      <c r="S152" s="53">
        <f t="shared" si="32"/>
        <v>3.36322994811656</v>
      </c>
      <c r="T152" s="54">
        <v>3.3632300000000002</v>
      </c>
      <c r="U152" s="55">
        <f t="shared" si="33"/>
        <v>-5.1883440210787057E-8</v>
      </c>
      <c r="V152" s="53">
        <f t="shared" si="34"/>
        <v>3.36322994811656</v>
      </c>
      <c r="W152" s="53">
        <f t="shared" si="35"/>
        <v>3.310861549535224</v>
      </c>
      <c r="X152" s="54">
        <v>3.3108620000000002</v>
      </c>
      <c r="Y152" s="55">
        <f t="shared" si="36"/>
        <v>-4.5046477614718583E-7</v>
      </c>
      <c r="Z152" s="29">
        <f t="shared" si="37"/>
        <v>-25974990.513907924</v>
      </c>
      <c r="AA152" s="23">
        <f t="shared" si="38"/>
        <v>0</v>
      </c>
    </row>
    <row r="153" spans="1:27" x14ac:dyDescent="0.2">
      <c r="A153" s="27" t="s">
        <v>282</v>
      </c>
      <c r="B153" s="27" t="s">
        <v>153</v>
      </c>
      <c r="C153" s="27" t="s">
        <v>70</v>
      </c>
      <c r="D153" s="51">
        <v>1101798435</v>
      </c>
      <c r="E153" s="51">
        <v>1184829794</v>
      </c>
      <c r="F153" s="45">
        <v>6629599</v>
      </c>
      <c r="G153" s="27" t="s">
        <v>280</v>
      </c>
      <c r="H153" s="51">
        <v>1101798435</v>
      </c>
      <c r="I153" s="51">
        <v>1184829794</v>
      </c>
      <c r="J153" s="45">
        <v>6638706</v>
      </c>
      <c r="K153" s="27" t="s">
        <v>281</v>
      </c>
      <c r="L153" s="45">
        <v>49600505682</v>
      </c>
      <c r="M153" s="27" t="str">
        <f t="shared" si="26"/>
        <v>2026-02|FGP primera parte (60%)</v>
      </c>
      <c r="N153" s="52">
        <f t="shared" si="27"/>
        <v>1.0753598447432902</v>
      </c>
      <c r="O153" s="52">
        <f t="shared" si="28"/>
        <v>1.0753598447432902</v>
      </c>
      <c r="P153" s="30">
        <f t="shared" si="29"/>
        <v>7129204.5513502713</v>
      </c>
      <c r="Q153" s="30">
        <f t="shared" si="30"/>
        <v>7129204.5513502713</v>
      </c>
      <c r="R153" s="30">
        <f t="shared" si="31"/>
        <v>7138997.8534563491</v>
      </c>
      <c r="S153" s="53">
        <f t="shared" si="32"/>
        <v>5.164348073595832</v>
      </c>
      <c r="T153" s="54">
        <v>5.1643480000000004</v>
      </c>
      <c r="U153" s="55">
        <f t="shared" si="33"/>
        <v>7.3595831651118715E-8</v>
      </c>
      <c r="V153" s="53">
        <f t="shared" si="34"/>
        <v>5.164348073595832</v>
      </c>
      <c r="W153" s="53">
        <f t="shared" si="35"/>
        <v>5.156418204951879</v>
      </c>
      <c r="X153" s="54">
        <v>5.1564180000000004</v>
      </c>
      <c r="Y153" s="55">
        <f t="shared" si="36"/>
        <v>2.0495187857960673E-7</v>
      </c>
      <c r="Z153" s="29">
        <f t="shared" si="37"/>
        <v>-3933254.9473190755</v>
      </c>
      <c r="AA153" s="23">
        <f t="shared" si="38"/>
        <v>0</v>
      </c>
    </row>
    <row r="154" spans="1:27" x14ac:dyDescent="0.2">
      <c r="A154" s="27" t="s">
        <v>282</v>
      </c>
      <c r="B154" s="27" t="s">
        <v>153</v>
      </c>
      <c r="C154" s="27" t="s">
        <v>71</v>
      </c>
      <c r="D154" s="51">
        <v>771420538</v>
      </c>
      <c r="E154" s="51">
        <v>800779464</v>
      </c>
      <c r="F154" s="45">
        <v>2528745</v>
      </c>
      <c r="G154" s="27" t="s">
        <v>280</v>
      </c>
      <c r="H154" s="51">
        <v>771420538</v>
      </c>
      <c r="I154" s="51">
        <v>800779464</v>
      </c>
      <c r="J154" s="45">
        <v>2535155</v>
      </c>
      <c r="K154" s="27" t="s">
        <v>281</v>
      </c>
      <c r="L154" s="45">
        <v>49600505682</v>
      </c>
      <c r="M154" s="27" t="str">
        <f t="shared" si="26"/>
        <v>2026-02|FGP primera parte (60%)</v>
      </c>
      <c r="N154" s="52">
        <f t="shared" si="27"/>
        <v>1.0380582633645152</v>
      </c>
      <c r="O154" s="52">
        <f t="shared" si="28"/>
        <v>1.0380582633645152</v>
      </c>
      <c r="P154" s="30">
        <f t="shared" si="29"/>
        <v>2624984.6431917013</v>
      </c>
      <c r="Q154" s="30">
        <f t="shared" si="30"/>
        <v>2624984.6431917013</v>
      </c>
      <c r="R154" s="30">
        <f t="shared" si="31"/>
        <v>2631638.5966598676</v>
      </c>
      <c r="S154" s="53">
        <f t="shared" si="32"/>
        <v>1.901521311058207</v>
      </c>
      <c r="T154" s="54">
        <v>1.901521</v>
      </c>
      <c r="U154" s="55">
        <f t="shared" si="33"/>
        <v>3.1105820696986086E-7</v>
      </c>
      <c r="V154" s="53">
        <f t="shared" si="34"/>
        <v>1.901521311058207</v>
      </c>
      <c r="W154" s="53">
        <f t="shared" si="35"/>
        <v>1.900803088503678</v>
      </c>
      <c r="X154" s="54">
        <v>1.900803</v>
      </c>
      <c r="Y154" s="55">
        <f t="shared" si="36"/>
        <v>8.8503677941886849E-8</v>
      </c>
      <c r="Z154" s="29">
        <f t="shared" si="37"/>
        <v>-356242.0189685743</v>
      </c>
      <c r="AA154" s="23">
        <f t="shared" si="38"/>
        <v>0</v>
      </c>
    </row>
    <row r="155" spans="1:27" x14ac:dyDescent="0.2">
      <c r="A155" s="27" t="s">
        <v>282</v>
      </c>
      <c r="B155" s="27" t="s">
        <v>153</v>
      </c>
      <c r="C155" s="27" t="s">
        <v>72</v>
      </c>
      <c r="D155" s="51">
        <v>506151626</v>
      </c>
      <c r="E155" s="51">
        <v>512293497</v>
      </c>
      <c r="F155" s="45">
        <v>1905221</v>
      </c>
      <c r="G155" s="27" t="s">
        <v>280</v>
      </c>
      <c r="H155" s="51">
        <v>506151626</v>
      </c>
      <c r="I155" s="51">
        <v>512293497</v>
      </c>
      <c r="J155" s="45">
        <v>1975372</v>
      </c>
      <c r="K155" s="27" t="s">
        <v>281</v>
      </c>
      <c r="L155" s="45">
        <v>49600505682</v>
      </c>
      <c r="M155" s="27" t="str">
        <f t="shared" si="26"/>
        <v>2026-02|FGP primera parte (60%)</v>
      </c>
      <c r="N155" s="52">
        <f t="shared" si="27"/>
        <v>1.0121344488183073</v>
      </c>
      <c r="O155" s="52">
        <f t="shared" si="28"/>
        <v>1.0121344488183073</v>
      </c>
      <c r="P155" s="30">
        <f t="shared" si="29"/>
        <v>1928339.8067120642</v>
      </c>
      <c r="Q155" s="30">
        <f t="shared" si="30"/>
        <v>1928339.8067120642</v>
      </c>
      <c r="R155" s="30">
        <f t="shared" si="31"/>
        <v>1999342.0504311172</v>
      </c>
      <c r="S155" s="53">
        <f t="shared" si="32"/>
        <v>1.3968764529480986</v>
      </c>
      <c r="T155" s="54">
        <v>1.396876</v>
      </c>
      <c r="U155" s="55">
        <f t="shared" si="33"/>
        <v>4.5294809858376084E-7</v>
      </c>
      <c r="V155" s="53">
        <f t="shared" si="34"/>
        <v>1.3968764529480986</v>
      </c>
      <c r="W155" s="53">
        <f t="shared" si="35"/>
        <v>1.4441023738055205</v>
      </c>
      <c r="X155" s="54">
        <v>1.444102</v>
      </c>
      <c r="Y155" s="55">
        <f t="shared" si="36"/>
        <v>3.7380552053711824E-7</v>
      </c>
      <c r="Z155" s="29">
        <f t="shared" si="37"/>
        <v>23424295.558262393</v>
      </c>
      <c r="AA155" s="23">
        <f t="shared" si="38"/>
        <v>0</v>
      </c>
    </row>
    <row r="156" spans="1:27" x14ac:dyDescent="0.2">
      <c r="A156" s="27" t="s">
        <v>282</v>
      </c>
      <c r="B156" s="27" t="s">
        <v>153</v>
      </c>
      <c r="C156" s="27" t="s">
        <v>73</v>
      </c>
      <c r="D156" s="51">
        <v>749045737</v>
      </c>
      <c r="E156" s="51">
        <v>776825450</v>
      </c>
      <c r="F156" s="45">
        <v>2885526</v>
      </c>
      <c r="G156" s="27" t="s">
        <v>280</v>
      </c>
      <c r="H156" s="51">
        <v>749045737</v>
      </c>
      <c r="I156" s="51">
        <v>776825450</v>
      </c>
      <c r="J156" s="45">
        <v>2951151</v>
      </c>
      <c r="K156" s="27" t="s">
        <v>281</v>
      </c>
      <c r="L156" s="45">
        <v>49600505682</v>
      </c>
      <c r="M156" s="27" t="str">
        <f t="shared" si="26"/>
        <v>2026-02|FGP primera parte (60%)</v>
      </c>
      <c r="N156" s="52">
        <f t="shared" si="27"/>
        <v>1.0370868047540867</v>
      </c>
      <c r="O156" s="52">
        <f t="shared" si="28"/>
        <v>1.0370868047540867</v>
      </c>
      <c r="P156" s="30">
        <f t="shared" si="29"/>
        <v>2992540.9393748408</v>
      </c>
      <c r="Q156" s="30">
        <f t="shared" si="30"/>
        <v>2992540.9393748408</v>
      </c>
      <c r="R156" s="30">
        <f t="shared" si="31"/>
        <v>3060599.7609368274</v>
      </c>
      <c r="S156" s="53">
        <f t="shared" si="32"/>
        <v>2.1677766325964143</v>
      </c>
      <c r="T156" s="54">
        <v>2.1677770000000001</v>
      </c>
      <c r="U156" s="55">
        <f t="shared" si="33"/>
        <v>-3.6740358577702636E-7</v>
      </c>
      <c r="V156" s="53">
        <f t="shared" si="34"/>
        <v>2.1677766325964143</v>
      </c>
      <c r="W156" s="53">
        <f t="shared" si="35"/>
        <v>2.2106369338275247</v>
      </c>
      <c r="X156" s="54">
        <v>2.2106370000000002</v>
      </c>
      <c r="Y156" s="55">
        <f t="shared" si="36"/>
        <v>-6.6172475499115535E-8</v>
      </c>
      <c r="Z156" s="29">
        <f t="shared" si="37"/>
        <v>21258926.147459228</v>
      </c>
      <c r="AA156" s="23">
        <f t="shared" si="38"/>
        <v>0</v>
      </c>
    </row>
    <row r="157" spans="1:27" x14ac:dyDescent="0.2">
      <c r="A157" s="27" t="s">
        <v>282</v>
      </c>
      <c r="B157" s="27" t="s">
        <v>153</v>
      </c>
      <c r="C157" s="27" t="s">
        <v>74</v>
      </c>
      <c r="D157" s="51">
        <v>691765006</v>
      </c>
      <c r="E157" s="51">
        <v>708269470</v>
      </c>
      <c r="F157" s="45">
        <v>3144666</v>
      </c>
      <c r="G157" s="27" t="s">
        <v>280</v>
      </c>
      <c r="H157" s="51">
        <v>691765006</v>
      </c>
      <c r="I157" s="51">
        <v>708269470</v>
      </c>
      <c r="J157" s="45">
        <v>3085699</v>
      </c>
      <c r="K157" s="27" t="s">
        <v>281</v>
      </c>
      <c r="L157" s="45">
        <v>49600505682</v>
      </c>
      <c r="M157" s="27" t="str">
        <f t="shared" si="26"/>
        <v>2026-02|FGP primera parte (60%)</v>
      </c>
      <c r="N157" s="52">
        <f t="shared" si="27"/>
        <v>1.0238584835267022</v>
      </c>
      <c r="O157" s="52">
        <f t="shared" si="28"/>
        <v>1.0238584835267022</v>
      </c>
      <c r="P157" s="30">
        <f t="shared" si="29"/>
        <v>3219692.9619579804</v>
      </c>
      <c r="Q157" s="30">
        <f t="shared" si="30"/>
        <v>3219692.9619579804</v>
      </c>
      <c r="R157" s="30">
        <f t="shared" si="31"/>
        <v>3159319.0987598612</v>
      </c>
      <c r="S157" s="53">
        <f t="shared" si="32"/>
        <v>2.3323240378210897</v>
      </c>
      <c r="T157" s="54">
        <v>2.3323239999999998</v>
      </c>
      <c r="U157" s="55">
        <f t="shared" si="33"/>
        <v>3.7821089815537334E-8</v>
      </c>
      <c r="V157" s="53">
        <f t="shared" si="34"/>
        <v>2.3323240378210897</v>
      </c>
      <c r="W157" s="53">
        <f t="shared" si="35"/>
        <v>2.2819408060488948</v>
      </c>
      <c r="X157" s="54">
        <v>2.2819410000000002</v>
      </c>
      <c r="Y157" s="55">
        <f t="shared" si="36"/>
        <v>-1.9395110539832672E-7</v>
      </c>
      <c r="Z157" s="29">
        <f t="shared" si="37"/>
        <v>-24990337.737942725</v>
      </c>
      <c r="AA157" s="23">
        <f t="shared" si="38"/>
        <v>0</v>
      </c>
    </row>
    <row r="158" spans="1:27" x14ac:dyDescent="0.2">
      <c r="A158" s="27" t="s">
        <v>282</v>
      </c>
      <c r="B158" s="27" t="s">
        <v>153</v>
      </c>
      <c r="C158" s="27" t="s">
        <v>75</v>
      </c>
      <c r="D158" s="51">
        <v>1066140938</v>
      </c>
      <c r="E158" s="51">
        <v>1101556783</v>
      </c>
      <c r="F158" s="45">
        <v>3042242</v>
      </c>
      <c r="G158" s="27" t="s">
        <v>280</v>
      </c>
      <c r="H158" s="51">
        <v>1066140938</v>
      </c>
      <c r="I158" s="51">
        <v>1101556783</v>
      </c>
      <c r="J158" s="45">
        <v>3035624</v>
      </c>
      <c r="K158" s="27" t="s">
        <v>281</v>
      </c>
      <c r="L158" s="45">
        <v>49600505682</v>
      </c>
      <c r="M158" s="27" t="str">
        <f t="shared" si="26"/>
        <v>2026-02|FGP primera parte (60%)</v>
      </c>
      <c r="N158" s="52">
        <f t="shared" si="27"/>
        <v>1.0332187272223479</v>
      </c>
      <c r="O158" s="52">
        <f t="shared" si="28"/>
        <v>1.0332187272223479</v>
      </c>
      <c r="P158" s="30">
        <f t="shared" si="29"/>
        <v>3143301.40714237</v>
      </c>
      <c r="Q158" s="30">
        <f t="shared" si="30"/>
        <v>3143301.40714237</v>
      </c>
      <c r="R158" s="30">
        <f t="shared" si="31"/>
        <v>3136463.5656056125</v>
      </c>
      <c r="S158" s="53">
        <f t="shared" si="32"/>
        <v>2.2769865066688566</v>
      </c>
      <c r="T158" s="54">
        <v>2.2769870000000001</v>
      </c>
      <c r="U158" s="55">
        <f t="shared" si="33"/>
        <v>-4.9333114349181528E-7</v>
      </c>
      <c r="V158" s="53">
        <f t="shared" si="34"/>
        <v>2.2769865066688566</v>
      </c>
      <c r="W158" s="53">
        <f t="shared" si="35"/>
        <v>2.2654325103945698</v>
      </c>
      <c r="X158" s="54">
        <v>2.2654329999999998</v>
      </c>
      <c r="Y158" s="55">
        <f t="shared" si="36"/>
        <v>-4.8960542997633638E-7</v>
      </c>
      <c r="Z158" s="29">
        <f t="shared" si="37"/>
        <v>-5730840.5785256783</v>
      </c>
      <c r="AA158" s="23">
        <f t="shared" si="38"/>
        <v>0</v>
      </c>
    </row>
    <row r="159" spans="1:27" x14ac:dyDescent="0.2">
      <c r="A159" s="27" t="s">
        <v>282</v>
      </c>
      <c r="B159" s="27" t="s">
        <v>153</v>
      </c>
      <c r="C159" s="27" t="s">
        <v>76</v>
      </c>
      <c r="D159" s="51">
        <v>755926952</v>
      </c>
      <c r="E159" s="51">
        <v>696392466</v>
      </c>
      <c r="F159" s="45">
        <v>2554147</v>
      </c>
      <c r="G159" s="27" t="s">
        <v>280</v>
      </c>
      <c r="H159" s="51">
        <v>755926952</v>
      </c>
      <c r="I159" s="51">
        <v>696392466</v>
      </c>
      <c r="J159" s="45">
        <v>2578825</v>
      </c>
      <c r="K159" s="27" t="s">
        <v>281</v>
      </c>
      <c r="L159" s="45">
        <v>49600505682</v>
      </c>
      <c r="M159" s="27" t="str">
        <f t="shared" si="26"/>
        <v>2026-02|FGP primera parte (60%)</v>
      </c>
      <c r="N159" s="52">
        <f t="shared" si="27"/>
        <v>0.92124307005791217</v>
      </c>
      <c r="O159" s="52">
        <f t="shared" si="28"/>
        <v>0.92124307005791217</v>
      </c>
      <c r="P159" s="30">
        <f t="shared" si="29"/>
        <v>2352990.2236592062</v>
      </c>
      <c r="Q159" s="30">
        <f t="shared" si="30"/>
        <v>2352990.2236592062</v>
      </c>
      <c r="R159" s="30">
        <f t="shared" si="31"/>
        <v>2375724.6601420953</v>
      </c>
      <c r="S159" s="53">
        <f t="shared" si="32"/>
        <v>1.7044903735358137</v>
      </c>
      <c r="T159" s="54">
        <v>1.7044900000000001</v>
      </c>
      <c r="U159" s="55">
        <f t="shared" si="33"/>
        <v>3.7353581361365684E-7</v>
      </c>
      <c r="V159" s="53">
        <f t="shared" si="34"/>
        <v>1.7044903735358137</v>
      </c>
      <c r="W159" s="53">
        <f t="shared" si="35"/>
        <v>1.715959317956492</v>
      </c>
      <c r="X159" s="54">
        <v>1.715959</v>
      </c>
      <c r="Y159" s="55">
        <f t="shared" si="36"/>
        <v>3.1795649202415177E-7</v>
      </c>
      <c r="Z159" s="29">
        <f t="shared" si="37"/>
        <v>5688654.4290439934</v>
      </c>
      <c r="AA159" s="23">
        <f t="shared" si="38"/>
        <v>0</v>
      </c>
    </row>
    <row r="160" spans="1:27" x14ac:dyDescent="0.2">
      <c r="A160" s="27" t="s">
        <v>282</v>
      </c>
      <c r="B160" s="27" t="s">
        <v>153</v>
      </c>
      <c r="C160" s="27" t="s">
        <v>77</v>
      </c>
      <c r="D160" s="51">
        <v>944396524</v>
      </c>
      <c r="E160" s="51">
        <v>1003380332</v>
      </c>
      <c r="F160" s="45">
        <v>3569939</v>
      </c>
      <c r="G160" s="27" t="s">
        <v>280</v>
      </c>
      <c r="H160" s="51">
        <v>944396524</v>
      </c>
      <c r="I160" s="51">
        <v>1003380332</v>
      </c>
      <c r="J160" s="45">
        <v>3602540</v>
      </c>
      <c r="K160" s="27" t="s">
        <v>281</v>
      </c>
      <c r="L160" s="45">
        <v>49600505682</v>
      </c>
      <c r="M160" s="27" t="str">
        <f t="shared" si="26"/>
        <v>2026-02|FGP primera parte (60%)</v>
      </c>
      <c r="N160" s="52">
        <f t="shared" si="27"/>
        <v>1.0624566127691508</v>
      </c>
      <c r="O160" s="52">
        <f t="shared" si="28"/>
        <v>1.0624566127691508</v>
      </c>
      <c r="P160" s="30">
        <f t="shared" si="29"/>
        <v>3792905.2977324896</v>
      </c>
      <c r="Q160" s="30">
        <f t="shared" si="30"/>
        <v>3792905.2977324896</v>
      </c>
      <c r="R160" s="30">
        <f t="shared" si="31"/>
        <v>3827542.4457653766</v>
      </c>
      <c r="S160" s="53">
        <f t="shared" si="32"/>
        <v>2.7475552183400689</v>
      </c>
      <c r="T160" s="54">
        <v>2.7475550000000002</v>
      </c>
      <c r="U160" s="55">
        <f t="shared" si="33"/>
        <v>2.1834006869170253E-7</v>
      </c>
      <c r="V160" s="53">
        <f t="shared" si="34"/>
        <v>2.7475552183400689</v>
      </c>
      <c r="W160" s="53">
        <f t="shared" si="35"/>
        <v>2.7645910466292176</v>
      </c>
      <c r="X160" s="54">
        <v>2.7645909999999998</v>
      </c>
      <c r="Y160" s="55">
        <f t="shared" si="36"/>
        <v>4.6629217820282065E-8</v>
      </c>
      <c r="Z160" s="29">
        <f t="shared" si="37"/>
        <v>8449856.9785349816</v>
      </c>
      <c r="AA160" s="23">
        <f t="shared" si="38"/>
        <v>0</v>
      </c>
    </row>
    <row r="161" spans="1:27" x14ac:dyDescent="0.2">
      <c r="A161" s="27" t="s">
        <v>282</v>
      </c>
      <c r="B161" s="27" t="s">
        <v>153</v>
      </c>
      <c r="C161" s="27" t="s">
        <v>78</v>
      </c>
      <c r="D161" s="51">
        <v>190382859</v>
      </c>
      <c r="E161" s="51">
        <v>199483012</v>
      </c>
      <c r="F161" s="45">
        <v>1476723</v>
      </c>
      <c r="G161" s="27" t="s">
        <v>280</v>
      </c>
      <c r="H161" s="51">
        <v>190382859</v>
      </c>
      <c r="I161" s="51">
        <v>199483012</v>
      </c>
      <c r="J161" s="45">
        <v>1426175</v>
      </c>
      <c r="K161" s="27" t="s">
        <v>281</v>
      </c>
      <c r="L161" s="45">
        <v>49600505682</v>
      </c>
      <c r="M161" s="27" t="str">
        <f t="shared" si="26"/>
        <v>2026-02|FGP primera parte (60%)</v>
      </c>
      <c r="N161" s="52">
        <f t="shared" si="27"/>
        <v>1.0477992244039154</v>
      </c>
      <c r="O161" s="52">
        <f t="shared" si="28"/>
        <v>1.0477992244039154</v>
      </c>
      <c r="P161" s="30">
        <f t="shared" si="29"/>
        <v>1547309.2140594232</v>
      </c>
      <c r="Q161" s="30">
        <f t="shared" si="30"/>
        <v>1547309.2140594232</v>
      </c>
      <c r="R161" s="30">
        <f t="shared" si="31"/>
        <v>1494345.058864254</v>
      </c>
      <c r="S161" s="53">
        <f t="shared" si="32"/>
        <v>1.1208604412074834</v>
      </c>
      <c r="T161" s="54">
        <v>1.12086</v>
      </c>
      <c r="U161" s="55">
        <f t="shared" si="33"/>
        <v>4.4120748343701166E-7</v>
      </c>
      <c r="V161" s="53">
        <f t="shared" si="34"/>
        <v>1.1208604412074834</v>
      </c>
      <c r="W161" s="53">
        <f t="shared" si="35"/>
        <v>1.0793487019017551</v>
      </c>
      <c r="X161" s="54">
        <v>1.0793489999999999</v>
      </c>
      <c r="Y161" s="55">
        <f t="shared" si="36"/>
        <v>-2.9809824475535152E-7</v>
      </c>
      <c r="Z161" s="29">
        <f t="shared" si="37"/>
        <v>-20590032.613034777</v>
      </c>
      <c r="AA161" s="23">
        <f t="shared" si="38"/>
        <v>0</v>
      </c>
    </row>
    <row r="162" spans="1:27" x14ac:dyDescent="0.2">
      <c r="A162" s="27" t="s">
        <v>282</v>
      </c>
      <c r="B162" s="27" t="s">
        <v>153</v>
      </c>
      <c r="C162" s="27" t="s">
        <v>79</v>
      </c>
      <c r="D162" s="51">
        <v>1354310854</v>
      </c>
      <c r="E162" s="51">
        <v>1439874641</v>
      </c>
      <c r="F162" s="45">
        <v>8113343</v>
      </c>
      <c r="G162" s="27" t="s">
        <v>280</v>
      </c>
      <c r="H162" s="51">
        <v>1354310854</v>
      </c>
      <c r="I162" s="51">
        <v>1439874641</v>
      </c>
      <c r="J162" s="45">
        <v>8066173</v>
      </c>
      <c r="K162" s="27" t="s">
        <v>281</v>
      </c>
      <c r="L162" s="45">
        <v>49600505682</v>
      </c>
      <c r="M162" s="27" t="str">
        <f t="shared" si="26"/>
        <v>2026-02|FGP primera parte (60%)</v>
      </c>
      <c r="N162" s="52">
        <f t="shared" si="27"/>
        <v>1.0631788387040424</v>
      </c>
      <c r="O162" s="52">
        <f t="shared" si="28"/>
        <v>1.0631788387040424</v>
      </c>
      <c r="P162" s="30">
        <f t="shared" si="29"/>
        <v>8625934.5887475722</v>
      </c>
      <c r="Q162" s="30">
        <f t="shared" si="30"/>
        <v>8625934.5887475722</v>
      </c>
      <c r="R162" s="30">
        <f t="shared" si="31"/>
        <v>8575784.4429259021</v>
      </c>
      <c r="S162" s="53">
        <f t="shared" si="32"/>
        <v>6.2485692976679861</v>
      </c>
      <c r="T162" s="54">
        <v>6.2485689999999998</v>
      </c>
      <c r="U162" s="55">
        <f t="shared" si="33"/>
        <v>2.9766798625985302E-7</v>
      </c>
      <c r="V162" s="53">
        <f t="shared" si="34"/>
        <v>6.2485692976679861</v>
      </c>
      <c r="W162" s="53">
        <f t="shared" si="35"/>
        <v>6.194193068966527</v>
      </c>
      <c r="X162" s="54">
        <v>6.1941930000000003</v>
      </c>
      <c r="Y162" s="55">
        <f t="shared" si="36"/>
        <v>6.8966526711733422E-8</v>
      </c>
      <c r="Z162" s="29">
        <f t="shared" si="37"/>
        <v>-26970884.406724527</v>
      </c>
      <c r="AA162" s="23">
        <f t="shared" si="38"/>
        <v>0</v>
      </c>
    </row>
    <row r="163" spans="1:27" x14ac:dyDescent="0.2">
      <c r="A163" s="27" t="s">
        <v>282</v>
      </c>
      <c r="B163" s="27" t="s">
        <v>153</v>
      </c>
      <c r="C163" s="27" t="s">
        <v>80</v>
      </c>
      <c r="D163" s="51">
        <v>506034200</v>
      </c>
      <c r="E163" s="51">
        <v>546558258</v>
      </c>
      <c r="F163" s="45">
        <v>2402017</v>
      </c>
      <c r="G163" s="27" t="s">
        <v>280</v>
      </c>
      <c r="H163" s="51">
        <v>506034200</v>
      </c>
      <c r="I163" s="51">
        <v>546558258</v>
      </c>
      <c r="J163" s="45">
        <v>2456821</v>
      </c>
      <c r="K163" s="27" t="s">
        <v>281</v>
      </c>
      <c r="L163" s="45">
        <v>49600505682</v>
      </c>
      <c r="M163" s="27" t="str">
        <f t="shared" si="26"/>
        <v>2026-02|FGP primera parte (60%)</v>
      </c>
      <c r="N163" s="52">
        <f t="shared" si="27"/>
        <v>1.0800816585124089</v>
      </c>
      <c r="O163" s="52">
        <f t="shared" si="28"/>
        <v>1.0800816585124089</v>
      </c>
      <c r="P163" s="30">
        <f t="shared" si="29"/>
        <v>2594374.5051350007</v>
      </c>
      <c r="Q163" s="30">
        <f t="shared" si="30"/>
        <v>2594374.5051350007</v>
      </c>
      <c r="R163" s="30">
        <f t="shared" si="31"/>
        <v>2653567.3003481152</v>
      </c>
      <c r="S163" s="53">
        <f t="shared" si="32"/>
        <v>1.8793475318705017</v>
      </c>
      <c r="T163" s="54">
        <v>1.879348</v>
      </c>
      <c r="U163" s="55">
        <f t="shared" si="33"/>
        <v>-4.6812949827668149E-7</v>
      </c>
      <c r="V163" s="53">
        <f t="shared" si="34"/>
        <v>1.8793475318705017</v>
      </c>
      <c r="W163" s="53">
        <f t="shared" si="35"/>
        <v>1.9166419456136194</v>
      </c>
      <c r="X163" s="54">
        <v>1.916642</v>
      </c>
      <c r="Y163" s="55">
        <f t="shared" si="36"/>
        <v>-5.4386380510251797E-8</v>
      </c>
      <c r="Z163" s="29">
        <f t="shared" si="37"/>
        <v>18498217.807723686</v>
      </c>
      <c r="AA163" s="23">
        <f t="shared" si="38"/>
        <v>0</v>
      </c>
    </row>
    <row r="164" spans="1:27" x14ac:dyDescent="0.2">
      <c r="A164" s="27" t="s">
        <v>282</v>
      </c>
      <c r="B164" s="27" t="s">
        <v>153</v>
      </c>
      <c r="C164" s="27" t="s">
        <v>81</v>
      </c>
      <c r="D164" s="51">
        <v>305155572</v>
      </c>
      <c r="E164" s="51">
        <v>346668814</v>
      </c>
      <c r="F164" s="45">
        <v>1695685</v>
      </c>
      <c r="G164" s="27" t="s">
        <v>280</v>
      </c>
      <c r="H164" s="51">
        <v>305155572</v>
      </c>
      <c r="I164" s="51">
        <v>346668814</v>
      </c>
      <c r="J164" s="45">
        <v>1689186</v>
      </c>
      <c r="K164" s="27" t="s">
        <v>281</v>
      </c>
      <c r="L164" s="45">
        <v>49600505682</v>
      </c>
      <c r="M164" s="27" t="str">
        <f t="shared" si="26"/>
        <v>2026-02|FGP primera parte (60%)</v>
      </c>
      <c r="N164" s="52">
        <f t="shared" si="27"/>
        <v>1.1360396001551629</v>
      </c>
      <c r="O164" s="52">
        <f t="shared" si="28"/>
        <v>1.1360396001551629</v>
      </c>
      <c r="P164" s="30">
        <f t="shared" si="29"/>
        <v>1926365.3093891074</v>
      </c>
      <c r="Q164" s="30">
        <f t="shared" si="30"/>
        <v>1926365.3093891074</v>
      </c>
      <c r="R164" s="30">
        <f t="shared" si="31"/>
        <v>1918982.188027699</v>
      </c>
      <c r="S164" s="53">
        <f t="shared" si="32"/>
        <v>1.3954461402992351</v>
      </c>
      <c r="T164" s="54">
        <v>1.395446</v>
      </c>
      <c r="U164" s="55">
        <f t="shared" si="33"/>
        <v>1.4029923511849063E-7</v>
      </c>
      <c r="V164" s="53">
        <f t="shared" si="34"/>
        <v>1.3954461402992351</v>
      </c>
      <c r="W164" s="53">
        <f t="shared" si="35"/>
        <v>1.3860593450849283</v>
      </c>
      <c r="X164" s="54">
        <v>1.3860589999999999</v>
      </c>
      <c r="Y164" s="55">
        <f t="shared" si="36"/>
        <v>3.4508492841034411E-7</v>
      </c>
      <c r="Z164" s="29">
        <f t="shared" si="37"/>
        <v>-4655897.8936299197</v>
      </c>
      <c r="AA164" s="23">
        <f t="shared" si="38"/>
        <v>0</v>
      </c>
    </row>
    <row r="165" spans="1:27" x14ac:dyDescent="0.2">
      <c r="A165" s="27" t="s">
        <v>282</v>
      </c>
      <c r="B165" s="27" t="s">
        <v>155</v>
      </c>
      <c r="C165" s="27" t="s">
        <v>50</v>
      </c>
      <c r="D165" s="51">
        <v>1503564</v>
      </c>
      <c r="E165" s="51">
        <v>1675240</v>
      </c>
      <c r="F165" s="45">
        <v>1503564</v>
      </c>
      <c r="G165" s="27" t="s">
        <v>280</v>
      </c>
      <c r="H165" s="51">
        <v>1531396</v>
      </c>
      <c r="I165" s="51">
        <v>1737186</v>
      </c>
      <c r="J165" s="45">
        <v>1531396</v>
      </c>
      <c r="K165" s="27" t="s">
        <v>281</v>
      </c>
      <c r="L165" s="45">
        <v>24800252841</v>
      </c>
      <c r="M165" s="27" t="str">
        <f t="shared" si="26"/>
        <v>2026-02|FGP segunda parte (30%)</v>
      </c>
      <c r="N165" s="52">
        <f t="shared" si="27"/>
        <v>1.1141793764681782</v>
      </c>
      <c r="O165" s="52">
        <f t="shared" si="28"/>
        <v>1.1343806566035173</v>
      </c>
      <c r="P165" s="30">
        <f t="shared" si="29"/>
        <v>1675240</v>
      </c>
      <c r="Q165" s="30">
        <f t="shared" si="30"/>
        <v>1705613.917565411</v>
      </c>
      <c r="R165" s="30">
        <f t="shared" si="31"/>
        <v>1737186</v>
      </c>
      <c r="S165" s="53">
        <f t="shared" si="32"/>
        <v>1.1296300975254376</v>
      </c>
      <c r="T165" s="54">
        <v>1.1296299999999999</v>
      </c>
      <c r="U165" s="55">
        <f t="shared" si="33"/>
        <v>9.7525437725565212E-8</v>
      </c>
      <c r="V165" s="53">
        <f t="shared" si="34"/>
        <v>1.1676459465154982</v>
      </c>
      <c r="W165" s="53">
        <f t="shared" si="35"/>
        <v>1.1856770801695342</v>
      </c>
      <c r="X165" s="54">
        <v>1.1856770000000001</v>
      </c>
      <c r="Y165" s="55">
        <f t="shared" si="36"/>
        <v>8.0169534122376263E-8</v>
      </c>
      <c r="Z165" s="29">
        <f t="shared" si="37"/>
        <v>4471766.7362995623</v>
      </c>
      <c r="AA165" s="23">
        <f t="shared" si="38"/>
        <v>9428026.6691877767</v>
      </c>
    </row>
    <row r="166" spans="1:27" x14ac:dyDescent="0.2">
      <c r="A166" s="27" t="s">
        <v>282</v>
      </c>
      <c r="B166" s="27" t="s">
        <v>155</v>
      </c>
      <c r="C166" s="27" t="s">
        <v>51</v>
      </c>
      <c r="D166" s="51">
        <v>3778283</v>
      </c>
      <c r="E166" s="51">
        <v>4536793</v>
      </c>
      <c r="F166" s="45">
        <v>3778283</v>
      </c>
      <c r="G166" s="27" t="s">
        <v>280</v>
      </c>
      <c r="H166" s="51">
        <v>3830329</v>
      </c>
      <c r="I166" s="51">
        <v>4447138</v>
      </c>
      <c r="J166" s="45">
        <v>3830329</v>
      </c>
      <c r="K166" s="27" t="s">
        <v>281</v>
      </c>
      <c r="L166" s="45">
        <v>24800252841</v>
      </c>
      <c r="M166" s="27" t="str">
        <f t="shared" si="26"/>
        <v>2026-02|FGP segunda parte (30%)</v>
      </c>
      <c r="N166" s="52">
        <f t="shared" si="27"/>
        <v>1.2007552107663719</v>
      </c>
      <c r="O166" s="52">
        <f t="shared" si="28"/>
        <v>1.1610329034398872</v>
      </c>
      <c r="P166" s="30">
        <f t="shared" si="29"/>
        <v>4536793</v>
      </c>
      <c r="Q166" s="30">
        <f t="shared" si="30"/>
        <v>4386710.8815075671</v>
      </c>
      <c r="R166" s="30">
        <f t="shared" si="31"/>
        <v>4447138</v>
      </c>
      <c r="S166" s="53">
        <f t="shared" si="32"/>
        <v>3.0592022152304876</v>
      </c>
      <c r="T166" s="54">
        <v>3.059202</v>
      </c>
      <c r="U166" s="55">
        <f t="shared" si="33"/>
        <v>2.1523048765459407E-7</v>
      </c>
      <c r="V166" s="53">
        <f t="shared" si="34"/>
        <v>3.0030976685738162</v>
      </c>
      <c r="W166" s="53">
        <f t="shared" si="35"/>
        <v>3.0352936294392094</v>
      </c>
      <c r="X166" s="54">
        <v>3.0352929999999998</v>
      </c>
      <c r="Y166" s="55">
        <f t="shared" si="36"/>
        <v>6.2943920964286804E-7</v>
      </c>
      <c r="Z166" s="29">
        <f t="shared" si="37"/>
        <v>7984679.6992069315</v>
      </c>
      <c r="AA166" s="23">
        <f t="shared" si="38"/>
        <v>-13914069.426151322</v>
      </c>
    </row>
    <row r="167" spans="1:27" x14ac:dyDescent="0.2">
      <c r="A167" s="27" t="s">
        <v>282</v>
      </c>
      <c r="B167" s="27" t="s">
        <v>155</v>
      </c>
      <c r="C167" s="27" t="s">
        <v>52</v>
      </c>
      <c r="D167" s="51">
        <v>881164</v>
      </c>
      <c r="E167" s="51">
        <v>1022177</v>
      </c>
      <c r="F167" s="45">
        <v>881164</v>
      </c>
      <c r="G167" s="27" t="s">
        <v>280</v>
      </c>
      <c r="H167" s="51">
        <v>928591</v>
      </c>
      <c r="I167" s="51">
        <v>1017323</v>
      </c>
      <c r="J167" s="45">
        <v>928591</v>
      </c>
      <c r="K167" s="27" t="s">
        <v>281</v>
      </c>
      <c r="L167" s="45">
        <v>24800252841</v>
      </c>
      <c r="M167" s="27" t="str">
        <f t="shared" si="26"/>
        <v>2026-02|FGP segunda parte (30%)</v>
      </c>
      <c r="N167" s="52">
        <f t="shared" si="27"/>
        <v>1.1600303689211089</v>
      </c>
      <c r="O167" s="52">
        <f t="shared" si="28"/>
        <v>1.0955555244451001</v>
      </c>
      <c r="P167" s="30">
        <f t="shared" si="29"/>
        <v>1022177</v>
      </c>
      <c r="Q167" s="30">
        <f t="shared" si="30"/>
        <v>965364.08814214217</v>
      </c>
      <c r="R167" s="30">
        <f t="shared" si="31"/>
        <v>1017322.9999999999</v>
      </c>
      <c r="S167" s="53">
        <f t="shared" si="32"/>
        <v>0.68926357071121702</v>
      </c>
      <c r="T167" s="54">
        <v>0.68926399999999999</v>
      </c>
      <c r="U167" s="55">
        <f t="shared" si="33"/>
        <v>-4.2928878296599748E-7</v>
      </c>
      <c r="V167" s="53">
        <f t="shared" si="34"/>
        <v>0.66087843961766557</v>
      </c>
      <c r="W167" s="53">
        <f t="shared" si="35"/>
        <v>0.69435084339230857</v>
      </c>
      <c r="X167" s="54">
        <v>0.69435100000000005</v>
      </c>
      <c r="Y167" s="55">
        <f t="shared" si="36"/>
        <v>-1.5660769148162501E-7</v>
      </c>
      <c r="Z167" s="29">
        <f t="shared" si="37"/>
        <v>8301240.7680718917</v>
      </c>
      <c r="AA167" s="23">
        <f t="shared" si="38"/>
        <v>-7039584.2804500684</v>
      </c>
    </row>
    <row r="168" spans="1:27" x14ac:dyDescent="0.2">
      <c r="A168" s="27" t="s">
        <v>282</v>
      </c>
      <c r="B168" s="27" t="s">
        <v>155</v>
      </c>
      <c r="C168" s="27" t="s">
        <v>53</v>
      </c>
      <c r="D168" s="51">
        <v>925978</v>
      </c>
      <c r="E168" s="51">
        <v>1054048</v>
      </c>
      <c r="F168" s="45">
        <v>925978</v>
      </c>
      <c r="G168" s="27" t="s">
        <v>280</v>
      </c>
      <c r="H168" s="51">
        <v>935371</v>
      </c>
      <c r="I168" s="51">
        <v>971973</v>
      </c>
      <c r="J168" s="45">
        <v>935371</v>
      </c>
      <c r="K168" s="27" t="s">
        <v>281</v>
      </c>
      <c r="L168" s="45">
        <v>24800252841</v>
      </c>
      <c r="M168" s="27" t="str">
        <f t="shared" si="26"/>
        <v>2026-02|FGP segunda parte (30%)</v>
      </c>
      <c r="N168" s="52">
        <f t="shared" si="27"/>
        <v>1.1383078215681151</v>
      </c>
      <c r="O168" s="52">
        <f t="shared" si="28"/>
        <v>1.0391309972192853</v>
      </c>
      <c r="P168" s="30">
        <f t="shared" si="29"/>
        <v>1054048</v>
      </c>
      <c r="Q168" s="30">
        <f t="shared" si="30"/>
        <v>962212.44254311931</v>
      </c>
      <c r="R168" s="30">
        <f t="shared" si="31"/>
        <v>971973.00000000012</v>
      </c>
      <c r="S168" s="53">
        <f t="shared" si="32"/>
        <v>0.71075448594618817</v>
      </c>
      <c r="T168" s="54">
        <v>0.710754</v>
      </c>
      <c r="U168" s="55">
        <f t="shared" si="33"/>
        <v>4.8594618817787705E-7</v>
      </c>
      <c r="V168" s="53">
        <f t="shared" si="34"/>
        <v>0.65872085508422951</v>
      </c>
      <c r="W168" s="53">
        <f t="shared" si="35"/>
        <v>0.6633982248553828</v>
      </c>
      <c r="X168" s="54">
        <v>0.66339800000000004</v>
      </c>
      <c r="Y168" s="55">
        <f t="shared" si="36"/>
        <v>2.248553827577382E-7</v>
      </c>
      <c r="Z168" s="29">
        <f t="shared" si="37"/>
        <v>1159999.52955452</v>
      </c>
      <c r="AA168" s="23">
        <f t="shared" si="38"/>
        <v>-12904472.016118357</v>
      </c>
    </row>
    <row r="169" spans="1:27" x14ac:dyDescent="0.2">
      <c r="A169" s="27" t="s">
        <v>282</v>
      </c>
      <c r="B169" s="27" t="s">
        <v>155</v>
      </c>
      <c r="C169" s="27" t="s">
        <v>54</v>
      </c>
      <c r="D169" s="51">
        <v>3452989</v>
      </c>
      <c r="E169" s="51">
        <v>3994439</v>
      </c>
      <c r="F169" s="45">
        <v>3452989</v>
      </c>
      <c r="G169" s="27" t="s">
        <v>280</v>
      </c>
      <c r="H169" s="51">
        <v>3590747</v>
      </c>
      <c r="I169" s="51">
        <v>4181500</v>
      </c>
      <c r="J169" s="45">
        <v>3590747</v>
      </c>
      <c r="K169" s="27" t="s">
        <v>281</v>
      </c>
      <c r="L169" s="45">
        <v>24800252841</v>
      </c>
      <c r="M169" s="27" t="str">
        <f t="shared" si="26"/>
        <v>2026-02|FGP segunda parte (30%)</v>
      </c>
      <c r="N169" s="52">
        <f t="shared" si="27"/>
        <v>1.1568061757509218</v>
      </c>
      <c r="O169" s="52">
        <f t="shared" si="28"/>
        <v>1.1645209200202631</v>
      </c>
      <c r="P169" s="30">
        <f t="shared" si="29"/>
        <v>3994439</v>
      </c>
      <c r="Q169" s="30">
        <f t="shared" si="30"/>
        <v>4021077.9270998482</v>
      </c>
      <c r="R169" s="30">
        <f t="shared" si="31"/>
        <v>4181499.9999999995</v>
      </c>
      <c r="S169" s="53">
        <f t="shared" si="32"/>
        <v>2.6934878089882113</v>
      </c>
      <c r="T169" s="54">
        <v>2.6934879999999999</v>
      </c>
      <c r="U169" s="55">
        <f t="shared" si="33"/>
        <v>-1.9101178860836399E-7</v>
      </c>
      <c r="V169" s="53">
        <f t="shared" si="34"/>
        <v>2.7527890654779541</v>
      </c>
      <c r="W169" s="53">
        <f t="shared" si="35"/>
        <v>2.8539884104113824</v>
      </c>
      <c r="X169" s="54">
        <v>2.8539889999999999</v>
      </c>
      <c r="Y169" s="55">
        <f t="shared" si="36"/>
        <v>-5.8958861748337199E-7</v>
      </c>
      <c r="Z169" s="29">
        <f t="shared" si="37"/>
        <v>25097693.416925941</v>
      </c>
      <c r="AA169" s="23">
        <f t="shared" si="38"/>
        <v>14706861.547346143</v>
      </c>
    </row>
    <row r="170" spans="1:27" x14ac:dyDescent="0.2">
      <c r="A170" s="27" t="s">
        <v>282</v>
      </c>
      <c r="B170" s="27" t="s">
        <v>155</v>
      </c>
      <c r="C170" s="27" t="s">
        <v>55</v>
      </c>
      <c r="D170" s="51">
        <v>728776</v>
      </c>
      <c r="E170" s="51">
        <v>796349</v>
      </c>
      <c r="F170" s="45">
        <v>728776</v>
      </c>
      <c r="G170" s="27" t="s">
        <v>280</v>
      </c>
      <c r="H170" s="51">
        <v>762355</v>
      </c>
      <c r="I170" s="51">
        <v>837762</v>
      </c>
      <c r="J170" s="45">
        <v>762355</v>
      </c>
      <c r="K170" s="27" t="s">
        <v>281</v>
      </c>
      <c r="L170" s="45">
        <v>24800252841</v>
      </c>
      <c r="M170" s="27" t="str">
        <f t="shared" si="26"/>
        <v>2026-02|FGP segunda parte (30%)</v>
      </c>
      <c r="N170" s="52">
        <f t="shared" si="27"/>
        <v>1.0927212202377685</v>
      </c>
      <c r="O170" s="52">
        <f t="shared" si="28"/>
        <v>1.0989132359596252</v>
      </c>
      <c r="P170" s="30">
        <f t="shared" si="29"/>
        <v>796349</v>
      </c>
      <c r="Q170" s="30">
        <f t="shared" si="30"/>
        <v>800861.59244971187</v>
      </c>
      <c r="R170" s="30">
        <f t="shared" si="31"/>
        <v>837762.00000000012</v>
      </c>
      <c r="S170" s="53">
        <f t="shared" si="32"/>
        <v>0.53698562506523517</v>
      </c>
      <c r="T170" s="54">
        <v>0.53698599999999996</v>
      </c>
      <c r="U170" s="55">
        <f t="shared" si="33"/>
        <v>-3.749347647907797E-7</v>
      </c>
      <c r="V170" s="53">
        <f t="shared" si="34"/>
        <v>0.54826170360912918</v>
      </c>
      <c r="W170" s="53">
        <f t="shared" si="35"/>
        <v>0.57179553717160381</v>
      </c>
      <c r="X170" s="54">
        <v>0.57179599999999997</v>
      </c>
      <c r="Y170" s="55">
        <f t="shared" si="36"/>
        <v>-4.6282839616385019E-7</v>
      </c>
      <c r="Z170" s="29">
        <f t="shared" si="37"/>
        <v>5836450.2266738247</v>
      </c>
      <c r="AA170" s="23">
        <f t="shared" si="38"/>
        <v>2796495.9894354651</v>
      </c>
    </row>
    <row r="171" spans="1:27" x14ac:dyDescent="0.2">
      <c r="A171" s="27" t="s">
        <v>282</v>
      </c>
      <c r="B171" s="27" t="s">
        <v>155</v>
      </c>
      <c r="C171" s="27" t="s">
        <v>56</v>
      </c>
      <c r="D171" s="51">
        <v>5975155</v>
      </c>
      <c r="E171" s="51">
        <v>6606827</v>
      </c>
      <c r="F171" s="45">
        <v>5975155</v>
      </c>
      <c r="G171" s="27" t="s">
        <v>280</v>
      </c>
      <c r="H171" s="51">
        <v>5891372</v>
      </c>
      <c r="I171" s="51">
        <v>7259797</v>
      </c>
      <c r="J171" s="45">
        <v>5891372</v>
      </c>
      <c r="K171" s="27" t="s">
        <v>281</v>
      </c>
      <c r="L171" s="45">
        <v>24800252841</v>
      </c>
      <c r="M171" s="27" t="str">
        <f t="shared" si="26"/>
        <v>2026-02|FGP segunda parte (30%)</v>
      </c>
      <c r="N171" s="52">
        <f t="shared" si="27"/>
        <v>1.1057164207455705</v>
      </c>
      <c r="O171" s="52">
        <f t="shared" si="28"/>
        <v>1.2322761149694841</v>
      </c>
      <c r="P171" s="30">
        <f t="shared" si="29"/>
        <v>6606826.9999999991</v>
      </c>
      <c r="Q171" s="30">
        <f t="shared" si="30"/>
        <v>7363040.7897404879</v>
      </c>
      <c r="R171" s="30">
        <f t="shared" si="31"/>
        <v>7259796.9999999991</v>
      </c>
      <c r="S171" s="53">
        <f t="shared" si="32"/>
        <v>4.4550456223249757</v>
      </c>
      <c r="T171" s="54">
        <v>4.4550460000000003</v>
      </c>
      <c r="U171" s="55">
        <f t="shared" si="33"/>
        <v>-3.7767502458763147E-7</v>
      </c>
      <c r="V171" s="53">
        <f t="shared" si="34"/>
        <v>5.0406628625783583</v>
      </c>
      <c r="W171" s="53">
        <f t="shared" si="35"/>
        <v>4.9550105225252477</v>
      </c>
      <c r="X171" s="54">
        <v>4.9550109999999998</v>
      </c>
      <c r="Y171" s="55">
        <f t="shared" si="36"/>
        <v>-4.7747475218073987E-7</v>
      </c>
      <c r="Z171" s="29">
        <f t="shared" si="37"/>
        <v>-21241996.897404548</v>
      </c>
      <c r="AA171" s="23">
        <f t="shared" si="38"/>
        <v>145234556.2633253</v>
      </c>
    </row>
    <row r="172" spans="1:27" x14ac:dyDescent="0.2">
      <c r="A172" s="27" t="s">
        <v>282</v>
      </c>
      <c r="B172" s="27" t="s">
        <v>155</v>
      </c>
      <c r="C172" s="27" t="s">
        <v>57</v>
      </c>
      <c r="D172" s="51">
        <v>3976037</v>
      </c>
      <c r="E172" s="51">
        <v>4616609</v>
      </c>
      <c r="F172" s="45">
        <v>3976037</v>
      </c>
      <c r="G172" s="27" t="s">
        <v>280</v>
      </c>
      <c r="H172" s="51">
        <v>4015493</v>
      </c>
      <c r="I172" s="51">
        <v>4358240</v>
      </c>
      <c r="J172" s="45">
        <v>4015493</v>
      </c>
      <c r="K172" s="27" t="s">
        <v>281</v>
      </c>
      <c r="L172" s="45">
        <v>24800252841</v>
      </c>
      <c r="M172" s="27" t="str">
        <f t="shared" si="26"/>
        <v>2026-02|FGP segunda parte (30%)</v>
      </c>
      <c r="N172" s="52">
        <f t="shared" si="27"/>
        <v>1.1611081587017424</v>
      </c>
      <c r="O172" s="52">
        <f t="shared" si="28"/>
        <v>1.0853561443140356</v>
      </c>
      <c r="P172" s="30">
        <f t="shared" si="29"/>
        <v>4616609</v>
      </c>
      <c r="Q172" s="30">
        <f t="shared" si="30"/>
        <v>4315416.1879699454</v>
      </c>
      <c r="R172" s="30">
        <f t="shared" si="31"/>
        <v>4358240</v>
      </c>
      <c r="S172" s="53">
        <f t="shared" si="32"/>
        <v>3.1130228951713264</v>
      </c>
      <c r="T172" s="54">
        <v>3.1130230000000001</v>
      </c>
      <c r="U172" s="55">
        <f t="shared" si="33"/>
        <v>-1.0482867374150828E-7</v>
      </c>
      <c r="V172" s="53">
        <f t="shared" si="34"/>
        <v>2.9542900462508843</v>
      </c>
      <c r="W172" s="53">
        <f t="shared" si="35"/>
        <v>2.9746183067777836</v>
      </c>
      <c r="X172" s="54">
        <v>2.974618</v>
      </c>
      <c r="Y172" s="55">
        <f t="shared" si="36"/>
        <v>3.0677778362075969E-7</v>
      </c>
      <c r="Z172" s="29">
        <f t="shared" si="37"/>
        <v>5041460.008848222</v>
      </c>
      <c r="AA172" s="23">
        <f t="shared" si="38"/>
        <v>-39366147.87399216</v>
      </c>
    </row>
    <row r="173" spans="1:27" x14ac:dyDescent="0.2">
      <c r="A173" s="27" t="s">
        <v>282</v>
      </c>
      <c r="B173" s="27" t="s">
        <v>155</v>
      </c>
      <c r="C173" s="27" t="s">
        <v>58</v>
      </c>
      <c r="D173" s="51">
        <v>9350964</v>
      </c>
      <c r="E173" s="51">
        <v>10362978</v>
      </c>
      <c r="F173" s="45">
        <v>9350964</v>
      </c>
      <c r="G173" s="27" t="s">
        <v>280</v>
      </c>
      <c r="H173" s="51">
        <v>9336468</v>
      </c>
      <c r="I173" s="51">
        <v>10671518</v>
      </c>
      <c r="J173" s="45">
        <v>9336468</v>
      </c>
      <c r="K173" s="27" t="s">
        <v>281</v>
      </c>
      <c r="L173" s="45">
        <v>24800252841</v>
      </c>
      <c r="M173" s="27" t="str">
        <f t="shared" si="26"/>
        <v>2026-02|FGP segunda parte (30%)</v>
      </c>
      <c r="N173" s="52">
        <f t="shared" si="27"/>
        <v>1.1082256332074425</v>
      </c>
      <c r="O173" s="52">
        <f t="shared" si="28"/>
        <v>1.1429930461926288</v>
      </c>
      <c r="P173" s="30">
        <f t="shared" si="29"/>
        <v>10362978</v>
      </c>
      <c r="Q173" s="30">
        <f t="shared" si="30"/>
        <v>10688086.827197609</v>
      </c>
      <c r="R173" s="30">
        <f t="shared" si="31"/>
        <v>10671518</v>
      </c>
      <c r="S173" s="53">
        <f t="shared" si="32"/>
        <v>6.9878535904073225</v>
      </c>
      <c r="T173" s="54">
        <v>6.9878530000000003</v>
      </c>
      <c r="U173" s="55">
        <f t="shared" si="33"/>
        <v>5.9040732214299396E-7</v>
      </c>
      <c r="V173" s="53">
        <f t="shared" si="34"/>
        <v>7.3169555731561804</v>
      </c>
      <c r="W173" s="53">
        <f t="shared" si="35"/>
        <v>7.2836036574187384</v>
      </c>
      <c r="X173" s="54">
        <v>7.2836040000000004</v>
      </c>
      <c r="Y173" s="55">
        <f t="shared" si="36"/>
        <v>-3.4258126202502126E-7</v>
      </c>
      <c r="Z173" s="29">
        <f t="shared" si="37"/>
        <v>-8271359.4302028874</v>
      </c>
      <c r="AA173" s="23">
        <f t="shared" si="38"/>
        <v>81618123.826460972</v>
      </c>
    </row>
    <row r="174" spans="1:27" x14ac:dyDescent="0.2">
      <c r="A174" s="27" t="s">
        <v>282</v>
      </c>
      <c r="B174" s="27" t="s">
        <v>155</v>
      </c>
      <c r="C174" s="27" t="s">
        <v>59</v>
      </c>
      <c r="D174" s="51">
        <v>1944614</v>
      </c>
      <c r="E174" s="51">
        <v>2294966</v>
      </c>
      <c r="F174" s="45">
        <v>1944614</v>
      </c>
      <c r="G174" s="27" t="s">
        <v>280</v>
      </c>
      <c r="H174" s="51">
        <v>1968132</v>
      </c>
      <c r="I174" s="51">
        <v>2306397</v>
      </c>
      <c r="J174" s="45">
        <v>1968132</v>
      </c>
      <c r="K174" s="27" t="s">
        <v>281</v>
      </c>
      <c r="L174" s="45">
        <v>24800252841</v>
      </c>
      <c r="M174" s="27" t="str">
        <f t="shared" si="26"/>
        <v>2026-02|FGP segunda parte (30%)</v>
      </c>
      <c r="N174" s="52">
        <f t="shared" si="27"/>
        <v>1.1801653181556855</v>
      </c>
      <c r="O174" s="52">
        <f t="shared" si="28"/>
        <v>1.171871094011987</v>
      </c>
      <c r="P174" s="30">
        <f t="shared" si="29"/>
        <v>2294966</v>
      </c>
      <c r="Q174" s="30">
        <f t="shared" si="30"/>
        <v>2278836.9356110259</v>
      </c>
      <c r="R174" s="30">
        <f t="shared" si="31"/>
        <v>2306397</v>
      </c>
      <c r="S174" s="53">
        <f t="shared" si="32"/>
        <v>1.5475171715082991</v>
      </c>
      <c r="T174" s="54">
        <v>1.547517</v>
      </c>
      <c r="U174" s="55">
        <f t="shared" si="33"/>
        <v>1.7150829911827259E-7</v>
      </c>
      <c r="V174" s="53">
        <f t="shared" si="34"/>
        <v>1.5600685965521082</v>
      </c>
      <c r="W174" s="53">
        <f t="shared" si="35"/>
        <v>1.5741791959362865</v>
      </c>
      <c r="X174" s="54">
        <v>1.574179</v>
      </c>
      <c r="Y174" s="55">
        <f t="shared" si="36"/>
        <v>1.9593628652891937E-7</v>
      </c>
      <c r="Z174" s="29">
        <f t="shared" si="37"/>
        <v>3499464.3246568213</v>
      </c>
      <c r="AA174" s="23">
        <f t="shared" si="38"/>
        <v>3112785.1460132315</v>
      </c>
    </row>
    <row r="175" spans="1:27" x14ac:dyDescent="0.2">
      <c r="A175" s="27" t="s">
        <v>282</v>
      </c>
      <c r="B175" s="27" t="s">
        <v>155</v>
      </c>
      <c r="C175" s="27" t="s">
        <v>60</v>
      </c>
      <c r="D175" s="51">
        <v>6345807</v>
      </c>
      <c r="E175" s="51">
        <v>7157504</v>
      </c>
      <c r="F175" s="45">
        <v>6345807</v>
      </c>
      <c r="G175" s="27" t="s">
        <v>280</v>
      </c>
      <c r="H175" s="51">
        <v>6402249</v>
      </c>
      <c r="I175" s="51">
        <v>6991678</v>
      </c>
      <c r="J175" s="45">
        <v>6402249</v>
      </c>
      <c r="K175" s="27" t="s">
        <v>281</v>
      </c>
      <c r="L175" s="45">
        <v>24800252841</v>
      </c>
      <c r="M175" s="27" t="str">
        <f t="shared" si="26"/>
        <v>2026-02|FGP segunda parte (30%)</v>
      </c>
      <c r="N175" s="52">
        <f t="shared" si="27"/>
        <v>1.1279107606014491</v>
      </c>
      <c r="O175" s="52">
        <f t="shared" si="28"/>
        <v>1.0920659287072403</v>
      </c>
      <c r="P175" s="30">
        <f t="shared" si="29"/>
        <v>7157504</v>
      </c>
      <c r="Q175" s="30">
        <f t="shared" si="30"/>
        <v>6930039.614851906</v>
      </c>
      <c r="R175" s="30">
        <f t="shared" si="31"/>
        <v>6991678</v>
      </c>
      <c r="S175" s="53">
        <f t="shared" si="32"/>
        <v>4.8263723057942203</v>
      </c>
      <c r="T175" s="54">
        <v>4.8263720000000001</v>
      </c>
      <c r="U175" s="55">
        <f t="shared" si="33"/>
        <v>3.0579422016785429E-7</v>
      </c>
      <c r="V175" s="53">
        <f t="shared" si="34"/>
        <v>4.7442346606926815</v>
      </c>
      <c r="W175" s="53">
        <f t="shared" si="35"/>
        <v>4.7720119529662171</v>
      </c>
      <c r="X175" s="54">
        <v>4.7720120000000001</v>
      </c>
      <c r="Y175" s="55">
        <f t="shared" si="36"/>
        <v>-4.7033783090455472E-8</v>
      </c>
      <c r="Z175" s="29">
        <f t="shared" si="37"/>
        <v>6888838.7162203705</v>
      </c>
      <c r="AA175" s="23">
        <f t="shared" si="38"/>
        <v>-20370343.662824862</v>
      </c>
    </row>
    <row r="176" spans="1:27" x14ac:dyDescent="0.2">
      <c r="A176" s="27" t="s">
        <v>282</v>
      </c>
      <c r="B176" s="27" t="s">
        <v>155</v>
      </c>
      <c r="C176" s="27" t="s">
        <v>61</v>
      </c>
      <c r="D176" s="51">
        <v>3606579</v>
      </c>
      <c r="E176" s="51">
        <v>3951717</v>
      </c>
      <c r="F176" s="45">
        <v>3606579</v>
      </c>
      <c r="G176" s="27" t="s">
        <v>280</v>
      </c>
      <c r="H176" s="51">
        <v>3569633</v>
      </c>
      <c r="I176" s="51">
        <v>4028357</v>
      </c>
      <c r="J176" s="45">
        <v>3569633</v>
      </c>
      <c r="K176" s="27" t="s">
        <v>281</v>
      </c>
      <c r="L176" s="45">
        <v>24800252841</v>
      </c>
      <c r="M176" s="27" t="str">
        <f t="shared" si="26"/>
        <v>2026-02|FGP segunda parte (30%)</v>
      </c>
      <c r="N176" s="52">
        <f t="shared" si="27"/>
        <v>1.0956967807997551</v>
      </c>
      <c r="O176" s="52">
        <f t="shared" si="28"/>
        <v>1.1285073283443985</v>
      </c>
      <c r="P176" s="30">
        <f t="shared" si="29"/>
        <v>3951717</v>
      </c>
      <c r="Q176" s="30">
        <f t="shared" si="30"/>
        <v>4070050.8317530123</v>
      </c>
      <c r="R176" s="30">
        <f t="shared" si="31"/>
        <v>4028357</v>
      </c>
      <c r="S176" s="53">
        <f t="shared" si="32"/>
        <v>2.6646799623355037</v>
      </c>
      <c r="T176" s="54">
        <v>2.6646800000000002</v>
      </c>
      <c r="U176" s="55">
        <f t="shared" si="33"/>
        <v>-3.7664496410627635E-8</v>
      </c>
      <c r="V176" s="53">
        <f t="shared" si="34"/>
        <v>2.7863154180824052</v>
      </c>
      <c r="W176" s="53">
        <f t="shared" si="35"/>
        <v>2.7494641135954954</v>
      </c>
      <c r="X176" s="54">
        <v>2.7494640000000001</v>
      </c>
      <c r="Y176" s="55">
        <f t="shared" si="36"/>
        <v>1.1359549523248802E-7</v>
      </c>
      <c r="Z176" s="29">
        <f t="shared" si="37"/>
        <v>-9139216.6879604254</v>
      </c>
      <c r="AA176" s="23">
        <f t="shared" si="38"/>
        <v>30165900.569534235</v>
      </c>
    </row>
    <row r="177" spans="1:27" x14ac:dyDescent="0.2">
      <c r="A177" s="27" t="s">
        <v>282</v>
      </c>
      <c r="B177" s="27" t="s">
        <v>155</v>
      </c>
      <c r="C177" s="27" t="s">
        <v>62</v>
      </c>
      <c r="D177" s="51">
        <v>3248649</v>
      </c>
      <c r="E177" s="51">
        <v>3633526</v>
      </c>
      <c r="F177" s="45">
        <v>3248649</v>
      </c>
      <c r="G177" s="27" t="s">
        <v>280</v>
      </c>
      <c r="H177" s="51">
        <v>3215821</v>
      </c>
      <c r="I177" s="51">
        <v>3605828</v>
      </c>
      <c r="J177" s="45">
        <v>3215821</v>
      </c>
      <c r="K177" s="27" t="s">
        <v>281</v>
      </c>
      <c r="L177" s="45">
        <v>24800252841</v>
      </c>
      <c r="M177" s="27" t="str">
        <f t="shared" si="26"/>
        <v>2026-02|FGP segunda parte (30%)</v>
      </c>
      <c r="N177" s="52">
        <f t="shared" si="27"/>
        <v>1.1184729405977685</v>
      </c>
      <c r="O177" s="52">
        <f t="shared" si="28"/>
        <v>1.1212775835470943</v>
      </c>
      <c r="P177" s="30">
        <f t="shared" si="29"/>
        <v>3633526</v>
      </c>
      <c r="Q177" s="30">
        <f t="shared" si="30"/>
        <v>3642637.3005126845</v>
      </c>
      <c r="R177" s="30">
        <f t="shared" si="31"/>
        <v>3605828.0000000005</v>
      </c>
      <c r="S177" s="53">
        <f t="shared" si="32"/>
        <v>2.4501207765700515</v>
      </c>
      <c r="T177" s="54">
        <v>2.4501210000000002</v>
      </c>
      <c r="U177" s="55">
        <f t="shared" si="33"/>
        <v>-2.2342994876467515E-7</v>
      </c>
      <c r="V177" s="53">
        <f t="shared" si="34"/>
        <v>2.4937124602271994</v>
      </c>
      <c r="W177" s="53">
        <f t="shared" si="35"/>
        <v>2.4610764849783227</v>
      </c>
      <c r="X177" s="54">
        <v>2.4610759999999998</v>
      </c>
      <c r="Y177" s="55">
        <f t="shared" si="36"/>
        <v>4.8497832283445064E-7</v>
      </c>
      <c r="Z177" s="29">
        <f t="shared" si="37"/>
        <v>-8093804.3788476093</v>
      </c>
      <c r="AA177" s="23">
        <f t="shared" si="38"/>
        <v>10810847.764621565</v>
      </c>
    </row>
    <row r="178" spans="1:27" x14ac:dyDescent="0.2">
      <c r="A178" s="27" t="s">
        <v>282</v>
      </c>
      <c r="B178" s="27" t="s">
        <v>155</v>
      </c>
      <c r="C178" s="27" t="s">
        <v>63</v>
      </c>
      <c r="D178" s="51">
        <v>8739649</v>
      </c>
      <c r="E178" s="51">
        <v>9949634</v>
      </c>
      <c r="F178" s="45">
        <v>8739649</v>
      </c>
      <c r="G178" s="27" t="s">
        <v>280</v>
      </c>
      <c r="H178" s="51">
        <v>8750952</v>
      </c>
      <c r="I178" s="51">
        <v>9918726</v>
      </c>
      <c r="J178" s="45">
        <v>8750952</v>
      </c>
      <c r="K178" s="27" t="s">
        <v>281</v>
      </c>
      <c r="L178" s="45">
        <v>24800252841</v>
      </c>
      <c r="M178" s="27" t="str">
        <f t="shared" si="26"/>
        <v>2026-02|FGP segunda parte (30%)</v>
      </c>
      <c r="N178" s="52">
        <f t="shared" si="27"/>
        <v>1.1384477797678145</v>
      </c>
      <c r="O178" s="52">
        <f t="shared" si="28"/>
        <v>1.1334453668583715</v>
      </c>
      <c r="P178" s="30">
        <f t="shared" si="29"/>
        <v>9949634</v>
      </c>
      <c r="Q178" s="30">
        <f t="shared" si="30"/>
        <v>9905914.6670184005</v>
      </c>
      <c r="R178" s="30">
        <f t="shared" si="31"/>
        <v>9918726</v>
      </c>
      <c r="S178" s="53">
        <f t="shared" si="32"/>
        <v>6.7091318412659735</v>
      </c>
      <c r="T178" s="54">
        <v>6.7091320000000003</v>
      </c>
      <c r="U178" s="55">
        <f t="shared" si="33"/>
        <v>-1.5873402681165771E-7</v>
      </c>
      <c r="V178" s="53">
        <f t="shared" si="34"/>
        <v>6.7814884648587963</v>
      </c>
      <c r="W178" s="53">
        <f t="shared" si="35"/>
        <v>6.7698024751993424</v>
      </c>
      <c r="X178" s="54">
        <v>6.7698029999999996</v>
      </c>
      <c r="Y178" s="55">
        <f t="shared" si="36"/>
        <v>-5.2480065715343471E-7</v>
      </c>
      <c r="Z178" s="29">
        <f t="shared" si="37"/>
        <v>-2898154.9825176788</v>
      </c>
      <c r="AA178" s="23">
        <f t="shared" si="38"/>
        <v>17944625.598230712</v>
      </c>
    </row>
    <row r="179" spans="1:27" x14ac:dyDescent="0.2">
      <c r="A179" s="27" t="s">
        <v>282</v>
      </c>
      <c r="B179" s="27" t="s">
        <v>155</v>
      </c>
      <c r="C179" s="27" t="s">
        <v>64</v>
      </c>
      <c r="D179" s="51">
        <v>17788768</v>
      </c>
      <c r="E179" s="51">
        <v>20115642</v>
      </c>
      <c r="F179" s="45">
        <v>17788768</v>
      </c>
      <c r="G179" s="27" t="s">
        <v>280</v>
      </c>
      <c r="H179" s="51">
        <v>17753727</v>
      </c>
      <c r="I179" s="51">
        <v>19679734</v>
      </c>
      <c r="J179" s="45">
        <v>17753727</v>
      </c>
      <c r="K179" s="27" t="s">
        <v>281</v>
      </c>
      <c r="L179" s="45">
        <v>24800252841</v>
      </c>
      <c r="M179" s="27" t="str">
        <f t="shared" si="26"/>
        <v>2026-02|FGP segunda parte (30%)</v>
      </c>
      <c r="N179" s="52">
        <f t="shared" si="27"/>
        <v>1.1308057983554567</v>
      </c>
      <c r="O179" s="52">
        <f t="shared" si="28"/>
        <v>1.1084846578974656</v>
      </c>
      <c r="P179" s="30">
        <f t="shared" si="29"/>
        <v>20115642</v>
      </c>
      <c r="Q179" s="30">
        <f t="shared" si="30"/>
        <v>19718576.410897385</v>
      </c>
      <c r="R179" s="30">
        <f t="shared" si="31"/>
        <v>19679734</v>
      </c>
      <c r="S179" s="53">
        <f t="shared" si="32"/>
        <v>13.564166707007228</v>
      </c>
      <c r="T179" s="54">
        <v>13.564166999999999</v>
      </c>
      <c r="U179" s="55">
        <f t="shared" si="33"/>
        <v>-2.9299277137795343E-7</v>
      </c>
      <c r="V179" s="53">
        <f t="shared" si="34"/>
        <v>13.499136926664685</v>
      </c>
      <c r="W179" s="53">
        <f t="shared" si="35"/>
        <v>13.431958090632271</v>
      </c>
      <c r="X179" s="54">
        <v>13.431958</v>
      </c>
      <c r="Y179" s="55">
        <f t="shared" si="36"/>
        <v>9.0632271465551639E-8</v>
      </c>
      <c r="Z179" s="29">
        <f t="shared" si="37"/>
        <v>-16660521.191679301</v>
      </c>
      <c r="AA179" s="23">
        <f t="shared" si="38"/>
        <v>-16127549.946897699</v>
      </c>
    </row>
    <row r="180" spans="1:27" x14ac:dyDescent="0.2">
      <c r="A180" s="27" t="s">
        <v>282</v>
      </c>
      <c r="B180" s="27" t="s">
        <v>155</v>
      </c>
      <c r="C180" s="27" t="s">
        <v>65</v>
      </c>
      <c r="D180" s="51">
        <v>4950874</v>
      </c>
      <c r="E180" s="51">
        <v>5686887</v>
      </c>
      <c r="F180" s="45">
        <v>4950874</v>
      </c>
      <c r="G180" s="27" t="s">
        <v>280</v>
      </c>
      <c r="H180" s="51">
        <v>4945881</v>
      </c>
      <c r="I180" s="51">
        <v>5171427</v>
      </c>
      <c r="J180" s="45">
        <v>4945881</v>
      </c>
      <c r="K180" s="27" t="s">
        <v>281</v>
      </c>
      <c r="L180" s="45">
        <v>24800252841</v>
      </c>
      <c r="M180" s="27" t="str">
        <f t="shared" si="26"/>
        <v>2026-02|FGP segunda parte (30%)</v>
      </c>
      <c r="N180" s="52">
        <f t="shared" si="27"/>
        <v>1.1486632461258355</v>
      </c>
      <c r="O180" s="52">
        <f t="shared" si="28"/>
        <v>1.045602795538348</v>
      </c>
      <c r="P180" s="30">
        <f t="shared" si="29"/>
        <v>5686887</v>
      </c>
      <c r="Q180" s="30">
        <f t="shared" si="30"/>
        <v>5176647.6947581228</v>
      </c>
      <c r="R180" s="30">
        <f t="shared" si="31"/>
        <v>5171427</v>
      </c>
      <c r="S180" s="53">
        <f t="shared" si="32"/>
        <v>3.8347214228565116</v>
      </c>
      <c r="T180" s="54">
        <v>3.834721</v>
      </c>
      <c r="U180" s="55">
        <f t="shared" si="33"/>
        <v>4.2285651158380233E-7</v>
      </c>
      <c r="V180" s="53">
        <f t="shared" si="34"/>
        <v>3.5438803794184635</v>
      </c>
      <c r="W180" s="53">
        <f t="shared" si="35"/>
        <v>3.5296407325812518</v>
      </c>
      <c r="X180" s="54">
        <v>3.5296400000000001</v>
      </c>
      <c r="Y180" s="55">
        <f t="shared" si="36"/>
        <v>7.325812516612018E-7</v>
      </c>
      <c r="Z180" s="29">
        <f t="shared" si="37"/>
        <v>-3531468.4192939573</v>
      </c>
      <c r="AA180" s="23">
        <f t="shared" si="38"/>
        <v>-72129314.138038591</v>
      </c>
    </row>
    <row r="181" spans="1:27" x14ac:dyDescent="0.2">
      <c r="A181" s="27" t="s">
        <v>282</v>
      </c>
      <c r="B181" s="27" t="s">
        <v>155</v>
      </c>
      <c r="C181" s="27" t="s">
        <v>66</v>
      </c>
      <c r="D181" s="51">
        <v>1984308</v>
      </c>
      <c r="E181" s="51">
        <v>2201161</v>
      </c>
      <c r="F181" s="45">
        <v>1984308</v>
      </c>
      <c r="G181" s="27" t="s">
        <v>280</v>
      </c>
      <c r="H181" s="51">
        <v>1988503</v>
      </c>
      <c r="I181" s="51">
        <v>2188180</v>
      </c>
      <c r="J181" s="45">
        <v>1988503</v>
      </c>
      <c r="K181" s="27" t="s">
        <v>281</v>
      </c>
      <c r="L181" s="45">
        <v>24800252841</v>
      </c>
      <c r="M181" s="27" t="str">
        <f t="shared" si="26"/>
        <v>2026-02|FGP segunda parte (30%)</v>
      </c>
      <c r="N181" s="52">
        <f t="shared" si="27"/>
        <v>1.109283941807421</v>
      </c>
      <c r="O181" s="52">
        <f t="shared" si="28"/>
        <v>1.1004157398807042</v>
      </c>
      <c r="P181" s="30">
        <f t="shared" si="29"/>
        <v>2201161</v>
      </c>
      <c r="Q181" s="30">
        <f t="shared" si="30"/>
        <v>2183563.7559712003</v>
      </c>
      <c r="R181" s="30">
        <f t="shared" si="31"/>
        <v>2188180</v>
      </c>
      <c r="S181" s="53">
        <f t="shared" si="32"/>
        <v>1.4842635772183028</v>
      </c>
      <c r="T181" s="54">
        <v>1.484264</v>
      </c>
      <c r="U181" s="55">
        <f t="shared" si="33"/>
        <v>-4.2278169720688652E-7</v>
      </c>
      <c r="V181" s="53">
        <f t="shared" si="34"/>
        <v>1.4948455464395267</v>
      </c>
      <c r="W181" s="53">
        <f t="shared" si="35"/>
        <v>1.4934928518220683</v>
      </c>
      <c r="X181" s="54">
        <v>1.493493</v>
      </c>
      <c r="Y181" s="55">
        <f t="shared" si="36"/>
        <v>-1.4817793170252003E-7</v>
      </c>
      <c r="Z181" s="29">
        <f t="shared" si="37"/>
        <v>-335471.68529629603</v>
      </c>
      <c r="AA181" s="23">
        <f t="shared" si="38"/>
        <v>2624355.1224203249</v>
      </c>
    </row>
    <row r="182" spans="1:27" x14ac:dyDescent="0.2">
      <c r="A182" s="27" t="s">
        <v>282</v>
      </c>
      <c r="B182" s="27" t="s">
        <v>155</v>
      </c>
      <c r="C182" s="27" t="s">
        <v>67</v>
      </c>
      <c r="D182" s="51">
        <v>1245276</v>
      </c>
      <c r="E182" s="51">
        <v>1512175</v>
      </c>
      <c r="F182" s="45">
        <v>1245276</v>
      </c>
      <c r="G182" s="27" t="s">
        <v>280</v>
      </c>
      <c r="H182" s="51">
        <v>1279298</v>
      </c>
      <c r="I182" s="51">
        <v>1441921</v>
      </c>
      <c r="J182" s="45">
        <v>1279298</v>
      </c>
      <c r="K182" s="27" t="s">
        <v>281</v>
      </c>
      <c r="L182" s="45">
        <v>24800252841</v>
      </c>
      <c r="M182" s="27" t="str">
        <f t="shared" si="26"/>
        <v>2026-02|FGP segunda parte (30%)</v>
      </c>
      <c r="N182" s="52">
        <f t="shared" si="27"/>
        <v>1.2143291928857538</v>
      </c>
      <c r="O182" s="52">
        <f t="shared" si="28"/>
        <v>1.1271189355412108</v>
      </c>
      <c r="P182" s="30">
        <f t="shared" si="29"/>
        <v>1512175</v>
      </c>
      <c r="Q182" s="30">
        <f t="shared" si="30"/>
        <v>1403574.1595750167</v>
      </c>
      <c r="R182" s="30">
        <f t="shared" si="31"/>
        <v>1441920.9999999998</v>
      </c>
      <c r="S182" s="53">
        <f t="shared" si="32"/>
        <v>1.0196738334361215</v>
      </c>
      <c r="T182" s="54">
        <v>1.019674</v>
      </c>
      <c r="U182" s="55">
        <f t="shared" si="33"/>
        <v>-1.6656387846758491E-7</v>
      </c>
      <c r="V182" s="53">
        <f t="shared" si="34"/>
        <v>0.96087259911726974</v>
      </c>
      <c r="W182" s="53">
        <f t="shared" si="35"/>
        <v>0.98415062124328367</v>
      </c>
      <c r="X182" s="54">
        <v>0.984151</v>
      </c>
      <c r="Y182" s="55">
        <f t="shared" si="36"/>
        <v>-3.7875671632381369E-7</v>
      </c>
      <c r="Z182" s="29">
        <f t="shared" si="37"/>
        <v>5773008.3436353784</v>
      </c>
      <c r="AA182" s="23">
        <f t="shared" si="38"/>
        <v>-14582854.7847041</v>
      </c>
    </row>
    <row r="183" spans="1:27" x14ac:dyDescent="0.2">
      <c r="A183" s="27" t="s">
        <v>282</v>
      </c>
      <c r="B183" s="27" t="s">
        <v>155</v>
      </c>
      <c r="C183" s="27" t="s">
        <v>68</v>
      </c>
      <c r="D183" s="51">
        <v>6152311</v>
      </c>
      <c r="E183" s="51">
        <v>7138854</v>
      </c>
      <c r="F183" s="45">
        <v>6152311</v>
      </c>
      <c r="G183" s="27" t="s">
        <v>280</v>
      </c>
      <c r="H183" s="51">
        <v>6234433</v>
      </c>
      <c r="I183" s="51">
        <v>6862310</v>
      </c>
      <c r="J183" s="45">
        <v>6234433</v>
      </c>
      <c r="K183" s="27" t="s">
        <v>281</v>
      </c>
      <c r="L183" s="45">
        <v>24800252841</v>
      </c>
      <c r="M183" s="27" t="str">
        <f t="shared" si="26"/>
        <v>2026-02|FGP segunda parte (30%)</v>
      </c>
      <c r="N183" s="52">
        <f t="shared" si="27"/>
        <v>1.1603532396200387</v>
      </c>
      <c r="O183" s="52">
        <f t="shared" si="28"/>
        <v>1.1007111633086761</v>
      </c>
      <c r="P183" s="30">
        <f t="shared" si="29"/>
        <v>7138854</v>
      </c>
      <c r="Q183" s="30">
        <f t="shared" si="30"/>
        <v>6771917.3978467649</v>
      </c>
      <c r="R183" s="30">
        <f t="shared" si="31"/>
        <v>6862310</v>
      </c>
      <c r="S183" s="53">
        <f t="shared" si="32"/>
        <v>4.8137964352808318</v>
      </c>
      <c r="T183" s="54">
        <v>4.8137970000000001</v>
      </c>
      <c r="U183" s="55">
        <f t="shared" si="33"/>
        <v>-5.6471916831668523E-7</v>
      </c>
      <c r="V183" s="53">
        <f t="shared" si="34"/>
        <v>4.6359857986034001</v>
      </c>
      <c r="W183" s="53">
        <f t="shared" si="35"/>
        <v>4.6837147455817609</v>
      </c>
      <c r="X183" s="54">
        <v>4.6837150000000003</v>
      </c>
      <c r="Y183" s="55">
        <f t="shared" si="36"/>
        <v>-2.5441823936489527E-7</v>
      </c>
      <c r="Z183" s="29">
        <f t="shared" si="37"/>
        <v>11836899.528980317</v>
      </c>
      <c r="AA183" s="23">
        <f t="shared" si="38"/>
        <v>-44097487.474194936</v>
      </c>
    </row>
    <row r="184" spans="1:27" x14ac:dyDescent="0.2">
      <c r="A184" s="27" t="s">
        <v>282</v>
      </c>
      <c r="B184" s="27" t="s">
        <v>155</v>
      </c>
      <c r="C184" s="27" t="s">
        <v>69</v>
      </c>
      <c r="D184" s="51">
        <v>4232451</v>
      </c>
      <c r="E184" s="51">
        <v>4851041</v>
      </c>
      <c r="F184" s="45">
        <v>4232451</v>
      </c>
      <c r="G184" s="27" t="s">
        <v>280</v>
      </c>
      <c r="H184" s="51">
        <v>4178688</v>
      </c>
      <c r="I184" s="51">
        <v>4783053</v>
      </c>
      <c r="J184" s="45">
        <v>4178688</v>
      </c>
      <c r="K184" s="27" t="s">
        <v>281</v>
      </c>
      <c r="L184" s="45">
        <v>24800252841</v>
      </c>
      <c r="M184" s="27" t="str">
        <f t="shared" si="26"/>
        <v>2026-02|FGP segunda parte (30%)</v>
      </c>
      <c r="N184" s="52">
        <f t="shared" si="27"/>
        <v>1.1461540842410225</v>
      </c>
      <c r="O184" s="52">
        <f t="shared" si="28"/>
        <v>1.144630324159162</v>
      </c>
      <c r="P184" s="30">
        <f t="shared" si="29"/>
        <v>4851041</v>
      </c>
      <c r="Q184" s="30">
        <f t="shared" si="30"/>
        <v>4844591.7601177692</v>
      </c>
      <c r="R184" s="30">
        <f t="shared" si="31"/>
        <v>4783053</v>
      </c>
      <c r="S184" s="53">
        <f t="shared" si="32"/>
        <v>3.271102598988739</v>
      </c>
      <c r="T184" s="54">
        <v>3.2711030000000001</v>
      </c>
      <c r="U184" s="55">
        <f t="shared" si="33"/>
        <v>-4.0101126108638141E-7</v>
      </c>
      <c r="V184" s="53">
        <f t="shared" si="34"/>
        <v>3.3165582626684662</v>
      </c>
      <c r="W184" s="53">
        <f t="shared" si="35"/>
        <v>3.2645648280242483</v>
      </c>
      <c r="X184" s="54">
        <v>3.2645650000000002</v>
      </c>
      <c r="Y184" s="55">
        <f t="shared" si="36"/>
        <v>-1.7197575186145286E-7</v>
      </c>
      <c r="Z184" s="29">
        <f t="shared" si="37"/>
        <v>-12894503.25248613</v>
      </c>
      <c r="AA184" s="23">
        <f t="shared" si="38"/>
        <v>11273119.52312695</v>
      </c>
    </row>
    <row r="185" spans="1:27" x14ac:dyDescent="0.2">
      <c r="A185" s="27" t="s">
        <v>282</v>
      </c>
      <c r="B185" s="27" t="s">
        <v>155</v>
      </c>
      <c r="C185" s="27" t="s">
        <v>70</v>
      </c>
      <c r="D185" s="51">
        <v>6629599</v>
      </c>
      <c r="E185" s="51">
        <v>7449541</v>
      </c>
      <c r="F185" s="45">
        <v>6629599</v>
      </c>
      <c r="G185" s="27" t="s">
        <v>280</v>
      </c>
      <c r="H185" s="51">
        <v>6638706</v>
      </c>
      <c r="I185" s="51">
        <v>7255226</v>
      </c>
      <c r="J185" s="45">
        <v>6638706</v>
      </c>
      <c r="K185" s="27" t="s">
        <v>281</v>
      </c>
      <c r="L185" s="45">
        <v>24800252841</v>
      </c>
      <c r="M185" s="27" t="str">
        <f t="shared" si="26"/>
        <v>2026-02|FGP segunda parte (30%)</v>
      </c>
      <c r="N185" s="52">
        <f t="shared" si="27"/>
        <v>1.1236789736453139</v>
      </c>
      <c r="O185" s="52">
        <f t="shared" si="28"/>
        <v>1.0928674955631414</v>
      </c>
      <c r="P185" s="30">
        <f t="shared" si="29"/>
        <v>7449540.9999999991</v>
      </c>
      <c r="Q185" s="30">
        <f t="shared" si="30"/>
        <v>7245273.2557179071</v>
      </c>
      <c r="R185" s="30">
        <f t="shared" si="31"/>
        <v>7255226.0000000009</v>
      </c>
      <c r="S185" s="53">
        <f t="shared" si="32"/>
        <v>5.0232956032268472</v>
      </c>
      <c r="T185" s="54">
        <v>5.0232960000000002</v>
      </c>
      <c r="U185" s="55">
        <f t="shared" si="33"/>
        <v>-3.9677315299968541E-7</v>
      </c>
      <c r="V185" s="53">
        <f t="shared" si="34"/>
        <v>4.9600404061616841</v>
      </c>
      <c r="W185" s="53">
        <f t="shared" si="35"/>
        <v>4.9518906896844035</v>
      </c>
      <c r="X185" s="54">
        <v>4.9518909999999998</v>
      </c>
      <c r="Y185" s="55">
        <f t="shared" si="36"/>
        <v>-3.1031559633021288E-7</v>
      </c>
      <c r="Z185" s="29">
        <f t="shared" si="37"/>
        <v>-2021150.2921902216</v>
      </c>
      <c r="AA185" s="23">
        <f t="shared" si="38"/>
        <v>-15687448.80723327</v>
      </c>
    </row>
    <row r="186" spans="1:27" x14ac:dyDescent="0.2">
      <c r="A186" s="27" t="s">
        <v>282</v>
      </c>
      <c r="B186" s="27" t="s">
        <v>155</v>
      </c>
      <c r="C186" s="27" t="s">
        <v>71</v>
      </c>
      <c r="D186" s="51">
        <v>2528745</v>
      </c>
      <c r="E186" s="51">
        <v>2967058</v>
      </c>
      <c r="F186" s="45">
        <v>2528745</v>
      </c>
      <c r="G186" s="27" t="s">
        <v>280</v>
      </c>
      <c r="H186" s="51">
        <v>2535155</v>
      </c>
      <c r="I186" s="51">
        <v>2747979</v>
      </c>
      <c r="J186" s="45">
        <v>2535155</v>
      </c>
      <c r="K186" s="27" t="s">
        <v>281</v>
      </c>
      <c r="L186" s="45">
        <v>24800252841</v>
      </c>
      <c r="M186" s="27" t="str">
        <f t="shared" si="26"/>
        <v>2026-02|FGP segunda parte (30%)</v>
      </c>
      <c r="N186" s="52">
        <f t="shared" si="27"/>
        <v>1.1733322260647079</v>
      </c>
      <c r="O186" s="52">
        <f t="shared" si="28"/>
        <v>1.0839491076482504</v>
      </c>
      <c r="P186" s="30">
        <f t="shared" si="29"/>
        <v>2967057.9999999995</v>
      </c>
      <c r="Q186" s="30">
        <f t="shared" si="30"/>
        <v>2741030.8862199751</v>
      </c>
      <c r="R186" s="30">
        <f t="shared" si="31"/>
        <v>2747979</v>
      </c>
      <c r="S186" s="53">
        <f t="shared" si="32"/>
        <v>2.0007151321026413</v>
      </c>
      <c r="T186" s="54">
        <v>2.000715</v>
      </c>
      <c r="U186" s="55">
        <f t="shared" si="33"/>
        <v>1.3210264127039295E-7</v>
      </c>
      <c r="V186" s="53">
        <f t="shared" si="34"/>
        <v>1.8764818758849013</v>
      </c>
      <c r="W186" s="53">
        <f t="shared" si="35"/>
        <v>1.8755710195034943</v>
      </c>
      <c r="X186" s="54">
        <v>1.8755710000000001</v>
      </c>
      <c r="Y186" s="55">
        <f t="shared" si="36"/>
        <v>1.95034941530281E-8</v>
      </c>
      <c r="Z186" s="29">
        <f t="shared" si="37"/>
        <v>-225894.68560734115</v>
      </c>
      <c r="AA186" s="23">
        <f t="shared" si="38"/>
        <v>-30810161.654606864</v>
      </c>
    </row>
    <row r="187" spans="1:27" x14ac:dyDescent="0.2">
      <c r="A187" s="27" t="s">
        <v>282</v>
      </c>
      <c r="B187" s="27" t="s">
        <v>155</v>
      </c>
      <c r="C187" s="27" t="s">
        <v>72</v>
      </c>
      <c r="D187" s="51">
        <v>1905221</v>
      </c>
      <c r="E187" s="51">
        <v>2333466</v>
      </c>
      <c r="F187" s="45">
        <v>1905221</v>
      </c>
      <c r="G187" s="27" t="s">
        <v>280</v>
      </c>
      <c r="H187" s="51">
        <v>1975372</v>
      </c>
      <c r="I187" s="51">
        <v>2314635</v>
      </c>
      <c r="J187" s="45">
        <v>1975372</v>
      </c>
      <c r="K187" s="27" t="s">
        <v>281</v>
      </c>
      <c r="L187" s="45">
        <v>24800252841</v>
      </c>
      <c r="M187" s="27" t="str">
        <f t="shared" si="26"/>
        <v>2026-02|FGP segunda parte (30%)</v>
      </c>
      <c r="N187" s="52">
        <f t="shared" si="27"/>
        <v>1.2247744487384928</v>
      </c>
      <c r="O187" s="52">
        <f t="shared" si="28"/>
        <v>1.1717463849847016</v>
      </c>
      <c r="P187" s="30">
        <f t="shared" si="29"/>
        <v>2333466</v>
      </c>
      <c r="Q187" s="30">
        <f t="shared" si="30"/>
        <v>2232435.8193469383</v>
      </c>
      <c r="R187" s="30">
        <f t="shared" si="31"/>
        <v>2314635</v>
      </c>
      <c r="S187" s="53">
        <f t="shared" si="32"/>
        <v>1.5734780838281635</v>
      </c>
      <c r="T187" s="54">
        <v>1.5734779999999999</v>
      </c>
      <c r="U187" s="55">
        <f t="shared" si="33"/>
        <v>8.3828163521815213E-8</v>
      </c>
      <c r="V187" s="53">
        <f t="shared" si="34"/>
        <v>1.528302864130733</v>
      </c>
      <c r="W187" s="53">
        <f t="shared" si="35"/>
        <v>1.5798018568294991</v>
      </c>
      <c r="X187" s="54">
        <v>1.5798019999999999</v>
      </c>
      <c r="Y187" s="55">
        <f t="shared" si="36"/>
        <v>-1.4317050078815896E-7</v>
      </c>
      <c r="Z187" s="29">
        <f t="shared" si="37"/>
        <v>12771880.399862127</v>
      </c>
      <c r="AA187" s="23">
        <f t="shared" si="38"/>
        <v>-11203568.706439983</v>
      </c>
    </row>
    <row r="188" spans="1:27" x14ac:dyDescent="0.2">
      <c r="A188" s="27" t="s">
        <v>282</v>
      </c>
      <c r="B188" s="27" t="s">
        <v>155</v>
      </c>
      <c r="C188" s="27" t="s">
        <v>73</v>
      </c>
      <c r="D188" s="51">
        <v>2885526</v>
      </c>
      <c r="E188" s="51">
        <v>3338426</v>
      </c>
      <c r="F188" s="45">
        <v>2885526</v>
      </c>
      <c r="G188" s="27" t="s">
        <v>280</v>
      </c>
      <c r="H188" s="51">
        <v>2951151</v>
      </c>
      <c r="I188" s="51">
        <v>3412006</v>
      </c>
      <c r="J188" s="45">
        <v>2951151</v>
      </c>
      <c r="K188" s="27" t="s">
        <v>281</v>
      </c>
      <c r="L188" s="45">
        <v>24800252841</v>
      </c>
      <c r="M188" s="27" t="str">
        <f t="shared" si="26"/>
        <v>2026-02|FGP segunda parte (30%)</v>
      </c>
      <c r="N188" s="52">
        <f t="shared" si="27"/>
        <v>1.1569557855309569</v>
      </c>
      <c r="O188" s="52">
        <f t="shared" si="28"/>
        <v>1.1561611045995275</v>
      </c>
      <c r="P188" s="30">
        <f t="shared" si="29"/>
        <v>3338426</v>
      </c>
      <c r="Q188" s="30">
        <f t="shared" si="30"/>
        <v>3336132.927510656</v>
      </c>
      <c r="R188" s="30">
        <f t="shared" si="31"/>
        <v>3412006</v>
      </c>
      <c r="S188" s="53">
        <f t="shared" si="32"/>
        <v>2.2511320694118195</v>
      </c>
      <c r="T188" s="54">
        <v>2.2511320000000001</v>
      </c>
      <c r="U188" s="55">
        <f t="shared" si="33"/>
        <v>6.9411819403342179E-8</v>
      </c>
      <c r="V188" s="53">
        <f t="shared" si="34"/>
        <v>2.2838826827849856</v>
      </c>
      <c r="W188" s="53">
        <f t="shared" si="35"/>
        <v>2.3287876552084419</v>
      </c>
      <c r="X188" s="54">
        <v>2.3287870000000002</v>
      </c>
      <c r="Y188" s="55">
        <f t="shared" si="36"/>
        <v>6.5520844172439752E-7</v>
      </c>
      <c r="Z188" s="29">
        <f t="shared" si="37"/>
        <v>11136546.699198477</v>
      </c>
      <c r="AA188" s="23">
        <f t="shared" si="38"/>
        <v>8122234.9235235499</v>
      </c>
    </row>
    <row r="189" spans="1:27" x14ac:dyDescent="0.2">
      <c r="A189" s="27" t="s">
        <v>282</v>
      </c>
      <c r="B189" s="27" t="s">
        <v>155</v>
      </c>
      <c r="C189" s="27" t="s">
        <v>74</v>
      </c>
      <c r="D189" s="51">
        <v>3144666</v>
      </c>
      <c r="E189" s="51">
        <v>3383657</v>
      </c>
      <c r="F189" s="45">
        <v>3144666</v>
      </c>
      <c r="G189" s="27" t="s">
        <v>280</v>
      </c>
      <c r="H189" s="51">
        <v>3085699</v>
      </c>
      <c r="I189" s="51">
        <v>3240121</v>
      </c>
      <c r="J189" s="45">
        <v>3085699</v>
      </c>
      <c r="K189" s="27" t="s">
        <v>281</v>
      </c>
      <c r="L189" s="45">
        <v>24800252841</v>
      </c>
      <c r="M189" s="27" t="str">
        <f t="shared" si="26"/>
        <v>2026-02|FGP segunda parte (30%)</v>
      </c>
      <c r="N189" s="52">
        <f t="shared" si="27"/>
        <v>1.0759988501163558</v>
      </c>
      <c r="O189" s="52">
        <f t="shared" si="28"/>
        <v>1.0500444145718686</v>
      </c>
      <c r="P189" s="30">
        <f t="shared" si="29"/>
        <v>3383657</v>
      </c>
      <c r="Q189" s="30">
        <f t="shared" si="30"/>
        <v>3302038.9689940596</v>
      </c>
      <c r="R189" s="30">
        <f t="shared" si="31"/>
        <v>3240121.0000000005</v>
      </c>
      <c r="S189" s="53">
        <f t="shared" si="32"/>
        <v>2.2816317583764891</v>
      </c>
      <c r="T189" s="54">
        <v>2.281631</v>
      </c>
      <c r="U189" s="55">
        <f t="shared" si="33"/>
        <v>7.5837648916277089E-7</v>
      </c>
      <c r="V189" s="53">
        <f t="shared" si="34"/>
        <v>2.2605423054272564</v>
      </c>
      <c r="W189" s="53">
        <f t="shared" si="35"/>
        <v>2.2114714294704152</v>
      </c>
      <c r="X189" s="54">
        <v>2.211471</v>
      </c>
      <c r="Y189" s="55">
        <f t="shared" si="36"/>
        <v>4.2947041523078155E-7</v>
      </c>
      <c r="Z189" s="29">
        <f t="shared" si="37"/>
        <v>-12169701.308590105</v>
      </c>
      <c r="AA189" s="23">
        <f t="shared" si="38"/>
        <v>-5230237.6541934414</v>
      </c>
    </row>
    <row r="190" spans="1:27" x14ac:dyDescent="0.2">
      <c r="A190" s="27" t="s">
        <v>282</v>
      </c>
      <c r="B190" s="27" t="s">
        <v>155</v>
      </c>
      <c r="C190" s="27" t="s">
        <v>75</v>
      </c>
      <c r="D190" s="51">
        <v>3042242</v>
      </c>
      <c r="E190" s="51">
        <v>3446383</v>
      </c>
      <c r="F190" s="45">
        <v>3042242</v>
      </c>
      <c r="G190" s="27" t="s">
        <v>280</v>
      </c>
      <c r="H190" s="51">
        <v>3035624</v>
      </c>
      <c r="I190" s="51">
        <v>3447305</v>
      </c>
      <c r="J190" s="45">
        <v>3035624</v>
      </c>
      <c r="K190" s="27" t="s">
        <v>281</v>
      </c>
      <c r="L190" s="45">
        <v>24800252841</v>
      </c>
      <c r="M190" s="27" t="str">
        <f t="shared" si="26"/>
        <v>2026-02|FGP segunda parte (30%)</v>
      </c>
      <c r="N190" s="52">
        <f t="shared" si="27"/>
        <v>1.1328431466004347</v>
      </c>
      <c r="O190" s="52">
        <f t="shared" si="28"/>
        <v>1.1356165981030588</v>
      </c>
      <c r="P190" s="30">
        <f t="shared" si="29"/>
        <v>3446382.9999999995</v>
      </c>
      <c r="Q190" s="30">
        <f t="shared" si="30"/>
        <v>3454820.5106462459</v>
      </c>
      <c r="R190" s="30">
        <f t="shared" si="31"/>
        <v>3447305</v>
      </c>
      <c r="S190" s="53">
        <f t="shared" si="32"/>
        <v>2.3239284904849509</v>
      </c>
      <c r="T190" s="54">
        <v>2.323928</v>
      </c>
      <c r="U190" s="55">
        <f t="shared" si="33"/>
        <v>4.9048495087689048E-7</v>
      </c>
      <c r="V190" s="53">
        <f t="shared" si="34"/>
        <v>2.3651349954700325</v>
      </c>
      <c r="W190" s="53">
        <f t="shared" si="35"/>
        <v>2.3528801906380989</v>
      </c>
      <c r="X190" s="54">
        <v>2.3528799999999999</v>
      </c>
      <c r="Y190" s="55">
        <f t="shared" si="36"/>
        <v>1.9063809908459461E-7</v>
      </c>
      <c r="Z190" s="29">
        <f t="shared" si="37"/>
        <v>-3039222.5834906003</v>
      </c>
      <c r="AA190" s="23">
        <f t="shared" si="38"/>
        <v>10219317.423239507</v>
      </c>
    </row>
    <row r="191" spans="1:27" x14ac:dyDescent="0.2">
      <c r="A191" s="27" t="s">
        <v>282</v>
      </c>
      <c r="B191" s="27" t="s">
        <v>155</v>
      </c>
      <c r="C191" s="27" t="s">
        <v>76</v>
      </c>
      <c r="D191" s="51">
        <v>2554147</v>
      </c>
      <c r="E191" s="51">
        <v>2864546</v>
      </c>
      <c r="F191" s="45">
        <v>2554147</v>
      </c>
      <c r="G191" s="27" t="s">
        <v>280</v>
      </c>
      <c r="H191" s="51">
        <v>2578825</v>
      </c>
      <c r="I191" s="51">
        <v>2872850</v>
      </c>
      <c r="J191" s="45">
        <v>2578825</v>
      </c>
      <c r="K191" s="27" t="s">
        <v>281</v>
      </c>
      <c r="L191" s="45">
        <v>24800252841</v>
      </c>
      <c r="M191" s="27" t="str">
        <f t="shared" si="26"/>
        <v>2026-02|FGP segunda parte (30%)</v>
      </c>
      <c r="N191" s="52">
        <f t="shared" si="27"/>
        <v>1.1215274610271062</v>
      </c>
      <c r="O191" s="52">
        <f t="shared" si="28"/>
        <v>1.1140151037778834</v>
      </c>
      <c r="P191" s="30">
        <f t="shared" si="29"/>
        <v>2864546.0000000005</v>
      </c>
      <c r="Q191" s="30">
        <f t="shared" si="30"/>
        <v>2845358.3352689696</v>
      </c>
      <c r="R191" s="30">
        <f t="shared" si="31"/>
        <v>2872850</v>
      </c>
      <c r="S191" s="53">
        <f t="shared" si="32"/>
        <v>1.9315903257718907</v>
      </c>
      <c r="T191" s="54">
        <v>1.9315899999999999</v>
      </c>
      <c r="U191" s="55">
        <f t="shared" si="33"/>
        <v>3.257718907967444E-7</v>
      </c>
      <c r="V191" s="53">
        <f t="shared" si="34"/>
        <v>1.9479033867777316</v>
      </c>
      <c r="W191" s="53">
        <f t="shared" si="35"/>
        <v>1.9607989010762501</v>
      </c>
      <c r="X191" s="54">
        <v>1.960799</v>
      </c>
      <c r="Y191" s="55">
        <f t="shared" si="36"/>
        <v>-9.8923749858315091E-8</v>
      </c>
      <c r="Z191" s="29">
        <f t="shared" si="37"/>
        <v>3198120.151179905</v>
      </c>
      <c r="AA191" s="23">
        <f t="shared" si="38"/>
        <v>4045680.3755551074</v>
      </c>
    </row>
    <row r="192" spans="1:27" x14ac:dyDescent="0.2">
      <c r="A192" s="27" t="s">
        <v>282</v>
      </c>
      <c r="B192" s="27" t="s">
        <v>155</v>
      </c>
      <c r="C192" s="27" t="s">
        <v>77</v>
      </c>
      <c r="D192" s="51">
        <v>3569939</v>
      </c>
      <c r="E192" s="51">
        <v>3954159</v>
      </c>
      <c r="F192" s="45">
        <v>3569939</v>
      </c>
      <c r="G192" s="27" t="s">
        <v>280</v>
      </c>
      <c r="H192" s="51">
        <v>3602540</v>
      </c>
      <c r="I192" s="51">
        <v>3971843</v>
      </c>
      <c r="J192" s="45">
        <v>3602540</v>
      </c>
      <c r="K192" s="27" t="s">
        <v>281</v>
      </c>
      <c r="L192" s="45">
        <v>24800252841</v>
      </c>
      <c r="M192" s="27" t="str">
        <f t="shared" si="26"/>
        <v>2026-02|FGP segunda parte (30%)</v>
      </c>
      <c r="N192" s="52">
        <f t="shared" si="27"/>
        <v>1.1076264888559721</v>
      </c>
      <c r="O192" s="52">
        <f t="shared" si="28"/>
        <v>1.1025118388692423</v>
      </c>
      <c r="P192" s="30">
        <f t="shared" si="29"/>
        <v>3954159.0000000005</v>
      </c>
      <c r="Q192" s="30">
        <f t="shared" si="30"/>
        <v>3935900.0115410239</v>
      </c>
      <c r="R192" s="30">
        <f t="shared" si="31"/>
        <v>3971843</v>
      </c>
      <c r="S192" s="53">
        <f t="shared" si="32"/>
        <v>2.6663266259169354</v>
      </c>
      <c r="T192" s="54">
        <v>2.6663269999999999</v>
      </c>
      <c r="U192" s="55">
        <f t="shared" si="33"/>
        <v>-3.7408306452491047E-7</v>
      </c>
      <c r="V192" s="53">
        <f t="shared" si="34"/>
        <v>2.6944771305138762</v>
      </c>
      <c r="W192" s="53">
        <f t="shared" si="35"/>
        <v>2.7108917589318611</v>
      </c>
      <c r="X192" s="54">
        <v>2.7108910000000002</v>
      </c>
      <c r="Y192" s="55">
        <f t="shared" si="36"/>
        <v>7.5893186091136045E-7</v>
      </c>
      <c r="Z192" s="29">
        <f t="shared" si="37"/>
        <v>4070869.3505708962</v>
      </c>
      <c r="AA192" s="23">
        <f t="shared" si="38"/>
        <v>6981396.316058645</v>
      </c>
    </row>
    <row r="193" spans="1:27" x14ac:dyDescent="0.2">
      <c r="A193" s="27" t="s">
        <v>282</v>
      </c>
      <c r="B193" s="27" t="s">
        <v>155</v>
      </c>
      <c r="C193" s="27" t="s">
        <v>78</v>
      </c>
      <c r="D193" s="51">
        <v>1476723</v>
      </c>
      <c r="E193" s="51">
        <v>1676136</v>
      </c>
      <c r="F193" s="45">
        <v>1476723</v>
      </c>
      <c r="G193" s="27" t="s">
        <v>280</v>
      </c>
      <c r="H193" s="51">
        <v>1426175</v>
      </c>
      <c r="I193" s="51">
        <v>1580852</v>
      </c>
      <c r="J193" s="45">
        <v>1426175</v>
      </c>
      <c r="K193" s="27" t="s">
        <v>281</v>
      </c>
      <c r="L193" s="45">
        <v>24800252841</v>
      </c>
      <c r="M193" s="27" t="str">
        <f t="shared" si="26"/>
        <v>2026-02|FGP segunda parte (30%)</v>
      </c>
      <c r="N193" s="52">
        <f t="shared" si="27"/>
        <v>1.135037512112969</v>
      </c>
      <c r="O193" s="52">
        <f t="shared" si="28"/>
        <v>1.1084558346626465</v>
      </c>
      <c r="P193" s="30">
        <f t="shared" si="29"/>
        <v>1676136</v>
      </c>
      <c r="Q193" s="30">
        <f t="shared" si="30"/>
        <v>1636882.2255305273</v>
      </c>
      <c r="R193" s="30">
        <f t="shared" si="31"/>
        <v>1580852</v>
      </c>
      <c r="S193" s="53">
        <f t="shared" si="32"/>
        <v>1.130234278757609</v>
      </c>
      <c r="T193" s="54">
        <v>1.130234</v>
      </c>
      <c r="U193" s="55">
        <f t="shared" si="33"/>
        <v>2.7875760899576107E-7</v>
      </c>
      <c r="V193" s="53">
        <f t="shared" si="34"/>
        <v>1.1205929289625938</v>
      </c>
      <c r="W193" s="53">
        <f t="shared" si="35"/>
        <v>1.0789748383536182</v>
      </c>
      <c r="X193" s="54">
        <v>1.078975</v>
      </c>
      <c r="Y193" s="55">
        <f t="shared" si="36"/>
        <v>-1.6164638183546742E-7</v>
      </c>
      <c r="Z193" s="29">
        <f t="shared" si="37"/>
        <v>-10321391.698622422</v>
      </c>
      <c r="AA193" s="23">
        <f t="shared" si="38"/>
        <v>-2391079.126449001</v>
      </c>
    </row>
    <row r="194" spans="1:27" x14ac:dyDescent="0.2">
      <c r="A194" s="27" t="s">
        <v>282</v>
      </c>
      <c r="B194" s="27" t="s">
        <v>155</v>
      </c>
      <c r="C194" s="27" t="s">
        <v>79</v>
      </c>
      <c r="D194" s="51">
        <v>8113343</v>
      </c>
      <c r="E194" s="51">
        <v>9125042</v>
      </c>
      <c r="F194" s="45">
        <v>8113343</v>
      </c>
      <c r="G194" s="27" t="s">
        <v>280</v>
      </c>
      <c r="H194" s="51">
        <v>8066173</v>
      </c>
      <c r="I194" s="51">
        <v>8623233</v>
      </c>
      <c r="J194" s="45">
        <v>8066173</v>
      </c>
      <c r="K194" s="27" t="s">
        <v>281</v>
      </c>
      <c r="L194" s="45">
        <v>24800252841</v>
      </c>
      <c r="M194" s="27" t="str">
        <f t="shared" si="26"/>
        <v>2026-02|FGP segunda parte (30%)</v>
      </c>
      <c r="N194" s="52">
        <f t="shared" si="27"/>
        <v>1.1246957018826889</v>
      </c>
      <c r="O194" s="52">
        <f t="shared" si="28"/>
        <v>1.0690612512278128</v>
      </c>
      <c r="P194" s="30">
        <f t="shared" si="29"/>
        <v>9125042</v>
      </c>
      <c r="Q194" s="30">
        <f t="shared" si="30"/>
        <v>8673660.619220417</v>
      </c>
      <c r="R194" s="30">
        <f t="shared" si="31"/>
        <v>8623233</v>
      </c>
      <c r="S194" s="53">
        <f t="shared" si="32"/>
        <v>6.153101695508532</v>
      </c>
      <c r="T194" s="54">
        <v>6.1531019999999996</v>
      </c>
      <c r="U194" s="55">
        <f t="shared" si="33"/>
        <v>-3.0449146759536916E-7</v>
      </c>
      <c r="V194" s="53">
        <f t="shared" si="34"/>
        <v>5.9378998724049881</v>
      </c>
      <c r="W194" s="53">
        <f t="shared" si="35"/>
        <v>5.8855929791407338</v>
      </c>
      <c r="X194" s="54">
        <v>5.8855930000000001</v>
      </c>
      <c r="Y194" s="55">
        <f t="shared" si="36"/>
        <v>-2.0859266314232627E-8</v>
      </c>
      <c r="Z194" s="29">
        <f t="shared" si="37"/>
        <v>-12972241.782807067</v>
      </c>
      <c r="AA194" s="23">
        <f t="shared" si="38"/>
        <v>-53370596.248120457</v>
      </c>
    </row>
    <row r="195" spans="1:27" x14ac:dyDescent="0.2">
      <c r="A195" s="27" t="s">
        <v>282</v>
      </c>
      <c r="B195" s="27" t="s">
        <v>155</v>
      </c>
      <c r="C195" s="27" t="s">
        <v>80</v>
      </c>
      <c r="D195" s="51">
        <v>2402017</v>
      </c>
      <c r="E195" s="51">
        <v>2818464</v>
      </c>
      <c r="F195" s="45">
        <v>2402017</v>
      </c>
      <c r="G195" s="27" t="s">
        <v>280</v>
      </c>
      <c r="H195" s="51">
        <v>2456821</v>
      </c>
      <c r="I195" s="51">
        <v>2722907</v>
      </c>
      <c r="J195" s="45">
        <v>2456821</v>
      </c>
      <c r="K195" s="27" t="s">
        <v>281</v>
      </c>
      <c r="L195" s="45">
        <v>24800252841</v>
      </c>
      <c r="M195" s="27" t="str">
        <f t="shared" si="26"/>
        <v>2026-02|FGP segunda parte (30%)</v>
      </c>
      <c r="N195" s="52">
        <f t="shared" si="27"/>
        <v>1.1733738770375064</v>
      </c>
      <c r="O195" s="52">
        <f t="shared" si="28"/>
        <v>1.108305000649213</v>
      </c>
      <c r="P195" s="30">
        <f t="shared" si="29"/>
        <v>2818464</v>
      </c>
      <c r="Q195" s="30">
        <f t="shared" si="30"/>
        <v>2662167.4527444206</v>
      </c>
      <c r="R195" s="30">
        <f t="shared" si="31"/>
        <v>2722907</v>
      </c>
      <c r="S195" s="53">
        <f t="shared" si="32"/>
        <v>1.9005167994985404</v>
      </c>
      <c r="T195" s="54">
        <v>1.900517</v>
      </c>
      <c r="U195" s="55">
        <f t="shared" si="33"/>
        <v>-2.0050145965733179E-7</v>
      </c>
      <c r="V195" s="53">
        <f t="shared" si="34"/>
        <v>1.8224927711539389</v>
      </c>
      <c r="W195" s="53">
        <f t="shared" si="35"/>
        <v>1.8584586920071806</v>
      </c>
      <c r="X195" s="54">
        <v>1.8584590000000001</v>
      </c>
      <c r="Y195" s="55">
        <f t="shared" si="36"/>
        <v>-3.0799281947047064E-7</v>
      </c>
      <c r="Z195" s="29">
        <f t="shared" si="37"/>
        <v>8919639.308197882</v>
      </c>
      <c r="AA195" s="23">
        <f t="shared" si="38"/>
        <v>-19350156.306194659</v>
      </c>
    </row>
    <row r="196" spans="1:27" x14ac:dyDescent="0.2">
      <c r="A196" s="27" t="s">
        <v>282</v>
      </c>
      <c r="B196" s="27" t="s">
        <v>155</v>
      </c>
      <c r="C196" s="27" t="s">
        <v>81</v>
      </c>
      <c r="D196" s="51">
        <v>1695685</v>
      </c>
      <c r="E196" s="51">
        <v>1784428</v>
      </c>
      <c r="F196" s="45">
        <v>1695685</v>
      </c>
      <c r="G196" s="27" t="s">
        <v>280</v>
      </c>
      <c r="H196" s="51">
        <v>1689186</v>
      </c>
      <c r="I196" s="51">
        <v>1865255</v>
      </c>
      <c r="J196" s="45">
        <v>1689186</v>
      </c>
      <c r="K196" s="27" t="s">
        <v>281</v>
      </c>
      <c r="L196" s="45">
        <v>24800252841</v>
      </c>
      <c r="M196" s="27" t="str">
        <f t="shared" si="26"/>
        <v>2026-02|FGP segunda parte (30%)</v>
      </c>
      <c r="N196" s="52">
        <f t="shared" si="27"/>
        <v>1.0523346022403925</v>
      </c>
      <c r="O196" s="52">
        <f t="shared" si="28"/>
        <v>1.1042330447919886</v>
      </c>
      <c r="P196" s="30">
        <f t="shared" si="29"/>
        <v>1784428</v>
      </c>
      <c r="Q196" s="30">
        <f t="shared" si="30"/>
        <v>1872431.4105581031</v>
      </c>
      <c r="R196" s="30">
        <f t="shared" si="31"/>
        <v>1865255</v>
      </c>
      <c r="S196" s="53">
        <f t="shared" si="32"/>
        <v>1.2032565934833943</v>
      </c>
      <c r="T196" s="54">
        <v>1.203257</v>
      </c>
      <c r="U196" s="55">
        <f t="shared" si="33"/>
        <v>-4.0651660571100479E-7</v>
      </c>
      <c r="V196" s="53">
        <f t="shared" si="34"/>
        <v>1.2818475061385743</v>
      </c>
      <c r="W196" s="53">
        <f t="shared" si="35"/>
        <v>1.273087684434266</v>
      </c>
      <c r="X196" s="54">
        <v>1.273088</v>
      </c>
      <c r="Y196" s="55">
        <f t="shared" si="36"/>
        <v>-3.1556573398816568E-7</v>
      </c>
      <c r="Z196" s="29">
        <f t="shared" si="37"/>
        <v>-2172457.9310892625</v>
      </c>
      <c r="AA196" s="23">
        <f t="shared" si="38"/>
        <v>19490745.048534114</v>
      </c>
    </row>
    <row r="197" spans="1:27" x14ac:dyDescent="0.2">
      <c r="A197" s="27" t="s">
        <v>282</v>
      </c>
      <c r="B197" s="27" t="s">
        <v>157</v>
      </c>
      <c r="C197" s="27" t="s">
        <v>50</v>
      </c>
      <c r="D197" s="51">
        <v>5384140862</v>
      </c>
      <c r="F197" s="45">
        <v>1503564</v>
      </c>
      <c r="G197" s="27" t="s">
        <v>280</v>
      </c>
      <c r="H197" s="51">
        <v>5999239609</v>
      </c>
      <c r="J197" s="45">
        <v>1531396</v>
      </c>
      <c r="K197" s="27" t="s">
        <v>281</v>
      </c>
      <c r="L197" s="45">
        <v>8266750947</v>
      </c>
      <c r="M197" s="27" t="str">
        <f t="shared" ref="M197:M260" si="39">A197&amp;"|"&amp;B197</f>
        <v>2026-02|FGP tercera parte (10%)</v>
      </c>
      <c r="N197" s="52">
        <f t="shared" ref="N197:N260" si="40">IF(E197="",D197,E197/D197)</f>
        <v>5384140862</v>
      </c>
      <c r="O197" s="52">
        <f t="shared" ref="O197:O260" si="41">IF(I197="",H197,I197/H197)</f>
        <v>5999239609</v>
      </c>
      <c r="P197" s="30">
        <f t="shared" ref="P197:P260" si="42">N197*F197</f>
        <v>8095400371032168</v>
      </c>
      <c r="Q197" s="30">
        <f t="shared" ref="Q197:Q260" si="43">O197*F197</f>
        <v>9020240703466476</v>
      </c>
      <c r="R197" s="30">
        <f t="shared" ref="R197:R260" si="44">O197*J197</f>
        <v>9187211540264164</v>
      </c>
      <c r="S197" s="53">
        <f t="shared" ref="S197:S260" si="45">P197/SUMIFS($P$5:$P$516,$M$5:$M$516,M197)*100</f>
        <v>0.25125126378243606</v>
      </c>
      <c r="T197" s="54">
        <v>0.251251</v>
      </c>
      <c r="U197" s="55">
        <f t="shared" ref="U197:U260" si="46">S197-T197</f>
        <v>2.6378243606073326E-7</v>
      </c>
      <c r="V197" s="53">
        <f t="shared" ref="V197:V260" si="47">Q197/SUMIFS($Q$5:$Q$516,$M$5:$M$516,M197)*100</f>
        <v>0.24627694632460337</v>
      </c>
      <c r="W197" s="53">
        <f t="shared" ref="W197:W260" si="48">R197/SUMIFS($R$5:$R$516,$M$5:$M$516,M197)*100</f>
        <v>0.25028246893387673</v>
      </c>
      <c r="X197" s="54">
        <v>0.250282</v>
      </c>
      <c r="Y197" s="55">
        <f t="shared" ref="Y197:Y260" si="49">W197-X197</f>
        <v>4.68933876729416E-7</v>
      </c>
      <c r="Z197" s="29">
        <f t="shared" ref="Z197:Z260" si="50">(W197-V197)/100*L197</f>
        <v>331126.57823440502</v>
      </c>
      <c r="AA197" s="23">
        <f t="shared" ref="AA197:AA260" si="51">(V197-S197)/100*L197</f>
        <v>-411214.43555217056</v>
      </c>
    </row>
    <row r="198" spans="1:27" x14ac:dyDescent="0.2">
      <c r="A198" s="27" t="s">
        <v>282</v>
      </c>
      <c r="B198" s="27" t="s">
        <v>157</v>
      </c>
      <c r="C198" s="27" t="s">
        <v>51</v>
      </c>
      <c r="D198" s="51">
        <v>29484012362</v>
      </c>
      <c r="F198" s="45">
        <v>3778283</v>
      </c>
      <c r="G198" s="27" t="s">
        <v>280</v>
      </c>
      <c r="H198" s="51">
        <v>32050362891</v>
      </c>
      <c r="J198" s="45">
        <v>3830329</v>
      </c>
      <c r="K198" s="27" t="s">
        <v>281</v>
      </c>
      <c r="L198" s="45">
        <v>8266750947</v>
      </c>
      <c r="M198" s="27" t="str">
        <f t="shared" si="39"/>
        <v>2026-02|FGP tercera parte (10%)</v>
      </c>
      <c r="N198" s="52">
        <f t="shared" si="40"/>
        <v>29484012362</v>
      </c>
      <c r="O198" s="52">
        <f t="shared" si="41"/>
        <v>32050362891</v>
      </c>
      <c r="P198" s="30">
        <f t="shared" si="42"/>
        <v>1.1139894267913445E+17</v>
      </c>
      <c r="Q198" s="30">
        <f t="shared" si="43"/>
        <v>1.2109534125489616E+17</v>
      </c>
      <c r="R198" s="30">
        <f t="shared" si="44"/>
        <v>1.2276343444192114E+17</v>
      </c>
      <c r="S198" s="53">
        <f t="shared" si="45"/>
        <v>3.4574108567024533</v>
      </c>
      <c r="T198" s="54">
        <v>3.457411</v>
      </c>
      <c r="U198" s="55">
        <f t="shared" si="46"/>
        <v>-1.4329754671749129E-7</v>
      </c>
      <c r="V198" s="53">
        <f t="shared" si="47"/>
        <v>3.3062300484875773</v>
      </c>
      <c r="W198" s="53">
        <f t="shared" si="48"/>
        <v>3.3443809726452294</v>
      </c>
      <c r="X198" s="54">
        <v>3.3443809999999998</v>
      </c>
      <c r="Y198" s="55">
        <f t="shared" si="49"/>
        <v>-2.7354770448795307E-8</v>
      </c>
      <c r="Z198" s="29">
        <f t="shared" si="50"/>
        <v>3153841.8840919556</v>
      </c>
      <c r="AA198" s="23">
        <f t="shared" si="51"/>
        <v>-12497740.894785516</v>
      </c>
    </row>
    <row r="199" spans="1:27" x14ac:dyDescent="0.2">
      <c r="A199" s="27" t="s">
        <v>282</v>
      </c>
      <c r="B199" s="27" t="s">
        <v>157</v>
      </c>
      <c r="C199" s="27" t="s">
        <v>52</v>
      </c>
      <c r="D199" s="51">
        <v>5736083240</v>
      </c>
      <c r="F199" s="45">
        <v>881164</v>
      </c>
      <c r="G199" s="27" t="s">
        <v>280</v>
      </c>
      <c r="H199" s="51">
        <v>6240882605</v>
      </c>
      <c r="J199" s="45">
        <v>928591</v>
      </c>
      <c r="K199" s="27" t="s">
        <v>281</v>
      </c>
      <c r="L199" s="45">
        <v>8266750947</v>
      </c>
      <c r="M199" s="27" t="str">
        <f t="shared" si="39"/>
        <v>2026-02|FGP tercera parte (10%)</v>
      </c>
      <c r="N199" s="52">
        <f t="shared" si="40"/>
        <v>5736083240</v>
      </c>
      <c r="O199" s="52">
        <f t="shared" si="41"/>
        <v>6240882605</v>
      </c>
      <c r="P199" s="30">
        <f t="shared" si="42"/>
        <v>5054430052091360</v>
      </c>
      <c r="Q199" s="30">
        <f t="shared" si="43"/>
        <v>5499241079752220</v>
      </c>
      <c r="R199" s="30">
        <f t="shared" si="44"/>
        <v>5795227419059555</v>
      </c>
      <c r="S199" s="53">
        <f t="shared" si="45"/>
        <v>0.15687080071198026</v>
      </c>
      <c r="T199" s="54">
        <v>0.15687100000000001</v>
      </c>
      <c r="U199" s="55">
        <f t="shared" si="46"/>
        <v>-1.9928801975321875E-7</v>
      </c>
      <c r="V199" s="53">
        <f t="shared" si="47"/>
        <v>0.15014414190784511</v>
      </c>
      <c r="W199" s="53">
        <f t="shared" si="48"/>
        <v>0.15787639373696388</v>
      </c>
      <c r="X199" s="54">
        <v>0.15787599999999999</v>
      </c>
      <c r="Y199" s="55">
        <f t="shared" si="49"/>
        <v>3.9373696389399804E-7</v>
      </c>
      <c r="Z199" s="29">
        <f t="shared" si="50"/>
        <v>639206.00130810065</v>
      </c>
      <c r="AA199" s="23">
        <f t="shared" si="51"/>
        <v>-556076.1303923009</v>
      </c>
    </row>
    <row r="200" spans="1:27" x14ac:dyDescent="0.2">
      <c r="A200" s="27" t="s">
        <v>282</v>
      </c>
      <c r="B200" s="27" t="s">
        <v>157</v>
      </c>
      <c r="C200" s="27" t="s">
        <v>53</v>
      </c>
      <c r="D200" s="51">
        <v>3605167152</v>
      </c>
      <c r="F200" s="45">
        <v>925978</v>
      </c>
      <c r="G200" s="27" t="s">
        <v>280</v>
      </c>
      <c r="H200" s="51">
        <v>3313630825</v>
      </c>
      <c r="J200" s="45">
        <v>935371</v>
      </c>
      <c r="K200" s="27" t="s">
        <v>281</v>
      </c>
      <c r="L200" s="45">
        <v>8266750947</v>
      </c>
      <c r="M200" s="27" t="str">
        <f t="shared" si="39"/>
        <v>2026-02|FGP tercera parte (10%)</v>
      </c>
      <c r="N200" s="52">
        <f t="shared" si="40"/>
        <v>3605167152</v>
      </c>
      <c r="O200" s="52">
        <f t="shared" si="41"/>
        <v>3313630825</v>
      </c>
      <c r="P200" s="30">
        <f t="shared" si="42"/>
        <v>3338305469074656</v>
      </c>
      <c r="Q200" s="30">
        <f t="shared" si="43"/>
        <v>3068349244071850</v>
      </c>
      <c r="R200" s="30">
        <f t="shared" si="44"/>
        <v>3099474178411075</v>
      </c>
      <c r="S200" s="53">
        <f t="shared" si="45"/>
        <v>0.10360864559560798</v>
      </c>
      <c r="T200" s="54">
        <v>0.10360900000000001</v>
      </c>
      <c r="U200" s="55">
        <f t="shared" si="46"/>
        <v>-3.5440439202782947E-7</v>
      </c>
      <c r="V200" s="53">
        <f t="shared" si="47"/>
        <v>8.3774225869274077E-2</v>
      </c>
      <c r="W200" s="53">
        <f t="shared" si="48"/>
        <v>8.4437377584016926E-2</v>
      </c>
      <c r="X200" s="54">
        <v>8.4436999999999998E-2</v>
      </c>
      <c r="Y200" s="55">
        <f t="shared" si="49"/>
        <v>3.775840169278899E-7</v>
      </c>
      <c r="Z200" s="29">
        <f t="shared" si="50"/>
        <v>54821.100658551208</v>
      </c>
      <c r="AA200" s="23">
        <f t="shared" si="51"/>
        <v>-1639662.0805586628</v>
      </c>
    </row>
    <row r="201" spans="1:27" x14ac:dyDescent="0.2">
      <c r="A201" s="27" t="s">
        <v>282</v>
      </c>
      <c r="B201" s="27" t="s">
        <v>157</v>
      </c>
      <c r="C201" s="27" t="s">
        <v>54</v>
      </c>
      <c r="D201" s="51">
        <v>13249731591</v>
      </c>
      <c r="F201" s="45">
        <v>3452989</v>
      </c>
      <c r="G201" s="27" t="s">
        <v>280</v>
      </c>
      <c r="H201" s="51">
        <v>16399735233</v>
      </c>
      <c r="J201" s="45">
        <v>3590747</v>
      </c>
      <c r="K201" s="27" t="s">
        <v>281</v>
      </c>
      <c r="L201" s="45">
        <v>8266750947</v>
      </c>
      <c r="M201" s="27" t="str">
        <f t="shared" si="39"/>
        <v>2026-02|FGP tercera parte (10%)</v>
      </c>
      <c r="N201" s="52">
        <f t="shared" si="40"/>
        <v>13249731591</v>
      </c>
      <c r="O201" s="52">
        <f t="shared" si="41"/>
        <v>16399735233</v>
      </c>
      <c r="P201" s="30">
        <f t="shared" si="42"/>
        <v>4.5751177436675496E+16</v>
      </c>
      <c r="Q201" s="30">
        <f t="shared" si="43"/>
        <v>5.662810536246144E+16</v>
      </c>
      <c r="R201" s="30">
        <f t="shared" si="44"/>
        <v>5.8887300088689048E+16</v>
      </c>
      <c r="S201" s="53">
        <f t="shared" si="45"/>
        <v>1.4199472075071151</v>
      </c>
      <c r="T201" s="54">
        <v>1.4199470000000001</v>
      </c>
      <c r="U201" s="55">
        <f t="shared" si="46"/>
        <v>2.0750711504646802E-7</v>
      </c>
      <c r="V201" s="53">
        <f t="shared" si="47"/>
        <v>1.5461003007885787</v>
      </c>
      <c r="W201" s="53">
        <f t="shared" si="48"/>
        <v>1.6042363660022367</v>
      </c>
      <c r="X201" s="54">
        <v>1.604236</v>
      </c>
      <c r="Y201" s="55">
        <f t="shared" si="49"/>
        <v>3.6600223674021493E-7</v>
      </c>
      <c r="Z201" s="29">
        <f t="shared" si="50"/>
        <v>4805963.7215986094</v>
      </c>
      <c r="AA201" s="23">
        <f t="shared" si="51"/>
        <v>10428762.033515187</v>
      </c>
    </row>
    <row r="202" spans="1:27" x14ac:dyDescent="0.2">
      <c r="A202" s="27" t="s">
        <v>282</v>
      </c>
      <c r="B202" s="27" t="s">
        <v>157</v>
      </c>
      <c r="C202" s="27" t="s">
        <v>55</v>
      </c>
      <c r="D202" s="51">
        <v>2781620079</v>
      </c>
      <c r="F202" s="45">
        <v>728776</v>
      </c>
      <c r="G202" s="27" t="s">
        <v>280</v>
      </c>
      <c r="H202" s="51">
        <v>3126852128</v>
      </c>
      <c r="J202" s="45">
        <v>762355</v>
      </c>
      <c r="K202" s="27" t="s">
        <v>281</v>
      </c>
      <c r="L202" s="45">
        <v>8266750947</v>
      </c>
      <c r="M202" s="27" t="str">
        <f t="shared" si="39"/>
        <v>2026-02|FGP tercera parte (10%)</v>
      </c>
      <c r="N202" s="52">
        <f t="shared" si="40"/>
        <v>2781620079</v>
      </c>
      <c r="O202" s="52">
        <f t="shared" si="41"/>
        <v>3126852128</v>
      </c>
      <c r="P202" s="30">
        <f t="shared" si="42"/>
        <v>2027177954693304</v>
      </c>
      <c r="Q202" s="30">
        <f t="shared" si="43"/>
        <v>2278774786435328</v>
      </c>
      <c r="R202" s="30">
        <f t="shared" si="44"/>
        <v>2383771354041440</v>
      </c>
      <c r="S202" s="53">
        <f t="shared" si="45"/>
        <v>6.2916100462570027E-2</v>
      </c>
      <c r="T202" s="54">
        <v>6.2916E-2</v>
      </c>
      <c r="U202" s="55">
        <f t="shared" si="46"/>
        <v>1.004625700268269E-7</v>
      </c>
      <c r="V202" s="53">
        <f t="shared" si="47"/>
        <v>6.2216709532941838E-2</v>
      </c>
      <c r="W202" s="53">
        <f t="shared" si="48"/>
        <v>6.4939854410513254E-2</v>
      </c>
      <c r="X202" s="54">
        <v>6.4939999999999998E-2</v>
      </c>
      <c r="Y202" s="55">
        <f t="shared" si="49"/>
        <v>-1.4558948674414651E-7</v>
      </c>
      <c r="Z202" s="29">
        <f t="shared" si="50"/>
        <v>225115.60495481695</v>
      </c>
      <c r="AA202" s="23">
        <f t="shared" si="51"/>
        <v>-57816.90629827034</v>
      </c>
    </row>
    <row r="203" spans="1:27" x14ac:dyDescent="0.2">
      <c r="A203" s="27" t="s">
        <v>282</v>
      </c>
      <c r="B203" s="27" t="s">
        <v>157</v>
      </c>
      <c r="C203" s="27" t="s">
        <v>56</v>
      </c>
      <c r="D203" s="51">
        <v>5216080441</v>
      </c>
      <c r="F203" s="45">
        <v>5975155</v>
      </c>
      <c r="G203" s="27" t="s">
        <v>280</v>
      </c>
      <c r="H203" s="51">
        <v>8053623880</v>
      </c>
      <c r="J203" s="45">
        <v>5891372</v>
      </c>
      <c r="K203" s="27" t="s">
        <v>281</v>
      </c>
      <c r="L203" s="45">
        <v>8266750947</v>
      </c>
      <c r="M203" s="27" t="str">
        <f t="shared" si="39"/>
        <v>2026-02|FGP tercera parte (10%)</v>
      </c>
      <c r="N203" s="52">
        <f t="shared" si="40"/>
        <v>5216080441</v>
      </c>
      <c r="O203" s="52">
        <f t="shared" si="41"/>
        <v>8053623880</v>
      </c>
      <c r="P203" s="30">
        <f t="shared" si="42"/>
        <v>3.1166889127443356E+16</v>
      </c>
      <c r="Q203" s="30">
        <f t="shared" si="43"/>
        <v>4.81216509947014E+16</v>
      </c>
      <c r="R203" s="30">
        <f t="shared" si="44"/>
        <v>4.744689422516336E+16</v>
      </c>
      <c r="S203" s="53">
        <f t="shared" si="45"/>
        <v>0.96730487962744061</v>
      </c>
      <c r="T203" s="54">
        <v>0.96730499999999997</v>
      </c>
      <c r="U203" s="55">
        <f t="shared" si="46"/>
        <v>-1.203725593645899E-7</v>
      </c>
      <c r="V203" s="53">
        <f t="shared" si="47"/>
        <v>1.3138511098178276</v>
      </c>
      <c r="W203" s="53">
        <f t="shared" si="48"/>
        <v>1.292571285408427</v>
      </c>
      <c r="X203" s="54">
        <v>1.2925709999999999</v>
      </c>
      <c r="Y203" s="55">
        <f t="shared" si="49"/>
        <v>2.8540842711421988E-7</v>
      </c>
      <c r="Z203" s="29">
        <f t="shared" si="50"/>
        <v>-1759150.0858840588</v>
      </c>
      <c r="AA203" s="23">
        <f t="shared" si="51"/>
        <v>28648113.766056616</v>
      </c>
    </row>
    <row r="204" spans="1:27" x14ac:dyDescent="0.2">
      <c r="A204" s="27" t="s">
        <v>282</v>
      </c>
      <c r="B204" s="27" t="s">
        <v>157</v>
      </c>
      <c r="C204" s="27" t="s">
        <v>57</v>
      </c>
      <c r="D204" s="51">
        <v>26119425044</v>
      </c>
      <c r="F204" s="45">
        <v>3976037</v>
      </c>
      <c r="G204" s="27" t="s">
        <v>280</v>
      </c>
      <c r="H204" s="51">
        <v>29378013855</v>
      </c>
      <c r="J204" s="45">
        <v>4015493</v>
      </c>
      <c r="K204" s="27" t="s">
        <v>281</v>
      </c>
      <c r="L204" s="45">
        <v>8266750947</v>
      </c>
      <c r="M204" s="27" t="str">
        <f t="shared" si="39"/>
        <v>2026-02|FGP tercera parte (10%)</v>
      </c>
      <c r="N204" s="52">
        <f t="shared" si="40"/>
        <v>26119425044</v>
      </c>
      <c r="O204" s="52">
        <f t="shared" si="41"/>
        <v>29378013855</v>
      </c>
      <c r="P204" s="30">
        <f t="shared" si="42"/>
        <v>1.0385180039367062E+17</v>
      </c>
      <c r="Q204" s="30">
        <f t="shared" si="43"/>
        <v>1.1680807007399264E+17</v>
      </c>
      <c r="R204" s="30">
        <f t="shared" si="44"/>
        <v>1.1796720898865552E+17</v>
      </c>
      <c r="S204" s="53">
        <f t="shared" si="45"/>
        <v>3.2231754946128968</v>
      </c>
      <c r="T204" s="54">
        <v>3.2231749999999999</v>
      </c>
      <c r="U204" s="55">
        <f t="shared" si="46"/>
        <v>4.9461289686192345E-7</v>
      </c>
      <c r="V204" s="53">
        <f t="shared" si="47"/>
        <v>3.189175959887411</v>
      </c>
      <c r="W204" s="53">
        <f t="shared" si="48"/>
        <v>3.2137198745801787</v>
      </c>
      <c r="X204" s="54">
        <v>3.2137199999999999</v>
      </c>
      <c r="Y204" s="55">
        <f t="shared" si="49"/>
        <v>-1.2541982119529393E-7</v>
      </c>
      <c r="Z204" s="29">
        <f t="shared" si="50"/>
        <v>2028984.3002952489</v>
      </c>
      <c r="AA204" s="23">
        <f t="shared" si="51"/>
        <v>-2810656.8588946895</v>
      </c>
    </row>
    <row r="205" spans="1:27" x14ac:dyDescent="0.2">
      <c r="A205" s="27" t="s">
        <v>282</v>
      </c>
      <c r="B205" s="27" t="s">
        <v>157</v>
      </c>
      <c r="C205" s="27" t="s">
        <v>58</v>
      </c>
      <c r="D205" s="51">
        <v>83248412524</v>
      </c>
      <c r="F205" s="45">
        <v>9350964</v>
      </c>
      <c r="G205" s="27" t="s">
        <v>280</v>
      </c>
      <c r="H205" s="51">
        <v>103599810122</v>
      </c>
      <c r="J205" s="45">
        <v>9336468</v>
      </c>
      <c r="K205" s="27" t="s">
        <v>281</v>
      </c>
      <c r="L205" s="45">
        <v>8266750947</v>
      </c>
      <c r="M205" s="27" t="str">
        <f t="shared" si="39"/>
        <v>2026-02|FGP tercera parte (10%)</v>
      </c>
      <c r="N205" s="52">
        <f t="shared" si="40"/>
        <v>83248412524</v>
      </c>
      <c r="O205" s="52">
        <f t="shared" si="41"/>
        <v>103599810122</v>
      </c>
      <c r="P205" s="30">
        <f t="shared" si="42"/>
        <v>7.7845290856907315E+17</v>
      </c>
      <c r="Q205" s="30">
        <f t="shared" si="43"/>
        <v>9.687580948576576E+17</v>
      </c>
      <c r="R205" s="30">
        <f t="shared" si="44"/>
        <v>9.6725631201012915E+17</v>
      </c>
      <c r="S205" s="53">
        <f t="shared" si="45"/>
        <v>24.160296972212048</v>
      </c>
      <c r="T205" s="54">
        <v>24.160297</v>
      </c>
      <c r="U205" s="55">
        <f t="shared" si="46"/>
        <v>-2.7787951495383822E-8</v>
      </c>
      <c r="V205" s="53">
        <f t="shared" si="47"/>
        <v>26.449713834919841</v>
      </c>
      <c r="W205" s="53">
        <f t="shared" si="48"/>
        <v>26.350465187482826</v>
      </c>
      <c r="X205" s="54">
        <v>26.350465</v>
      </c>
      <c r="Y205" s="55">
        <f t="shared" si="49"/>
        <v>1.8748282570868469E-7</v>
      </c>
      <c r="Z205" s="29">
        <f t="shared" si="50"/>
        <v>-8204638.5018841559</v>
      </c>
      <c r="AA205" s="23">
        <f t="shared" si="51"/>
        <v>189260390.1786741</v>
      </c>
    </row>
    <row r="206" spans="1:27" x14ac:dyDescent="0.2">
      <c r="A206" s="27" t="s">
        <v>282</v>
      </c>
      <c r="B206" s="27" t="s">
        <v>157</v>
      </c>
      <c r="C206" s="27" t="s">
        <v>59</v>
      </c>
      <c r="D206" s="51">
        <v>5165207847</v>
      </c>
      <c r="F206" s="45">
        <v>1944614</v>
      </c>
      <c r="G206" s="27" t="s">
        <v>280</v>
      </c>
      <c r="H206" s="51">
        <v>5695831479</v>
      </c>
      <c r="J206" s="45">
        <v>1968132</v>
      </c>
      <c r="K206" s="27" t="s">
        <v>281</v>
      </c>
      <c r="L206" s="45">
        <v>8266750947</v>
      </c>
      <c r="M206" s="27" t="str">
        <f t="shared" si="39"/>
        <v>2026-02|FGP tercera parte (10%)</v>
      </c>
      <c r="N206" s="52">
        <f t="shared" si="40"/>
        <v>5165207847</v>
      </c>
      <c r="O206" s="52">
        <f t="shared" si="41"/>
        <v>5695831479</v>
      </c>
      <c r="P206" s="30">
        <f t="shared" si="42"/>
        <v>1.0044335492186058E+16</v>
      </c>
      <c r="Q206" s="30">
        <f t="shared" si="43"/>
        <v>1.1076193635704106E+16</v>
      </c>
      <c r="R206" s="30">
        <f t="shared" si="44"/>
        <v>1.1210148200427228E+16</v>
      </c>
      <c r="S206" s="53">
        <f t="shared" si="45"/>
        <v>0.31173899629435586</v>
      </c>
      <c r="T206" s="54">
        <v>0.31173899999999999</v>
      </c>
      <c r="U206" s="55">
        <f t="shared" si="46"/>
        <v>-3.7056441248850547E-9</v>
      </c>
      <c r="V206" s="53">
        <f t="shared" si="47"/>
        <v>0.3024100171132813</v>
      </c>
      <c r="W206" s="53">
        <f t="shared" si="48"/>
        <v>0.30539228975203375</v>
      </c>
      <c r="X206" s="54">
        <v>0.305392</v>
      </c>
      <c r="Y206" s="55">
        <f t="shared" si="49"/>
        <v>2.8975203375525282E-7</v>
      </c>
      <c r="Z206" s="29">
        <f t="shared" si="50"/>
        <v>246537.05160618987</v>
      </c>
      <c r="AA206" s="23">
        <f t="shared" si="51"/>
        <v>-771203.47479691391</v>
      </c>
    </row>
    <row r="207" spans="1:27" x14ac:dyDescent="0.2">
      <c r="A207" s="27" t="s">
        <v>282</v>
      </c>
      <c r="B207" s="27" t="s">
        <v>157</v>
      </c>
      <c r="C207" s="27" t="s">
        <v>60</v>
      </c>
      <c r="D207" s="51">
        <v>20655474078</v>
      </c>
      <c r="F207" s="45">
        <v>6345807</v>
      </c>
      <c r="G207" s="27" t="s">
        <v>280</v>
      </c>
      <c r="H207" s="51">
        <v>22628728014</v>
      </c>
      <c r="J207" s="45">
        <v>6402249</v>
      </c>
      <c r="K207" s="27" t="s">
        <v>281</v>
      </c>
      <c r="L207" s="45">
        <v>8266750947</v>
      </c>
      <c r="M207" s="27" t="str">
        <f t="shared" si="39"/>
        <v>2026-02|FGP tercera parte (10%)</v>
      </c>
      <c r="N207" s="52">
        <f t="shared" si="40"/>
        <v>20655474078</v>
      </c>
      <c r="O207" s="52">
        <f t="shared" si="41"/>
        <v>22628728014</v>
      </c>
      <c r="P207" s="30">
        <f t="shared" si="42"/>
        <v>1.3107565199249094E+17</v>
      </c>
      <c r="Q207" s="30">
        <f t="shared" si="43"/>
        <v>1.435975406323373E+17</v>
      </c>
      <c r="R207" s="30">
        <f t="shared" si="44"/>
        <v>1.4487475129890349E+17</v>
      </c>
      <c r="S207" s="53">
        <f t="shared" si="45"/>
        <v>4.0681030838282259</v>
      </c>
      <c r="T207" s="54">
        <v>4.0681029999999998</v>
      </c>
      <c r="U207" s="55">
        <f t="shared" si="46"/>
        <v>8.3828226138393802E-8</v>
      </c>
      <c r="V207" s="53">
        <f t="shared" si="47"/>
        <v>3.9206008984953709</v>
      </c>
      <c r="W207" s="53">
        <f t="shared" si="48"/>
        <v>3.9467481816825938</v>
      </c>
      <c r="X207" s="54">
        <v>3.9467479999999999</v>
      </c>
      <c r="Y207" s="55">
        <f t="shared" si="49"/>
        <v>1.816825938583122E-7</v>
      </c>
      <c r="Z207" s="29">
        <f t="shared" si="50"/>
        <v>2161530.7804945228</v>
      </c>
      <c r="AA207" s="23">
        <f t="shared" si="51"/>
        <v>-12193638.302849492</v>
      </c>
    </row>
    <row r="208" spans="1:27" x14ac:dyDescent="0.2">
      <c r="A208" s="27" t="s">
        <v>282</v>
      </c>
      <c r="B208" s="27" t="s">
        <v>157</v>
      </c>
      <c r="C208" s="27" t="s">
        <v>61</v>
      </c>
      <c r="D208" s="51">
        <v>4116571342</v>
      </c>
      <c r="F208" s="45">
        <v>3606579</v>
      </c>
      <c r="G208" s="27" t="s">
        <v>280</v>
      </c>
      <c r="H208" s="51">
        <v>5343602918</v>
      </c>
      <c r="J208" s="45">
        <v>3569633</v>
      </c>
      <c r="K208" s="27" t="s">
        <v>281</v>
      </c>
      <c r="L208" s="45">
        <v>8266750947</v>
      </c>
      <c r="M208" s="27" t="str">
        <f t="shared" si="39"/>
        <v>2026-02|FGP tercera parte (10%)</v>
      </c>
      <c r="N208" s="52">
        <f t="shared" si="40"/>
        <v>4116571342</v>
      </c>
      <c r="O208" s="52">
        <f t="shared" si="41"/>
        <v>5343602918</v>
      </c>
      <c r="P208" s="30">
        <f t="shared" si="42"/>
        <v>1.4846739754059018E+16</v>
      </c>
      <c r="Q208" s="30">
        <f t="shared" si="43"/>
        <v>1.927212606839752E+16</v>
      </c>
      <c r="R208" s="30">
        <f t="shared" si="44"/>
        <v>1.9074701314989096E+16</v>
      </c>
      <c r="S208" s="53">
        <f t="shared" si="45"/>
        <v>0.46078784930814376</v>
      </c>
      <c r="T208" s="54">
        <v>0.46078799999999998</v>
      </c>
      <c r="U208" s="55">
        <f t="shared" si="46"/>
        <v>-1.506918562155235E-7</v>
      </c>
      <c r="V208" s="53">
        <f t="shared" si="47"/>
        <v>0.52618112014280627</v>
      </c>
      <c r="W208" s="53">
        <f t="shared" si="48"/>
        <v>0.51964225688815091</v>
      </c>
      <c r="X208" s="54">
        <v>0.51964200000000005</v>
      </c>
      <c r="Y208" s="55">
        <f t="shared" si="49"/>
        <v>2.5688815086244432E-7</v>
      </c>
      <c r="Z208" s="29">
        <f t="shared" si="50"/>
        <v>-540551.54002725682</v>
      </c>
      <c r="AA208" s="23">
        <f t="shared" si="51"/>
        <v>5405898.8359987382</v>
      </c>
    </row>
    <row r="209" spans="1:27" x14ac:dyDescent="0.2">
      <c r="A209" s="27" t="s">
        <v>282</v>
      </c>
      <c r="B209" s="27" t="s">
        <v>157</v>
      </c>
      <c r="C209" s="27" t="s">
        <v>62</v>
      </c>
      <c r="D209" s="51">
        <v>5795807597</v>
      </c>
      <c r="F209" s="45">
        <v>3248649</v>
      </c>
      <c r="G209" s="27" t="s">
        <v>280</v>
      </c>
      <c r="H209" s="51">
        <v>6359045350</v>
      </c>
      <c r="J209" s="45">
        <v>3215821</v>
      </c>
      <c r="K209" s="27" t="s">
        <v>281</v>
      </c>
      <c r="L209" s="45">
        <v>8266750947</v>
      </c>
      <c r="M209" s="27" t="str">
        <f t="shared" si="39"/>
        <v>2026-02|FGP tercera parte (10%)</v>
      </c>
      <c r="N209" s="52">
        <f t="shared" si="40"/>
        <v>5795807597</v>
      </c>
      <c r="O209" s="52">
        <f t="shared" si="41"/>
        <v>6359045350</v>
      </c>
      <c r="P209" s="30">
        <f t="shared" si="42"/>
        <v>1.8828544554186452E+16</v>
      </c>
      <c r="Q209" s="30">
        <f t="shared" si="43"/>
        <v>2.0658306317232152E+16</v>
      </c>
      <c r="R209" s="30">
        <f t="shared" si="44"/>
        <v>2.0449551576482352E+16</v>
      </c>
      <c r="S209" s="53">
        <f t="shared" si="45"/>
        <v>0.58436833233735219</v>
      </c>
      <c r="T209" s="54">
        <v>0.584368</v>
      </c>
      <c r="U209" s="55">
        <f t="shared" si="46"/>
        <v>3.3233735219351246E-7</v>
      </c>
      <c r="V209" s="53">
        <f t="shared" si="47"/>
        <v>0.56402758676838949</v>
      </c>
      <c r="W209" s="53">
        <f t="shared" si="48"/>
        <v>0.55709659396886924</v>
      </c>
      <c r="X209" s="54">
        <v>0.55709699999999995</v>
      </c>
      <c r="Y209" s="55">
        <f t="shared" si="49"/>
        <v>-4.0603113071746577E-7</v>
      </c>
      <c r="Z209" s="29">
        <f t="shared" si="50"/>
        <v>-572967.9128908423</v>
      </c>
      <c r="AA209" s="23">
        <f t="shared" si="51"/>
        <v>-1681518.7769490851</v>
      </c>
    </row>
    <row r="210" spans="1:27" x14ac:dyDescent="0.2">
      <c r="A210" s="27" t="s">
        <v>282</v>
      </c>
      <c r="B210" s="27" t="s">
        <v>157</v>
      </c>
      <c r="C210" s="27" t="s">
        <v>63</v>
      </c>
      <c r="D210" s="51">
        <v>32342104929</v>
      </c>
      <c r="F210" s="45">
        <v>8739649</v>
      </c>
      <c r="G210" s="27" t="s">
        <v>280</v>
      </c>
      <c r="H210" s="51">
        <v>37400090365</v>
      </c>
      <c r="J210" s="45">
        <v>8750952</v>
      </c>
      <c r="K210" s="27" t="s">
        <v>281</v>
      </c>
      <c r="L210" s="45">
        <v>8266750947</v>
      </c>
      <c r="M210" s="27" t="str">
        <f t="shared" si="39"/>
        <v>2026-02|FGP tercera parte (10%)</v>
      </c>
      <c r="N210" s="52">
        <f t="shared" si="40"/>
        <v>32342104929</v>
      </c>
      <c r="O210" s="52">
        <f t="shared" si="41"/>
        <v>37400090365</v>
      </c>
      <c r="P210" s="30">
        <f t="shared" si="42"/>
        <v>2.8265864500062992E+17</v>
      </c>
      <c r="Q210" s="30">
        <f t="shared" si="43"/>
        <v>3.2686366235838189E+17</v>
      </c>
      <c r="R210" s="30">
        <f t="shared" si="44"/>
        <v>3.2728639557977747E+17</v>
      </c>
      <c r="S210" s="53">
        <f t="shared" si="45"/>
        <v>8.772678128380738</v>
      </c>
      <c r="T210" s="54">
        <v>8.7726780000000009</v>
      </c>
      <c r="U210" s="55">
        <f t="shared" si="46"/>
        <v>1.2838073715215614E-7</v>
      </c>
      <c r="V210" s="53">
        <f t="shared" si="47"/>
        <v>8.9242612560397365</v>
      </c>
      <c r="W210" s="53">
        <f t="shared" si="48"/>
        <v>8.9160945924862034</v>
      </c>
      <c r="X210" s="54">
        <v>8.9160950000000003</v>
      </c>
      <c r="Y210" s="55">
        <f t="shared" si="49"/>
        <v>-4.0751379692949286E-7</v>
      </c>
      <c r="Z210" s="29">
        <f t="shared" si="50"/>
        <v>-675117.73665000359</v>
      </c>
      <c r="AA210" s="23">
        <f t="shared" si="51"/>
        <v>12530999.641242478</v>
      </c>
    </row>
    <row r="211" spans="1:27" x14ac:dyDescent="0.2">
      <c r="A211" s="27" t="s">
        <v>282</v>
      </c>
      <c r="B211" s="27" t="s">
        <v>157</v>
      </c>
      <c r="C211" s="27" t="s">
        <v>64</v>
      </c>
      <c r="D211" s="51">
        <v>50154698531</v>
      </c>
      <c r="F211" s="45">
        <v>17788768</v>
      </c>
      <c r="G211" s="27" t="s">
        <v>280</v>
      </c>
      <c r="H211" s="51">
        <v>53147294196</v>
      </c>
      <c r="J211" s="45">
        <v>17753727</v>
      </c>
      <c r="K211" s="27" t="s">
        <v>281</v>
      </c>
      <c r="L211" s="45">
        <v>8266750947</v>
      </c>
      <c r="M211" s="27" t="str">
        <f t="shared" si="39"/>
        <v>2026-02|FGP tercera parte (10%)</v>
      </c>
      <c r="N211" s="52">
        <f t="shared" si="40"/>
        <v>50154698531</v>
      </c>
      <c r="O211" s="52">
        <f t="shared" si="41"/>
        <v>53147294196</v>
      </c>
      <c r="P211" s="30">
        <f t="shared" si="42"/>
        <v>8.9219029627789978E+17</v>
      </c>
      <c r="Q211" s="30">
        <f t="shared" si="43"/>
        <v>9.4542488628039053E+17</v>
      </c>
      <c r="R211" s="30">
        <f t="shared" si="44"/>
        <v>9.4356255194446848E+17</v>
      </c>
      <c r="S211" s="53">
        <f t="shared" si="45"/>
        <v>27.690284507283408</v>
      </c>
      <c r="T211" s="54">
        <v>27.690284999999999</v>
      </c>
      <c r="U211" s="55">
        <f t="shared" si="46"/>
        <v>-4.9271659108285348E-7</v>
      </c>
      <c r="V211" s="53">
        <f t="shared" si="47"/>
        <v>25.812654188146112</v>
      </c>
      <c r="W211" s="53">
        <f t="shared" si="48"/>
        <v>25.70498829369728</v>
      </c>
      <c r="X211" s="54">
        <v>25.704988</v>
      </c>
      <c r="Y211" s="55">
        <f t="shared" si="49"/>
        <v>2.9369727982953009E-7</v>
      </c>
      <c r="Z211" s="29">
        <f t="shared" si="50"/>
        <v>-8900471.3489448577</v>
      </c>
      <c r="AA211" s="23">
        <f t="shared" si="51"/>
        <v>-155219022.18844154</v>
      </c>
    </row>
    <row r="212" spans="1:27" x14ac:dyDescent="0.2">
      <c r="A212" s="27" t="s">
        <v>282</v>
      </c>
      <c r="B212" s="27" t="s">
        <v>157</v>
      </c>
      <c r="C212" s="27" t="s">
        <v>65</v>
      </c>
      <c r="D212" s="51">
        <v>9111204420</v>
      </c>
      <c r="F212" s="45">
        <v>4950874</v>
      </c>
      <c r="G212" s="27" t="s">
        <v>280</v>
      </c>
      <c r="H212" s="51">
        <v>9995352838</v>
      </c>
      <c r="J212" s="45">
        <v>4945881</v>
      </c>
      <c r="K212" s="27" t="s">
        <v>281</v>
      </c>
      <c r="L212" s="45">
        <v>8266750947</v>
      </c>
      <c r="M212" s="27" t="str">
        <f t="shared" si="39"/>
        <v>2026-02|FGP tercera parte (10%)</v>
      </c>
      <c r="N212" s="52">
        <f t="shared" si="40"/>
        <v>9111204420</v>
      </c>
      <c r="O212" s="52">
        <f t="shared" si="41"/>
        <v>9995352838</v>
      </c>
      <c r="P212" s="30">
        <f t="shared" si="42"/>
        <v>4.510842507166308E+16</v>
      </c>
      <c r="Q212" s="30">
        <f t="shared" si="43"/>
        <v>4.9485732486480416E+16</v>
      </c>
      <c r="R212" s="30">
        <f t="shared" si="44"/>
        <v>4.943582568976028E+16</v>
      </c>
      <c r="S212" s="53">
        <f t="shared" si="45"/>
        <v>1.3999985531346413</v>
      </c>
      <c r="T212" s="54">
        <v>1.399999</v>
      </c>
      <c r="U212" s="55">
        <f t="shared" si="46"/>
        <v>-4.4686535871640842E-7</v>
      </c>
      <c r="V212" s="53">
        <f t="shared" si="47"/>
        <v>1.3510942206589989</v>
      </c>
      <c r="W212" s="53">
        <f t="shared" si="48"/>
        <v>1.3467547202099375</v>
      </c>
      <c r="X212" s="54">
        <v>1.3467549999999999</v>
      </c>
      <c r="Y212" s="55">
        <f t="shared" si="49"/>
        <v>-2.7979006245182347E-7</v>
      </c>
      <c r="Z212" s="29">
        <f t="shared" si="50"/>
        <v>-358735.69446785218</v>
      </c>
      <c r="AA212" s="23">
        <f t="shared" si="51"/>
        <v>-4042799.3680541976</v>
      </c>
    </row>
    <row r="213" spans="1:27" x14ac:dyDescent="0.2">
      <c r="A213" s="27" t="s">
        <v>282</v>
      </c>
      <c r="B213" s="27" t="s">
        <v>157</v>
      </c>
      <c r="C213" s="27" t="s">
        <v>66</v>
      </c>
      <c r="D213" s="51">
        <v>4622484543</v>
      </c>
      <c r="F213" s="45">
        <v>1984308</v>
      </c>
      <c r="G213" s="27" t="s">
        <v>280</v>
      </c>
      <c r="H213" s="51">
        <v>5098806088</v>
      </c>
      <c r="J213" s="45">
        <v>1988503</v>
      </c>
      <c r="K213" s="27" t="s">
        <v>281</v>
      </c>
      <c r="L213" s="45">
        <v>8266750947</v>
      </c>
      <c r="M213" s="27" t="str">
        <f t="shared" si="39"/>
        <v>2026-02|FGP tercera parte (10%)</v>
      </c>
      <c r="N213" s="52">
        <f t="shared" si="40"/>
        <v>4622484543</v>
      </c>
      <c r="O213" s="52">
        <f t="shared" si="41"/>
        <v>5098806088</v>
      </c>
      <c r="P213" s="30">
        <f t="shared" si="42"/>
        <v>9172433058551244</v>
      </c>
      <c r="Q213" s="30">
        <f t="shared" si="43"/>
        <v>1.0117601710867104E+16</v>
      </c>
      <c r="R213" s="30">
        <f t="shared" si="44"/>
        <v>1.0138991202406264E+16</v>
      </c>
      <c r="S213" s="53">
        <f t="shared" si="45"/>
        <v>0.28467837195147389</v>
      </c>
      <c r="T213" s="54">
        <v>0.28467799999999999</v>
      </c>
      <c r="U213" s="55">
        <f t="shared" si="46"/>
        <v>3.7195147389867955E-7</v>
      </c>
      <c r="V213" s="53">
        <f t="shared" si="47"/>
        <v>0.27623786719165494</v>
      </c>
      <c r="W213" s="53">
        <f t="shared" si="48"/>
        <v>0.27621131172561747</v>
      </c>
      <c r="X213" s="54">
        <v>0.27621099999999998</v>
      </c>
      <c r="Y213" s="55">
        <f t="shared" si="49"/>
        <v>3.1172561748560312E-7</v>
      </c>
      <c r="Z213" s="29">
        <f t="shared" si="50"/>
        <v>-2195.2742401328192</v>
      </c>
      <c r="AA213" s="23">
        <f t="shared" si="51"/>
        <v>-697755.50716391276</v>
      </c>
    </row>
    <row r="214" spans="1:27" x14ac:dyDescent="0.2">
      <c r="A214" s="27" t="s">
        <v>282</v>
      </c>
      <c r="B214" s="27" t="s">
        <v>157</v>
      </c>
      <c r="C214" s="27" t="s">
        <v>67</v>
      </c>
      <c r="D214" s="51">
        <v>3580532424</v>
      </c>
      <c r="F214" s="45">
        <v>1245276</v>
      </c>
      <c r="G214" s="27" t="s">
        <v>280</v>
      </c>
      <c r="H214" s="51">
        <v>4160780168</v>
      </c>
      <c r="J214" s="45">
        <v>1279298</v>
      </c>
      <c r="K214" s="27" t="s">
        <v>281</v>
      </c>
      <c r="L214" s="45">
        <v>8266750947</v>
      </c>
      <c r="M214" s="27" t="str">
        <f t="shared" si="39"/>
        <v>2026-02|FGP tercera parte (10%)</v>
      </c>
      <c r="N214" s="52">
        <f t="shared" si="40"/>
        <v>3580532424</v>
      </c>
      <c r="O214" s="52">
        <f t="shared" si="41"/>
        <v>4160780168</v>
      </c>
      <c r="P214" s="30">
        <f t="shared" si="42"/>
        <v>4458751094829024</v>
      </c>
      <c r="Q214" s="30">
        <f t="shared" si="43"/>
        <v>5181319684486368</v>
      </c>
      <c r="R214" s="30">
        <f t="shared" si="44"/>
        <v>5322877747362064</v>
      </c>
      <c r="S214" s="53">
        <f t="shared" si="45"/>
        <v>0.13838313068193292</v>
      </c>
      <c r="T214" s="54">
        <v>0.13838300000000001</v>
      </c>
      <c r="U214" s="55">
        <f t="shared" si="46"/>
        <v>1.3068193291387864E-7</v>
      </c>
      <c r="V214" s="53">
        <f t="shared" si="47"/>
        <v>0.14146402870784572</v>
      </c>
      <c r="W214" s="53">
        <f t="shared" si="48"/>
        <v>0.1450084150783213</v>
      </c>
      <c r="X214" s="54">
        <v>0.145008</v>
      </c>
      <c r="Y214" s="55">
        <f t="shared" si="49"/>
        <v>4.1507832129750177E-7</v>
      </c>
      <c r="Z214" s="29">
        <f t="shared" si="50"/>
        <v>293005.59384662873</v>
      </c>
      <c r="AA214" s="23">
        <f t="shared" si="51"/>
        <v>254690.16673325055</v>
      </c>
    </row>
    <row r="215" spans="1:27" x14ac:dyDescent="0.2">
      <c r="A215" s="27" t="s">
        <v>282</v>
      </c>
      <c r="B215" s="27" t="s">
        <v>157</v>
      </c>
      <c r="C215" s="27" t="s">
        <v>68</v>
      </c>
      <c r="D215" s="51">
        <v>40632791075</v>
      </c>
      <c r="F215" s="45">
        <v>6152311</v>
      </c>
      <c r="G215" s="27" t="s">
        <v>280</v>
      </c>
      <c r="H215" s="51">
        <v>44971267966</v>
      </c>
      <c r="J215" s="45">
        <v>6234433</v>
      </c>
      <c r="K215" s="27" t="s">
        <v>281</v>
      </c>
      <c r="L215" s="45">
        <v>8266750947</v>
      </c>
      <c r="M215" s="27" t="str">
        <f t="shared" si="39"/>
        <v>2026-02|FGP tercera parte (10%)</v>
      </c>
      <c r="N215" s="52">
        <f t="shared" si="40"/>
        <v>40632791075</v>
      </c>
      <c r="O215" s="52">
        <f t="shared" si="41"/>
        <v>44971267966</v>
      </c>
      <c r="P215" s="30">
        <f t="shared" si="42"/>
        <v>2.4998556749142432E+17</v>
      </c>
      <c r="Q215" s="30">
        <f t="shared" si="43"/>
        <v>2.7667722659116944E+17</v>
      </c>
      <c r="R215" s="30">
        <f t="shared" si="44"/>
        <v>2.8037035705907328E+17</v>
      </c>
      <c r="S215" s="53">
        <f t="shared" si="45"/>
        <v>7.7586267362810641</v>
      </c>
      <c r="T215" s="54">
        <v>7.7586269999999997</v>
      </c>
      <c r="U215" s="55">
        <f t="shared" si="46"/>
        <v>-2.6371893557808335E-7</v>
      </c>
      <c r="V215" s="53">
        <f t="shared" si="47"/>
        <v>7.5540359423277552</v>
      </c>
      <c r="W215" s="53">
        <f t="shared" si="48"/>
        <v>7.6379851354331336</v>
      </c>
      <c r="X215" s="54">
        <v>7.6379849999999996</v>
      </c>
      <c r="Y215" s="55">
        <f t="shared" si="49"/>
        <v>1.3543313404085211E-7</v>
      </c>
      <c r="Z215" s="29">
        <f t="shared" si="50"/>
        <v>6939870.7160377279</v>
      </c>
      <c r="AA215" s="23">
        <f t="shared" si="51"/>
        <v>-16913011.396609984</v>
      </c>
    </row>
    <row r="216" spans="1:27" x14ac:dyDescent="0.2">
      <c r="A216" s="27" t="s">
        <v>282</v>
      </c>
      <c r="B216" s="27" t="s">
        <v>157</v>
      </c>
      <c r="C216" s="27" t="s">
        <v>69</v>
      </c>
      <c r="D216" s="51">
        <v>5023050899</v>
      </c>
      <c r="F216" s="45">
        <v>4232451</v>
      </c>
      <c r="G216" s="27" t="s">
        <v>280</v>
      </c>
      <c r="H216" s="51">
        <v>5676564891</v>
      </c>
      <c r="J216" s="45">
        <v>4178688</v>
      </c>
      <c r="K216" s="27" t="s">
        <v>281</v>
      </c>
      <c r="L216" s="45">
        <v>8266750947</v>
      </c>
      <c r="M216" s="27" t="str">
        <f t="shared" si="39"/>
        <v>2026-02|FGP tercera parte (10%)</v>
      </c>
      <c r="N216" s="52">
        <f t="shared" si="40"/>
        <v>5023050899</v>
      </c>
      <c r="O216" s="52">
        <f t="shared" si="41"/>
        <v>5676564891</v>
      </c>
      <c r="P216" s="30">
        <f t="shared" si="42"/>
        <v>2.1259816800523448E+16</v>
      </c>
      <c r="Q216" s="30">
        <f t="shared" si="43"/>
        <v>2.402578274947784E+16</v>
      </c>
      <c r="R216" s="30">
        <f t="shared" si="44"/>
        <v>2.3720593591243008E+16</v>
      </c>
      <c r="S216" s="53">
        <f t="shared" si="45"/>
        <v>0.65982602392690937</v>
      </c>
      <c r="T216" s="54">
        <v>0.65982600000000002</v>
      </c>
      <c r="U216" s="55">
        <f t="shared" si="46"/>
        <v>2.3926909342719682E-8</v>
      </c>
      <c r="V216" s="53">
        <f t="shared" si="47"/>
        <v>0.65596879319704127</v>
      </c>
      <c r="W216" s="53">
        <f t="shared" si="48"/>
        <v>0.64620790569307918</v>
      </c>
      <c r="X216" s="54">
        <v>0.646208</v>
      </c>
      <c r="Y216" s="55">
        <f t="shared" si="49"/>
        <v>-9.4306920828124419E-8</v>
      </c>
      <c r="Z216" s="29">
        <f t="shared" si="50"/>
        <v>-806908.26016939071</v>
      </c>
      <c r="AA216" s="23">
        <f t="shared" si="51"/>
        <v>-318867.65788934613</v>
      </c>
    </row>
    <row r="217" spans="1:27" x14ac:dyDescent="0.2">
      <c r="A217" s="27" t="s">
        <v>282</v>
      </c>
      <c r="B217" s="27" t="s">
        <v>157</v>
      </c>
      <c r="C217" s="27" t="s">
        <v>70</v>
      </c>
      <c r="D217" s="51">
        <v>11122445539</v>
      </c>
      <c r="F217" s="45">
        <v>6629599</v>
      </c>
      <c r="G217" s="27" t="s">
        <v>280</v>
      </c>
      <c r="H217" s="51">
        <v>12070661710</v>
      </c>
      <c r="J217" s="45">
        <v>6638706</v>
      </c>
      <c r="K217" s="27" t="s">
        <v>281</v>
      </c>
      <c r="L217" s="45">
        <v>8266750947</v>
      </c>
      <c r="M217" s="27" t="str">
        <f t="shared" si="39"/>
        <v>2026-02|FGP tercera parte (10%)</v>
      </c>
      <c r="N217" s="52">
        <f t="shared" si="40"/>
        <v>11122445539</v>
      </c>
      <c r="O217" s="52">
        <f t="shared" si="41"/>
        <v>12070661710</v>
      </c>
      <c r="P217" s="30">
        <f t="shared" si="42"/>
        <v>7.3737353822908864E+16</v>
      </c>
      <c r="Q217" s="30">
        <f t="shared" si="43"/>
        <v>8.0023646801954288E+16</v>
      </c>
      <c r="R217" s="30">
        <f t="shared" si="44"/>
        <v>8.0133574318147264E+16</v>
      </c>
      <c r="S217" s="53">
        <f t="shared" si="45"/>
        <v>2.2885345365094452</v>
      </c>
      <c r="T217" s="54">
        <v>2.288535</v>
      </c>
      <c r="U217" s="55">
        <f t="shared" si="46"/>
        <v>-4.6349055482508561E-7</v>
      </c>
      <c r="V217" s="53">
        <f t="shared" si="47"/>
        <v>2.1848618031412559</v>
      </c>
      <c r="W217" s="53">
        <f t="shared" si="48"/>
        <v>2.1830376645779852</v>
      </c>
      <c r="X217" s="54">
        <v>2.1830379999999998</v>
      </c>
      <c r="Y217" s="55">
        <f t="shared" si="49"/>
        <v>-3.3542201460790011E-7</v>
      </c>
      <c r="Z217" s="29">
        <f t="shared" si="50"/>
        <v>-150796.99195377136</v>
      </c>
      <c r="AA217" s="23">
        <f t="shared" si="51"/>
        <v>-8570366.6674955711</v>
      </c>
    </row>
    <row r="218" spans="1:27" x14ac:dyDescent="0.2">
      <c r="A218" s="27" t="s">
        <v>282</v>
      </c>
      <c r="B218" s="27" t="s">
        <v>157</v>
      </c>
      <c r="C218" s="27" t="s">
        <v>71</v>
      </c>
      <c r="D218" s="51">
        <v>15221679435</v>
      </c>
      <c r="F218" s="45">
        <v>2528745</v>
      </c>
      <c r="G218" s="27" t="s">
        <v>280</v>
      </c>
      <c r="H218" s="51">
        <v>16610144570</v>
      </c>
      <c r="J218" s="45">
        <v>2535155</v>
      </c>
      <c r="K218" s="27" t="s">
        <v>281</v>
      </c>
      <c r="L218" s="45">
        <v>8266750947</v>
      </c>
      <c r="M218" s="27" t="str">
        <f t="shared" si="39"/>
        <v>2026-02|FGP tercera parte (10%)</v>
      </c>
      <c r="N218" s="52">
        <f t="shared" si="40"/>
        <v>15221679435</v>
      </c>
      <c r="O218" s="52">
        <f t="shared" si="41"/>
        <v>16610144570</v>
      </c>
      <c r="P218" s="30">
        <f t="shared" si="42"/>
        <v>3.8491745762859072E+16</v>
      </c>
      <c r="Q218" s="30">
        <f t="shared" si="43"/>
        <v>4.2002820030664648E+16</v>
      </c>
      <c r="R218" s="30">
        <f t="shared" si="44"/>
        <v>4.2109291057358352E+16</v>
      </c>
      <c r="S218" s="53">
        <f t="shared" si="45"/>
        <v>1.1946413178916684</v>
      </c>
      <c r="T218" s="54">
        <v>1.1946410000000001</v>
      </c>
      <c r="U218" s="55">
        <f t="shared" si="46"/>
        <v>3.1789166832218996E-7</v>
      </c>
      <c r="V218" s="53">
        <f t="shared" si="47"/>
        <v>1.1467904897702619</v>
      </c>
      <c r="W218" s="53">
        <f t="shared" si="48"/>
        <v>1.1471617132904102</v>
      </c>
      <c r="X218" s="54">
        <v>1.147162</v>
      </c>
      <c r="Y218" s="55">
        <f t="shared" si="49"/>
        <v>-2.8670958984733375E-7</v>
      </c>
      <c r="Z218" s="29">
        <f t="shared" si="50"/>
        <v>30688.12386734545</v>
      </c>
      <c r="AA218" s="23">
        <f t="shared" si="51"/>
        <v>-3955708.786873715</v>
      </c>
    </row>
    <row r="219" spans="1:27" x14ac:dyDescent="0.2">
      <c r="A219" s="27" t="s">
        <v>282</v>
      </c>
      <c r="B219" s="27" t="s">
        <v>157</v>
      </c>
      <c r="C219" s="27" t="s">
        <v>72</v>
      </c>
      <c r="D219" s="51">
        <v>18124327099</v>
      </c>
      <c r="F219" s="45">
        <v>1905221</v>
      </c>
      <c r="G219" s="27" t="s">
        <v>280</v>
      </c>
      <c r="H219" s="51">
        <v>19369943128</v>
      </c>
      <c r="J219" s="45">
        <v>1975372</v>
      </c>
      <c r="K219" s="27" t="s">
        <v>281</v>
      </c>
      <c r="L219" s="45">
        <v>8266750947</v>
      </c>
      <c r="M219" s="27" t="str">
        <f t="shared" si="39"/>
        <v>2026-02|FGP tercera parte (10%)</v>
      </c>
      <c r="N219" s="52">
        <f t="shared" si="40"/>
        <v>18124327099</v>
      </c>
      <c r="O219" s="52">
        <f t="shared" si="41"/>
        <v>19369943128</v>
      </c>
      <c r="P219" s="30">
        <f t="shared" si="42"/>
        <v>3.453084859988388E+16</v>
      </c>
      <c r="Q219" s="30">
        <f t="shared" si="43"/>
        <v>3.6904022416271288E+16</v>
      </c>
      <c r="R219" s="30">
        <f t="shared" si="44"/>
        <v>3.8262843296643616E+16</v>
      </c>
      <c r="S219" s="53">
        <f t="shared" si="45"/>
        <v>1.0717097305336367</v>
      </c>
      <c r="T219" s="54">
        <v>1.0717099999999999</v>
      </c>
      <c r="U219" s="55">
        <f t="shared" si="46"/>
        <v>-2.6946636322300321E-7</v>
      </c>
      <c r="V219" s="53">
        <f t="shared" si="47"/>
        <v>1.0075795365728157</v>
      </c>
      <c r="W219" s="53">
        <f t="shared" si="48"/>
        <v>1.0423749193913348</v>
      </c>
      <c r="X219" s="54">
        <v>1.0423750000000001</v>
      </c>
      <c r="Y219" s="55">
        <f t="shared" si="49"/>
        <v>-8.0608665298242954E-8</v>
      </c>
      <c r="Z219" s="29">
        <f t="shared" si="50"/>
        <v>2876447.6386621958</v>
      </c>
      <c r="AA219" s="23">
        <f t="shared" si="51"/>
        <v>-5301483.4165691044</v>
      </c>
    </row>
    <row r="220" spans="1:27" x14ac:dyDescent="0.2">
      <c r="A220" s="27" t="s">
        <v>282</v>
      </c>
      <c r="B220" s="27" t="s">
        <v>157</v>
      </c>
      <c r="C220" s="27" t="s">
        <v>73</v>
      </c>
      <c r="D220" s="51">
        <v>7487153499</v>
      </c>
      <c r="F220" s="45">
        <v>2885526</v>
      </c>
      <c r="G220" s="27" t="s">
        <v>280</v>
      </c>
      <c r="H220" s="51">
        <v>8859478216</v>
      </c>
      <c r="J220" s="45">
        <v>2951151</v>
      </c>
      <c r="K220" s="27" t="s">
        <v>281</v>
      </c>
      <c r="L220" s="45">
        <v>8266750947</v>
      </c>
      <c r="M220" s="27" t="str">
        <f t="shared" si="39"/>
        <v>2026-02|FGP tercera parte (10%)</v>
      </c>
      <c r="N220" s="52">
        <f t="shared" si="40"/>
        <v>7487153499</v>
      </c>
      <c r="O220" s="52">
        <f t="shared" si="41"/>
        <v>8859478216</v>
      </c>
      <c r="P220" s="30">
        <f t="shared" si="42"/>
        <v>2.1604376087355472E+16</v>
      </c>
      <c r="Q220" s="30">
        <f t="shared" si="43"/>
        <v>2.5564254738701616E+16</v>
      </c>
      <c r="R220" s="30">
        <f t="shared" si="44"/>
        <v>2.6145657996626616E+16</v>
      </c>
      <c r="S220" s="53">
        <f t="shared" si="45"/>
        <v>0.67051986886313997</v>
      </c>
      <c r="T220" s="54">
        <v>0.67052</v>
      </c>
      <c r="U220" s="55">
        <f t="shared" si="46"/>
        <v>-1.3113686003762837E-7</v>
      </c>
      <c r="V220" s="53">
        <f t="shared" si="47"/>
        <v>0.69797323586855031</v>
      </c>
      <c r="W220" s="53">
        <f t="shared" si="48"/>
        <v>0.71227268541900912</v>
      </c>
      <c r="X220" s="54">
        <v>0.71227300000000004</v>
      </c>
      <c r="Y220" s="55">
        <f t="shared" si="49"/>
        <v>-3.1458099092329661E-7</v>
      </c>
      <c r="Z220" s="29">
        <f t="shared" si="50"/>
        <v>1182099.881128341</v>
      </c>
      <c r="AA220" s="23">
        <f t="shared" si="51"/>
        <v>2269501.4769031452</v>
      </c>
    </row>
    <row r="221" spans="1:27" x14ac:dyDescent="0.2">
      <c r="A221" s="27" t="s">
        <v>282</v>
      </c>
      <c r="B221" s="27" t="s">
        <v>157</v>
      </c>
      <c r="C221" s="27" t="s">
        <v>74</v>
      </c>
      <c r="D221" s="51">
        <v>12537579490</v>
      </c>
      <c r="F221" s="45">
        <v>3144666</v>
      </c>
      <c r="G221" s="27" t="s">
        <v>280</v>
      </c>
      <c r="H221" s="51">
        <v>13161541989</v>
      </c>
      <c r="J221" s="45">
        <v>3085699</v>
      </c>
      <c r="K221" s="27" t="s">
        <v>281</v>
      </c>
      <c r="L221" s="45">
        <v>8266750947</v>
      </c>
      <c r="M221" s="27" t="str">
        <f t="shared" si="39"/>
        <v>2026-02|FGP tercera parte (10%)</v>
      </c>
      <c r="N221" s="52">
        <f t="shared" si="40"/>
        <v>12537579490</v>
      </c>
      <c r="O221" s="52">
        <f t="shared" si="41"/>
        <v>13161541989</v>
      </c>
      <c r="P221" s="30">
        <f t="shared" si="42"/>
        <v>3.9426499944500336E+16</v>
      </c>
      <c r="Q221" s="30">
        <f t="shared" si="43"/>
        <v>4.1388653600380672E+16</v>
      </c>
      <c r="R221" s="30">
        <f t="shared" si="44"/>
        <v>4.0612556953915312E+16</v>
      </c>
      <c r="S221" s="53">
        <f t="shared" si="45"/>
        <v>1.2236526278577176</v>
      </c>
      <c r="T221" s="54">
        <v>1.2236530000000001</v>
      </c>
      <c r="U221" s="55">
        <f t="shared" si="46"/>
        <v>-3.7214228254534021E-7</v>
      </c>
      <c r="V221" s="53">
        <f t="shared" si="47"/>
        <v>1.1300220865803898</v>
      </c>
      <c r="W221" s="53">
        <f t="shared" si="48"/>
        <v>1.1063869575219709</v>
      </c>
      <c r="X221" s="54">
        <v>1.106387</v>
      </c>
      <c r="Y221" s="55">
        <f t="shared" si="49"/>
        <v>-4.2478029094183967E-8</v>
      </c>
      <c r="Z221" s="29">
        <f t="shared" si="50"/>
        <v>-1953857.2552615176</v>
      </c>
      <c r="AA221" s="23">
        <f t="shared" si="51"/>
        <v>-7740203.6577247158</v>
      </c>
    </row>
    <row r="222" spans="1:27" x14ac:dyDescent="0.2">
      <c r="A222" s="27" t="s">
        <v>282</v>
      </c>
      <c r="B222" s="27" t="s">
        <v>157</v>
      </c>
      <c r="C222" s="27" t="s">
        <v>75</v>
      </c>
      <c r="D222" s="51">
        <v>13680442636</v>
      </c>
      <c r="F222" s="45">
        <v>3042242</v>
      </c>
      <c r="G222" s="27" t="s">
        <v>280</v>
      </c>
      <c r="H222" s="51">
        <v>16407372864</v>
      </c>
      <c r="J222" s="45">
        <v>3035624</v>
      </c>
      <c r="K222" s="27" t="s">
        <v>281</v>
      </c>
      <c r="L222" s="45">
        <v>8266750947</v>
      </c>
      <c r="M222" s="27" t="str">
        <f t="shared" si="39"/>
        <v>2026-02|FGP tercera parte (10%)</v>
      </c>
      <c r="N222" s="52">
        <f t="shared" si="40"/>
        <v>13680442636</v>
      </c>
      <c r="O222" s="52">
        <f t="shared" si="41"/>
        <v>16407372864</v>
      </c>
      <c r="P222" s="30">
        <f t="shared" si="42"/>
        <v>4.1619217165829912E+16</v>
      </c>
      <c r="Q222" s="30">
        <f t="shared" si="43"/>
        <v>4.9915198836521088E+16</v>
      </c>
      <c r="R222" s="30">
        <f t="shared" si="44"/>
        <v>4.9806614842907136E+16</v>
      </c>
      <c r="S222" s="53">
        <f t="shared" si="45"/>
        <v>1.2917064544415069</v>
      </c>
      <c r="T222" s="54">
        <v>1.291706</v>
      </c>
      <c r="U222" s="55">
        <f t="shared" si="46"/>
        <v>4.5444150686968499E-7</v>
      </c>
      <c r="V222" s="53">
        <f t="shared" si="47"/>
        <v>1.3628198125488631</v>
      </c>
      <c r="W222" s="53">
        <f t="shared" si="48"/>
        <v>1.3568559380056504</v>
      </c>
      <c r="X222" s="54">
        <v>1.3568560000000001</v>
      </c>
      <c r="Y222" s="55">
        <f t="shared" si="49"/>
        <v>-6.1994349653815561E-8</v>
      </c>
      <c r="Z222" s="29">
        <f t="shared" si="50"/>
        <v>-493018.6552789259</v>
      </c>
      <c r="AA222" s="23">
        <f t="shared" si="51"/>
        <v>5878764.2047833698</v>
      </c>
    </row>
    <row r="223" spans="1:27" x14ac:dyDescent="0.2">
      <c r="A223" s="27" t="s">
        <v>282</v>
      </c>
      <c r="B223" s="27" t="s">
        <v>157</v>
      </c>
      <c r="C223" s="27" t="s">
        <v>76</v>
      </c>
      <c r="D223" s="51">
        <v>4346228391</v>
      </c>
      <c r="F223" s="45">
        <v>2554147</v>
      </c>
      <c r="G223" s="27" t="s">
        <v>280</v>
      </c>
      <c r="H223" s="51">
        <v>4819016505</v>
      </c>
      <c r="J223" s="45">
        <v>2578825</v>
      </c>
      <c r="K223" s="27" t="s">
        <v>281</v>
      </c>
      <c r="L223" s="45">
        <v>8266750947</v>
      </c>
      <c r="M223" s="27" t="str">
        <f t="shared" si="39"/>
        <v>2026-02|FGP tercera parte (10%)</v>
      </c>
      <c r="N223" s="52">
        <f t="shared" si="40"/>
        <v>4346228391</v>
      </c>
      <c r="O223" s="52">
        <f t="shared" si="41"/>
        <v>4819016505</v>
      </c>
      <c r="P223" s="30">
        <f t="shared" si="42"/>
        <v>1.1100906206187476E+16</v>
      </c>
      <c r="Q223" s="30">
        <f t="shared" si="43"/>
        <v>1.2308476549196236E+16</v>
      </c>
      <c r="R223" s="30">
        <f t="shared" si="44"/>
        <v>1.2427400238506624E+16</v>
      </c>
      <c r="S223" s="53">
        <f t="shared" si="45"/>
        <v>0.34453104054188699</v>
      </c>
      <c r="T223" s="54">
        <v>0.34453099999999998</v>
      </c>
      <c r="U223" s="55">
        <f t="shared" si="46"/>
        <v>4.0541887014189371E-8</v>
      </c>
      <c r="V223" s="53">
        <f t="shared" si="47"/>
        <v>0.33605467061196215</v>
      </c>
      <c r="W223" s="53">
        <f t="shared" si="48"/>
        <v>0.3385532596578758</v>
      </c>
      <c r="X223" s="54">
        <v>0.33855299999999999</v>
      </c>
      <c r="Y223" s="55">
        <f t="shared" si="49"/>
        <v>2.5965787581183619E-7</v>
      </c>
      <c r="Z223" s="29">
        <f t="shared" si="50"/>
        <v>206552.13361470553</v>
      </c>
      <c r="AA223" s="23">
        <f t="shared" si="51"/>
        <v>-700720.39145328524</v>
      </c>
    </row>
    <row r="224" spans="1:27" x14ac:dyDescent="0.2">
      <c r="A224" s="27" t="s">
        <v>282</v>
      </c>
      <c r="B224" s="27" t="s">
        <v>157</v>
      </c>
      <c r="C224" s="27" t="s">
        <v>77</v>
      </c>
      <c r="D224" s="51">
        <v>13854166845</v>
      </c>
      <c r="F224" s="45">
        <v>3569939</v>
      </c>
      <c r="G224" s="27" t="s">
        <v>280</v>
      </c>
      <c r="H224" s="51">
        <v>15297439759</v>
      </c>
      <c r="J224" s="45">
        <v>3602540</v>
      </c>
      <c r="K224" s="27" t="s">
        <v>281</v>
      </c>
      <c r="L224" s="45">
        <v>8266750947</v>
      </c>
      <c r="M224" s="27" t="str">
        <f t="shared" si="39"/>
        <v>2026-02|FGP tercera parte (10%)</v>
      </c>
      <c r="N224" s="52">
        <f t="shared" si="40"/>
        <v>13854166845</v>
      </c>
      <c r="O224" s="52">
        <f t="shared" si="41"/>
        <v>15297439759</v>
      </c>
      <c r="P224" s="30">
        <f t="shared" si="42"/>
        <v>4.9458530532472456E+16</v>
      </c>
      <c r="Q224" s="30">
        <f t="shared" si="43"/>
        <v>5.4610926795804704E+16</v>
      </c>
      <c r="R224" s="30">
        <f t="shared" si="44"/>
        <v>5.5109638629387856E+16</v>
      </c>
      <c r="S224" s="53">
        <f t="shared" si="45"/>
        <v>1.535009725469763</v>
      </c>
      <c r="T224" s="54">
        <v>1.53501</v>
      </c>
      <c r="U224" s="55">
        <f t="shared" si="46"/>
        <v>-2.745302369877578E-7</v>
      </c>
      <c r="V224" s="53">
        <f t="shared" si="47"/>
        <v>1.4910258749590388</v>
      </c>
      <c r="W224" s="53">
        <f t="shared" si="48"/>
        <v>1.5013234818603451</v>
      </c>
      <c r="X224" s="54">
        <v>1.501323</v>
      </c>
      <c r="Y224" s="55">
        <f t="shared" si="49"/>
        <v>4.8186034518060694E-7</v>
      </c>
      <c r="Z224" s="29">
        <f t="shared" si="50"/>
        <v>851277.51603207772</v>
      </c>
      <c r="AA224" s="23">
        <f t="shared" si="51"/>
        <v>-3636035.3786223549</v>
      </c>
    </row>
    <row r="225" spans="1:27" x14ac:dyDescent="0.2">
      <c r="A225" s="27" t="s">
        <v>282</v>
      </c>
      <c r="B225" s="27" t="s">
        <v>157</v>
      </c>
      <c r="C225" s="27" t="s">
        <v>78</v>
      </c>
      <c r="D225" s="51">
        <v>2013001528</v>
      </c>
      <c r="F225" s="45">
        <v>1476723</v>
      </c>
      <c r="G225" s="27" t="s">
        <v>280</v>
      </c>
      <c r="H225" s="51">
        <v>2196216088</v>
      </c>
      <c r="J225" s="45">
        <v>1426175</v>
      </c>
      <c r="K225" s="27" t="s">
        <v>281</v>
      </c>
      <c r="L225" s="45">
        <v>8266750947</v>
      </c>
      <c r="M225" s="27" t="str">
        <f t="shared" si="39"/>
        <v>2026-02|FGP tercera parte (10%)</v>
      </c>
      <c r="N225" s="52">
        <f t="shared" si="40"/>
        <v>2013001528</v>
      </c>
      <c r="O225" s="52">
        <f t="shared" si="41"/>
        <v>2196216088</v>
      </c>
      <c r="P225" s="30">
        <f t="shared" si="42"/>
        <v>2972645655432744</v>
      </c>
      <c r="Q225" s="30">
        <f t="shared" si="43"/>
        <v>3243202810119624</v>
      </c>
      <c r="R225" s="30">
        <f t="shared" si="44"/>
        <v>3132188479303400</v>
      </c>
      <c r="S225" s="53">
        <f t="shared" si="45"/>
        <v>9.2259918407175345E-2</v>
      </c>
      <c r="T225" s="54">
        <v>9.2259999999999995E-2</v>
      </c>
      <c r="U225" s="55">
        <f t="shared" si="46"/>
        <v>-8.1592824649479034E-8</v>
      </c>
      <c r="V225" s="53">
        <f t="shared" si="47"/>
        <v>8.8548200723810311E-2</v>
      </c>
      <c r="W225" s="53">
        <f t="shared" si="48"/>
        <v>8.5328596422387284E-2</v>
      </c>
      <c r="X225" s="54">
        <v>8.5329000000000002E-2</v>
      </c>
      <c r="Y225" s="55">
        <f t="shared" si="49"/>
        <v>-4.0357761271758719E-7</v>
      </c>
      <c r="Z225" s="29">
        <f t="shared" si="50"/>
        <v>-266156.66907754075</v>
      </c>
      <c r="AA225" s="23">
        <f t="shared" si="51"/>
        <v>-306838.45673954545</v>
      </c>
    </row>
    <row r="226" spans="1:27" x14ac:dyDescent="0.2">
      <c r="A226" s="27" t="s">
        <v>282</v>
      </c>
      <c r="B226" s="27" t="s">
        <v>157</v>
      </c>
      <c r="C226" s="27" t="s">
        <v>79</v>
      </c>
      <c r="D226" s="51">
        <v>14058779342</v>
      </c>
      <c r="F226" s="45">
        <v>8113343</v>
      </c>
      <c r="G226" s="27" t="s">
        <v>280</v>
      </c>
      <c r="H226" s="51">
        <v>15085123820</v>
      </c>
      <c r="J226" s="45">
        <v>8066173</v>
      </c>
      <c r="K226" s="27" t="s">
        <v>281</v>
      </c>
      <c r="L226" s="45">
        <v>8266750947</v>
      </c>
      <c r="M226" s="27" t="str">
        <f t="shared" si="39"/>
        <v>2026-02|FGP tercera parte (10%)</v>
      </c>
      <c r="N226" s="52">
        <f t="shared" si="40"/>
        <v>14058779342</v>
      </c>
      <c r="O226" s="52">
        <f t="shared" si="41"/>
        <v>15085123820</v>
      </c>
      <c r="P226" s="30">
        <f t="shared" si="42"/>
        <v>1.140636989629603E+17</v>
      </c>
      <c r="Q226" s="30">
        <f t="shared" si="43"/>
        <v>1.2239078374913026E+17</v>
      </c>
      <c r="R226" s="30">
        <f t="shared" si="44"/>
        <v>1.2167921845854086E+17</v>
      </c>
      <c r="S226" s="53">
        <f t="shared" si="45"/>
        <v>3.5401150286145913</v>
      </c>
      <c r="T226" s="54">
        <v>3.5401150000000001</v>
      </c>
      <c r="U226" s="55">
        <f t="shared" si="46"/>
        <v>2.8614591141007395E-8</v>
      </c>
      <c r="V226" s="53">
        <f t="shared" si="47"/>
        <v>3.3415991292147131</v>
      </c>
      <c r="W226" s="53">
        <f t="shared" si="48"/>
        <v>3.314844235411226</v>
      </c>
      <c r="X226" s="54">
        <v>3.3148439999999999</v>
      </c>
      <c r="Y226" s="55">
        <f t="shared" si="49"/>
        <v>2.354112260682939E-7</v>
      </c>
      <c r="Z226" s="29">
        <f t="shared" si="50"/>
        <v>-2211760.4368686196</v>
      </c>
      <c r="AA226" s="23">
        <f t="shared" si="51"/>
        <v>-16410814.993584992</v>
      </c>
    </row>
    <row r="227" spans="1:27" x14ac:dyDescent="0.2">
      <c r="A227" s="27" t="s">
        <v>282</v>
      </c>
      <c r="B227" s="27" t="s">
        <v>157</v>
      </c>
      <c r="C227" s="27" t="s">
        <v>80</v>
      </c>
      <c r="D227" s="51">
        <v>7530932633</v>
      </c>
      <c r="F227" s="45">
        <v>2402017</v>
      </c>
      <c r="G227" s="27" t="s">
        <v>280</v>
      </c>
      <c r="H227" s="51">
        <v>8921829182</v>
      </c>
      <c r="J227" s="45">
        <v>2456821</v>
      </c>
      <c r="K227" s="27" t="s">
        <v>281</v>
      </c>
      <c r="L227" s="45">
        <v>8266750947</v>
      </c>
      <c r="M227" s="27" t="str">
        <f t="shared" si="39"/>
        <v>2026-02|FGP tercera parte (10%)</v>
      </c>
      <c r="N227" s="52">
        <f t="shared" si="40"/>
        <v>7530932633</v>
      </c>
      <c r="O227" s="52">
        <f t="shared" si="41"/>
        <v>8921829182</v>
      </c>
      <c r="P227" s="30">
        <f t="shared" si="42"/>
        <v>1.808942821032076E+16</v>
      </c>
      <c r="Q227" s="30">
        <f t="shared" si="43"/>
        <v>2.1430385366260096E+16</v>
      </c>
      <c r="R227" s="30">
        <f t="shared" si="44"/>
        <v>2.1919337292750424E+16</v>
      </c>
      <c r="S227" s="53">
        <f t="shared" si="45"/>
        <v>0.56142889673599339</v>
      </c>
      <c r="T227" s="54">
        <v>0.56142899999999996</v>
      </c>
      <c r="U227" s="55">
        <f t="shared" si="46"/>
        <v>-1.0326400656790469E-7</v>
      </c>
      <c r="V227" s="53">
        <f t="shared" si="47"/>
        <v>0.58510743117240116</v>
      </c>
      <c r="W227" s="53">
        <f t="shared" si="48"/>
        <v>0.59713720871460763</v>
      </c>
      <c r="X227" s="54">
        <v>0.59713700000000003</v>
      </c>
      <c r="Y227" s="55">
        <f t="shared" si="49"/>
        <v>2.0871460759686045E-7</v>
      </c>
      <c r="Z227" s="29">
        <f t="shared" si="50"/>
        <v>994471.74889234628</v>
      </c>
      <c r="AA227" s="23">
        <f t="shared" si="51"/>
        <v>1957445.4697574605</v>
      </c>
    </row>
    <row r="228" spans="1:27" x14ac:dyDescent="0.2">
      <c r="A228" s="27" t="s">
        <v>282</v>
      </c>
      <c r="B228" s="27" t="s">
        <v>157</v>
      </c>
      <c r="C228" s="27" t="s">
        <v>81</v>
      </c>
      <c r="D228" s="51">
        <v>4819410776</v>
      </c>
      <c r="F228" s="45">
        <v>1695685</v>
      </c>
      <c r="G228" s="27" t="s">
        <v>280</v>
      </c>
      <c r="H228" s="51">
        <v>5425831297</v>
      </c>
      <c r="J228" s="45">
        <v>1689186</v>
      </c>
      <c r="K228" s="27" t="s">
        <v>281</v>
      </c>
      <c r="L228" s="45">
        <v>8266750947</v>
      </c>
      <c r="M228" s="27" t="str">
        <f t="shared" si="39"/>
        <v>2026-02|FGP tercera parte (10%)</v>
      </c>
      <c r="N228" s="52">
        <f t="shared" si="40"/>
        <v>4819410776</v>
      </c>
      <c r="O228" s="52">
        <f t="shared" si="41"/>
        <v>5425831297</v>
      </c>
      <c r="P228" s="30">
        <f t="shared" si="42"/>
        <v>8172202561701560</v>
      </c>
      <c r="Q228" s="30">
        <f t="shared" si="43"/>
        <v>9200500742853444</v>
      </c>
      <c r="R228" s="30">
        <f t="shared" si="44"/>
        <v>9165238265254242</v>
      </c>
      <c r="S228" s="53">
        <f t="shared" si="45"/>
        <v>0.253634919510693</v>
      </c>
      <c r="T228" s="54">
        <v>0.253635</v>
      </c>
      <c r="U228" s="55">
        <f t="shared" si="46"/>
        <v>-8.0489306997222343E-8</v>
      </c>
      <c r="V228" s="53">
        <f t="shared" si="47"/>
        <v>0.25119853251104673</v>
      </c>
      <c r="W228" s="53">
        <f t="shared" si="48"/>
        <v>0.24968386232773254</v>
      </c>
      <c r="X228" s="54">
        <v>0.24968399999999999</v>
      </c>
      <c r="Y228" s="55">
        <f t="shared" si="49"/>
        <v>-1.3767226744731964E-7</v>
      </c>
      <c r="Z228" s="29">
        <f t="shared" si="50"/>
        <v>-125214.01172305267</v>
      </c>
      <c r="AA228" s="23">
        <f t="shared" si="51"/>
        <v>-201410.04536584267</v>
      </c>
    </row>
    <row r="229" spans="1:27" x14ac:dyDescent="0.2">
      <c r="A229" s="27" t="s">
        <v>282</v>
      </c>
      <c r="B229" s="27" t="s">
        <v>44</v>
      </c>
      <c r="C229" s="27" t="s">
        <v>50</v>
      </c>
      <c r="D229" s="51">
        <v>2207122394</v>
      </c>
      <c r="E229" s="51">
        <v>2325992855</v>
      </c>
      <c r="F229" s="45">
        <v>1503564</v>
      </c>
      <c r="G229" s="27" t="s">
        <v>280</v>
      </c>
      <c r="H229" s="51">
        <v>2325992855</v>
      </c>
      <c r="I229" s="51">
        <v>2685180317</v>
      </c>
      <c r="J229" s="45">
        <v>1531396</v>
      </c>
      <c r="K229" s="27" t="s">
        <v>281</v>
      </c>
      <c r="L229" s="45">
        <v>2423889844</v>
      </c>
      <c r="M229" s="27" t="str">
        <f t="shared" si="39"/>
        <v>2026-02|FFM 70%</v>
      </c>
      <c r="N229" s="52">
        <f t="shared" si="40"/>
        <v>1.0538576661281431</v>
      </c>
      <c r="O229" s="52">
        <f t="shared" si="41"/>
        <v>1.1544232869107416</v>
      </c>
      <c r="P229" s="30">
        <f t="shared" si="42"/>
        <v>1584542.4479142954</v>
      </c>
      <c r="Q229" s="30">
        <f t="shared" si="43"/>
        <v>1735749.2949606623</v>
      </c>
      <c r="R229" s="30">
        <f t="shared" si="44"/>
        <v>1767879.203881962</v>
      </c>
      <c r="S229" s="53">
        <f t="shared" si="45"/>
        <v>1.1431382670165267</v>
      </c>
      <c r="T229" s="54">
        <v>1.143138</v>
      </c>
      <c r="U229" s="55">
        <f t="shared" si="46"/>
        <v>2.6701652666716313E-7</v>
      </c>
      <c r="V229" s="53">
        <f t="shared" si="47"/>
        <v>1.1991385001470714</v>
      </c>
      <c r="W229" s="53">
        <f t="shared" si="48"/>
        <v>1.2177254192393179</v>
      </c>
      <c r="X229" s="54">
        <v>1.2177249999999999</v>
      </c>
      <c r="Y229" s="55">
        <f t="shared" si="49"/>
        <v>4.1923931792808844E-7</v>
      </c>
      <c r="Z229" s="29">
        <f t="shared" si="50"/>
        <v>450526.44418946042</v>
      </c>
      <c r="AA229" s="23">
        <f t="shared" si="51"/>
        <v>1357383.9634675961</v>
      </c>
    </row>
    <row r="230" spans="1:27" x14ac:dyDescent="0.2">
      <c r="A230" s="27" t="s">
        <v>282</v>
      </c>
      <c r="B230" s="27" t="s">
        <v>44</v>
      </c>
      <c r="C230" s="27" t="s">
        <v>51</v>
      </c>
      <c r="D230" s="51">
        <v>12057564919</v>
      </c>
      <c r="E230" s="51">
        <v>13420132605</v>
      </c>
      <c r="F230" s="45">
        <v>3778283</v>
      </c>
      <c r="G230" s="27" t="s">
        <v>280</v>
      </c>
      <c r="H230" s="51">
        <v>13420132605</v>
      </c>
      <c r="I230" s="51">
        <v>15205577447</v>
      </c>
      <c r="J230" s="45">
        <v>3830329</v>
      </c>
      <c r="K230" s="27" t="s">
        <v>281</v>
      </c>
      <c r="L230" s="45">
        <v>2423889844</v>
      </c>
      <c r="M230" s="27" t="str">
        <f t="shared" si="39"/>
        <v>2026-02|FFM 70%</v>
      </c>
      <c r="N230" s="52">
        <f t="shared" si="40"/>
        <v>1.1130052125079501</v>
      </c>
      <c r="O230" s="52">
        <f t="shared" si="41"/>
        <v>1.1330422652705225</v>
      </c>
      <c r="P230" s="30">
        <f t="shared" si="42"/>
        <v>4205248.6733301757</v>
      </c>
      <c r="Q230" s="30">
        <f t="shared" si="43"/>
        <v>4280954.3291531056</v>
      </c>
      <c r="R230" s="30">
        <f t="shared" si="44"/>
        <v>4339924.6468913751</v>
      </c>
      <c r="S230" s="53">
        <f t="shared" si="45"/>
        <v>3.033797350857852</v>
      </c>
      <c r="T230" s="54">
        <v>3.0337969999999999</v>
      </c>
      <c r="U230" s="55">
        <f t="shared" si="46"/>
        <v>3.5085785210497988E-7</v>
      </c>
      <c r="V230" s="53">
        <f t="shared" si="47"/>
        <v>2.957487678873064</v>
      </c>
      <c r="W230" s="53">
        <f t="shared" si="48"/>
        <v>2.9893651944647841</v>
      </c>
      <c r="X230" s="54">
        <v>2.9893649999999998</v>
      </c>
      <c r="Y230" s="55">
        <f t="shared" si="49"/>
        <v>1.944647842755387E-7</v>
      </c>
      <c r="Z230" s="29">
        <f t="shared" si="50"/>
        <v>772675.86294722091</v>
      </c>
      <c r="AA230" s="23">
        <f t="shared" si="51"/>
        <v>-1849662.3892289896</v>
      </c>
    </row>
    <row r="231" spans="1:27" x14ac:dyDescent="0.2">
      <c r="A231" s="27" t="s">
        <v>282</v>
      </c>
      <c r="B231" s="27" t="s">
        <v>44</v>
      </c>
      <c r="C231" s="27" t="s">
        <v>52</v>
      </c>
      <c r="D231" s="51">
        <v>2462231484</v>
      </c>
      <c r="E231" s="51">
        <v>2519870154</v>
      </c>
      <c r="F231" s="45">
        <v>881164</v>
      </c>
      <c r="G231" s="27" t="s">
        <v>280</v>
      </c>
      <c r="H231" s="51">
        <v>2519870154</v>
      </c>
      <c r="I231" s="51">
        <v>2654174283</v>
      </c>
      <c r="J231" s="45">
        <v>928591</v>
      </c>
      <c r="K231" s="27" t="s">
        <v>281</v>
      </c>
      <c r="L231" s="45">
        <v>2423889844</v>
      </c>
      <c r="M231" s="27" t="str">
        <f t="shared" si="39"/>
        <v>2026-02|FFM 70%</v>
      </c>
      <c r="N231" s="52">
        <f t="shared" si="40"/>
        <v>1.0234091190753372</v>
      </c>
      <c r="O231" s="52">
        <f t="shared" si="41"/>
        <v>1.0532980355304451</v>
      </c>
      <c r="P231" s="30">
        <f t="shared" si="42"/>
        <v>901791.2730009004</v>
      </c>
      <c r="Q231" s="30">
        <f t="shared" si="43"/>
        <v>928128.31018014916</v>
      </c>
      <c r="R231" s="30">
        <f t="shared" si="44"/>
        <v>978083.07611125149</v>
      </c>
      <c r="S231" s="53">
        <f t="shared" si="45"/>
        <v>0.65058030751135454</v>
      </c>
      <c r="T231" s="54">
        <v>0.65058000000000005</v>
      </c>
      <c r="U231" s="55">
        <f t="shared" si="46"/>
        <v>3.0751135449147426E-7</v>
      </c>
      <c r="V231" s="53">
        <f t="shared" si="47"/>
        <v>0.64119535755806423</v>
      </c>
      <c r="W231" s="53">
        <f t="shared" si="48"/>
        <v>0.6737092790577216</v>
      </c>
      <c r="X231" s="54">
        <v>0.673709</v>
      </c>
      <c r="Y231" s="55">
        <f t="shared" si="49"/>
        <v>2.7905772159719788E-7</v>
      </c>
      <c r="Z231" s="29">
        <f t="shared" si="50"/>
        <v>788101.64111632749</v>
      </c>
      <c r="AA231" s="23">
        <f t="shared" si="51"/>
        <v>-227480.8487822866</v>
      </c>
    </row>
    <row r="232" spans="1:27" x14ac:dyDescent="0.2">
      <c r="A232" s="27" t="s">
        <v>282</v>
      </c>
      <c r="B232" s="27" t="s">
        <v>44</v>
      </c>
      <c r="C232" s="27" t="s">
        <v>53</v>
      </c>
      <c r="D232" s="51">
        <v>521998784</v>
      </c>
      <c r="E232" s="51">
        <v>517415843</v>
      </c>
      <c r="F232" s="45">
        <v>925978</v>
      </c>
      <c r="G232" s="27" t="s">
        <v>280</v>
      </c>
      <c r="H232" s="51">
        <v>517415843</v>
      </c>
      <c r="I232" s="51">
        <v>550844550</v>
      </c>
      <c r="J232" s="45">
        <v>935371</v>
      </c>
      <c r="K232" s="27" t="s">
        <v>281</v>
      </c>
      <c r="L232" s="45">
        <v>2423889844</v>
      </c>
      <c r="M232" s="27" t="str">
        <f t="shared" si="39"/>
        <v>2026-02|FFM 70%</v>
      </c>
      <c r="N232" s="52">
        <f t="shared" si="40"/>
        <v>0.99122039908813275</v>
      </c>
      <c r="O232" s="52">
        <f t="shared" si="41"/>
        <v>1.0646070418064102</v>
      </c>
      <c r="P232" s="30">
        <f t="shared" si="42"/>
        <v>917848.282706831</v>
      </c>
      <c r="Q232" s="30">
        <f t="shared" si="43"/>
        <v>985802.69935781613</v>
      </c>
      <c r="R232" s="30">
        <f t="shared" si="44"/>
        <v>995802.55330150377</v>
      </c>
      <c r="S232" s="53">
        <f t="shared" si="45"/>
        <v>0.6621643343532142</v>
      </c>
      <c r="T232" s="54">
        <v>0.66216399999999997</v>
      </c>
      <c r="U232" s="55">
        <f t="shared" si="46"/>
        <v>3.3435321422636832E-7</v>
      </c>
      <c r="V232" s="53">
        <f t="shared" si="47"/>
        <v>0.68103957972551354</v>
      </c>
      <c r="W232" s="53">
        <f t="shared" si="48"/>
        <v>0.68591455741770291</v>
      </c>
      <c r="X232" s="54">
        <v>0.68591500000000005</v>
      </c>
      <c r="Y232" s="55">
        <f t="shared" si="49"/>
        <v>-4.4258229714433384E-7</v>
      </c>
      <c r="Z232" s="29">
        <f t="shared" si="50"/>
        <v>118164.08917824356</v>
      </c>
      <c r="AA232" s="23">
        <f t="shared" si="51"/>
        <v>457515.15560924378</v>
      </c>
    </row>
    <row r="233" spans="1:27" x14ac:dyDescent="0.2">
      <c r="A233" s="27" t="s">
        <v>282</v>
      </c>
      <c r="B233" s="27" t="s">
        <v>44</v>
      </c>
      <c r="C233" s="27" t="s">
        <v>54</v>
      </c>
      <c r="D233" s="51">
        <v>4352564104</v>
      </c>
      <c r="E233" s="51">
        <v>4784874505</v>
      </c>
      <c r="F233" s="45">
        <v>3452989</v>
      </c>
      <c r="G233" s="27" t="s">
        <v>280</v>
      </c>
      <c r="H233" s="51">
        <v>4784874505</v>
      </c>
      <c r="I233" s="51">
        <v>5238424574</v>
      </c>
      <c r="J233" s="45">
        <v>3590747</v>
      </c>
      <c r="K233" s="27" t="s">
        <v>281</v>
      </c>
      <c r="L233" s="45">
        <v>2423889844</v>
      </c>
      <c r="M233" s="27" t="str">
        <f t="shared" si="39"/>
        <v>2026-02|FFM 70%</v>
      </c>
      <c r="N233" s="52">
        <f t="shared" si="40"/>
        <v>1.09932315542526</v>
      </c>
      <c r="O233" s="52">
        <f t="shared" si="41"/>
        <v>1.0947882893325747</v>
      </c>
      <c r="P233" s="30">
        <f t="shared" si="42"/>
        <v>3795950.7631287132</v>
      </c>
      <c r="Q233" s="30">
        <f t="shared" si="43"/>
        <v>3780291.9203941976</v>
      </c>
      <c r="R233" s="30">
        <f t="shared" si="44"/>
        <v>3931107.7655560747</v>
      </c>
      <c r="S233" s="53">
        <f t="shared" si="45"/>
        <v>2.7385170922714992</v>
      </c>
      <c r="T233" s="54">
        <v>2.7385169999999999</v>
      </c>
      <c r="U233" s="55">
        <f t="shared" si="46"/>
        <v>9.2271499330109918E-8</v>
      </c>
      <c r="V233" s="53">
        <f t="shared" si="47"/>
        <v>2.6116061787842031</v>
      </c>
      <c r="W233" s="53">
        <f t="shared" si="48"/>
        <v>2.7077697624222572</v>
      </c>
      <c r="X233" s="54">
        <v>2.70777</v>
      </c>
      <c r="Y233" s="55">
        <f t="shared" si="49"/>
        <v>-2.3757774281207844E-7</v>
      </c>
      <c r="Z233" s="29">
        <f t="shared" si="50"/>
        <v>2330899.3374292394</v>
      </c>
      <c r="AA233" s="23">
        <f t="shared" si="51"/>
        <v>-3076180.7429461968</v>
      </c>
    </row>
    <row r="234" spans="1:27" x14ac:dyDescent="0.2">
      <c r="A234" s="27" t="s">
        <v>282</v>
      </c>
      <c r="B234" s="27" t="s">
        <v>44</v>
      </c>
      <c r="C234" s="27" t="s">
        <v>55</v>
      </c>
      <c r="D234" s="51">
        <v>1484931675</v>
      </c>
      <c r="E234" s="51">
        <v>1573298254</v>
      </c>
      <c r="F234" s="45">
        <v>728776</v>
      </c>
      <c r="G234" s="27" t="s">
        <v>280</v>
      </c>
      <c r="H234" s="51">
        <v>1573298254</v>
      </c>
      <c r="I234" s="51">
        <v>1761626340</v>
      </c>
      <c r="J234" s="45">
        <v>762355</v>
      </c>
      <c r="K234" s="27" t="s">
        <v>281</v>
      </c>
      <c r="L234" s="45">
        <v>2423889844</v>
      </c>
      <c r="M234" s="27" t="str">
        <f t="shared" si="39"/>
        <v>2026-02|FFM 70%</v>
      </c>
      <c r="N234" s="52">
        <f t="shared" si="40"/>
        <v>1.0595088518129967</v>
      </c>
      <c r="O234" s="52">
        <f t="shared" si="41"/>
        <v>1.1197027235752592</v>
      </c>
      <c r="P234" s="30">
        <f t="shared" si="42"/>
        <v>772144.6229888685</v>
      </c>
      <c r="Q234" s="30">
        <f t="shared" si="43"/>
        <v>816012.47207628319</v>
      </c>
      <c r="R234" s="30">
        <f t="shared" si="44"/>
        <v>853610.96983121673</v>
      </c>
      <c r="S234" s="53">
        <f t="shared" si="45"/>
        <v>0.55704917679640864</v>
      </c>
      <c r="T234" s="54">
        <v>0.55704900000000002</v>
      </c>
      <c r="U234" s="55">
        <f t="shared" si="46"/>
        <v>1.7679640862411361E-7</v>
      </c>
      <c r="V234" s="53">
        <f t="shared" si="47"/>
        <v>0.56374038273138649</v>
      </c>
      <c r="W234" s="53">
        <f t="shared" si="48"/>
        <v>0.58797217243266031</v>
      </c>
      <c r="X234" s="54">
        <v>0.58797200000000005</v>
      </c>
      <c r="Y234" s="55">
        <f t="shared" si="49"/>
        <v>1.7243266026145676E-7</v>
      </c>
      <c r="Z234" s="29">
        <f t="shared" si="50"/>
        <v>587351.88958861411</v>
      </c>
      <c r="AA234" s="23">
        <f t="shared" si="51"/>
        <v>162187.46109905338</v>
      </c>
    </row>
    <row r="235" spans="1:27" x14ac:dyDescent="0.2">
      <c r="A235" s="27" t="s">
        <v>282</v>
      </c>
      <c r="B235" s="27" t="s">
        <v>44</v>
      </c>
      <c r="C235" s="27" t="s">
        <v>56</v>
      </c>
      <c r="D235" s="51">
        <v>1744005137</v>
      </c>
      <c r="E235" s="51">
        <v>1815319906</v>
      </c>
      <c r="F235" s="45">
        <v>5975155</v>
      </c>
      <c r="G235" s="27" t="s">
        <v>280</v>
      </c>
      <c r="H235" s="51">
        <v>1815319906</v>
      </c>
      <c r="I235" s="51">
        <v>2015743275</v>
      </c>
      <c r="J235" s="45">
        <v>5891372</v>
      </c>
      <c r="K235" s="27" t="s">
        <v>281</v>
      </c>
      <c r="L235" s="45">
        <v>2423889844</v>
      </c>
      <c r="M235" s="27" t="str">
        <f t="shared" si="39"/>
        <v>2026-02|FFM 70%</v>
      </c>
      <c r="N235" s="52">
        <f t="shared" si="40"/>
        <v>1.0408913755395663</v>
      </c>
      <c r="O235" s="52">
        <f t="shared" si="41"/>
        <v>1.1104066387073486</v>
      </c>
      <c r="P235" s="30">
        <f t="shared" si="42"/>
        <v>6219487.3070121175</v>
      </c>
      <c r="Q235" s="30">
        <f t="shared" si="43"/>
        <v>6634851.7793054078</v>
      </c>
      <c r="R235" s="30">
        <f t="shared" si="44"/>
        <v>6541818.5798945893</v>
      </c>
      <c r="S235" s="53">
        <f t="shared" si="45"/>
        <v>4.4869318276878802</v>
      </c>
      <c r="T235" s="54">
        <v>4.4869320000000004</v>
      </c>
      <c r="U235" s="55">
        <f t="shared" si="46"/>
        <v>-1.7231212012802644E-7</v>
      </c>
      <c r="V235" s="53">
        <f t="shared" si="47"/>
        <v>4.5836724430383393</v>
      </c>
      <c r="W235" s="53">
        <f t="shared" si="48"/>
        <v>4.5060424690201755</v>
      </c>
      <c r="X235" s="54">
        <v>4.5060419999999999</v>
      </c>
      <c r="Y235" s="55">
        <f t="shared" si="49"/>
        <v>4.6902017558636544E-7</v>
      </c>
      <c r="Z235" s="29">
        <f t="shared" si="50"/>
        <v>-1881665.0561261121</v>
      </c>
      <c r="AA235" s="23">
        <f t="shared" si="51"/>
        <v>2344885.9505028827</v>
      </c>
    </row>
    <row r="236" spans="1:27" x14ac:dyDescent="0.2">
      <c r="A236" s="27" t="s">
        <v>282</v>
      </c>
      <c r="B236" s="27" t="s">
        <v>44</v>
      </c>
      <c r="C236" s="27" t="s">
        <v>57</v>
      </c>
      <c r="D236" s="51">
        <v>8865227370</v>
      </c>
      <c r="E236" s="51">
        <v>9521809148</v>
      </c>
      <c r="F236" s="45">
        <v>3976037</v>
      </c>
      <c r="G236" s="27" t="s">
        <v>280</v>
      </c>
      <c r="H236" s="51">
        <v>9521809148</v>
      </c>
      <c r="I236" s="51">
        <v>10593672612</v>
      </c>
      <c r="J236" s="45">
        <v>4015493</v>
      </c>
      <c r="K236" s="27" t="s">
        <v>281</v>
      </c>
      <c r="L236" s="45">
        <v>2423889844</v>
      </c>
      <c r="M236" s="27" t="str">
        <f t="shared" si="39"/>
        <v>2026-02|FFM 70%</v>
      </c>
      <c r="N236" s="52">
        <f t="shared" si="40"/>
        <v>1.0740625988028099</v>
      </c>
      <c r="O236" s="52">
        <f t="shared" si="41"/>
        <v>1.1125693077166054</v>
      </c>
      <c r="P236" s="30">
        <f t="shared" si="42"/>
        <v>4270512.6331561273</v>
      </c>
      <c r="Q236" s="30">
        <f t="shared" si="43"/>
        <v>4423616.7325456087</v>
      </c>
      <c r="R236" s="30">
        <f t="shared" si="44"/>
        <v>4467514.2671508752</v>
      </c>
      <c r="S236" s="53">
        <f t="shared" si="45"/>
        <v>3.080880803896473</v>
      </c>
      <c r="T236" s="54">
        <v>3.0808810000000002</v>
      </c>
      <c r="U236" s="55">
        <f t="shared" si="46"/>
        <v>-1.9610352719467983E-7</v>
      </c>
      <c r="V236" s="53">
        <f t="shared" si="47"/>
        <v>3.0560456796904227</v>
      </c>
      <c r="W236" s="53">
        <f t="shared" si="48"/>
        <v>3.0772496627474135</v>
      </c>
      <c r="X236" s="54">
        <v>3.0772499999999998</v>
      </c>
      <c r="Y236" s="55">
        <f t="shared" si="49"/>
        <v>-3.3725258630212807E-7</v>
      </c>
      <c r="Z236" s="29">
        <f t="shared" si="50"/>
        <v>513961.19184188033</v>
      </c>
      <c r="AA236" s="23">
        <f t="shared" si="51"/>
        <v>-601976.0533752382</v>
      </c>
    </row>
    <row r="237" spans="1:27" x14ac:dyDescent="0.2">
      <c r="A237" s="27" t="s">
        <v>282</v>
      </c>
      <c r="B237" s="27" t="s">
        <v>44</v>
      </c>
      <c r="C237" s="27" t="s">
        <v>58</v>
      </c>
      <c r="D237" s="51">
        <v>31486327492</v>
      </c>
      <c r="E237" s="51">
        <v>33493698824</v>
      </c>
      <c r="F237" s="45">
        <v>9350964</v>
      </c>
      <c r="G237" s="27" t="s">
        <v>280</v>
      </c>
      <c r="H237" s="51">
        <v>33493698824</v>
      </c>
      <c r="I237" s="51">
        <v>38907672159</v>
      </c>
      <c r="J237" s="45">
        <v>9336468</v>
      </c>
      <c r="K237" s="27" t="s">
        <v>281</v>
      </c>
      <c r="L237" s="45">
        <v>2423889844</v>
      </c>
      <c r="M237" s="27" t="str">
        <f t="shared" si="39"/>
        <v>2026-02|FFM 70%</v>
      </c>
      <c r="N237" s="52">
        <f t="shared" si="40"/>
        <v>1.0637537462096851</v>
      </c>
      <c r="O237" s="52">
        <f t="shared" si="41"/>
        <v>1.1616415482640157</v>
      </c>
      <c r="P237" s="30">
        <f t="shared" si="42"/>
        <v>9947122.9856719021</v>
      </c>
      <c r="Q237" s="30">
        <f t="shared" si="43"/>
        <v>10862468.298721073</v>
      </c>
      <c r="R237" s="30">
        <f t="shared" si="44"/>
        <v>10845629.142837439</v>
      </c>
      <c r="S237" s="53">
        <f t="shared" si="45"/>
        <v>7.1761642905865948</v>
      </c>
      <c r="T237" s="54">
        <v>7.176164</v>
      </c>
      <c r="U237" s="55">
        <f t="shared" si="46"/>
        <v>2.9058659478664595E-7</v>
      </c>
      <c r="V237" s="53">
        <f t="shared" si="47"/>
        <v>7.5043118159058215</v>
      </c>
      <c r="W237" s="53">
        <f t="shared" si="48"/>
        <v>7.4705320736142848</v>
      </c>
      <c r="X237" s="54">
        <v>7.4705320000000004</v>
      </c>
      <c r="Y237" s="55">
        <f t="shared" si="49"/>
        <v>7.3614284445966405E-8</v>
      </c>
      <c r="Z237" s="29">
        <f t="shared" si="50"/>
        <v>-818783.74273393059</v>
      </c>
      <c r="AA237" s="23">
        <f t="shared" si="51"/>
        <v>7953934.5395500651</v>
      </c>
    </row>
    <row r="238" spans="1:27" x14ac:dyDescent="0.2">
      <c r="A238" s="27" t="s">
        <v>282</v>
      </c>
      <c r="B238" s="27" t="s">
        <v>44</v>
      </c>
      <c r="C238" s="27" t="s">
        <v>59</v>
      </c>
      <c r="D238" s="51">
        <v>1334905929</v>
      </c>
      <c r="E238" s="51">
        <v>1513863761</v>
      </c>
      <c r="F238" s="45">
        <v>1944614</v>
      </c>
      <c r="G238" s="27" t="s">
        <v>280</v>
      </c>
      <c r="H238" s="51">
        <v>1513863761</v>
      </c>
      <c r="I238" s="51">
        <v>1682810165</v>
      </c>
      <c r="J238" s="45">
        <v>1968132</v>
      </c>
      <c r="K238" s="27" t="s">
        <v>281</v>
      </c>
      <c r="L238" s="45">
        <v>2423889844</v>
      </c>
      <c r="M238" s="27" t="str">
        <f t="shared" si="39"/>
        <v>2026-02|FFM 70%</v>
      </c>
      <c r="N238" s="52">
        <f t="shared" si="40"/>
        <v>1.1340602570654998</v>
      </c>
      <c r="O238" s="52">
        <f t="shared" si="41"/>
        <v>1.1115994770152899</v>
      </c>
      <c r="P238" s="30">
        <f t="shared" si="42"/>
        <v>2205309.4527331698</v>
      </c>
      <c r="Q238" s="30">
        <f t="shared" si="43"/>
        <v>2161631.905396611</v>
      </c>
      <c r="R238" s="30">
        <f t="shared" si="44"/>
        <v>2187774.5018970566</v>
      </c>
      <c r="S238" s="53">
        <f t="shared" si="45"/>
        <v>1.5909789159330334</v>
      </c>
      <c r="T238" s="54">
        <v>1.5909789999999999</v>
      </c>
      <c r="U238" s="55">
        <f t="shared" si="46"/>
        <v>-8.4066966499207751E-8</v>
      </c>
      <c r="V238" s="53">
        <f t="shared" si="47"/>
        <v>1.4933585445967836</v>
      </c>
      <c r="W238" s="53">
        <f t="shared" si="48"/>
        <v>1.5069517287571197</v>
      </c>
      <c r="X238" s="54">
        <v>1.5069520000000001</v>
      </c>
      <c r="Y238" s="55">
        <f t="shared" si="49"/>
        <v>-2.7124288037860822E-7</v>
      </c>
      <c r="Z238" s="29">
        <f t="shared" si="50"/>
        <v>329483.8103386024</v>
      </c>
      <c r="AA238" s="23">
        <f t="shared" si="51"/>
        <v>-2366210.266494446</v>
      </c>
    </row>
    <row r="239" spans="1:27" x14ac:dyDescent="0.2">
      <c r="A239" s="27" t="s">
        <v>282</v>
      </c>
      <c r="B239" s="27" t="s">
        <v>44</v>
      </c>
      <c r="C239" s="27" t="s">
        <v>60</v>
      </c>
      <c r="D239" s="51">
        <v>8541908458</v>
      </c>
      <c r="E239" s="51">
        <v>8649635331</v>
      </c>
      <c r="F239" s="45">
        <v>6345807</v>
      </c>
      <c r="G239" s="27" t="s">
        <v>280</v>
      </c>
      <c r="H239" s="51">
        <v>8649635331</v>
      </c>
      <c r="I239" s="51">
        <v>9505316553</v>
      </c>
      <c r="J239" s="45">
        <v>6402249</v>
      </c>
      <c r="K239" s="27" t="s">
        <v>281</v>
      </c>
      <c r="L239" s="45">
        <v>2423889844</v>
      </c>
      <c r="M239" s="27" t="str">
        <f t="shared" si="39"/>
        <v>2026-02|FFM 70%</v>
      </c>
      <c r="N239" s="52">
        <f t="shared" si="40"/>
        <v>1.0126115695959148</v>
      </c>
      <c r="O239" s="52">
        <f t="shared" si="41"/>
        <v>1.0989268552089435</v>
      </c>
      <c r="P239" s="30">
        <f t="shared" si="42"/>
        <v>6425837.5866227429</v>
      </c>
      <c r="Q239" s="30">
        <f t="shared" si="43"/>
        <v>6973577.7302729003</v>
      </c>
      <c r="R239" s="30">
        <f t="shared" si="44"/>
        <v>7035603.359834603</v>
      </c>
      <c r="S239" s="53">
        <f t="shared" si="45"/>
        <v>4.6357993454643589</v>
      </c>
      <c r="T239" s="54">
        <v>4.6357989999999996</v>
      </c>
      <c r="U239" s="55">
        <f t="shared" si="46"/>
        <v>3.4546435934146302E-7</v>
      </c>
      <c r="V239" s="53">
        <f t="shared" si="47"/>
        <v>4.8176805051376848</v>
      </c>
      <c r="W239" s="53">
        <f t="shared" si="48"/>
        <v>4.846164280989063</v>
      </c>
      <c r="X239" s="54">
        <v>4.8461639999999999</v>
      </c>
      <c r="Y239" s="55">
        <f t="shared" si="49"/>
        <v>2.8098906312834515E-7</v>
      </c>
      <c r="Z239" s="29">
        <f t="shared" si="50"/>
        <v>690415.35004928289</v>
      </c>
      <c r="AA239" s="23">
        <f t="shared" si="51"/>
        <v>4408598.9574711686</v>
      </c>
    </row>
    <row r="240" spans="1:27" x14ac:dyDescent="0.2">
      <c r="A240" s="27" t="s">
        <v>282</v>
      </c>
      <c r="B240" s="27" t="s">
        <v>44</v>
      </c>
      <c r="C240" s="27" t="s">
        <v>61</v>
      </c>
      <c r="D240" s="51">
        <v>1948086444</v>
      </c>
      <c r="E240" s="51">
        <v>1892957129</v>
      </c>
      <c r="F240" s="45">
        <v>3606579</v>
      </c>
      <c r="G240" s="27" t="s">
        <v>280</v>
      </c>
      <c r="H240" s="51">
        <v>1892957129</v>
      </c>
      <c r="I240" s="51">
        <v>2078450286</v>
      </c>
      <c r="J240" s="45">
        <v>3569633</v>
      </c>
      <c r="K240" s="27" t="s">
        <v>281</v>
      </c>
      <c r="L240" s="45">
        <v>2423889844</v>
      </c>
      <c r="M240" s="27" t="str">
        <f t="shared" si="39"/>
        <v>2026-02|FFM 70%</v>
      </c>
      <c r="N240" s="52">
        <f t="shared" si="40"/>
        <v>0.97170078608688271</v>
      </c>
      <c r="O240" s="52">
        <f t="shared" si="41"/>
        <v>1.0979912086535162</v>
      </c>
      <c r="P240" s="30">
        <f t="shared" si="42"/>
        <v>3504515.6493844432</v>
      </c>
      <c r="Q240" s="30">
        <f t="shared" si="43"/>
        <v>3959992.03531439</v>
      </c>
      <c r="R240" s="30">
        <f t="shared" si="44"/>
        <v>3919425.6521194768</v>
      </c>
      <c r="S240" s="53">
        <f t="shared" si="45"/>
        <v>2.5282667254782907</v>
      </c>
      <c r="T240" s="54">
        <v>2.528267</v>
      </c>
      <c r="U240" s="55">
        <f t="shared" si="46"/>
        <v>-2.7452170936470566E-7</v>
      </c>
      <c r="V240" s="53">
        <f t="shared" si="47"/>
        <v>2.7357515993857073</v>
      </c>
      <c r="W240" s="53">
        <f t="shared" si="48"/>
        <v>2.6997230551297311</v>
      </c>
      <c r="X240" s="54">
        <v>2.6997230000000001</v>
      </c>
      <c r="Y240" s="55">
        <f t="shared" si="49"/>
        <v>5.5129731002523386E-8</v>
      </c>
      <c r="Z240" s="29">
        <f t="shared" si="50"/>
        <v>-873292.22516165324</v>
      </c>
      <c r="AA240" s="23">
        <f t="shared" si="51"/>
        <v>5029204.7864780789</v>
      </c>
    </row>
    <row r="241" spans="1:27" x14ac:dyDescent="0.2">
      <c r="A241" s="27" t="s">
        <v>282</v>
      </c>
      <c r="B241" s="27" t="s">
        <v>44</v>
      </c>
      <c r="C241" s="27" t="s">
        <v>62</v>
      </c>
      <c r="D241" s="51">
        <v>2273811624</v>
      </c>
      <c r="E241" s="51">
        <v>2561806971</v>
      </c>
      <c r="F241" s="45">
        <v>3248649</v>
      </c>
      <c r="G241" s="27" t="s">
        <v>280</v>
      </c>
      <c r="H241" s="51">
        <v>2561806971</v>
      </c>
      <c r="I241" s="51">
        <v>2753891044</v>
      </c>
      <c r="J241" s="45">
        <v>3215821</v>
      </c>
      <c r="K241" s="27" t="s">
        <v>281</v>
      </c>
      <c r="L241" s="45">
        <v>2423889844</v>
      </c>
      <c r="M241" s="27" t="str">
        <f t="shared" si="39"/>
        <v>2026-02|FFM 70%</v>
      </c>
      <c r="N241" s="52">
        <f t="shared" si="40"/>
        <v>1.1266575225318665</v>
      </c>
      <c r="O241" s="52">
        <f t="shared" si="41"/>
        <v>1.0749799165879466</v>
      </c>
      <c r="P241" s="30">
        <f t="shared" si="42"/>
        <v>3660114.8339156252</v>
      </c>
      <c r="Q241" s="30">
        <f t="shared" si="43"/>
        <v>3492232.4310435159</v>
      </c>
      <c r="R241" s="30">
        <f t="shared" si="44"/>
        <v>3456942.9903417667</v>
      </c>
      <c r="S241" s="53">
        <f t="shared" si="45"/>
        <v>2.640520822797229</v>
      </c>
      <c r="T241" s="54">
        <v>2.6405210000000001</v>
      </c>
      <c r="U241" s="55">
        <f t="shared" si="46"/>
        <v>-1.7720277112331928E-7</v>
      </c>
      <c r="V241" s="53">
        <f t="shared" si="47"/>
        <v>2.4126009278438958</v>
      </c>
      <c r="W241" s="53">
        <f t="shared" si="48"/>
        <v>2.3811623231704786</v>
      </c>
      <c r="X241" s="54">
        <v>2.3811619999999998</v>
      </c>
      <c r="Y241" s="55">
        <f t="shared" si="49"/>
        <v>3.2317047882202132E-7</v>
      </c>
      <c r="Z241" s="29">
        <f t="shared" si="50"/>
        <v>-762037.14577426866</v>
      </c>
      <c r="AA241" s="23">
        <f t="shared" si="51"/>
        <v>-5524527.1862293119</v>
      </c>
    </row>
    <row r="242" spans="1:27" x14ac:dyDescent="0.2">
      <c r="A242" s="27" t="s">
        <v>282</v>
      </c>
      <c r="B242" s="27" t="s">
        <v>44</v>
      </c>
      <c r="C242" s="27" t="s">
        <v>63</v>
      </c>
      <c r="D242" s="51">
        <v>11989654420</v>
      </c>
      <c r="E242" s="51">
        <v>12962869372</v>
      </c>
      <c r="F242" s="45">
        <v>8739649</v>
      </c>
      <c r="G242" s="27" t="s">
        <v>280</v>
      </c>
      <c r="H242" s="51">
        <v>12962869372</v>
      </c>
      <c r="I242" s="51">
        <v>14385676589</v>
      </c>
      <c r="J242" s="45">
        <v>8750952</v>
      </c>
      <c r="K242" s="27" t="s">
        <v>281</v>
      </c>
      <c r="L242" s="45">
        <v>2423889844</v>
      </c>
      <c r="M242" s="27" t="str">
        <f t="shared" si="39"/>
        <v>2026-02|FFM 70%</v>
      </c>
      <c r="N242" s="52">
        <f t="shared" si="40"/>
        <v>1.081171226284602</v>
      </c>
      <c r="O242" s="52">
        <f t="shared" si="41"/>
        <v>1.1097602063377485</v>
      </c>
      <c r="P242" s="30">
        <f t="shared" si="42"/>
        <v>9449057.0266269967</v>
      </c>
      <c r="Q242" s="30">
        <f t="shared" si="43"/>
        <v>9698914.6775594968</v>
      </c>
      <c r="R242" s="30">
        <f t="shared" si="44"/>
        <v>9711458.2971717324</v>
      </c>
      <c r="S242" s="53">
        <f t="shared" si="45"/>
        <v>6.8168439971908885</v>
      </c>
      <c r="T242" s="54">
        <v>6.8168439999999997</v>
      </c>
      <c r="U242" s="55">
        <f t="shared" si="46"/>
        <v>-2.8091111659023227E-9</v>
      </c>
      <c r="V242" s="53">
        <f t="shared" si="47"/>
        <v>6.7004734112633999</v>
      </c>
      <c r="W242" s="53">
        <f t="shared" si="48"/>
        <v>6.6893086362354168</v>
      </c>
      <c r="X242" s="54">
        <v>6.6893089999999997</v>
      </c>
      <c r="Y242" s="55">
        <f t="shared" si="49"/>
        <v>-3.6376458290021674E-7</v>
      </c>
      <c r="Z242" s="29">
        <f t="shared" si="50"/>
        <v>-270621.84800872992</v>
      </c>
      <c r="AA242" s="23">
        <f t="shared" si="51"/>
        <v>-2820694.8136996897</v>
      </c>
    </row>
    <row r="243" spans="1:27" x14ac:dyDescent="0.2">
      <c r="A243" s="27" t="s">
        <v>282</v>
      </c>
      <c r="B243" s="27" t="s">
        <v>44</v>
      </c>
      <c r="C243" s="27" t="s">
        <v>64</v>
      </c>
      <c r="D243" s="51">
        <v>15655134223</v>
      </c>
      <c r="E243" s="51">
        <v>16658474505</v>
      </c>
      <c r="F243" s="45">
        <v>17788768</v>
      </c>
      <c r="G243" s="27" t="s">
        <v>280</v>
      </c>
      <c r="H243" s="51">
        <v>16658474505</v>
      </c>
      <c r="I243" s="51">
        <v>17892416722</v>
      </c>
      <c r="J243" s="45">
        <v>17753727</v>
      </c>
      <c r="K243" s="27" t="s">
        <v>281</v>
      </c>
      <c r="L243" s="45">
        <v>2423889844</v>
      </c>
      <c r="M243" s="27" t="str">
        <f t="shared" si="39"/>
        <v>2026-02|FFM 70%</v>
      </c>
      <c r="N243" s="52">
        <f t="shared" si="40"/>
        <v>1.0640901743611961</v>
      </c>
      <c r="O243" s="52">
        <f t="shared" si="41"/>
        <v>1.0740729420709942</v>
      </c>
      <c r="P243" s="30">
        <f t="shared" si="42"/>
        <v>18928853.242790867</v>
      </c>
      <c r="Q243" s="30">
        <f t="shared" si="43"/>
        <v>19106434.381578356</v>
      </c>
      <c r="R243" s="30">
        <f t="shared" si="44"/>
        <v>19068797.791615248</v>
      </c>
      <c r="S243" s="53">
        <f t="shared" si="45"/>
        <v>13.655864202979359</v>
      </c>
      <c r="T243" s="54">
        <v>13.655863999999999</v>
      </c>
      <c r="U243" s="55">
        <f t="shared" si="46"/>
        <v>2.0297935954260993E-7</v>
      </c>
      <c r="V243" s="53">
        <f t="shared" si="47"/>
        <v>13.199637259828787</v>
      </c>
      <c r="W243" s="53">
        <f t="shared" si="48"/>
        <v>13.134698193290614</v>
      </c>
      <c r="X243" s="54">
        <v>13.134698</v>
      </c>
      <c r="Y243" s="55">
        <f t="shared" si="49"/>
        <v>1.9329061373696277E-7</v>
      </c>
      <c r="Z243" s="29">
        <f t="shared" si="50"/>
        <v>-1574051.4386071791</v>
      </c>
      <c r="AA243" s="23">
        <f t="shared" si="51"/>
        <v>-11058438.540618366</v>
      </c>
    </row>
    <row r="244" spans="1:27" x14ac:dyDescent="0.2">
      <c r="A244" s="27" t="s">
        <v>282</v>
      </c>
      <c r="B244" s="27" t="s">
        <v>44</v>
      </c>
      <c r="C244" s="27" t="s">
        <v>65</v>
      </c>
      <c r="D244" s="51">
        <v>3360450841</v>
      </c>
      <c r="E244" s="51">
        <v>3596469228</v>
      </c>
      <c r="F244" s="45">
        <v>4950874</v>
      </c>
      <c r="G244" s="27" t="s">
        <v>280</v>
      </c>
      <c r="H244" s="51">
        <v>3596469228</v>
      </c>
      <c r="I244" s="51">
        <v>4081188314</v>
      </c>
      <c r="J244" s="45">
        <v>4945881</v>
      </c>
      <c r="K244" s="27" t="s">
        <v>281</v>
      </c>
      <c r="L244" s="45">
        <v>2423889844</v>
      </c>
      <c r="M244" s="27" t="str">
        <f t="shared" si="39"/>
        <v>2026-02|FFM 70%</v>
      </c>
      <c r="N244" s="52">
        <f t="shared" si="40"/>
        <v>1.0702341436215641</v>
      </c>
      <c r="O244" s="52">
        <f t="shared" si="41"/>
        <v>1.1347763751810418</v>
      </c>
      <c r="P244" s="30">
        <f t="shared" si="42"/>
        <v>5298594.3955682674</v>
      </c>
      <c r="Q244" s="30">
        <f t="shared" si="43"/>
        <v>5618134.8516980652</v>
      </c>
      <c r="R244" s="30">
        <f t="shared" si="44"/>
        <v>5612468.9132567858</v>
      </c>
      <c r="S244" s="53">
        <f t="shared" si="45"/>
        <v>3.8225710033493545</v>
      </c>
      <c r="T244" s="54">
        <v>3.8225709999999999</v>
      </c>
      <c r="U244" s="55">
        <f t="shared" si="46"/>
        <v>3.3493545714691209E-9</v>
      </c>
      <c r="V244" s="53">
        <f t="shared" si="47"/>
        <v>3.8812758381917631</v>
      </c>
      <c r="W244" s="53">
        <f t="shared" si="48"/>
        <v>3.8659010442319688</v>
      </c>
      <c r="X244" s="54">
        <v>3.865901</v>
      </c>
      <c r="Y244" s="55">
        <f t="shared" si="49"/>
        <v>4.4231968754360196E-8</v>
      </c>
      <c r="Z244" s="29">
        <f t="shared" si="50"/>
        <v>-372668.0693273808</v>
      </c>
      <c r="AA244" s="23">
        <f t="shared" si="51"/>
        <v>1422940.5296821161</v>
      </c>
    </row>
    <row r="245" spans="1:27" x14ac:dyDescent="0.2">
      <c r="A245" s="27" t="s">
        <v>282</v>
      </c>
      <c r="B245" s="27" t="s">
        <v>44</v>
      </c>
      <c r="C245" s="27" t="s">
        <v>66</v>
      </c>
      <c r="D245" s="51">
        <v>1992262825</v>
      </c>
      <c r="E245" s="51">
        <v>2040265749</v>
      </c>
      <c r="F245" s="45">
        <v>1984308</v>
      </c>
      <c r="G245" s="27" t="s">
        <v>280</v>
      </c>
      <c r="H245" s="51">
        <v>2040265749</v>
      </c>
      <c r="I245" s="51">
        <v>2177978663</v>
      </c>
      <c r="J245" s="45">
        <v>1988503</v>
      </c>
      <c r="K245" s="27" t="s">
        <v>281</v>
      </c>
      <c r="L245" s="45">
        <v>2423889844</v>
      </c>
      <c r="M245" s="27" t="str">
        <f t="shared" si="39"/>
        <v>2026-02|FFM 70%</v>
      </c>
      <c r="N245" s="52">
        <f t="shared" si="40"/>
        <v>1.0240946743560304</v>
      </c>
      <c r="O245" s="52">
        <f t="shared" si="41"/>
        <v>1.0674975375474971</v>
      </c>
      <c r="P245" s="30">
        <f t="shared" si="42"/>
        <v>2032119.2550820659</v>
      </c>
      <c r="Q245" s="30">
        <f t="shared" si="43"/>
        <v>2118243.9037357988</v>
      </c>
      <c r="R245" s="30">
        <f t="shared" si="44"/>
        <v>2122722.0559058106</v>
      </c>
      <c r="S245" s="53">
        <f t="shared" si="45"/>
        <v>1.4660341139381543</v>
      </c>
      <c r="T245" s="54">
        <v>1.4660340000000001</v>
      </c>
      <c r="U245" s="55">
        <f t="shared" si="46"/>
        <v>1.1393815424476372E-7</v>
      </c>
      <c r="V245" s="53">
        <f t="shared" si="47"/>
        <v>1.4633840411434471</v>
      </c>
      <c r="W245" s="53">
        <f t="shared" si="48"/>
        <v>1.4621432277615267</v>
      </c>
      <c r="X245" s="54">
        <v>1.462143</v>
      </c>
      <c r="Y245" s="55">
        <f t="shared" si="49"/>
        <v>2.2776152674985894E-7</v>
      </c>
      <c r="Z245" s="29">
        <f t="shared" si="50"/>
        <v>-30075.949547361299</v>
      </c>
      <c r="AA245" s="23">
        <f t="shared" si="51"/>
        <v>-64234.845329514603</v>
      </c>
    </row>
    <row r="246" spans="1:27" x14ac:dyDescent="0.2">
      <c r="A246" s="27" t="s">
        <v>282</v>
      </c>
      <c r="B246" s="27" t="s">
        <v>44</v>
      </c>
      <c r="C246" s="27" t="s">
        <v>67</v>
      </c>
      <c r="D246" s="51">
        <v>933018792</v>
      </c>
      <c r="E246" s="51">
        <v>1039445326</v>
      </c>
      <c r="F246" s="45">
        <v>1245276</v>
      </c>
      <c r="G246" s="27" t="s">
        <v>280</v>
      </c>
      <c r="H246" s="51">
        <v>1039445326</v>
      </c>
      <c r="I246" s="51">
        <v>1264832168</v>
      </c>
      <c r="J246" s="45">
        <v>1279298</v>
      </c>
      <c r="K246" s="27" t="s">
        <v>281</v>
      </c>
      <c r="L246" s="45">
        <v>2423889844</v>
      </c>
      <c r="M246" s="27" t="str">
        <f t="shared" si="39"/>
        <v>2026-02|FFM 70%</v>
      </c>
      <c r="N246" s="52">
        <f t="shared" si="40"/>
        <v>1.1140668707988894</v>
      </c>
      <c r="O246" s="52">
        <f t="shared" si="41"/>
        <v>1.2168337635105206</v>
      </c>
      <c r="P246" s="30">
        <f t="shared" si="42"/>
        <v>1387320.7366009578</v>
      </c>
      <c r="Q246" s="30">
        <f t="shared" si="43"/>
        <v>1515293.8816893271</v>
      </c>
      <c r="R246" s="30">
        <f t="shared" si="44"/>
        <v>1556692.9999914821</v>
      </c>
      <c r="S246" s="53">
        <f t="shared" si="45"/>
        <v>1.0008563826873815</v>
      </c>
      <c r="T246" s="54">
        <v>1.000856</v>
      </c>
      <c r="U246" s="55">
        <f t="shared" si="46"/>
        <v>3.826873815615528E-7</v>
      </c>
      <c r="V246" s="53">
        <f t="shared" si="47"/>
        <v>1.0468373732579586</v>
      </c>
      <c r="W246" s="53">
        <f t="shared" si="48"/>
        <v>1.0722591407145181</v>
      </c>
      <c r="X246" s="54">
        <v>1.0722590000000001</v>
      </c>
      <c r="Y246" s="55">
        <f t="shared" si="49"/>
        <v>1.4071451803765456E-7</v>
      </c>
      <c r="Z246" s="29">
        <f t="shared" si="50"/>
        <v>616195.63954484416</v>
      </c>
      <c r="AA246" s="23">
        <f t="shared" si="51"/>
        <v>1114528.5606108143</v>
      </c>
    </row>
    <row r="247" spans="1:27" x14ac:dyDescent="0.2">
      <c r="A247" s="27" t="s">
        <v>282</v>
      </c>
      <c r="B247" s="27" t="s">
        <v>44</v>
      </c>
      <c r="C247" s="27" t="s">
        <v>68</v>
      </c>
      <c r="D247" s="51">
        <v>13238060362</v>
      </c>
      <c r="E247" s="51">
        <v>14903709928</v>
      </c>
      <c r="F247" s="45">
        <v>6152311</v>
      </c>
      <c r="G247" s="27" t="s">
        <v>280</v>
      </c>
      <c r="H247" s="51">
        <v>14903709928</v>
      </c>
      <c r="I247" s="51">
        <v>16472101478</v>
      </c>
      <c r="J247" s="45">
        <v>6234433</v>
      </c>
      <c r="K247" s="27" t="s">
        <v>281</v>
      </c>
      <c r="L247" s="45">
        <v>2423889844</v>
      </c>
      <c r="M247" s="27" t="str">
        <f t="shared" si="39"/>
        <v>2026-02|FFM 70%</v>
      </c>
      <c r="N247" s="52">
        <f t="shared" si="40"/>
        <v>1.1258227807134997</v>
      </c>
      <c r="O247" s="52">
        <f t="shared" si="41"/>
        <v>1.105234975558228</v>
      </c>
      <c r="P247" s="30">
        <f t="shared" si="42"/>
        <v>6926411.8778342521</v>
      </c>
      <c r="Q247" s="30">
        <f t="shared" si="43"/>
        <v>6799749.2977116173</v>
      </c>
      <c r="R247" s="30">
        <f t="shared" si="44"/>
        <v>6890513.4043744104</v>
      </c>
      <c r="S247" s="53">
        <f t="shared" si="45"/>
        <v>4.996929227798379</v>
      </c>
      <c r="T247" s="54">
        <v>4.9969289999999997</v>
      </c>
      <c r="U247" s="55">
        <f t="shared" si="46"/>
        <v>2.2779837927089375E-7</v>
      </c>
      <c r="V247" s="53">
        <f t="shared" si="47"/>
        <v>4.6975915231000007</v>
      </c>
      <c r="W247" s="53">
        <f t="shared" si="48"/>
        <v>4.7462254806161539</v>
      </c>
      <c r="X247" s="54">
        <v>4.7462249999999999</v>
      </c>
      <c r="Y247" s="55">
        <f t="shared" si="49"/>
        <v>4.8061615398609092E-7</v>
      </c>
      <c r="Z247" s="29">
        <f t="shared" si="50"/>
        <v>1178833.5569693116</v>
      </c>
      <c r="AA247" s="23">
        <f t="shared" si="51"/>
        <v>-7255616.2234467026</v>
      </c>
    </row>
    <row r="248" spans="1:27" x14ac:dyDescent="0.2">
      <c r="A248" s="27" t="s">
        <v>282</v>
      </c>
      <c r="B248" s="27" t="s">
        <v>44</v>
      </c>
      <c r="C248" s="27" t="s">
        <v>69</v>
      </c>
      <c r="D248" s="51">
        <v>785553577</v>
      </c>
      <c r="E248" s="51">
        <v>780859947</v>
      </c>
      <c r="F248" s="45">
        <v>4232451</v>
      </c>
      <c r="G248" s="27" t="s">
        <v>280</v>
      </c>
      <c r="H248" s="51">
        <v>780859947</v>
      </c>
      <c r="I248" s="51">
        <v>959523539</v>
      </c>
      <c r="J248" s="45">
        <v>4178688</v>
      </c>
      <c r="K248" s="27" t="s">
        <v>281</v>
      </c>
      <c r="L248" s="45">
        <v>2423889844</v>
      </c>
      <c r="M248" s="27" t="str">
        <f t="shared" si="39"/>
        <v>2026-02|FFM 70%</v>
      </c>
      <c r="N248" s="52">
        <f t="shared" si="40"/>
        <v>0.99402506698788795</v>
      </c>
      <c r="O248" s="52">
        <f t="shared" si="41"/>
        <v>1.2288036320551603</v>
      </c>
      <c r="P248" s="30">
        <f t="shared" si="42"/>
        <v>4207162.3887979537</v>
      </c>
      <c r="Q248" s="30">
        <f t="shared" si="43"/>
        <v>5200851.161295495</v>
      </c>
      <c r="R248" s="30">
        <f t="shared" si="44"/>
        <v>5134786.9916253136</v>
      </c>
      <c r="S248" s="53">
        <f t="shared" si="45"/>
        <v>3.0351779647923531</v>
      </c>
      <c r="T248" s="54">
        <v>3.0351780000000002</v>
      </c>
      <c r="U248" s="55">
        <f t="shared" si="46"/>
        <v>-3.5207647020030208E-8</v>
      </c>
      <c r="V248" s="53">
        <f t="shared" si="47"/>
        <v>3.5929963383251002</v>
      </c>
      <c r="W248" s="53">
        <f t="shared" si="48"/>
        <v>3.5368709741884699</v>
      </c>
      <c r="X248" s="54">
        <v>3.5368710000000001</v>
      </c>
      <c r="Y248" s="55">
        <f t="shared" si="49"/>
        <v>-2.581153024650007E-8</v>
      </c>
      <c r="Z248" s="29">
        <f t="shared" si="50"/>
        <v>-1360417.0012158023</v>
      </c>
      <c r="AA248" s="23">
        <f t="shared" si="51"/>
        <v>13520902.904026242</v>
      </c>
    </row>
    <row r="249" spans="1:27" x14ac:dyDescent="0.2">
      <c r="A249" s="27" t="s">
        <v>282</v>
      </c>
      <c r="B249" s="27" t="s">
        <v>44</v>
      </c>
      <c r="C249" s="27" t="s">
        <v>70</v>
      </c>
      <c r="D249" s="51">
        <v>3663252126</v>
      </c>
      <c r="E249" s="51">
        <v>3842817237</v>
      </c>
      <c r="F249" s="45">
        <v>6629599</v>
      </c>
      <c r="G249" s="27" t="s">
        <v>280</v>
      </c>
      <c r="H249" s="51">
        <v>3842817237</v>
      </c>
      <c r="I249" s="51">
        <v>4275370590</v>
      </c>
      <c r="J249" s="45">
        <v>6638706</v>
      </c>
      <c r="K249" s="27" t="s">
        <v>281</v>
      </c>
      <c r="L249" s="45">
        <v>2423889844</v>
      </c>
      <c r="M249" s="27" t="str">
        <f t="shared" si="39"/>
        <v>2026-02|FFM 70%</v>
      </c>
      <c r="N249" s="52">
        <f t="shared" si="40"/>
        <v>1.0490179503959156</v>
      </c>
      <c r="O249" s="52">
        <f t="shared" si="41"/>
        <v>1.1125615209683208</v>
      </c>
      <c r="P249" s="30">
        <f t="shared" si="42"/>
        <v>6954568.3549268115</v>
      </c>
      <c r="Q249" s="30">
        <f t="shared" si="43"/>
        <v>7375836.7468500584</v>
      </c>
      <c r="R249" s="30">
        <f t="shared" si="44"/>
        <v>7385968.8446215177</v>
      </c>
      <c r="S249" s="53">
        <f t="shared" si="45"/>
        <v>5.0172421872089936</v>
      </c>
      <c r="T249" s="54">
        <v>5.0172420000000004</v>
      </c>
      <c r="U249" s="55">
        <f t="shared" si="46"/>
        <v>1.8720899319646378E-7</v>
      </c>
      <c r="V249" s="53">
        <f t="shared" si="47"/>
        <v>5.0955802428529182</v>
      </c>
      <c r="W249" s="53">
        <f t="shared" si="48"/>
        <v>5.0874980530659588</v>
      </c>
      <c r="X249" s="54">
        <v>5.0874980000000001</v>
      </c>
      <c r="Y249" s="55">
        <f t="shared" si="49"/>
        <v>5.3065958738329755E-8</v>
      </c>
      <c r="Z249" s="29">
        <f t="shared" si="50"/>
        <v>-195903.37741891423</v>
      </c>
      <c r="AA249" s="23">
        <f t="shared" si="51"/>
        <v>1898828.1747401571</v>
      </c>
    </row>
    <row r="250" spans="1:27" x14ac:dyDescent="0.2">
      <c r="A250" s="27" t="s">
        <v>282</v>
      </c>
      <c r="B250" s="27" t="s">
        <v>44</v>
      </c>
      <c r="C250" s="27" t="s">
        <v>71</v>
      </c>
      <c r="D250" s="51">
        <v>6089114278</v>
      </c>
      <c r="E250" s="51">
        <v>6342492623</v>
      </c>
      <c r="F250" s="45">
        <v>2528745</v>
      </c>
      <c r="G250" s="27" t="s">
        <v>280</v>
      </c>
      <c r="H250" s="51">
        <v>6342492623</v>
      </c>
      <c r="I250" s="51">
        <v>6951984946</v>
      </c>
      <c r="J250" s="45">
        <v>2535155</v>
      </c>
      <c r="K250" s="27" t="s">
        <v>281</v>
      </c>
      <c r="L250" s="45">
        <v>2423889844</v>
      </c>
      <c r="M250" s="27" t="str">
        <f t="shared" si="39"/>
        <v>2026-02|FFM 70%</v>
      </c>
      <c r="N250" s="52">
        <f t="shared" si="40"/>
        <v>1.0416116915255569</v>
      </c>
      <c r="O250" s="52">
        <f t="shared" si="41"/>
        <v>1.0960966546164794</v>
      </c>
      <c r="P250" s="30">
        <f t="shared" si="42"/>
        <v>2633970.3568867943</v>
      </c>
      <c r="Q250" s="30">
        <f t="shared" si="43"/>
        <v>2771748.9348781491</v>
      </c>
      <c r="R250" s="30">
        <f t="shared" si="44"/>
        <v>2778774.9144342411</v>
      </c>
      <c r="S250" s="53">
        <f t="shared" si="45"/>
        <v>1.9002282413499161</v>
      </c>
      <c r="T250" s="54">
        <v>1.900228</v>
      </c>
      <c r="U250" s="55">
        <f t="shared" si="46"/>
        <v>2.4134991605251344E-7</v>
      </c>
      <c r="V250" s="53">
        <f t="shared" si="47"/>
        <v>1.9148565234643244</v>
      </c>
      <c r="W250" s="53">
        <f t="shared" si="48"/>
        <v>1.9140362306547416</v>
      </c>
      <c r="X250" s="54">
        <v>1.9140360000000001</v>
      </c>
      <c r="Y250" s="55">
        <f t="shared" si="49"/>
        <v>2.3065474152872412E-7</v>
      </c>
      <c r="Z250" s="29">
        <f t="shared" si="50"/>
        <v>-19882.994102540852</v>
      </c>
      <c r="AA250" s="23">
        <f t="shared" si="51"/>
        <v>354573.44452281279</v>
      </c>
    </row>
    <row r="251" spans="1:27" x14ac:dyDescent="0.2">
      <c r="A251" s="27" t="s">
        <v>282</v>
      </c>
      <c r="B251" s="27" t="s">
        <v>44</v>
      </c>
      <c r="C251" s="27" t="s">
        <v>72</v>
      </c>
      <c r="D251" s="51">
        <v>5916680527</v>
      </c>
      <c r="E251" s="51">
        <v>6088161317</v>
      </c>
      <c r="F251" s="45">
        <v>1905221</v>
      </c>
      <c r="G251" s="27" t="s">
        <v>280</v>
      </c>
      <c r="H251" s="51">
        <v>6088161317</v>
      </c>
      <c r="I251" s="51">
        <v>6371125057</v>
      </c>
      <c r="J251" s="45">
        <v>1975372</v>
      </c>
      <c r="K251" s="27" t="s">
        <v>281</v>
      </c>
      <c r="L251" s="45">
        <v>2423889844</v>
      </c>
      <c r="M251" s="27" t="str">
        <f t="shared" si="39"/>
        <v>2026-02|FFM 70%</v>
      </c>
      <c r="N251" s="52">
        <f t="shared" si="40"/>
        <v>1.0289826008379985</v>
      </c>
      <c r="O251" s="52">
        <f t="shared" si="41"/>
        <v>1.0464777007813311</v>
      </c>
      <c r="P251" s="30">
        <f t="shared" si="42"/>
        <v>1960439.2597511725</v>
      </c>
      <c r="Q251" s="30">
        <f t="shared" si="43"/>
        <v>1993771.2915603083</v>
      </c>
      <c r="R251" s="30">
        <f t="shared" si="44"/>
        <v>2067182.7487478196</v>
      </c>
      <c r="S251" s="53">
        <f t="shared" si="45"/>
        <v>1.4143219330810455</v>
      </c>
      <c r="T251" s="54">
        <v>1.4143220000000001</v>
      </c>
      <c r="U251" s="55">
        <f t="shared" si="46"/>
        <v>-6.6918954599870517E-8</v>
      </c>
      <c r="V251" s="53">
        <f t="shared" si="47"/>
        <v>1.3773924167153995</v>
      </c>
      <c r="W251" s="53">
        <f t="shared" si="48"/>
        <v>1.4238874318085464</v>
      </c>
      <c r="X251" s="54">
        <v>1.4238869999999999</v>
      </c>
      <c r="Y251" s="55">
        <f t="shared" si="49"/>
        <v>4.3180854647495437E-7</v>
      </c>
      <c r="Z251" s="29">
        <f t="shared" si="50"/>
        <v>1126987.9488090551</v>
      </c>
      <c r="AA251" s="23">
        <f t="shared" si="51"/>
        <v>-895130.79662521149</v>
      </c>
    </row>
    <row r="252" spans="1:27" x14ac:dyDescent="0.2">
      <c r="A252" s="27" t="s">
        <v>282</v>
      </c>
      <c r="B252" s="27" t="s">
        <v>44</v>
      </c>
      <c r="C252" s="27" t="s">
        <v>73</v>
      </c>
      <c r="D252" s="51">
        <v>2449054350</v>
      </c>
      <c r="E252" s="51">
        <v>2527538116</v>
      </c>
      <c r="F252" s="45">
        <v>2885526</v>
      </c>
      <c r="G252" s="27" t="s">
        <v>280</v>
      </c>
      <c r="H252" s="51">
        <v>2527538116</v>
      </c>
      <c r="I252" s="51">
        <v>2740573920</v>
      </c>
      <c r="J252" s="45">
        <v>2951151</v>
      </c>
      <c r="K252" s="27" t="s">
        <v>281</v>
      </c>
      <c r="L252" s="45">
        <v>2423889844</v>
      </c>
      <c r="M252" s="27" t="str">
        <f t="shared" si="39"/>
        <v>2026-02|FFM 70%</v>
      </c>
      <c r="N252" s="52">
        <f t="shared" si="40"/>
        <v>1.0320465595220458</v>
      </c>
      <c r="O252" s="52">
        <f t="shared" si="41"/>
        <v>1.0842858917345009</v>
      </c>
      <c r="P252" s="30">
        <f t="shared" si="42"/>
        <v>2977997.1807114109</v>
      </c>
      <c r="Q252" s="30">
        <f t="shared" si="43"/>
        <v>3128735.1320330873</v>
      </c>
      <c r="R252" s="30">
        <f t="shared" si="44"/>
        <v>3199891.3936781641</v>
      </c>
      <c r="S252" s="53">
        <f t="shared" si="45"/>
        <v>2.1484199055819011</v>
      </c>
      <c r="T252" s="54">
        <v>2.1484200000000002</v>
      </c>
      <c r="U252" s="55">
        <f t="shared" si="46"/>
        <v>-9.4418099116921894E-8</v>
      </c>
      <c r="V252" s="53">
        <f t="shared" si="47"/>
        <v>2.16147963561099</v>
      </c>
      <c r="W252" s="53">
        <f t="shared" si="48"/>
        <v>2.2041036968650238</v>
      </c>
      <c r="X252" s="54">
        <v>2.2041040000000001</v>
      </c>
      <c r="Y252" s="55">
        <f t="shared" si="49"/>
        <v>-3.0313497623168928E-7</v>
      </c>
      <c r="Z252" s="29">
        <f t="shared" si="50"/>
        <v>1033160.2918368654</v>
      </c>
      <c r="AA252" s="23">
        <f t="shared" si="51"/>
        <v>316553.46982890385</v>
      </c>
    </row>
    <row r="253" spans="1:27" x14ac:dyDescent="0.2">
      <c r="A253" s="27" t="s">
        <v>282</v>
      </c>
      <c r="B253" s="27" t="s">
        <v>44</v>
      </c>
      <c r="C253" s="27" t="s">
        <v>74</v>
      </c>
      <c r="D253" s="51">
        <v>5127365283</v>
      </c>
      <c r="E253" s="51">
        <v>5096208896</v>
      </c>
      <c r="F253" s="45">
        <v>3144666</v>
      </c>
      <c r="G253" s="27" t="s">
        <v>280</v>
      </c>
      <c r="H253" s="51">
        <v>5096208896</v>
      </c>
      <c r="I253" s="51">
        <v>5225519381</v>
      </c>
      <c r="J253" s="45">
        <v>3085699</v>
      </c>
      <c r="K253" s="27" t="s">
        <v>281</v>
      </c>
      <c r="L253" s="45">
        <v>2423889844</v>
      </c>
      <c r="M253" s="27" t="str">
        <f t="shared" si="39"/>
        <v>2026-02|FFM 70%</v>
      </c>
      <c r="N253" s="52">
        <f t="shared" si="40"/>
        <v>0.99392350938925678</v>
      </c>
      <c r="O253" s="52">
        <f t="shared" si="41"/>
        <v>1.0253738588113011</v>
      </c>
      <c r="P253" s="30">
        <f t="shared" si="42"/>
        <v>3125557.4665770764</v>
      </c>
      <c r="Q253" s="30">
        <f t="shared" si="43"/>
        <v>3224458.3110926989</v>
      </c>
      <c r="R253" s="30">
        <f t="shared" si="44"/>
        <v>3163995.0907601728</v>
      </c>
      <c r="S253" s="53">
        <f t="shared" si="45"/>
        <v>2.2548744910598559</v>
      </c>
      <c r="T253" s="54">
        <v>2.254874</v>
      </c>
      <c r="U253" s="55">
        <f t="shared" si="46"/>
        <v>4.9105985588937529E-7</v>
      </c>
      <c r="V253" s="53">
        <f t="shared" si="47"/>
        <v>2.2276097787717015</v>
      </c>
      <c r="W253" s="53">
        <f t="shared" si="48"/>
        <v>2.1793781158276042</v>
      </c>
      <c r="X253" s="54">
        <v>2.1793779999999998</v>
      </c>
      <c r="Y253" s="55">
        <f t="shared" si="49"/>
        <v>1.1582760439665662E-7</v>
      </c>
      <c r="Z253" s="29">
        <f t="shared" si="50"/>
        <v>-1169082.379694286</v>
      </c>
      <c r="AA253" s="23">
        <f t="shared" si="51"/>
        <v>-660866.59214839479</v>
      </c>
    </row>
    <row r="254" spans="1:27" x14ac:dyDescent="0.2">
      <c r="A254" s="27" t="s">
        <v>282</v>
      </c>
      <c r="B254" s="27" t="s">
        <v>44</v>
      </c>
      <c r="C254" s="27" t="s">
        <v>75</v>
      </c>
      <c r="D254" s="51">
        <v>4498545546</v>
      </c>
      <c r="E254" s="51">
        <v>5072399122</v>
      </c>
      <c r="F254" s="45">
        <v>3042242</v>
      </c>
      <c r="G254" s="27" t="s">
        <v>280</v>
      </c>
      <c r="H254" s="51">
        <v>5072399122</v>
      </c>
      <c r="I254" s="51">
        <v>5527852624</v>
      </c>
      <c r="J254" s="45">
        <v>3035624</v>
      </c>
      <c r="K254" s="27" t="s">
        <v>281</v>
      </c>
      <c r="L254" s="45">
        <v>2423889844</v>
      </c>
      <c r="M254" s="27" t="str">
        <f t="shared" si="39"/>
        <v>2026-02|FFM 70%</v>
      </c>
      <c r="N254" s="52">
        <f t="shared" si="40"/>
        <v>1.1275642471843499</v>
      </c>
      <c r="O254" s="52">
        <f t="shared" si="41"/>
        <v>1.0897905490174478</v>
      </c>
      <c r="P254" s="30">
        <f t="shared" si="42"/>
        <v>3430323.3104826109</v>
      </c>
      <c r="Q254" s="30">
        <f t="shared" si="43"/>
        <v>3315406.5794239384</v>
      </c>
      <c r="R254" s="30">
        <f t="shared" si="44"/>
        <v>3308194.345570541</v>
      </c>
      <c r="S254" s="53">
        <f t="shared" si="45"/>
        <v>2.47474206173086</v>
      </c>
      <c r="T254" s="54">
        <v>2.474742</v>
      </c>
      <c r="U254" s="55">
        <f t="shared" si="46"/>
        <v>6.1730859979292063E-8</v>
      </c>
      <c r="V254" s="53">
        <f t="shared" si="47"/>
        <v>2.2904411855850726</v>
      </c>
      <c r="W254" s="53">
        <f t="shared" si="48"/>
        <v>2.2787033964420127</v>
      </c>
      <c r="X254" s="54">
        <v>2.2787030000000001</v>
      </c>
      <c r="Y254" s="55">
        <f t="shared" si="49"/>
        <v>3.9644201255129019E-7</v>
      </c>
      <c r="Z254" s="29">
        <f t="shared" si="50"/>
        <v>-284511.07894876343</v>
      </c>
      <c r="AA254" s="23">
        <f t="shared" si="51"/>
        <v>-4467250.219300759</v>
      </c>
    </row>
    <row r="255" spans="1:27" x14ac:dyDescent="0.2">
      <c r="A255" s="27" t="s">
        <v>282</v>
      </c>
      <c r="B255" s="27" t="s">
        <v>44</v>
      </c>
      <c r="C255" s="27" t="s">
        <v>76</v>
      </c>
      <c r="D255" s="51">
        <v>584669981</v>
      </c>
      <c r="E255" s="51">
        <v>567303935</v>
      </c>
      <c r="F255" s="45">
        <v>2554147</v>
      </c>
      <c r="G255" s="27" t="s">
        <v>280</v>
      </c>
      <c r="H255" s="51">
        <v>567303935</v>
      </c>
      <c r="I255" s="51">
        <v>665596908</v>
      </c>
      <c r="J255" s="45">
        <v>2578825</v>
      </c>
      <c r="K255" s="27" t="s">
        <v>281</v>
      </c>
      <c r="L255" s="45">
        <v>2423889844</v>
      </c>
      <c r="M255" s="27" t="str">
        <f t="shared" si="39"/>
        <v>2026-02|FFM 70%</v>
      </c>
      <c r="N255" s="52">
        <f t="shared" si="40"/>
        <v>0.97029769517104725</v>
      </c>
      <c r="O255" s="52">
        <f t="shared" si="41"/>
        <v>1.1732633372268078</v>
      </c>
      <c r="P255" s="30">
        <f t="shared" si="42"/>
        <v>2478282.9472280447</v>
      </c>
      <c r="Q255" s="30">
        <f t="shared" si="43"/>
        <v>2996687.0329878395</v>
      </c>
      <c r="R255" s="30">
        <f t="shared" si="44"/>
        <v>3025640.8256239225</v>
      </c>
      <c r="S255" s="53">
        <f t="shared" si="45"/>
        <v>1.787910495676484</v>
      </c>
      <c r="T255" s="54">
        <v>1.7879100000000001</v>
      </c>
      <c r="U255" s="55">
        <f t="shared" si="46"/>
        <v>4.956764838581762E-7</v>
      </c>
      <c r="V255" s="53">
        <f t="shared" si="47"/>
        <v>2.0702545031012982</v>
      </c>
      <c r="W255" s="53">
        <f t="shared" si="48"/>
        <v>2.0840788979021712</v>
      </c>
      <c r="X255" s="54">
        <v>2.084079</v>
      </c>
      <c r="Y255" s="55">
        <f t="shared" si="49"/>
        <v>-1.0209782885794993E-7</v>
      </c>
      <c r="Z255" s="29">
        <f t="shared" si="50"/>
        <v>335088.10157282325</v>
      </c>
      <c r="AA255" s="23">
        <f t="shared" si="51"/>
        <v>6843707.7211126778</v>
      </c>
    </row>
    <row r="256" spans="1:27" x14ac:dyDescent="0.2">
      <c r="A256" s="27" t="s">
        <v>282</v>
      </c>
      <c r="B256" s="27" t="s">
        <v>44</v>
      </c>
      <c r="C256" s="27" t="s">
        <v>77</v>
      </c>
      <c r="D256" s="51">
        <v>4561458079</v>
      </c>
      <c r="E256" s="51">
        <v>5005541870</v>
      </c>
      <c r="F256" s="45">
        <v>3569939</v>
      </c>
      <c r="G256" s="27" t="s">
        <v>280</v>
      </c>
      <c r="H256" s="51">
        <v>5005541870</v>
      </c>
      <c r="I256" s="51">
        <v>5440571346</v>
      </c>
      <c r="J256" s="45">
        <v>3602540</v>
      </c>
      <c r="K256" s="27" t="s">
        <v>281</v>
      </c>
      <c r="L256" s="45">
        <v>2423889844</v>
      </c>
      <c r="M256" s="27" t="str">
        <f t="shared" si="39"/>
        <v>2026-02|FFM 70%</v>
      </c>
      <c r="N256" s="52">
        <f t="shared" si="40"/>
        <v>1.0973556663919524</v>
      </c>
      <c r="O256" s="52">
        <f t="shared" si="41"/>
        <v>1.0869095668957016</v>
      </c>
      <c r="P256" s="30">
        <f t="shared" si="42"/>
        <v>3917492.7903236202</v>
      </c>
      <c r="Q256" s="30">
        <f t="shared" si="43"/>
        <v>3880200.8523340742</v>
      </c>
      <c r="R256" s="30">
        <f t="shared" si="44"/>
        <v>3915635.1911244411</v>
      </c>
      <c r="S256" s="53">
        <f t="shared" si="45"/>
        <v>2.8262012956957396</v>
      </c>
      <c r="T256" s="54">
        <v>2.8262010000000002</v>
      </c>
      <c r="U256" s="55">
        <f t="shared" si="46"/>
        <v>2.9569573944954186E-7</v>
      </c>
      <c r="V256" s="53">
        <f t="shared" si="47"/>
        <v>2.6806280399167433</v>
      </c>
      <c r="W256" s="53">
        <f t="shared" si="48"/>
        <v>2.6971121636762003</v>
      </c>
      <c r="X256" s="54">
        <v>2.6971120000000002</v>
      </c>
      <c r="Y256" s="55">
        <f t="shared" si="49"/>
        <v>1.6367620014889894E-7</v>
      </c>
      <c r="Z256" s="29">
        <f t="shared" si="50"/>
        <v>399557.00167787087</v>
      </c>
      <c r="AA256" s="23">
        <f t="shared" si="51"/>
        <v>-3528535.3624072364</v>
      </c>
    </row>
    <row r="257" spans="1:27" x14ac:dyDescent="0.2">
      <c r="A257" s="27" t="s">
        <v>282</v>
      </c>
      <c r="B257" s="27" t="s">
        <v>44</v>
      </c>
      <c r="C257" s="27" t="s">
        <v>78</v>
      </c>
      <c r="D257" s="51">
        <v>451672513</v>
      </c>
      <c r="E257" s="51">
        <v>461261777</v>
      </c>
      <c r="F257" s="45">
        <v>1476723</v>
      </c>
      <c r="G257" s="27" t="s">
        <v>280</v>
      </c>
      <c r="H257" s="51">
        <v>461261777</v>
      </c>
      <c r="I257" s="51">
        <v>558824590</v>
      </c>
      <c r="J257" s="45">
        <v>1426175</v>
      </c>
      <c r="K257" s="27" t="s">
        <v>281</v>
      </c>
      <c r="L257" s="45">
        <v>2423889844</v>
      </c>
      <c r="M257" s="27" t="str">
        <f t="shared" si="39"/>
        <v>2026-02|FFM 70%</v>
      </c>
      <c r="N257" s="52">
        <f t="shared" si="40"/>
        <v>1.0212305679978362</v>
      </c>
      <c r="O257" s="52">
        <f t="shared" si="41"/>
        <v>1.2115128932523711</v>
      </c>
      <c r="P257" s="30">
        <f t="shared" si="42"/>
        <v>1508074.6680654685</v>
      </c>
      <c r="Q257" s="30">
        <f t="shared" si="43"/>
        <v>1789068.9542623211</v>
      </c>
      <c r="R257" s="30">
        <f t="shared" si="44"/>
        <v>1727829.4005342002</v>
      </c>
      <c r="S257" s="53">
        <f t="shared" si="45"/>
        <v>1.0879720293092001</v>
      </c>
      <c r="T257" s="54">
        <v>1.0879719999999999</v>
      </c>
      <c r="U257" s="55">
        <f t="shared" si="46"/>
        <v>2.930920017796268E-8</v>
      </c>
      <c r="V257" s="53">
        <f t="shared" si="47"/>
        <v>1.2359742669648783</v>
      </c>
      <c r="W257" s="53">
        <f t="shared" si="48"/>
        <v>1.1901388830862734</v>
      </c>
      <c r="X257" s="54">
        <v>1.1901390000000001</v>
      </c>
      <c r="Y257" s="55">
        <f t="shared" si="49"/>
        <v>-1.1691372669986322E-7</v>
      </c>
      <c r="Z257" s="29">
        <f t="shared" si="50"/>
        <v>-1110999.2147919191</v>
      </c>
      <c r="AA257" s="23">
        <f t="shared" si="51"/>
        <v>3587411.2074287282</v>
      </c>
    </row>
    <row r="258" spans="1:27" x14ac:dyDescent="0.2">
      <c r="A258" s="27" t="s">
        <v>282</v>
      </c>
      <c r="B258" s="27" t="s">
        <v>44</v>
      </c>
      <c r="C258" s="27" t="s">
        <v>79</v>
      </c>
      <c r="D258" s="51">
        <v>4628462870</v>
      </c>
      <c r="E258" s="51">
        <v>4968141044</v>
      </c>
      <c r="F258" s="45">
        <v>8113343</v>
      </c>
      <c r="G258" s="27" t="s">
        <v>280</v>
      </c>
      <c r="H258" s="51">
        <v>4968141044</v>
      </c>
      <c r="I258" s="51">
        <v>5256423850</v>
      </c>
      <c r="J258" s="45">
        <v>8066173</v>
      </c>
      <c r="K258" s="27" t="s">
        <v>281</v>
      </c>
      <c r="L258" s="45">
        <v>2423889844</v>
      </c>
      <c r="M258" s="27" t="str">
        <f t="shared" si="39"/>
        <v>2026-02|FFM 70%</v>
      </c>
      <c r="N258" s="52">
        <f t="shared" si="40"/>
        <v>1.0733889810808832</v>
      </c>
      <c r="O258" s="52">
        <f t="shared" si="41"/>
        <v>1.0580262926206891</v>
      </c>
      <c r="P258" s="30">
        <f t="shared" si="42"/>
        <v>8708772.9759297166</v>
      </c>
      <c r="Q258" s="30">
        <f t="shared" si="43"/>
        <v>8584130.2150500193</v>
      </c>
      <c r="R258" s="30">
        <f t="shared" si="44"/>
        <v>8534223.1148271021</v>
      </c>
      <c r="S258" s="53">
        <f t="shared" si="45"/>
        <v>6.2827800294329013</v>
      </c>
      <c r="T258" s="54">
        <v>6.2827799999999998</v>
      </c>
      <c r="U258" s="55">
        <f t="shared" si="46"/>
        <v>2.943290144941102E-8</v>
      </c>
      <c r="V258" s="53">
        <f t="shared" si="47"/>
        <v>5.9303270702901374</v>
      </c>
      <c r="W258" s="53">
        <f t="shared" si="48"/>
        <v>5.8784222347120201</v>
      </c>
      <c r="X258" s="54">
        <v>5.8784219999999996</v>
      </c>
      <c r="Y258" s="55">
        <f t="shared" si="49"/>
        <v>2.3471202048597206E-7</v>
      </c>
      <c r="Z258" s="29">
        <f t="shared" si="50"/>
        <v>-1258116.0381228842</v>
      </c>
      <c r="AA258" s="23">
        <f t="shared" si="51"/>
        <v>-8543071.4815389235</v>
      </c>
    </row>
    <row r="259" spans="1:27" x14ac:dyDescent="0.2">
      <c r="A259" s="27" t="s">
        <v>282</v>
      </c>
      <c r="B259" s="27" t="s">
        <v>44</v>
      </c>
      <c r="C259" s="27" t="s">
        <v>80</v>
      </c>
      <c r="D259" s="51">
        <v>1925506884</v>
      </c>
      <c r="E259" s="51">
        <v>1981620237</v>
      </c>
      <c r="F259" s="45">
        <v>2402017</v>
      </c>
      <c r="G259" s="27" t="s">
        <v>280</v>
      </c>
      <c r="H259" s="51">
        <v>1981620237</v>
      </c>
      <c r="I259" s="51">
        <v>2285077031</v>
      </c>
      <c r="J259" s="45">
        <v>2456821</v>
      </c>
      <c r="K259" s="27" t="s">
        <v>281</v>
      </c>
      <c r="L259" s="45">
        <v>2423889844</v>
      </c>
      <c r="M259" s="27" t="str">
        <f t="shared" si="39"/>
        <v>2026-02|FFM 70%</v>
      </c>
      <c r="N259" s="52">
        <f t="shared" si="40"/>
        <v>1.0291421201691222</v>
      </c>
      <c r="O259" s="52">
        <f t="shared" si="41"/>
        <v>1.1531356958987293</v>
      </c>
      <c r="P259" s="30">
        <f t="shared" si="42"/>
        <v>2472016.8680622745</v>
      </c>
      <c r="Q259" s="30">
        <f t="shared" si="43"/>
        <v>2769851.5448555783</v>
      </c>
      <c r="R259" s="30">
        <f t="shared" si="44"/>
        <v>2833047.9935336122</v>
      </c>
      <c r="S259" s="53">
        <f t="shared" si="45"/>
        <v>1.7833899510309461</v>
      </c>
      <c r="T259" s="54">
        <v>1.78339</v>
      </c>
      <c r="U259" s="55">
        <f t="shared" si="46"/>
        <v>-4.8969053922931494E-8</v>
      </c>
      <c r="V259" s="53">
        <f t="shared" si="47"/>
        <v>1.9135457158307192</v>
      </c>
      <c r="W259" s="53">
        <f t="shared" si="48"/>
        <v>1.9514198413983763</v>
      </c>
      <c r="X259" s="54">
        <v>1.9514199999999999</v>
      </c>
      <c r="Y259" s="55">
        <f t="shared" si="49"/>
        <v>-1.5860162361214236E-7</v>
      </c>
      <c r="Z259" s="29">
        <f t="shared" si="50"/>
        <v>918027.08313824842</v>
      </c>
      <c r="AA259" s="23">
        <f t="shared" si="51"/>
        <v>3154832.3643622268</v>
      </c>
    </row>
    <row r="260" spans="1:27" x14ac:dyDescent="0.2">
      <c r="A260" s="27" t="s">
        <v>282</v>
      </c>
      <c r="B260" s="27" t="s">
        <v>44</v>
      </c>
      <c r="C260" s="27" t="s">
        <v>81</v>
      </c>
      <c r="D260" s="51">
        <v>1412961700</v>
      </c>
      <c r="E260" s="51">
        <v>1504822070</v>
      </c>
      <c r="F260" s="45">
        <v>1695685</v>
      </c>
      <c r="G260" s="27" t="s">
        <v>280</v>
      </c>
      <c r="H260" s="51">
        <v>1504822070</v>
      </c>
      <c r="I260" s="51">
        <v>1621236790</v>
      </c>
      <c r="J260" s="45">
        <v>1689186</v>
      </c>
      <c r="K260" s="27" t="s">
        <v>281</v>
      </c>
      <c r="L260" s="45">
        <v>2423889844</v>
      </c>
      <c r="M260" s="27" t="str">
        <f t="shared" si="39"/>
        <v>2026-02|FFM 70%</v>
      </c>
      <c r="N260" s="52">
        <f t="shared" si="40"/>
        <v>1.065012639762281</v>
      </c>
      <c r="O260" s="52">
        <f t="shared" si="41"/>
        <v>1.0773611195109598</v>
      </c>
      <c r="P260" s="30">
        <f t="shared" si="42"/>
        <v>1805925.9580553034</v>
      </c>
      <c r="Q260" s="30">
        <f t="shared" si="43"/>
        <v>1826865.0899379419</v>
      </c>
      <c r="R260" s="30">
        <f t="shared" si="44"/>
        <v>1819863.32002224</v>
      </c>
      <c r="S260" s="53">
        <f t="shared" si="45"/>
        <v>1.3028512254555649</v>
      </c>
      <c r="T260" s="54">
        <v>1.302851</v>
      </c>
      <c r="U260" s="55">
        <f t="shared" si="46"/>
        <v>2.2545556488395846E-7</v>
      </c>
      <c r="V260" s="53">
        <f t="shared" si="47"/>
        <v>1.2620856423674225</v>
      </c>
      <c r="W260" s="53">
        <f t="shared" si="48"/>
        <v>1.2535323790597086</v>
      </c>
      <c r="X260" s="54">
        <v>1.2535320000000001</v>
      </c>
      <c r="Y260" s="55">
        <f t="shared" si="49"/>
        <v>3.7905970851070947E-7</v>
      </c>
      <c r="Z260" s="29">
        <f t="shared" si="50"/>
        <v>-207321.68064625538</v>
      </c>
      <c r="AA260" s="23">
        <f t="shared" si="51"/>
        <v>-988112.82832086459</v>
      </c>
    </row>
    <row r="261" spans="1:27" x14ac:dyDescent="0.2">
      <c r="A261" s="27" t="s">
        <v>283</v>
      </c>
      <c r="B261" s="27" t="s">
        <v>153</v>
      </c>
      <c r="C261" s="27" t="s">
        <v>50</v>
      </c>
      <c r="D261" s="51">
        <v>424041038</v>
      </c>
      <c r="E261" s="51">
        <v>435173210</v>
      </c>
      <c r="F261" s="45">
        <v>1519678</v>
      </c>
      <c r="G261" s="27" t="s">
        <v>284</v>
      </c>
      <c r="H261" s="51">
        <v>424041038</v>
      </c>
      <c r="I261" s="51">
        <v>435173210</v>
      </c>
      <c r="J261" s="45">
        <v>1531396</v>
      </c>
      <c r="K261" s="27" t="s">
        <v>281</v>
      </c>
      <c r="L261" s="45">
        <v>32499850433</v>
      </c>
      <c r="M261" s="27" t="str">
        <f t="shared" ref="M261:M324" si="52">A261&amp;"|"&amp;B261</f>
        <v>2026-03|FGP primera parte (60%)</v>
      </c>
      <c r="N261" s="52">
        <f t="shared" ref="N261:N324" si="53">IF(E261="",D261,E261/D261)</f>
        <v>1.0262525817135653</v>
      </c>
      <c r="O261" s="52">
        <f t="shared" ref="O261:O324" si="54">IF(I261="",H261,I261/H261)</f>
        <v>1.0262525817135653</v>
      </c>
      <c r="P261" s="30">
        <f t="shared" ref="P261:P324" si="55">N261*F261</f>
        <v>1559573.4708733074</v>
      </c>
      <c r="Q261" s="30">
        <f t="shared" ref="Q261:Q324" si="56">O261*F261</f>
        <v>1559573.4708733074</v>
      </c>
      <c r="R261" s="30">
        <f t="shared" ref="R261:R324" si="57">O261*J261</f>
        <v>1571599.0986258269</v>
      </c>
      <c r="S261" s="53">
        <f t="shared" ref="S261:S324" si="58">P261/SUMIFS($P$5:$P$516,$M$5:$M$516,M261)*100</f>
        <v>1.1276636330063565</v>
      </c>
      <c r="T261" s="54">
        <v>1.127664</v>
      </c>
      <c r="U261" s="55">
        <f t="shared" ref="U261:U324" si="59">S261-T261</f>
        <v>-3.6699364347470009E-7</v>
      </c>
      <c r="V261" s="53">
        <f t="shared" ref="V261:V324" si="60">Q261/SUMIFS($Q$5:$Q$516,$M$5:$M$516,M261)*100</f>
        <v>1.1276636330063565</v>
      </c>
      <c r="W261" s="53">
        <f t="shared" ref="W261:W324" si="61">R261/SUMIFS($R$5:$R$516,$M$5:$M$516,M261)*100</f>
        <v>1.1351484297080587</v>
      </c>
      <c r="X261" s="54">
        <v>1.135148</v>
      </c>
      <c r="Y261" s="55">
        <f t="shared" ref="Y261:Y324" si="62">W261-X261</f>
        <v>4.2970805869124717E-7</v>
      </c>
      <c r="Z261" s="29">
        <f t="shared" ref="Z261:Z324" si="63">(W261-V261)/100*L261</f>
        <v>2432547.7332673362</v>
      </c>
      <c r="AA261" s="23">
        <f t="shared" ref="AA261:AA324" si="64">(V261-S261)/100*L261</f>
        <v>0</v>
      </c>
    </row>
    <row r="262" spans="1:27" x14ac:dyDescent="0.2">
      <c r="A262" s="27" t="s">
        <v>283</v>
      </c>
      <c r="B262" s="27" t="s">
        <v>153</v>
      </c>
      <c r="C262" s="27" t="s">
        <v>51</v>
      </c>
      <c r="D262" s="51">
        <v>1248958117</v>
      </c>
      <c r="E262" s="51">
        <v>1292417521</v>
      </c>
      <c r="F262" s="45">
        <v>3790412</v>
      </c>
      <c r="G262" s="27" t="s">
        <v>284</v>
      </c>
      <c r="H262" s="51">
        <v>1248958117</v>
      </c>
      <c r="I262" s="51">
        <v>1292417521</v>
      </c>
      <c r="J262" s="45">
        <v>3830329</v>
      </c>
      <c r="K262" s="27" t="s">
        <v>281</v>
      </c>
      <c r="L262" s="45">
        <v>32499850433</v>
      </c>
      <c r="M262" s="27" t="str">
        <f t="shared" si="52"/>
        <v>2026-03|FGP primera parte (60%)</v>
      </c>
      <c r="N262" s="52">
        <f t="shared" si="53"/>
        <v>1.0347965263273917</v>
      </c>
      <c r="O262" s="52">
        <f t="shared" si="54"/>
        <v>1.0347965263273917</v>
      </c>
      <c r="P262" s="30">
        <f t="shared" si="55"/>
        <v>3922305.1709496616</v>
      </c>
      <c r="Q262" s="30">
        <f t="shared" si="56"/>
        <v>3922305.1709496616</v>
      </c>
      <c r="R262" s="30">
        <f t="shared" si="57"/>
        <v>3963611.1438910719</v>
      </c>
      <c r="S262" s="53">
        <f t="shared" si="58"/>
        <v>2.836058051408096</v>
      </c>
      <c r="T262" s="54">
        <v>2.836058</v>
      </c>
      <c r="U262" s="55">
        <f t="shared" si="59"/>
        <v>5.1408096002347747E-8</v>
      </c>
      <c r="V262" s="53">
        <f t="shared" si="60"/>
        <v>2.836058051408096</v>
      </c>
      <c r="W262" s="53">
        <f t="shared" si="61"/>
        <v>2.8628719435480678</v>
      </c>
      <c r="X262" s="54">
        <v>2.8628719999999999</v>
      </c>
      <c r="Y262" s="55">
        <f t="shared" si="62"/>
        <v>-5.6451932017864692E-8</v>
      </c>
      <c r="Z262" s="29">
        <f t="shared" si="63"/>
        <v>8714474.8407568019</v>
      </c>
      <c r="AA262" s="23">
        <f t="shared" si="64"/>
        <v>0</v>
      </c>
    </row>
    <row r="263" spans="1:27" x14ac:dyDescent="0.2">
      <c r="A263" s="27" t="s">
        <v>283</v>
      </c>
      <c r="B263" s="27" t="s">
        <v>153</v>
      </c>
      <c r="C263" s="27" t="s">
        <v>52</v>
      </c>
      <c r="D263" s="51">
        <v>235075861</v>
      </c>
      <c r="E263" s="51">
        <v>251902223</v>
      </c>
      <c r="F263" s="45">
        <v>906940</v>
      </c>
      <c r="G263" s="27" t="s">
        <v>284</v>
      </c>
      <c r="H263" s="51">
        <v>235075861</v>
      </c>
      <c r="I263" s="51">
        <v>251902223</v>
      </c>
      <c r="J263" s="45">
        <v>928591</v>
      </c>
      <c r="K263" s="27" t="s">
        <v>281</v>
      </c>
      <c r="L263" s="45">
        <v>32499850433</v>
      </c>
      <c r="M263" s="27" t="str">
        <f t="shared" si="52"/>
        <v>2026-03|FGP primera parte (60%)</v>
      </c>
      <c r="N263" s="52">
        <f t="shared" si="53"/>
        <v>1.0715784339932717</v>
      </c>
      <c r="O263" s="52">
        <f t="shared" si="54"/>
        <v>1.0715784339932717</v>
      </c>
      <c r="P263" s="30">
        <f t="shared" si="55"/>
        <v>971857.34492585785</v>
      </c>
      <c r="Q263" s="30">
        <f t="shared" si="56"/>
        <v>971857.34492585785</v>
      </c>
      <c r="R263" s="30">
        <f t="shared" si="57"/>
        <v>995058.08960024617</v>
      </c>
      <c r="S263" s="53">
        <f t="shared" si="58"/>
        <v>0.70271019917344613</v>
      </c>
      <c r="T263" s="54">
        <v>0.70270999999999995</v>
      </c>
      <c r="U263" s="55">
        <f t="shared" si="59"/>
        <v>1.9917344618036736E-7</v>
      </c>
      <c r="V263" s="53">
        <f t="shared" si="60"/>
        <v>0.70271019917344613</v>
      </c>
      <c r="W263" s="53">
        <f t="shared" si="61"/>
        <v>0.71871931516483112</v>
      </c>
      <c r="X263" s="54">
        <v>0.718719</v>
      </c>
      <c r="Y263" s="55">
        <f t="shared" si="62"/>
        <v>3.151648311217059E-7</v>
      </c>
      <c r="Z263" s="29">
        <f t="shared" si="63"/>
        <v>5202938.7528456077</v>
      </c>
      <c r="AA263" s="23">
        <f t="shared" si="64"/>
        <v>0</v>
      </c>
    </row>
    <row r="264" spans="1:27" x14ac:dyDescent="0.2">
      <c r="A264" s="27" t="s">
        <v>283</v>
      </c>
      <c r="B264" s="27" t="s">
        <v>153</v>
      </c>
      <c r="C264" s="27" t="s">
        <v>53</v>
      </c>
      <c r="D264" s="51">
        <v>600899202</v>
      </c>
      <c r="E264" s="51">
        <v>520398428</v>
      </c>
      <c r="F264" s="45">
        <v>918817</v>
      </c>
      <c r="G264" s="27" t="s">
        <v>284</v>
      </c>
      <c r="H264" s="51">
        <v>600899202</v>
      </c>
      <c r="I264" s="51">
        <v>520398428</v>
      </c>
      <c r="J264" s="45">
        <v>935371</v>
      </c>
      <c r="K264" s="27" t="s">
        <v>281</v>
      </c>
      <c r="L264" s="45">
        <v>32499850433</v>
      </c>
      <c r="M264" s="27" t="str">
        <f t="shared" si="52"/>
        <v>2026-03|FGP primera parte (60%)</v>
      </c>
      <c r="N264" s="52">
        <f t="shared" si="53"/>
        <v>0.8660328159330789</v>
      </c>
      <c r="O264" s="52">
        <f t="shared" si="54"/>
        <v>0.8660328159330789</v>
      </c>
      <c r="P264" s="30">
        <f t="shared" si="55"/>
        <v>795725.67383718374</v>
      </c>
      <c r="Q264" s="30">
        <f t="shared" si="56"/>
        <v>795725.67383718374</v>
      </c>
      <c r="R264" s="30">
        <f t="shared" si="57"/>
        <v>810061.98107213993</v>
      </c>
      <c r="S264" s="53">
        <f t="shared" si="58"/>
        <v>0.57535660935114941</v>
      </c>
      <c r="T264" s="54">
        <v>0.57535700000000001</v>
      </c>
      <c r="U264" s="55">
        <f t="shared" si="59"/>
        <v>-3.9064885060113852E-7</v>
      </c>
      <c r="V264" s="53">
        <f t="shared" si="60"/>
        <v>0.57535660935114941</v>
      </c>
      <c r="W264" s="53">
        <f t="shared" si="61"/>
        <v>0.58509869761586508</v>
      </c>
      <c r="X264" s="54">
        <v>0.58509900000000004</v>
      </c>
      <c r="Y264" s="55">
        <f t="shared" si="62"/>
        <v>-3.0238413495364824E-7</v>
      </c>
      <c r="Z264" s="29">
        <f t="shared" si="63"/>
        <v>3166164.1150834402</v>
      </c>
      <c r="AA264" s="23">
        <f t="shared" si="64"/>
        <v>0</v>
      </c>
    </row>
    <row r="265" spans="1:27" x14ac:dyDescent="0.2">
      <c r="A265" s="27" t="s">
        <v>283</v>
      </c>
      <c r="B265" s="27" t="s">
        <v>153</v>
      </c>
      <c r="C265" s="27" t="s">
        <v>54</v>
      </c>
      <c r="D265" s="51">
        <v>1180088820</v>
      </c>
      <c r="E265" s="51">
        <v>1236355664</v>
      </c>
      <c r="F265" s="45">
        <v>3582441</v>
      </c>
      <c r="G265" s="27" t="s">
        <v>284</v>
      </c>
      <c r="H265" s="51">
        <v>1180088820</v>
      </c>
      <c r="I265" s="51">
        <v>1236355664</v>
      </c>
      <c r="J265" s="45">
        <v>3590747</v>
      </c>
      <c r="K265" s="27" t="s">
        <v>281</v>
      </c>
      <c r="L265" s="45">
        <v>32499850433</v>
      </c>
      <c r="M265" s="27" t="str">
        <f t="shared" si="52"/>
        <v>2026-03|FGP primera parte (60%)</v>
      </c>
      <c r="N265" s="52">
        <f t="shared" si="53"/>
        <v>1.0476801771581905</v>
      </c>
      <c r="O265" s="52">
        <f t="shared" si="54"/>
        <v>1.0476801771581905</v>
      </c>
      <c r="P265" s="30">
        <f t="shared" si="55"/>
        <v>3753252.4215387651</v>
      </c>
      <c r="Q265" s="30">
        <f t="shared" si="56"/>
        <v>3753252.4215387651</v>
      </c>
      <c r="R265" s="30">
        <f t="shared" si="57"/>
        <v>3761954.4530902412</v>
      </c>
      <c r="S265" s="53">
        <f t="shared" si="58"/>
        <v>2.7138229396094475</v>
      </c>
      <c r="T265" s="54">
        <v>2.7138230000000001</v>
      </c>
      <c r="U265" s="55">
        <f t="shared" si="59"/>
        <v>-6.039055255868675E-8</v>
      </c>
      <c r="V265" s="53">
        <f t="shared" si="60"/>
        <v>2.7138229396094475</v>
      </c>
      <c r="W265" s="53">
        <f t="shared" si="61"/>
        <v>2.7172175739936182</v>
      </c>
      <c r="X265" s="54">
        <v>2.7172179999999999</v>
      </c>
      <c r="Y265" s="55">
        <f t="shared" si="62"/>
        <v>-4.2600638172629601E-7</v>
      </c>
      <c r="Z265" s="29">
        <f t="shared" si="63"/>
        <v>1103251.097602651</v>
      </c>
      <c r="AA265" s="23">
        <f t="shared" si="64"/>
        <v>0</v>
      </c>
    </row>
    <row r="266" spans="1:27" x14ac:dyDescent="0.2">
      <c r="A266" s="27" t="s">
        <v>283</v>
      </c>
      <c r="B266" s="27" t="s">
        <v>153</v>
      </c>
      <c r="C266" s="27" t="s">
        <v>55</v>
      </c>
      <c r="D266" s="51">
        <v>204172711</v>
      </c>
      <c r="E266" s="51">
        <v>214421765</v>
      </c>
      <c r="F266" s="45">
        <v>745394</v>
      </c>
      <c r="G266" s="27" t="s">
        <v>284</v>
      </c>
      <c r="H266" s="51">
        <v>204172711</v>
      </c>
      <c r="I266" s="51">
        <v>214421765</v>
      </c>
      <c r="J266" s="45">
        <v>762355</v>
      </c>
      <c r="K266" s="27" t="s">
        <v>281</v>
      </c>
      <c r="L266" s="45">
        <v>32499850433</v>
      </c>
      <c r="M266" s="27" t="str">
        <f t="shared" si="52"/>
        <v>2026-03|FGP primera parte (60%)</v>
      </c>
      <c r="N266" s="52">
        <f t="shared" si="53"/>
        <v>1.0501979620577209</v>
      </c>
      <c r="O266" s="52">
        <f t="shared" si="54"/>
        <v>1.0501979620577209</v>
      </c>
      <c r="P266" s="30">
        <f t="shared" si="55"/>
        <v>782811.25973005279</v>
      </c>
      <c r="Q266" s="30">
        <f t="shared" si="56"/>
        <v>782811.25973005279</v>
      </c>
      <c r="R266" s="30">
        <f t="shared" si="57"/>
        <v>800623.66736451385</v>
      </c>
      <c r="S266" s="53">
        <f t="shared" si="58"/>
        <v>0.56601872601177639</v>
      </c>
      <c r="T266" s="54">
        <v>0.56601900000000005</v>
      </c>
      <c r="U266" s="55">
        <f t="shared" si="59"/>
        <v>-2.7398822366464515E-7</v>
      </c>
      <c r="V266" s="53">
        <f t="shared" si="60"/>
        <v>0.56601872601177639</v>
      </c>
      <c r="W266" s="53">
        <f t="shared" si="61"/>
        <v>0.57828150931786226</v>
      </c>
      <c r="X266" s="54">
        <v>0.57828199999999996</v>
      </c>
      <c r="Y266" s="55">
        <f t="shared" si="62"/>
        <v>-4.9068213769931646E-7</v>
      </c>
      <c r="Z266" s="29">
        <f t="shared" si="63"/>
        <v>3985386.2334008031</v>
      </c>
      <c r="AA266" s="23">
        <f t="shared" si="64"/>
        <v>0</v>
      </c>
    </row>
    <row r="267" spans="1:27" x14ac:dyDescent="0.2">
      <c r="A267" s="27" t="s">
        <v>283</v>
      </c>
      <c r="B267" s="27" t="s">
        <v>153</v>
      </c>
      <c r="C267" s="27" t="s">
        <v>56</v>
      </c>
      <c r="D267" s="51">
        <v>499823695</v>
      </c>
      <c r="E267" s="51">
        <v>532775844</v>
      </c>
      <c r="F267" s="45">
        <v>5900473</v>
      </c>
      <c r="G267" s="27" t="s">
        <v>284</v>
      </c>
      <c r="H267" s="51">
        <v>499823695</v>
      </c>
      <c r="I267" s="51">
        <v>532775844</v>
      </c>
      <c r="J267" s="45">
        <v>5891372</v>
      </c>
      <c r="K267" s="27" t="s">
        <v>281</v>
      </c>
      <c r="L267" s="45">
        <v>32499850433</v>
      </c>
      <c r="M267" s="27" t="str">
        <f t="shared" si="52"/>
        <v>2026-03|FGP primera parte (60%)</v>
      </c>
      <c r="N267" s="52">
        <f t="shared" si="53"/>
        <v>1.0659275447115408</v>
      </c>
      <c r="O267" s="52">
        <f t="shared" si="54"/>
        <v>1.0659275447115408</v>
      </c>
      <c r="P267" s="30">
        <f t="shared" si="55"/>
        <v>6289476.6975267399</v>
      </c>
      <c r="Q267" s="30">
        <f t="shared" si="56"/>
        <v>6289476.6975267399</v>
      </c>
      <c r="R267" s="30">
        <f t="shared" si="57"/>
        <v>6279775.69094232</v>
      </c>
      <c r="S267" s="53">
        <f t="shared" si="58"/>
        <v>4.5476627263160072</v>
      </c>
      <c r="T267" s="54">
        <v>4.547663</v>
      </c>
      <c r="U267" s="55">
        <f t="shared" si="59"/>
        <v>-2.7368399280192079E-7</v>
      </c>
      <c r="V267" s="53">
        <f t="shared" si="60"/>
        <v>4.5476627263160072</v>
      </c>
      <c r="W267" s="53">
        <f t="shared" si="61"/>
        <v>4.5358116587907213</v>
      </c>
      <c r="X267" s="54">
        <v>4.535812</v>
      </c>
      <c r="Y267" s="55">
        <f t="shared" si="62"/>
        <v>-3.4120927860925576E-7</v>
      </c>
      <c r="Z267" s="29">
        <f t="shared" si="63"/>
        <v>-3851579.2204317399</v>
      </c>
      <c r="AA267" s="23">
        <f t="shared" si="64"/>
        <v>0</v>
      </c>
    </row>
    <row r="268" spans="1:27" x14ac:dyDescent="0.2">
      <c r="A268" s="27" t="s">
        <v>283</v>
      </c>
      <c r="B268" s="27" t="s">
        <v>153</v>
      </c>
      <c r="C268" s="27" t="s">
        <v>57</v>
      </c>
      <c r="D268" s="51">
        <v>1235956187</v>
      </c>
      <c r="E268" s="51">
        <v>1282412409</v>
      </c>
      <c r="F268" s="45">
        <v>3991333</v>
      </c>
      <c r="G268" s="27" t="s">
        <v>284</v>
      </c>
      <c r="H268" s="51">
        <v>1235956187</v>
      </c>
      <c r="I268" s="51">
        <v>1282412409</v>
      </c>
      <c r="J268" s="45">
        <v>4015493</v>
      </c>
      <c r="K268" s="27" t="s">
        <v>281</v>
      </c>
      <c r="L268" s="45">
        <v>32499850433</v>
      </c>
      <c r="M268" s="27" t="str">
        <f t="shared" si="52"/>
        <v>2026-03|FGP primera parte (60%)</v>
      </c>
      <c r="N268" s="52">
        <f t="shared" si="53"/>
        <v>1.0375872725009467</v>
      </c>
      <c r="O268" s="52">
        <f t="shared" si="54"/>
        <v>1.0375872725009467</v>
      </c>
      <c r="P268" s="30">
        <f t="shared" si="55"/>
        <v>4141356.3211130211</v>
      </c>
      <c r="Q268" s="30">
        <f t="shared" si="56"/>
        <v>4141356.3211130211</v>
      </c>
      <c r="R268" s="30">
        <f t="shared" si="57"/>
        <v>4166424.429616644</v>
      </c>
      <c r="S268" s="53">
        <f t="shared" si="58"/>
        <v>2.9944449568157099</v>
      </c>
      <c r="T268" s="54">
        <v>2.9944449999999998</v>
      </c>
      <c r="U268" s="55">
        <f t="shared" si="59"/>
        <v>-4.3184289921782693E-8</v>
      </c>
      <c r="V268" s="53">
        <f t="shared" si="60"/>
        <v>2.9944449568157099</v>
      </c>
      <c r="W268" s="53">
        <f t="shared" si="61"/>
        <v>3.0093617086647684</v>
      </c>
      <c r="X268" s="54">
        <v>3.0093619999999999</v>
      </c>
      <c r="Y268" s="55">
        <f t="shared" si="62"/>
        <v>-2.9133523149482698E-7</v>
      </c>
      <c r="Z268" s="29">
        <f t="shared" si="63"/>
        <v>4847922.0404057726</v>
      </c>
      <c r="AA268" s="23">
        <f t="shared" si="64"/>
        <v>0</v>
      </c>
    </row>
    <row r="269" spans="1:27" x14ac:dyDescent="0.2">
      <c r="A269" s="27" t="s">
        <v>283</v>
      </c>
      <c r="B269" s="27" t="s">
        <v>153</v>
      </c>
      <c r="C269" s="27" t="s">
        <v>58</v>
      </c>
      <c r="D269" s="51">
        <v>4714038082</v>
      </c>
      <c r="E269" s="51">
        <v>5019086938</v>
      </c>
      <c r="F269" s="45">
        <v>9319955</v>
      </c>
      <c r="G269" s="27" t="s">
        <v>284</v>
      </c>
      <c r="H269" s="51">
        <v>4714038082</v>
      </c>
      <c r="I269" s="51">
        <v>5019086938</v>
      </c>
      <c r="J269" s="45">
        <v>9336468</v>
      </c>
      <c r="K269" s="27" t="s">
        <v>281</v>
      </c>
      <c r="L269" s="45">
        <v>32499850433</v>
      </c>
      <c r="M269" s="27" t="str">
        <f t="shared" si="52"/>
        <v>2026-03|FGP primera parte (60%)</v>
      </c>
      <c r="N269" s="52">
        <f t="shared" si="53"/>
        <v>1.064710732220173</v>
      </c>
      <c r="O269" s="52">
        <f t="shared" si="54"/>
        <v>1.064710732220173</v>
      </c>
      <c r="P269" s="30">
        <f t="shared" si="55"/>
        <v>9923056.1123090629</v>
      </c>
      <c r="Q269" s="30">
        <f t="shared" si="56"/>
        <v>9923056.1123090629</v>
      </c>
      <c r="R269" s="30">
        <f t="shared" si="57"/>
        <v>9940637.6806302145</v>
      </c>
      <c r="S269" s="53">
        <f t="shared" si="58"/>
        <v>7.1749550214305886</v>
      </c>
      <c r="T269" s="54">
        <v>7.1749549999999997</v>
      </c>
      <c r="U269" s="55">
        <f t="shared" si="59"/>
        <v>2.1430588859061572E-8</v>
      </c>
      <c r="V269" s="53">
        <f t="shared" si="60"/>
        <v>7.1749550214305886</v>
      </c>
      <c r="W269" s="53">
        <f t="shared" si="61"/>
        <v>7.1800112785319907</v>
      </c>
      <c r="X269" s="54">
        <v>7.1800110000000004</v>
      </c>
      <c r="Y269" s="55">
        <f t="shared" si="62"/>
        <v>2.7853199036087517E-7</v>
      </c>
      <c r="Z269" s="29">
        <f t="shared" si="63"/>
        <v>1643275.9954636295</v>
      </c>
      <c r="AA269" s="23">
        <f t="shared" si="64"/>
        <v>0</v>
      </c>
    </row>
    <row r="270" spans="1:27" x14ac:dyDescent="0.2">
      <c r="A270" s="27" t="s">
        <v>283</v>
      </c>
      <c r="B270" s="27" t="s">
        <v>153</v>
      </c>
      <c r="C270" s="27" t="s">
        <v>59</v>
      </c>
      <c r="D270" s="51">
        <v>412374115</v>
      </c>
      <c r="E270" s="51">
        <v>451314096</v>
      </c>
      <c r="F270" s="45">
        <v>1954301</v>
      </c>
      <c r="G270" s="27" t="s">
        <v>284</v>
      </c>
      <c r="H270" s="51">
        <v>412374115</v>
      </c>
      <c r="I270" s="51">
        <v>451314096</v>
      </c>
      <c r="J270" s="45">
        <v>1968132</v>
      </c>
      <c r="K270" s="27" t="s">
        <v>281</v>
      </c>
      <c r="L270" s="45">
        <v>32499850433</v>
      </c>
      <c r="M270" s="27" t="str">
        <f t="shared" si="52"/>
        <v>2026-03|FGP primera parte (60%)</v>
      </c>
      <c r="N270" s="52">
        <f t="shared" si="53"/>
        <v>1.0944287713112157</v>
      </c>
      <c r="O270" s="52">
        <f t="shared" si="54"/>
        <v>1.0944287713112157</v>
      </c>
      <c r="P270" s="30">
        <f t="shared" si="55"/>
        <v>2138843.2422022801</v>
      </c>
      <c r="Q270" s="30">
        <f t="shared" si="56"/>
        <v>2138843.2422022801</v>
      </c>
      <c r="R270" s="30">
        <f t="shared" si="57"/>
        <v>2153980.2865382857</v>
      </c>
      <c r="S270" s="53">
        <f t="shared" si="58"/>
        <v>1.5465098541220625</v>
      </c>
      <c r="T270" s="54">
        <v>1.5465100000000001</v>
      </c>
      <c r="U270" s="55">
        <f t="shared" si="59"/>
        <v>-1.4587793750742151E-7</v>
      </c>
      <c r="V270" s="53">
        <f t="shared" si="60"/>
        <v>1.5465098541220625</v>
      </c>
      <c r="W270" s="53">
        <f t="shared" si="61"/>
        <v>1.5557958400612359</v>
      </c>
      <c r="X270" s="54">
        <v>1.555796</v>
      </c>
      <c r="Y270" s="55">
        <f t="shared" si="62"/>
        <v>-1.5993876401054763E-7</v>
      </c>
      <c r="Z270" s="29">
        <f t="shared" si="63"/>
        <v>3017931.541460766</v>
      </c>
      <c r="AA270" s="23">
        <f t="shared" si="64"/>
        <v>0</v>
      </c>
    </row>
    <row r="271" spans="1:27" x14ac:dyDescent="0.2">
      <c r="A271" s="27" t="s">
        <v>283</v>
      </c>
      <c r="B271" s="27" t="s">
        <v>153</v>
      </c>
      <c r="C271" s="27" t="s">
        <v>60</v>
      </c>
      <c r="D271" s="51">
        <v>1413043069</v>
      </c>
      <c r="E271" s="51">
        <v>1521161531</v>
      </c>
      <c r="F271" s="45">
        <v>6376710</v>
      </c>
      <c r="G271" s="27" t="s">
        <v>284</v>
      </c>
      <c r="H271" s="51">
        <v>1413043069</v>
      </c>
      <c r="I271" s="51">
        <v>1521161531</v>
      </c>
      <c r="J271" s="45">
        <v>6402249</v>
      </c>
      <c r="K271" s="27" t="s">
        <v>281</v>
      </c>
      <c r="L271" s="45">
        <v>32499850433</v>
      </c>
      <c r="M271" s="27" t="str">
        <f t="shared" si="52"/>
        <v>2026-03|FGP primera parte (60%)</v>
      </c>
      <c r="N271" s="52">
        <f t="shared" si="53"/>
        <v>1.076514626037913</v>
      </c>
      <c r="O271" s="52">
        <f t="shared" si="54"/>
        <v>1.076514626037913</v>
      </c>
      <c r="P271" s="30">
        <f t="shared" si="55"/>
        <v>6864621.5810022205</v>
      </c>
      <c r="Q271" s="30">
        <f t="shared" si="56"/>
        <v>6864621.5810022205</v>
      </c>
      <c r="R271" s="30">
        <f t="shared" si="57"/>
        <v>6892114.6880366029</v>
      </c>
      <c r="S271" s="53">
        <f t="shared" si="58"/>
        <v>4.9635264101486145</v>
      </c>
      <c r="T271" s="54">
        <v>4.9635259999999999</v>
      </c>
      <c r="U271" s="55">
        <f t="shared" si="59"/>
        <v>4.1014861462684848E-7</v>
      </c>
      <c r="V271" s="53">
        <f t="shared" si="60"/>
        <v>4.9635264101486145</v>
      </c>
      <c r="W271" s="53">
        <f t="shared" si="61"/>
        <v>4.978097259239564</v>
      </c>
      <c r="X271" s="54">
        <v>4.978097</v>
      </c>
      <c r="Y271" s="55">
        <f t="shared" si="62"/>
        <v>2.5923956403772763E-7</v>
      </c>
      <c r="Z271" s="29">
        <f t="shared" si="63"/>
        <v>4735504.1613767352</v>
      </c>
      <c r="AA271" s="23">
        <f t="shared" si="64"/>
        <v>0</v>
      </c>
    </row>
    <row r="272" spans="1:27" x14ac:dyDescent="0.2">
      <c r="A272" s="27" t="s">
        <v>283</v>
      </c>
      <c r="B272" s="27" t="s">
        <v>153</v>
      </c>
      <c r="C272" s="27" t="s">
        <v>61</v>
      </c>
      <c r="D272" s="51">
        <v>406787621</v>
      </c>
      <c r="E272" s="51">
        <v>430966290</v>
      </c>
      <c r="F272" s="45">
        <v>3578620</v>
      </c>
      <c r="G272" s="27" t="s">
        <v>284</v>
      </c>
      <c r="H272" s="51">
        <v>406787621</v>
      </c>
      <c r="I272" s="51">
        <v>430966290</v>
      </c>
      <c r="J272" s="45">
        <v>3569633</v>
      </c>
      <c r="K272" s="27" t="s">
        <v>281</v>
      </c>
      <c r="L272" s="45">
        <v>32499850433</v>
      </c>
      <c r="M272" s="27" t="str">
        <f t="shared" si="52"/>
        <v>2026-03|FGP primera parte (60%)</v>
      </c>
      <c r="N272" s="52">
        <f t="shared" si="53"/>
        <v>1.0594380648569441</v>
      </c>
      <c r="O272" s="52">
        <f t="shared" si="54"/>
        <v>1.0594380648569441</v>
      </c>
      <c r="P272" s="30">
        <f t="shared" si="55"/>
        <v>3791326.2476583575</v>
      </c>
      <c r="Q272" s="30">
        <f t="shared" si="56"/>
        <v>3791326.2476583575</v>
      </c>
      <c r="R272" s="30">
        <f t="shared" si="57"/>
        <v>3781805.0777694881</v>
      </c>
      <c r="S272" s="53">
        <f t="shared" si="58"/>
        <v>2.7413525622186534</v>
      </c>
      <c r="T272" s="54">
        <v>2.7413530000000002</v>
      </c>
      <c r="U272" s="55">
        <f t="shared" si="59"/>
        <v>-4.3778134672933788E-7</v>
      </c>
      <c r="V272" s="53">
        <f t="shared" si="60"/>
        <v>2.7413525622186534</v>
      </c>
      <c r="W272" s="53">
        <f t="shared" si="61"/>
        <v>2.7315554579062993</v>
      </c>
      <c r="X272" s="54">
        <v>2.7315550000000002</v>
      </c>
      <c r="Y272" s="55">
        <f t="shared" si="62"/>
        <v>4.5790629910058556E-7</v>
      </c>
      <c r="Z272" s="29">
        <f t="shared" si="63"/>
        <v>-3184044.2482800898</v>
      </c>
      <c r="AA272" s="23">
        <f t="shared" si="64"/>
        <v>0</v>
      </c>
    </row>
    <row r="273" spans="1:27" x14ac:dyDescent="0.2">
      <c r="A273" s="27" t="s">
        <v>283</v>
      </c>
      <c r="B273" s="27" t="s">
        <v>153</v>
      </c>
      <c r="C273" s="27" t="s">
        <v>62</v>
      </c>
      <c r="D273" s="51">
        <v>544779418</v>
      </c>
      <c r="E273" s="51">
        <v>585823220</v>
      </c>
      <c r="F273" s="45">
        <v>3228160</v>
      </c>
      <c r="G273" s="27" t="s">
        <v>284</v>
      </c>
      <c r="H273" s="51">
        <v>544779418</v>
      </c>
      <c r="I273" s="51">
        <v>585823220</v>
      </c>
      <c r="J273" s="45">
        <v>3215821</v>
      </c>
      <c r="K273" s="27" t="s">
        <v>281</v>
      </c>
      <c r="L273" s="45">
        <v>32499850433</v>
      </c>
      <c r="M273" s="27" t="str">
        <f t="shared" si="52"/>
        <v>2026-03|FGP primera parte (60%)</v>
      </c>
      <c r="N273" s="52">
        <f t="shared" si="53"/>
        <v>1.0753402214618908</v>
      </c>
      <c r="O273" s="52">
        <f t="shared" si="54"/>
        <v>1.0753402214618908</v>
      </c>
      <c r="P273" s="30">
        <f t="shared" si="55"/>
        <v>3471370.2893144172</v>
      </c>
      <c r="Q273" s="30">
        <f t="shared" si="56"/>
        <v>3471370.2893144172</v>
      </c>
      <c r="R273" s="30">
        <f t="shared" si="57"/>
        <v>3458101.6663217992</v>
      </c>
      <c r="S273" s="53">
        <f t="shared" si="58"/>
        <v>2.5100055271949553</v>
      </c>
      <c r="T273" s="54">
        <v>2.5100060000000002</v>
      </c>
      <c r="U273" s="55">
        <f t="shared" si="59"/>
        <v>-4.7280504489322084E-7</v>
      </c>
      <c r="V273" s="53">
        <f t="shared" si="60"/>
        <v>2.5100055271949553</v>
      </c>
      <c r="W273" s="53">
        <f t="shared" si="61"/>
        <v>2.4977481087437314</v>
      </c>
      <c r="X273" s="54">
        <v>2.4977480000000001</v>
      </c>
      <c r="Y273" s="55">
        <f t="shared" si="62"/>
        <v>1.0874373135294491E-7</v>
      </c>
      <c r="Z273" s="29">
        <f t="shared" si="63"/>
        <v>-3983642.6635946985</v>
      </c>
      <c r="AA273" s="23">
        <f t="shared" si="64"/>
        <v>0</v>
      </c>
    </row>
    <row r="274" spans="1:27" x14ac:dyDescent="0.2">
      <c r="A274" s="27" t="s">
        <v>283</v>
      </c>
      <c r="B274" s="27" t="s">
        <v>153</v>
      </c>
      <c r="C274" s="27" t="s">
        <v>63</v>
      </c>
      <c r="D274" s="51">
        <v>2396338446</v>
      </c>
      <c r="E274" s="51">
        <v>2528861330</v>
      </c>
      <c r="F274" s="45">
        <v>8761130</v>
      </c>
      <c r="G274" s="27" t="s">
        <v>284</v>
      </c>
      <c r="H274" s="51">
        <v>2396338446</v>
      </c>
      <c r="I274" s="51">
        <v>2528861330</v>
      </c>
      <c r="J274" s="45">
        <v>8750952</v>
      </c>
      <c r="K274" s="27" t="s">
        <v>281</v>
      </c>
      <c r="L274" s="45">
        <v>32499850433</v>
      </c>
      <c r="M274" s="27" t="str">
        <f t="shared" si="52"/>
        <v>2026-03|FGP primera parte (60%)</v>
      </c>
      <c r="N274" s="52">
        <f t="shared" si="53"/>
        <v>1.0553022400576217</v>
      </c>
      <c r="O274" s="52">
        <f t="shared" si="54"/>
        <v>1.0553022400576217</v>
      </c>
      <c r="P274" s="30">
        <f t="shared" si="55"/>
        <v>9245640.1144360323</v>
      </c>
      <c r="Q274" s="30">
        <f t="shared" si="56"/>
        <v>9245640.1144360323</v>
      </c>
      <c r="R274" s="30">
        <f t="shared" si="57"/>
        <v>9234899.2482367251</v>
      </c>
      <c r="S274" s="53">
        <f t="shared" si="58"/>
        <v>6.6851432879760742</v>
      </c>
      <c r="T274" s="54">
        <v>6.6851430000000001</v>
      </c>
      <c r="U274" s="55">
        <f t="shared" si="59"/>
        <v>2.8797607409813963E-7</v>
      </c>
      <c r="V274" s="53">
        <f t="shared" si="60"/>
        <v>6.6851432879760742</v>
      </c>
      <c r="W274" s="53">
        <f t="shared" si="61"/>
        <v>6.6702643118809055</v>
      </c>
      <c r="X274" s="54">
        <v>6.6702640000000004</v>
      </c>
      <c r="Y274" s="55">
        <f t="shared" si="62"/>
        <v>3.1188090510170241E-7</v>
      </c>
      <c r="Z274" s="29">
        <f t="shared" si="63"/>
        <v>-4835644.9768916322</v>
      </c>
      <c r="AA274" s="23">
        <f t="shared" si="64"/>
        <v>0</v>
      </c>
    </row>
    <row r="275" spans="1:27" x14ac:dyDescent="0.2">
      <c r="A275" s="27" t="s">
        <v>283</v>
      </c>
      <c r="B275" s="27" t="s">
        <v>153</v>
      </c>
      <c r="C275" s="27" t="s">
        <v>64</v>
      </c>
      <c r="D275" s="51">
        <v>2883021204</v>
      </c>
      <c r="E275" s="51">
        <v>3052582506</v>
      </c>
      <c r="F275" s="45">
        <v>17789139</v>
      </c>
      <c r="G275" s="27" t="s">
        <v>284</v>
      </c>
      <c r="H275" s="51">
        <v>2883021204</v>
      </c>
      <c r="I275" s="51">
        <v>3052582506</v>
      </c>
      <c r="J275" s="45">
        <v>17753727</v>
      </c>
      <c r="K275" s="27" t="s">
        <v>281</v>
      </c>
      <c r="L275" s="45">
        <v>32499850433</v>
      </c>
      <c r="M275" s="27" t="str">
        <f t="shared" si="52"/>
        <v>2026-03|FGP primera parte (60%)</v>
      </c>
      <c r="N275" s="52">
        <f t="shared" si="53"/>
        <v>1.0588137547392107</v>
      </c>
      <c r="O275" s="52">
        <f t="shared" si="54"/>
        <v>1.0588137547392107</v>
      </c>
      <c r="P275" s="30">
        <f t="shared" si="55"/>
        <v>18835385.05816773</v>
      </c>
      <c r="Q275" s="30">
        <f t="shared" si="56"/>
        <v>18835385.05816773</v>
      </c>
      <c r="R275" s="30">
        <f t="shared" si="57"/>
        <v>18797890.345484901</v>
      </c>
      <c r="S275" s="53">
        <f t="shared" si="58"/>
        <v>13.619094669437667</v>
      </c>
      <c r="T275" s="54">
        <v>13.619095</v>
      </c>
      <c r="U275" s="55">
        <f t="shared" si="59"/>
        <v>-3.3056233306183458E-7</v>
      </c>
      <c r="V275" s="53">
        <f t="shared" si="60"/>
        <v>13.619094669437667</v>
      </c>
      <c r="W275" s="53">
        <f t="shared" si="61"/>
        <v>13.577505692233666</v>
      </c>
      <c r="X275" s="54">
        <v>13.577506</v>
      </c>
      <c r="Y275" s="55">
        <f t="shared" si="62"/>
        <v>-3.0776633330731329E-7</v>
      </c>
      <c r="Z275" s="29">
        <f t="shared" si="63"/>
        <v>-13516355.387914577</v>
      </c>
      <c r="AA275" s="23">
        <f t="shared" si="64"/>
        <v>0</v>
      </c>
    </row>
    <row r="276" spans="1:27" x14ac:dyDescent="0.2">
      <c r="A276" s="27" t="s">
        <v>283</v>
      </c>
      <c r="B276" s="27" t="s">
        <v>153</v>
      </c>
      <c r="C276" s="27" t="s">
        <v>65</v>
      </c>
      <c r="D276" s="51">
        <v>881074925</v>
      </c>
      <c r="E276" s="51">
        <v>922949796</v>
      </c>
      <c r="F276" s="45">
        <v>4940153</v>
      </c>
      <c r="G276" s="27" t="s">
        <v>284</v>
      </c>
      <c r="H276" s="51">
        <v>881074925</v>
      </c>
      <c r="I276" s="51">
        <v>922949796</v>
      </c>
      <c r="J276" s="45">
        <v>4945881</v>
      </c>
      <c r="K276" s="27" t="s">
        <v>281</v>
      </c>
      <c r="L276" s="45">
        <v>32499850433</v>
      </c>
      <c r="M276" s="27" t="str">
        <f t="shared" si="52"/>
        <v>2026-03|FGP primera parte (60%)</v>
      </c>
      <c r="N276" s="52">
        <f t="shared" si="53"/>
        <v>1.0475270261493368</v>
      </c>
      <c r="O276" s="52">
        <f t="shared" si="54"/>
        <v>1.0475270261493368</v>
      </c>
      <c r="P276" s="30">
        <f t="shared" si="55"/>
        <v>5174943.7808127245</v>
      </c>
      <c r="Q276" s="30">
        <f t="shared" si="56"/>
        <v>5174943.7808127245</v>
      </c>
      <c r="R276" s="30">
        <f t="shared" si="57"/>
        <v>5180944.0156185078</v>
      </c>
      <c r="S276" s="53">
        <f t="shared" si="58"/>
        <v>3.7417896709971568</v>
      </c>
      <c r="T276" s="54">
        <v>3.7417899999999999</v>
      </c>
      <c r="U276" s="55">
        <f t="shared" si="59"/>
        <v>-3.2900284319126172E-7</v>
      </c>
      <c r="V276" s="53">
        <f t="shared" si="60"/>
        <v>3.7417896709971568</v>
      </c>
      <c r="W276" s="53">
        <f t="shared" si="61"/>
        <v>3.7421378447449216</v>
      </c>
      <c r="X276" s="54">
        <v>3.7421380000000002</v>
      </c>
      <c r="Y276" s="55">
        <f t="shared" si="62"/>
        <v>-1.5525507857105936E-7</v>
      </c>
      <c r="Z276" s="29">
        <f t="shared" si="63"/>
        <v>113155.94727054928</v>
      </c>
      <c r="AA276" s="23">
        <f t="shared" si="64"/>
        <v>0</v>
      </c>
    </row>
    <row r="277" spans="1:27" x14ac:dyDescent="0.2">
      <c r="A277" s="27" t="s">
        <v>283</v>
      </c>
      <c r="B277" s="27" t="s">
        <v>153</v>
      </c>
      <c r="C277" s="27" t="s">
        <v>66</v>
      </c>
      <c r="D277" s="51">
        <v>341344156</v>
      </c>
      <c r="E277" s="51">
        <v>355087156</v>
      </c>
      <c r="F277" s="45">
        <v>1984462</v>
      </c>
      <c r="G277" s="27" t="s">
        <v>284</v>
      </c>
      <c r="H277" s="51">
        <v>341344156</v>
      </c>
      <c r="I277" s="51">
        <v>355087156</v>
      </c>
      <c r="J277" s="45">
        <v>1988503</v>
      </c>
      <c r="K277" s="27" t="s">
        <v>281</v>
      </c>
      <c r="L277" s="45">
        <v>32499850433</v>
      </c>
      <c r="M277" s="27" t="str">
        <f t="shared" si="52"/>
        <v>2026-03|FGP primera parte (60%)</v>
      </c>
      <c r="N277" s="52">
        <f t="shared" si="53"/>
        <v>1.0402614187424377</v>
      </c>
      <c r="O277" s="52">
        <f t="shared" si="54"/>
        <v>1.0402614187424377</v>
      </c>
      <c r="P277" s="30">
        <f t="shared" si="55"/>
        <v>2064359.2555604554</v>
      </c>
      <c r="Q277" s="30">
        <f t="shared" si="56"/>
        <v>2064359.2555604554</v>
      </c>
      <c r="R277" s="30">
        <f t="shared" si="57"/>
        <v>2068562.9519535936</v>
      </c>
      <c r="S277" s="53">
        <f t="shared" si="58"/>
        <v>1.4926535372854572</v>
      </c>
      <c r="T277" s="54">
        <v>1.4926539999999999</v>
      </c>
      <c r="U277" s="55">
        <f t="shared" si="59"/>
        <v>-4.6271454268165257E-7</v>
      </c>
      <c r="V277" s="53">
        <f t="shared" si="60"/>
        <v>1.4926535372854572</v>
      </c>
      <c r="W277" s="53">
        <f t="shared" si="61"/>
        <v>1.4940998558191718</v>
      </c>
      <c r="X277" s="54">
        <v>1.4941</v>
      </c>
      <c r="Y277" s="55">
        <f t="shared" si="62"/>
        <v>-1.441808281654744E-7</v>
      </c>
      <c r="Z277" s="29">
        <f t="shared" si="63"/>
        <v>470051.36024199537</v>
      </c>
      <c r="AA277" s="23">
        <f t="shared" si="64"/>
        <v>0</v>
      </c>
    </row>
    <row r="278" spans="1:27" x14ac:dyDescent="0.2">
      <c r="A278" s="27" t="s">
        <v>283</v>
      </c>
      <c r="B278" s="27" t="s">
        <v>153</v>
      </c>
      <c r="C278" s="27" t="s">
        <v>67</v>
      </c>
      <c r="D278" s="51">
        <v>218524605</v>
      </c>
      <c r="E278" s="51">
        <v>226764339</v>
      </c>
      <c r="F278" s="45">
        <v>1257616</v>
      </c>
      <c r="G278" s="27" t="s">
        <v>284</v>
      </c>
      <c r="H278" s="51">
        <v>218524605</v>
      </c>
      <c r="I278" s="51">
        <v>226764339</v>
      </c>
      <c r="J278" s="45">
        <v>1279298</v>
      </c>
      <c r="K278" s="27" t="s">
        <v>281</v>
      </c>
      <c r="L278" s="45">
        <v>32499850433</v>
      </c>
      <c r="M278" s="27" t="str">
        <f t="shared" si="52"/>
        <v>2026-03|FGP primera parte (60%)</v>
      </c>
      <c r="N278" s="52">
        <f t="shared" si="53"/>
        <v>1.0377062070424519</v>
      </c>
      <c r="O278" s="52">
        <f t="shared" si="54"/>
        <v>1.0377062070424519</v>
      </c>
      <c r="P278" s="30">
        <f t="shared" si="55"/>
        <v>1305035.9292759001</v>
      </c>
      <c r="Q278" s="30">
        <f t="shared" si="56"/>
        <v>1305035.9292759001</v>
      </c>
      <c r="R278" s="30">
        <f t="shared" si="57"/>
        <v>1327535.4752569946</v>
      </c>
      <c r="S278" s="53">
        <f t="shared" si="58"/>
        <v>0.94361797292372462</v>
      </c>
      <c r="T278" s="54">
        <v>0.94361799999999996</v>
      </c>
      <c r="U278" s="55">
        <f t="shared" si="59"/>
        <v>-2.7076275332937882E-8</v>
      </c>
      <c r="V278" s="53">
        <f t="shared" si="60"/>
        <v>0.94361797292372462</v>
      </c>
      <c r="W278" s="53">
        <f t="shared" si="61"/>
        <v>0.95886400764505675</v>
      </c>
      <c r="X278" s="54">
        <v>0.95886400000000005</v>
      </c>
      <c r="Y278" s="55">
        <f t="shared" si="62"/>
        <v>7.6450566988128799E-9</v>
      </c>
      <c r="Z278" s="29">
        <f t="shared" si="63"/>
        <v>4954938.481396188</v>
      </c>
      <c r="AA278" s="23">
        <f t="shared" si="64"/>
        <v>0</v>
      </c>
    </row>
    <row r="279" spans="1:27" x14ac:dyDescent="0.2">
      <c r="A279" s="27" t="s">
        <v>283</v>
      </c>
      <c r="B279" s="27" t="s">
        <v>153</v>
      </c>
      <c r="C279" s="27" t="s">
        <v>68</v>
      </c>
      <c r="D279" s="51">
        <v>2508047719</v>
      </c>
      <c r="E279" s="51">
        <v>2698173018</v>
      </c>
      <c r="F279" s="45">
        <v>6310265</v>
      </c>
      <c r="G279" s="27" t="s">
        <v>284</v>
      </c>
      <c r="H279" s="51">
        <v>2508047719</v>
      </c>
      <c r="I279" s="51">
        <v>2698173018</v>
      </c>
      <c r="J279" s="45">
        <v>6234433</v>
      </c>
      <c r="K279" s="27" t="s">
        <v>281</v>
      </c>
      <c r="L279" s="45">
        <v>32499850433</v>
      </c>
      <c r="M279" s="27" t="str">
        <f t="shared" si="52"/>
        <v>2026-03|FGP primera parte (60%)</v>
      </c>
      <c r="N279" s="52">
        <f t="shared" si="53"/>
        <v>1.0758060931455506</v>
      </c>
      <c r="O279" s="52">
        <f t="shared" si="54"/>
        <v>1.0758060931455506</v>
      </c>
      <c r="P279" s="30">
        <f t="shared" si="55"/>
        <v>6788621.5363631081</v>
      </c>
      <c r="Q279" s="30">
        <f t="shared" si="56"/>
        <v>6788621.5363631081</v>
      </c>
      <c r="R279" s="30">
        <f t="shared" si="57"/>
        <v>6707041.0087076947</v>
      </c>
      <c r="S279" s="53">
        <f t="shared" si="58"/>
        <v>4.9085738939337826</v>
      </c>
      <c r="T279" s="54">
        <v>4.9085739999999998</v>
      </c>
      <c r="U279" s="55">
        <f t="shared" si="59"/>
        <v>-1.0606621714259745E-7</v>
      </c>
      <c r="V279" s="53">
        <f t="shared" si="60"/>
        <v>4.9085738939337826</v>
      </c>
      <c r="W279" s="53">
        <f t="shared" si="61"/>
        <v>4.8444206131698389</v>
      </c>
      <c r="X279" s="54">
        <v>4.8444209999999996</v>
      </c>
      <c r="Y279" s="55">
        <f t="shared" si="62"/>
        <v>-3.8683016079232857E-7</v>
      </c>
      <c r="Z279" s="29">
        <f t="shared" si="63"/>
        <v>-20849720.296144288</v>
      </c>
      <c r="AA279" s="23">
        <f t="shared" si="64"/>
        <v>0</v>
      </c>
    </row>
    <row r="280" spans="1:27" x14ac:dyDescent="0.2">
      <c r="A280" s="27" t="s">
        <v>283</v>
      </c>
      <c r="B280" s="27" t="s">
        <v>153</v>
      </c>
      <c r="C280" s="27" t="s">
        <v>69</v>
      </c>
      <c r="D280" s="51">
        <v>575507319</v>
      </c>
      <c r="E280" s="51">
        <v>631307638</v>
      </c>
      <c r="F280" s="45">
        <v>4190375</v>
      </c>
      <c r="G280" s="27" t="s">
        <v>284</v>
      </c>
      <c r="H280" s="51">
        <v>575507319</v>
      </c>
      <c r="I280" s="51">
        <v>631307638</v>
      </c>
      <c r="J280" s="45">
        <v>4178688</v>
      </c>
      <c r="K280" s="27" t="s">
        <v>281</v>
      </c>
      <c r="L280" s="45">
        <v>32499850433</v>
      </c>
      <c r="M280" s="27" t="str">
        <f t="shared" si="52"/>
        <v>2026-03|FGP primera parte (60%)</v>
      </c>
      <c r="N280" s="52">
        <f t="shared" si="53"/>
        <v>1.0969584871604388</v>
      </c>
      <c r="O280" s="52">
        <f t="shared" si="54"/>
        <v>1.0969584871604388</v>
      </c>
      <c r="P280" s="30">
        <f t="shared" si="55"/>
        <v>4596667.4206349235</v>
      </c>
      <c r="Q280" s="30">
        <f t="shared" si="56"/>
        <v>4596667.4206349235</v>
      </c>
      <c r="R280" s="30">
        <f t="shared" si="57"/>
        <v>4583847.2667954797</v>
      </c>
      <c r="S280" s="53">
        <f t="shared" si="58"/>
        <v>3.3236617447541965</v>
      </c>
      <c r="T280" s="54">
        <v>3.3236620000000001</v>
      </c>
      <c r="U280" s="55">
        <f t="shared" si="59"/>
        <v>-2.5524580360425375E-7</v>
      </c>
      <c r="V280" s="53">
        <f t="shared" si="60"/>
        <v>3.3236617447541965</v>
      </c>
      <c r="W280" s="53">
        <f t="shared" si="61"/>
        <v>3.310861549535224</v>
      </c>
      <c r="X280" s="54">
        <v>3.3108620000000002</v>
      </c>
      <c r="Y280" s="55">
        <f t="shared" si="62"/>
        <v>-4.5046477614718583E-7</v>
      </c>
      <c r="Z280" s="29">
        <f t="shared" si="63"/>
        <v>-4160044.3012980679</v>
      </c>
      <c r="AA280" s="23">
        <f t="shared" si="64"/>
        <v>0</v>
      </c>
    </row>
    <row r="281" spans="1:27" x14ac:dyDescent="0.2">
      <c r="A281" s="27" t="s">
        <v>283</v>
      </c>
      <c r="B281" s="27" t="s">
        <v>153</v>
      </c>
      <c r="C281" s="27" t="s">
        <v>70</v>
      </c>
      <c r="D281" s="51">
        <v>1101798435</v>
      </c>
      <c r="E281" s="51">
        <v>1184829794</v>
      </c>
      <c r="F281" s="45">
        <v>6624540</v>
      </c>
      <c r="G281" s="27" t="s">
        <v>284</v>
      </c>
      <c r="H281" s="51">
        <v>1101798435</v>
      </c>
      <c r="I281" s="51">
        <v>1184829794</v>
      </c>
      <c r="J281" s="45">
        <v>6638706</v>
      </c>
      <c r="K281" s="27" t="s">
        <v>281</v>
      </c>
      <c r="L281" s="45">
        <v>32499850433</v>
      </c>
      <c r="M281" s="27" t="str">
        <f t="shared" si="52"/>
        <v>2026-03|FGP primera parte (60%)</v>
      </c>
      <c r="N281" s="52">
        <f t="shared" si="53"/>
        <v>1.0753598447432902</v>
      </c>
      <c r="O281" s="52">
        <f t="shared" si="54"/>
        <v>1.0753598447432902</v>
      </c>
      <c r="P281" s="30">
        <f t="shared" si="55"/>
        <v>7123764.305895715</v>
      </c>
      <c r="Q281" s="30">
        <f t="shared" si="56"/>
        <v>7123764.305895715</v>
      </c>
      <c r="R281" s="30">
        <f t="shared" si="57"/>
        <v>7138997.8534563491</v>
      </c>
      <c r="S281" s="53">
        <f t="shared" si="58"/>
        <v>5.1509018894563816</v>
      </c>
      <c r="T281" s="54">
        <v>5.1509020000000003</v>
      </c>
      <c r="U281" s="55">
        <f t="shared" si="59"/>
        <v>-1.1054361870321827E-7</v>
      </c>
      <c r="V281" s="53">
        <f t="shared" si="60"/>
        <v>5.1509018894563816</v>
      </c>
      <c r="W281" s="53">
        <f t="shared" si="61"/>
        <v>5.156418204951879</v>
      </c>
      <c r="X281" s="54">
        <v>5.1564180000000004</v>
      </c>
      <c r="Y281" s="55">
        <f t="shared" si="62"/>
        <v>2.0495187857960673E-7</v>
      </c>
      <c r="Z281" s="29">
        <f t="shared" si="63"/>
        <v>1792794.2854490445</v>
      </c>
      <c r="AA281" s="23">
        <f t="shared" si="64"/>
        <v>0</v>
      </c>
    </row>
    <row r="282" spans="1:27" x14ac:dyDescent="0.2">
      <c r="A282" s="27" t="s">
        <v>283</v>
      </c>
      <c r="B282" s="27" t="s">
        <v>153</v>
      </c>
      <c r="C282" s="27" t="s">
        <v>71</v>
      </c>
      <c r="D282" s="51">
        <v>771420538</v>
      </c>
      <c r="E282" s="51">
        <v>800779464</v>
      </c>
      <c r="F282" s="45">
        <v>2498744</v>
      </c>
      <c r="G282" s="27" t="s">
        <v>284</v>
      </c>
      <c r="H282" s="51">
        <v>771420538</v>
      </c>
      <c r="I282" s="51">
        <v>800779464</v>
      </c>
      <c r="J282" s="45">
        <v>2535155</v>
      </c>
      <c r="K282" s="27" t="s">
        <v>281</v>
      </c>
      <c r="L282" s="45">
        <v>32499850433</v>
      </c>
      <c r="M282" s="27" t="str">
        <f t="shared" si="52"/>
        <v>2026-03|FGP primera parte (60%)</v>
      </c>
      <c r="N282" s="52">
        <f t="shared" si="53"/>
        <v>1.0380582633645152</v>
      </c>
      <c r="O282" s="52">
        <f t="shared" si="54"/>
        <v>1.0380582633645152</v>
      </c>
      <c r="P282" s="30">
        <f t="shared" si="55"/>
        <v>2593841.8572325022</v>
      </c>
      <c r="Q282" s="30">
        <f t="shared" si="56"/>
        <v>2593841.8572325022</v>
      </c>
      <c r="R282" s="30">
        <f t="shared" si="57"/>
        <v>2631638.5966598676</v>
      </c>
      <c r="S282" s="53">
        <f t="shared" si="58"/>
        <v>1.8755006973367336</v>
      </c>
      <c r="T282" s="54">
        <v>1.8755010000000001</v>
      </c>
      <c r="U282" s="55">
        <f t="shared" si="59"/>
        <v>-3.0266326644934338E-7</v>
      </c>
      <c r="V282" s="53">
        <f t="shared" si="60"/>
        <v>1.8755006973367336</v>
      </c>
      <c r="W282" s="53">
        <f t="shared" si="61"/>
        <v>1.900803088503678</v>
      </c>
      <c r="X282" s="54">
        <v>1.900803</v>
      </c>
      <c r="Y282" s="55">
        <f t="shared" si="62"/>
        <v>8.8503677941886849E-8</v>
      </c>
      <c r="Z282" s="29">
        <f t="shared" si="63"/>
        <v>8223239.2852295097</v>
      </c>
      <c r="AA282" s="23">
        <f t="shared" si="64"/>
        <v>0</v>
      </c>
    </row>
    <row r="283" spans="1:27" x14ac:dyDescent="0.2">
      <c r="A283" s="27" t="s">
        <v>283</v>
      </c>
      <c r="B283" s="27" t="s">
        <v>153</v>
      </c>
      <c r="C283" s="27" t="s">
        <v>72</v>
      </c>
      <c r="D283" s="51">
        <v>506151626</v>
      </c>
      <c r="E283" s="51">
        <v>512293497</v>
      </c>
      <c r="F283" s="45">
        <v>1920249</v>
      </c>
      <c r="G283" s="27" t="s">
        <v>284</v>
      </c>
      <c r="H283" s="51">
        <v>506151626</v>
      </c>
      <c r="I283" s="51">
        <v>512293497</v>
      </c>
      <c r="J283" s="45">
        <v>1975372</v>
      </c>
      <c r="K283" s="27" t="s">
        <v>281</v>
      </c>
      <c r="L283" s="45">
        <v>32499850433</v>
      </c>
      <c r="M283" s="27" t="str">
        <f t="shared" si="52"/>
        <v>2026-03|FGP primera parte (60%)</v>
      </c>
      <c r="N283" s="52">
        <f t="shared" si="53"/>
        <v>1.0121344488183073</v>
      </c>
      <c r="O283" s="52">
        <f t="shared" si="54"/>
        <v>1.0121344488183073</v>
      </c>
      <c r="P283" s="30">
        <f t="shared" si="55"/>
        <v>1943550.1632089058</v>
      </c>
      <c r="Q283" s="30">
        <f t="shared" si="56"/>
        <v>1943550.1632089058</v>
      </c>
      <c r="R283" s="30">
        <f t="shared" si="57"/>
        <v>1999342.0504311172</v>
      </c>
      <c r="S283" s="53">
        <f t="shared" si="58"/>
        <v>1.4053014358772027</v>
      </c>
      <c r="T283" s="54">
        <v>1.4053009999999999</v>
      </c>
      <c r="U283" s="55">
        <f t="shared" si="59"/>
        <v>4.3587720277571407E-7</v>
      </c>
      <c r="V283" s="53">
        <f t="shared" si="60"/>
        <v>1.4053014358772027</v>
      </c>
      <c r="W283" s="53">
        <f t="shared" si="61"/>
        <v>1.4441023738055205</v>
      </c>
      <c r="X283" s="54">
        <v>1.444102</v>
      </c>
      <c r="Y283" s="55">
        <f t="shared" si="62"/>
        <v>3.7380552053711824E-7</v>
      </c>
      <c r="Z283" s="29">
        <f t="shared" si="63"/>
        <v>12610246.793304469</v>
      </c>
      <c r="AA283" s="23">
        <f t="shared" si="64"/>
        <v>0</v>
      </c>
    </row>
    <row r="284" spans="1:27" x14ac:dyDescent="0.2">
      <c r="A284" s="27" t="s">
        <v>283</v>
      </c>
      <c r="B284" s="27" t="s">
        <v>153</v>
      </c>
      <c r="C284" s="27" t="s">
        <v>73</v>
      </c>
      <c r="D284" s="51">
        <v>749045737</v>
      </c>
      <c r="E284" s="51">
        <v>776825450</v>
      </c>
      <c r="F284" s="45">
        <v>2924773</v>
      </c>
      <c r="G284" s="27" t="s">
        <v>284</v>
      </c>
      <c r="H284" s="51">
        <v>749045737</v>
      </c>
      <c r="I284" s="51">
        <v>776825450</v>
      </c>
      <c r="J284" s="45">
        <v>2951151</v>
      </c>
      <c r="K284" s="27" t="s">
        <v>281</v>
      </c>
      <c r="L284" s="45">
        <v>32499850433</v>
      </c>
      <c r="M284" s="27" t="str">
        <f t="shared" si="52"/>
        <v>2026-03|FGP primera parte (60%)</v>
      </c>
      <c r="N284" s="52">
        <f t="shared" si="53"/>
        <v>1.0370868047540867</v>
      </c>
      <c r="O284" s="52">
        <f t="shared" si="54"/>
        <v>1.0370868047540867</v>
      </c>
      <c r="P284" s="30">
        <f t="shared" si="55"/>
        <v>3033243.4852010245</v>
      </c>
      <c r="Q284" s="30">
        <f t="shared" si="56"/>
        <v>3033243.4852010245</v>
      </c>
      <c r="R284" s="30">
        <f t="shared" si="57"/>
        <v>3060599.7609368274</v>
      </c>
      <c r="S284" s="53">
        <f t="shared" si="58"/>
        <v>2.1932139986962582</v>
      </c>
      <c r="T284" s="54">
        <v>2.1932140000000002</v>
      </c>
      <c r="U284" s="55">
        <f t="shared" si="59"/>
        <v>-1.3037420032446789E-9</v>
      </c>
      <c r="V284" s="53">
        <f t="shared" si="60"/>
        <v>2.1932139986962582</v>
      </c>
      <c r="W284" s="53">
        <f t="shared" si="61"/>
        <v>2.2106369338275247</v>
      </c>
      <c r="X284" s="54">
        <v>2.2106370000000002</v>
      </c>
      <c r="Y284" s="55">
        <f t="shared" si="62"/>
        <v>-6.6172475499115535E-8</v>
      </c>
      <c r="Z284" s="29">
        <f t="shared" si="63"/>
        <v>5662427.8587002149</v>
      </c>
      <c r="AA284" s="23">
        <f t="shared" si="64"/>
        <v>0</v>
      </c>
    </row>
    <row r="285" spans="1:27" x14ac:dyDescent="0.2">
      <c r="A285" s="27" t="s">
        <v>283</v>
      </c>
      <c r="B285" s="27" t="s">
        <v>153</v>
      </c>
      <c r="C285" s="27" t="s">
        <v>74</v>
      </c>
      <c r="D285" s="51">
        <v>691765006</v>
      </c>
      <c r="E285" s="51">
        <v>708269470</v>
      </c>
      <c r="F285" s="45">
        <v>3135869</v>
      </c>
      <c r="G285" s="27" t="s">
        <v>284</v>
      </c>
      <c r="H285" s="51">
        <v>691765006</v>
      </c>
      <c r="I285" s="51">
        <v>708269470</v>
      </c>
      <c r="J285" s="45">
        <v>3085699</v>
      </c>
      <c r="K285" s="27" t="s">
        <v>281</v>
      </c>
      <c r="L285" s="45">
        <v>32499850433</v>
      </c>
      <c r="M285" s="27" t="str">
        <f t="shared" si="52"/>
        <v>2026-03|FGP primera parte (60%)</v>
      </c>
      <c r="N285" s="52">
        <f t="shared" si="53"/>
        <v>1.0238584835267022</v>
      </c>
      <c r="O285" s="52">
        <f t="shared" si="54"/>
        <v>1.0238584835267022</v>
      </c>
      <c r="P285" s="30">
        <f t="shared" si="55"/>
        <v>3210686.0788783962</v>
      </c>
      <c r="Q285" s="30">
        <f t="shared" si="56"/>
        <v>3210686.0788783962</v>
      </c>
      <c r="R285" s="30">
        <f t="shared" si="57"/>
        <v>3159319.0987598612</v>
      </c>
      <c r="S285" s="53">
        <f t="shared" si="58"/>
        <v>2.321515462893549</v>
      </c>
      <c r="T285" s="54">
        <v>2.3215150000000002</v>
      </c>
      <c r="U285" s="55">
        <f t="shared" si="59"/>
        <v>4.628935488248942E-7</v>
      </c>
      <c r="V285" s="53">
        <f t="shared" si="60"/>
        <v>2.321515462893549</v>
      </c>
      <c r="W285" s="53">
        <f t="shared" si="61"/>
        <v>2.2819408060488948</v>
      </c>
      <c r="X285" s="54">
        <v>2.2819410000000002</v>
      </c>
      <c r="Y285" s="55">
        <f t="shared" si="62"/>
        <v>-1.9395110539832672E-7</v>
      </c>
      <c r="Z285" s="29">
        <f t="shared" si="63"/>
        <v>-12861704.283885619</v>
      </c>
      <c r="AA285" s="23">
        <f t="shared" si="64"/>
        <v>0</v>
      </c>
    </row>
    <row r="286" spans="1:27" x14ac:dyDescent="0.2">
      <c r="A286" s="27" t="s">
        <v>283</v>
      </c>
      <c r="B286" s="27" t="s">
        <v>153</v>
      </c>
      <c r="C286" s="27" t="s">
        <v>75</v>
      </c>
      <c r="D286" s="51">
        <v>1066140938</v>
      </c>
      <c r="E286" s="51">
        <v>1101556783</v>
      </c>
      <c r="F286" s="45">
        <v>3032476</v>
      </c>
      <c r="G286" s="27" t="s">
        <v>284</v>
      </c>
      <c r="H286" s="51">
        <v>1066140938</v>
      </c>
      <c r="I286" s="51">
        <v>1101556783</v>
      </c>
      <c r="J286" s="45">
        <v>3035624</v>
      </c>
      <c r="K286" s="27" t="s">
        <v>281</v>
      </c>
      <c r="L286" s="45">
        <v>32499850433</v>
      </c>
      <c r="M286" s="27" t="str">
        <f t="shared" si="52"/>
        <v>2026-03|FGP primera parte (60%)</v>
      </c>
      <c r="N286" s="52">
        <f t="shared" si="53"/>
        <v>1.0332187272223479</v>
      </c>
      <c r="O286" s="52">
        <f t="shared" si="54"/>
        <v>1.0332187272223479</v>
      </c>
      <c r="P286" s="30">
        <f t="shared" si="55"/>
        <v>3133210.9930523164</v>
      </c>
      <c r="Q286" s="30">
        <f t="shared" si="56"/>
        <v>3133210.9930523164</v>
      </c>
      <c r="R286" s="30">
        <f t="shared" si="57"/>
        <v>3136463.5656056125</v>
      </c>
      <c r="S286" s="53">
        <f t="shared" si="58"/>
        <v>2.2654964048743111</v>
      </c>
      <c r="T286" s="54">
        <v>2.2654960000000002</v>
      </c>
      <c r="U286" s="55">
        <f t="shared" si="59"/>
        <v>4.0487431096636328E-7</v>
      </c>
      <c r="V286" s="53">
        <f t="shared" si="60"/>
        <v>2.2654964048743111</v>
      </c>
      <c r="W286" s="53">
        <f t="shared" si="61"/>
        <v>2.2654325103945698</v>
      </c>
      <c r="X286" s="54">
        <v>2.2654329999999998</v>
      </c>
      <c r="Y286" s="55">
        <f t="shared" si="62"/>
        <v>-4.8960542997633638E-7</v>
      </c>
      <c r="Z286" s="29">
        <f t="shared" si="63"/>
        <v>-20765.610350869567</v>
      </c>
      <c r="AA286" s="23">
        <f t="shared" si="64"/>
        <v>0</v>
      </c>
    </row>
    <row r="287" spans="1:27" x14ac:dyDescent="0.2">
      <c r="A287" s="27" t="s">
        <v>283</v>
      </c>
      <c r="B287" s="27" t="s">
        <v>153</v>
      </c>
      <c r="C287" s="27" t="s">
        <v>76</v>
      </c>
      <c r="D287" s="51">
        <v>755926952</v>
      </c>
      <c r="E287" s="51">
        <v>696392466</v>
      </c>
      <c r="F287" s="45">
        <v>2567516</v>
      </c>
      <c r="G287" s="27" t="s">
        <v>284</v>
      </c>
      <c r="H287" s="51">
        <v>755926952</v>
      </c>
      <c r="I287" s="51">
        <v>696392466</v>
      </c>
      <c r="J287" s="45">
        <v>2578825</v>
      </c>
      <c r="K287" s="27" t="s">
        <v>281</v>
      </c>
      <c r="L287" s="45">
        <v>32499850433</v>
      </c>
      <c r="M287" s="27" t="str">
        <f t="shared" si="52"/>
        <v>2026-03|FGP primera parte (60%)</v>
      </c>
      <c r="N287" s="52">
        <f t="shared" si="53"/>
        <v>0.92124307005791217</v>
      </c>
      <c r="O287" s="52">
        <f t="shared" si="54"/>
        <v>0.92124307005791217</v>
      </c>
      <c r="P287" s="30">
        <f t="shared" si="55"/>
        <v>2365306.3222628105</v>
      </c>
      <c r="Q287" s="30">
        <f t="shared" si="56"/>
        <v>2365306.3222628105</v>
      </c>
      <c r="R287" s="30">
        <f t="shared" si="57"/>
        <v>2375724.6601420953</v>
      </c>
      <c r="S287" s="53">
        <f t="shared" si="58"/>
        <v>1.7102560221431602</v>
      </c>
      <c r="T287" s="54">
        <v>1.710256</v>
      </c>
      <c r="U287" s="55">
        <f t="shared" si="59"/>
        <v>2.2143160194332268E-8</v>
      </c>
      <c r="V287" s="53">
        <f t="shared" si="60"/>
        <v>1.7102560221431602</v>
      </c>
      <c r="W287" s="53">
        <f t="shared" si="61"/>
        <v>1.715959317956492</v>
      </c>
      <c r="X287" s="54">
        <v>1.715959</v>
      </c>
      <c r="Y287" s="55">
        <f t="shared" si="62"/>
        <v>3.1795649202415177E-7</v>
      </c>
      <c r="Z287" s="29">
        <f t="shared" si="63"/>
        <v>1853562.6090843999</v>
      </c>
      <c r="AA287" s="23">
        <f t="shared" si="64"/>
        <v>0</v>
      </c>
    </row>
    <row r="288" spans="1:27" x14ac:dyDescent="0.2">
      <c r="A288" s="27" t="s">
        <v>283</v>
      </c>
      <c r="B288" s="27" t="s">
        <v>153</v>
      </c>
      <c r="C288" s="27" t="s">
        <v>77</v>
      </c>
      <c r="D288" s="51">
        <v>944396524</v>
      </c>
      <c r="E288" s="51">
        <v>1003380332</v>
      </c>
      <c r="F288" s="45">
        <v>3597414</v>
      </c>
      <c r="G288" s="27" t="s">
        <v>284</v>
      </c>
      <c r="H288" s="51">
        <v>944396524</v>
      </c>
      <c r="I288" s="51">
        <v>1003380332</v>
      </c>
      <c r="J288" s="45">
        <v>3602540</v>
      </c>
      <c r="K288" s="27" t="s">
        <v>281</v>
      </c>
      <c r="L288" s="45">
        <v>32499850433</v>
      </c>
      <c r="M288" s="27" t="str">
        <f t="shared" si="52"/>
        <v>2026-03|FGP primera parte (60%)</v>
      </c>
      <c r="N288" s="52">
        <f t="shared" si="53"/>
        <v>1.0624566127691508</v>
      </c>
      <c r="O288" s="52">
        <f t="shared" si="54"/>
        <v>1.0624566127691508</v>
      </c>
      <c r="P288" s="30">
        <f t="shared" si="55"/>
        <v>3822096.2931683217</v>
      </c>
      <c r="Q288" s="30">
        <f t="shared" si="56"/>
        <v>3822096.2931683217</v>
      </c>
      <c r="R288" s="30">
        <f t="shared" si="57"/>
        <v>3827542.4457653766</v>
      </c>
      <c r="S288" s="53">
        <f t="shared" si="58"/>
        <v>2.7636011205299895</v>
      </c>
      <c r="T288" s="54">
        <v>2.763601</v>
      </c>
      <c r="U288" s="55">
        <f t="shared" si="59"/>
        <v>1.2052998954459326E-7</v>
      </c>
      <c r="V288" s="53">
        <f t="shared" si="60"/>
        <v>2.7636011205299895</v>
      </c>
      <c r="W288" s="53">
        <f t="shared" si="61"/>
        <v>2.7645910466292176</v>
      </c>
      <c r="X288" s="54">
        <v>2.7645909999999998</v>
      </c>
      <c r="Y288" s="55">
        <f t="shared" si="62"/>
        <v>4.6629217820282065E-8</v>
      </c>
      <c r="Z288" s="29">
        <f t="shared" si="63"/>
        <v>321724.5016463637</v>
      </c>
      <c r="AA288" s="23">
        <f t="shared" si="64"/>
        <v>0</v>
      </c>
    </row>
    <row r="289" spans="1:27" x14ac:dyDescent="0.2">
      <c r="A289" s="27" t="s">
        <v>283</v>
      </c>
      <c r="B289" s="27" t="s">
        <v>153</v>
      </c>
      <c r="C289" s="27" t="s">
        <v>78</v>
      </c>
      <c r="D289" s="51">
        <v>190382859</v>
      </c>
      <c r="E289" s="51">
        <v>199483012</v>
      </c>
      <c r="F289" s="45">
        <v>1449354</v>
      </c>
      <c r="G289" s="27" t="s">
        <v>284</v>
      </c>
      <c r="H289" s="51">
        <v>190382859</v>
      </c>
      <c r="I289" s="51">
        <v>199483012</v>
      </c>
      <c r="J289" s="45">
        <v>1426175</v>
      </c>
      <c r="K289" s="27" t="s">
        <v>281</v>
      </c>
      <c r="L289" s="45">
        <v>32499850433</v>
      </c>
      <c r="M289" s="27" t="str">
        <f t="shared" si="52"/>
        <v>2026-03|FGP primera parte (60%)</v>
      </c>
      <c r="N289" s="52">
        <f t="shared" si="53"/>
        <v>1.0477992244039154</v>
      </c>
      <c r="O289" s="52">
        <f t="shared" si="54"/>
        <v>1.0477992244039154</v>
      </c>
      <c r="P289" s="30">
        <f t="shared" si="55"/>
        <v>1518631.9970867124</v>
      </c>
      <c r="Q289" s="30">
        <f t="shared" si="56"/>
        <v>1518631.9970867124</v>
      </c>
      <c r="R289" s="30">
        <f t="shared" si="57"/>
        <v>1494345.058864254</v>
      </c>
      <c r="S289" s="53">
        <f t="shared" si="58"/>
        <v>1.0980605319450298</v>
      </c>
      <c r="T289" s="54">
        <v>1.098061</v>
      </c>
      <c r="U289" s="55">
        <f t="shared" si="59"/>
        <v>-4.6805497011526143E-7</v>
      </c>
      <c r="V289" s="53">
        <f t="shared" si="60"/>
        <v>1.0980605319450298</v>
      </c>
      <c r="W289" s="53">
        <f t="shared" si="61"/>
        <v>1.0793487019017551</v>
      </c>
      <c r="X289" s="54">
        <v>1.0793489999999999</v>
      </c>
      <c r="Y289" s="55">
        <f t="shared" si="62"/>
        <v>-2.9809824475535152E-7</v>
      </c>
      <c r="Z289" s="29">
        <f t="shared" si="63"/>
        <v>-6081316.7773414375</v>
      </c>
      <c r="AA289" s="23">
        <f t="shared" si="64"/>
        <v>0</v>
      </c>
    </row>
    <row r="290" spans="1:27" x14ac:dyDescent="0.2">
      <c r="A290" s="27" t="s">
        <v>283</v>
      </c>
      <c r="B290" s="27" t="s">
        <v>153</v>
      </c>
      <c r="C290" s="27" t="s">
        <v>79</v>
      </c>
      <c r="D290" s="51">
        <v>1354310854</v>
      </c>
      <c r="E290" s="51">
        <v>1439874641</v>
      </c>
      <c r="F290" s="45">
        <v>8068202</v>
      </c>
      <c r="G290" s="27" t="s">
        <v>284</v>
      </c>
      <c r="H290" s="51">
        <v>1354310854</v>
      </c>
      <c r="I290" s="51">
        <v>1439874641</v>
      </c>
      <c r="J290" s="45">
        <v>8066173</v>
      </c>
      <c r="K290" s="27" t="s">
        <v>281</v>
      </c>
      <c r="L290" s="45">
        <v>32499850433</v>
      </c>
      <c r="M290" s="27" t="str">
        <f t="shared" si="52"/>
        <v>2026-03|FGP primera parte (60%)</v>
      </c>
      <c r="N290" s="52">
        <f t="shared" si="53"/>
        <v>1.0631788387040424</v>
      </c>
      <c r="O290" s="52">
        <f t="shared" si="54"/>
        <v>1.0631788387040424</v>
      </c>
      <c r="P290" s="30">
        <f t="shared" si="55"/>
        <v>8577941.6327896323</v>
      </c>
      <c r="Q290" s="30">
        <f t="shared" si="56"/>
        <v>8577941.6327896323</v>
      </c>
      <c r="R290" s="30">
        <f t="shared" si="57"/>
        <v>8575784.4429259021</v>
      </c>
      <c r="S290" s="53">
        <f t="shared" si="58"/>
        <v>6.2023578920789593</v>
      </c>
      <c r="T290" s="54">
        <v>6.2023580000000003</v>
      </c>
      <c r="U290" s="55">
        <f t="shared" si="59"/>
        <v>-1.0792104099266453E-7</v>
      </c>
      <c r="V290" s="53">
        <f t="shared" si="60"/>
        <v>6.2023578920789593</v>
      </c>
      <c r="W290" s="53">
        <f t="shared" si="61"/>
        <v>6.194193068966527</v>
      </c>
      <c r="X290" s="54">
        <v>6.1941930000000003</v>
      </c>
      <c r="Y290" s="55">
        <f t="shared" si="62"/>
        <v>6.8966526711733422E-8</v>
      </c>
      <c r="Z290" s="29">
        <f t="shared" si="63"/>
        <v>-2653555.2996595046</v>
      </c>
      <c r="AA290" s="23">
        <f t="shared" si="64"/>
        <v>0</v>
      </c>
    </row>
    <row r="291" spans="1:27" x14ac:dyDescent="0.2">
      <c r="A291" s="27" t="s">
        <v>283</v>
      </c>
      <c r="B291" s="27" t="s">
        <v>153</v>
      </c>
      <c r="C291" s="27" t="s">
        <v>80</v>
      </c>
      <c r="D291" s="51">
        <v>506034200</v>
      </c>
      <c r="E291" s="51">
        <v>546558258</v>
      </c>
      <c r="F291" s="45">
        <v>2432221</v>
      </c>
      <c r="G291" s="27" t="s">
        <v>284</v>
      </c>
      <c r="H291" s="51">
        <v>506034200</v>
      </c>
      <c r="I291" s="51">
        <v>546558258</v>
      </c>
      <c r="J291" s="45">
        <v>2456821</v>
      </c>
      <c r="K291" s="27" t="s">
        <v>281</v>
      </c>
      <c r="L291" s="45">
        <v>32499850433</v>
      </c>
      <c r="M291" s="27" t="str">
        <f t="shared" si="52"/>
        <v>2026-03|FGP primera parte (60%)</v>
      </c>
      <c r="N291" s="52">
        <f t="shared" si="53"/>
        <v>1.0800816585124089</v>
      </c>
      <c r="O291" s="52">
        <f t="shared" si="54"/>
        <v>1.0800816585124089</v>
      </c>
      <c r="P291" s="30">
        <f t="shared" si="55"/>
        <v>2626997.2915487099</v>
      </c>
      <c r="Q291" s="30">
        <f t="shared" si="56"/>
        <v>2626997.2915487099</v>
      </c>
      <c r="R291" s="30">
        <f t="shared" si="57"/>
        <v>2653567.3003481152</v>
      </c>
      <c r="S291" s="53">
        <f t="shared" si="58"/>
        <v>1.8994740324909811</v>
      </c>
      <c r="T291" s="54">
        <v>1.8994740000000001</v>
      </c>
      <c r="U291" s="55">
        <f t="shared" si="59"/>
        <v>3.2490981016763953E-8</v>
      </c>
      <c r="V291" s="53">
        <f t="shared" si="60"/>
        <v>1.8994740324909811</v>
      </c>
      <c r="W291" s="53">
        <f t="shared" si="61"/>
        <v>1.9166419456136194</v>
      </c>
      <c r="X291" s="54">
        <v>1.916642</v>
      </c>
      <c r="Y291" s="55">
        <f t="shared" si="62"/>
        <v>-5.4386380510251797E-8</v>
      </c>
      <c r="Z291" s="29">
        <f t="shared" si="63"/>
        <v>5579546.0873248354</v>
      </c>
      <c r="AA291" s="23">
        <f t="shared" si="64"/>
        <v>0</v>
      </c>
    </row>
    <row r="292" spans="1:27" x14ac:dyDescent="0.2">
      <c r="A292" s="27" t="s">
        <v>283</v>
      </c>
      <c r="B292" s="27" t="s">
        <v>153</v>
      </c>
      <c r="C292" s="27" t="s">
        <v>81</v>
      </c>
      <c r="D292" s="51">
        <v>305155572</v>
      </c>
      <c r="E292" s="51">
        <v>346668814</v>
      </c>
      <c r="F292" s="45">
        <v>1703991</v>
      </c>
      <c r="G292" s="27" t="s">
        <v>284</v>
      </c>
      <c r="H292" s="51">
        <v>305155572</v>
      </c>
      <c r="I292" s="51">
        <v>346668814</v>
      </c>
      <c r="J292" s="45">
        <v>1689186</v>
      </c>
      <c r="K292" s="27" t="s">
        <v>281</v>
      </c>
      <c r="L292" s="45">
        <v>32499850433</v>
      </c>
      <c r="M292" s="27" t="str">
        <f t="shared" si="52"/>
        <v>2026-03|FGP primera parte (60%)</v>
      </c>
      <c r="N292" s="52">
        <f t="shared" si="53"/>
        <v>1.1360396001551629</v>
      </c>
      <c r="O292" s="52">
        <f t="shared" si="54"/>
        <v>1.1360396001551629</v>
      </c>
      <c r="P292" s="30">
        <f t="shared" si="55"/>
        <v>1935801.2543079962</v>
      </c>
      <c r="Q292" s="30">
        <f t="shared" si="56"/>
        <v>1935801.2543079962</v>
      </c>
      <c r="R292" s="30">
        <f t="shared" si="57"/>
        <v>1918982.188027699</v>
      </c>
      <c r="S292" s="53">
        <f t="shared" si="58"/>
        <v>1.3996985175625292</v>
      </c>
      <c r="T292" s="54">
        <v>1.399699</v>
      </c>
      <c r="U292" s="55">
        <f t="shared" si="59"/>
        <v>-4.824374708611856E-7</v>
      </c>
      <c r="V292" s="53">
        <f t="shared" si="60"/>
        <v>1.3996985175625292</v>
      </c>
      <c r="W292" s="53">
        <f t="shared" si="61"/>
        <v>1.3860593450849283</v>
      </c>
      <c r="X292" s="54">
        <v>1.3860589999999999</v>
      </c>
      <c r="Y292" s="55">
        <f t="shared" si="62"/>
        <v>3.4508492841034411E-7</v>
      </c>
      <c r="Z292" s="29">
        <f t="shared" si="63"/>
        <v>-4432710.6555191688</v>
      </c>
      <c r="AA292" s="23">
        <f t="shared" si="64"/>
        <v>0</v>
      </c>
    </row>
    <row r="293" spans="1:27" x14ac:dyDescent="0.2">
      <c r="A293" s="27" t="s">
        <v>283</v>
      </c>
      <c r="B293" s="27" t="s">
        <v>155</v>
      </c>
      <c r="C293" s="27" t="s">
        <v>50</v>
      </c>
      <c r="D293" s="51">
        <v>1519678</v>
      </c>
      <c r="E293" s="51">
        <v>1693194</v>
      </c>
      <c r="F293" s="45">
        <v>1519678</v>
      </c>
      <c r="G293" s="27" t="s">
        <v>284</v>
      </c>
      <c r="H293" s="51">
        <v>1531396</v>
      </c>
      <c r="I293" s="51">
        <v>1737186</v>
      </c>
      <c r="J293" s="45">
        <v>1531396</v>
      </c>
      <c r="K293" s="27" t="s">
        <v>281</v>
      </c>
      <c r="L293" s="45">
        <v>16249925216</v>
      </c>
      <c r="M293" s="27" t="str">
        <f t="shared" si="52"/>
        <v>2026-03|FGP segunda parte (30%)</v>
      </c>
      <c r="N293" s="52">
        <f t="shared" si="53"/>
        <v>1.114179451173209</v>
      </c>
      <c r="O293" s="52">
        <f t="shared" si="54"/>
        <v>1.1343806566035173</v>
      </c>
      <c r="P293" s="30">
        <f t="shared" si="55"/>
        <v>1693194</v>
      </c>
      <c r="Q293" s="30">
        <f t="shared" si="56"/>
        <v>1723893.32746592</v>
      </c>
      <c r="R293" s="30">
        <f t="shared" si="57"/>
        <v>1737186</v>
      </c>
      <c r="S293" s="53">
        <f t="shared" si="58"/>
        <v>1.1395184814743904</v>
      </c>
      <c r="T293" s="54">
        <v>1.139518</v>
      </c>
      <c r="U293" s="55">
        <f t="shared" si="59"/>
        <v>4.8147439035695072E-7</v>
      </c>
      <c r="V293" s="53">
        <f t="shared" si="60"/>
        <v>1.1779901445653291</v>
      </c>
      <c r="W293" s="53">
        <f t="shared" si="61"/>
        <v>1.1856770801695342</v>
      </c>
      <c r="X293" s="54">
        <v>1.1856770000000001</v>
      </c>
      <c r="Y293" s="55">
        <f t="shared" si="62"/>
        <v>8.0169534122376263E-8</v>
      </c>
      <c r="Z293" s="29">
        <f t="shared" si="63"/>
        <v>1249121.2870854035</v>
      </c>
      <c r="AA293" s="23">
        <f t="shared" si="64"/>
        <v>6251616.4816290205</v>
      </c>
    </row>
    <row r="294" spans="1:27" x14ac:dyDescent="0.2">
      <c r="A294" s="27" t="s">
        <v>283</v>
      </c>
      <c r="B294" s="27" t="s">
        <v>155</v>
      </c>
      <c r="C294" s="27" t="s">
        <v>51</v>
      </c>
      <c r="D294" s="51">
        <v>3790412</v>
      </c>
      <c r="E294" s="51">
        <v>4551357</v>
      </c>
      <c r="F294" s="45">
        <v>3790412</v>
      </c>
      <c r="G294" s="27" t="s">
        <v>284</v>
      </c>
      <c r="H294" s="51">
        <v>3830329</v>
      </c>
      <c r="I294" s="51">
        <v>4447138</v>
      </c>
      <c r="J294" s="45">
        <v>3830329</v>
      </c>
      <c r="K294" s="27" t="s">
        <v>281</v>
      </c>
      <c r="L294" s="45">
        <v>16249925216</v>
      </c>
      <c r="M294" s="27" t="str">
        <f t="shared" si="52"/>
        <v>2026-03|FGP segunda parte (30%)</v>
      </c>
      <c r="N294" s="52">
        <f t="shared" si="53"/>
        <v>1.2007552213321402</v>
      </c>
      <c r="O294" s="52">
        <f t="shared" si="54"/>
        <v>1.1610329034398872</v>
      </c>
      <c r="P294" s="30">
        <f t="shared" si="55"/>
        <v>4551357</v>
      </c>
      <c r="Q294" s="30">
        <f t="shared" si="56"/>
        <v>4400793.04959339</v>
      </c>
      <c r="R294" s="30">
        <f t="shared" si="57"/>
        <v>4447138</v>
      </c>
      <c r="S294" s="53">
        <f t="shared" si="58"/>
        <v>3.0630603565142782</v>
      </c>
      <c r="T294" s="54">
        <v>3.0630600000000001</v>
      </c>
      <c r="U294" s="55">
        <f t="shared" si="59"/>
        <v>3.565142780992403E-7</v>
      </c>
      <c r="V294" s="53">
        <f t="shared" si="60"/>
        <v>3.0071993191789286</v>
      </c>
      <c r="W294" s="53">
        <f t="shared" si="61"/>
        <v>3.0352936294392094</v>
      </c>
      <c r="X294" s="54">
        <v>3.0352929999999998</v>
      </c>
      <c r="Y294" s="55">
        <f t="shared" si="62"/>
        <v>6.2943920964286804E-7</v>
      </c>
      <c r="Z294" s="29">
        <f t="shared" si="63"/>
        <v>4565304.4072466558</v>
      </c>
      <c r="AA294" s="23">
        <f t="shared" si="64"/>
        <v>-9077376.7918761559</v>
      </c>
    </row>
    <row r="295" spans="1:27" x14ac:dyDescent="0.2">
      <c r="A295" s="27" t="s">
        <v>283</v>
      </c>
      <c r="B295" s="27" t="s">
        <v>155</v>
      </c>
      <c r="C295" s="27" t="s">
        <v>52</v>
      </c>
      <c r="D295" s="51">
        <v>906940</v>
      </c>
      <c r="E295" s="51">
        <v>1052078</v>
      </c>
      <c r="F295" s="45">
        <v>906940</v>
      </c>
      <c r="G295" s="27" t="s">
        <v>284</v>
      </c>
      <c r="H295" s="51">
        <v>928591</v>
      </c>
      <c r="I295" s="51">
        <v>1017323</v>
      </c>
      <c r="J295" s="45">
        <v>928591</v>
      </c>
      <c r="K295" s="27" t="s">
        <v>281</v>
      </c>
      <c r="L295" s="45">
        <v>16249925216</v>
      </c>
      <c r="M295" s="27" t="str">
        <f t="shared" si="52"/>
        <v>2026-03|FGP segunda parte (30%)</v>
      </c>
      <c r="N295" s="52">
        <f t="shared" si="53"/>
        <v>1.1600304320021171</v>
      </c>
      <c r="O295" s="52">
        <f t="shared" si="54"/>
        <v>1.0955555244451001</v>
      </c>
      <c r="P295" s="30">
        <f t="shared" si="55"/>
        <v>1052078</v>
      </c>
      <c r="Q295" s="30">
        <f t="shared" si="56"/>
        <v>993603.12734023901</v>
      </c>
      <c r="R295" s="30">
        <f t="shared" si="57"/>
        <v>1017322.9999999999</v>
      </c>
      <c r="S295" s="53">
        <f t="shared" si="58"/>
        <v>0.70804782260781318</v>
      </c>
      <c r="T295" s="54">
        <v>0.70804800000000001</v>
      </c>
      <c r="U295" s="55">
        <f t="shared" si="59"/>
        <v>-1.7739218682866209E-7</v>
      </c>
      <c r="V295" s="53">
        <f t="shared" si="60"/>
        <v>0.67896004524632059</v>
      </c>
      <c r="W295" s="53">
        <f t="shared" si="61"/>
        <v>0.69435084339230857</v>
      </c>
      <c r="X295" s="54">
        <v>0.69435100000000005</v>
      </c>
      <c r="Y295" s="55">
        <f t="shared" si="62"/>
        <v>-1.5660769148162501E-7</v>
      </c>
      <c r="Z295" s="29">
        <f t="shared" si="63"/>
        <v>2500993.1888685618</v>
      </c>
      <c r="AA295" s="23">
        <f t="shared" si="64"/>
        <v>-4726742.0682391245</v>
      </c>
    </row>
    <row r="296" spans="1:27" x14ac:dyDescent="0.2">
      <c r="A296" s="27" t="s">
        <v>283</v>
      </c>
      <c r="B296" s="27" t="s">
        <v>155</v>
      </c>
      <c r="C296" s="27" t="s">
        <v>53</v>
      </c>
      <c r="D296" s="51">
        <v>918817</v>
      </c>
      <c r="E296" s="51">
        <v>1045896</v>
      </c>
      <c r="F296" s="45">
        <v>918817</v>
      </c>
      <c r="G296" s="27" t="s">
        <v>284</v>
      </c>
      <c r="H296" s="51">
        <v>935371</v>
      </c>
      <c r="I296" s="51">
        <v>971973</v>
      </c>
      <c r="J296" s="45">
        <v>935371</v>
      </c>
      <c r="K296" s="27" t="s">
        <v>281</v>
      </c>
      <c r="L296" s="45">
        <v>16249925216</v>
      </c>
      <c r="M296" s="27" t="str">
        <f t="shared" si="52"/>
        <v>2026-03|FGP segunda parte (30%)</v>
      </c>
      <c r="N296" s="52">
        <f t="shared" si="53"/>
        <v>1.1383071928360053</v>
      </c>
      <c r="O296" s="52">
        <f t="shared" si="54"/>
        <v>1.0391309972192853</v>
      </c>
      <c r="P296" s="30">
        <f t="shared" si="55"/>
        <v>1045895.9999999999</v>
      </c>
      <c r="Q296" s="30">
        <f t="shared" si="56"/>
        <v>954771.22547203198</v>
      </c>
      <c r="R296" s="30">
        <f t="shared" si="57"/>
        <v>971973.00000000012</v>
      </c>
      <c r="S296" s="53">
        <f t="shared" si="58"/>
        <v>0.70388734055290691</v>
      </c>
      <c r="T296" s="54">
        <v>0.70388799999999996</v>
      </c>
      <c r="U296" s="55">
        <f t="shared" si="59"/>
        <v>-6.5944709304321947E-7</v>
      </c>
      <c r="V296" s="53">
        <f t="shared" si="60"/>
        <v>0.6524249940533805</v>
      </c>
      <c r="W296" s="53">
        <f t="shared" si="61"/>
        <v>0.6633982248553828</v>
      </c>
      <c r="X296" s="54">
        <v>0.66339800000000004</v>
      </c>
      <c r="Y296" s="55">
        <f t="shared" si="62"/>
        <v>2.248553827577382E-7</v>
      </c>
      <c r="Z296" s="29">
        <f t="shared" si="63"/>
        <v>1783141.7991044505</v>
      </c>
      <c r="AA296" s="23">
        <f t="shared" si="64"/>
        <v>-8362592.8205718361</v>
      </c>
    </row>
    <row r="297" spans="1:27" x14ac:dyDescent="0.2">
      <c r="A297" s="27" t="s">
        <v>283</v>
      </c>
      <c r="B297" s="27" t="s">
        <v>155</v>
      </c>
      <c r="C297" s="27" t="s">
        <v>54</v>
      </c>
      <c r="D297" s="51">
        <v>3582441</v>
      </c>
      <c r="E297" s="51">
        <v>4144190</v>
      </c>
      <c r="F297" s="45">
        <v>3582441</v>
      </c>
      <c r="G297" s="27" t="s">
        <v>284</v>
      </c>
      <c r="H297" s="51">
        <v>3590747</v>
      </c>
      <c r="I297" s="51">
        <v>4181500</v>
      </c>
      <c r="J297" s="45">
        <v>3590747</v>
      </c>
      <c r="K297" s="27" t="s">
        <v>281</v>
      </c>
      <c r="L297" s="45">
        <v>16249925216</v>
      </c>
      <c r="M297" s="27" t="str">
        <f t="shared" si="52"/>
        <v>2026-03|FGP segunda parte (30%)</v>
      </c>
      <c r="N297" s="52">
        <f t="shared" si="53"/>
        <v>1.1568062111839386</v>
      </c>
      <c r="O297" s="52">
        <f t="shared" si="54"/>
        <v>1.1645209200202631</v>
      </c>
      <c r="P297" s="30">
        <f t="shared" si="55"/>
        <v>4144190</v>
      </c>
      <c r="Q297" s="30">
        <f t="shared" si="56"/>
        <v>4171827.4892383111</v>
      </c>
      <c r="R297" s="30">
        <f t="shared" si="57"/>
        <v>4181499.9999999995</v>
      </c>
      <c r="S297" s="53">
        <f t="shared" si="58"/>
        <v>2.7890372253512319</v>
      </c>
      <c r="T297" s="54">
        <v>2.789037</v>
      </c>
      <c r="U297" s="55">
        <f t="shared" si="59"/>
        <v>2.2535123189726392E-7</v>
      </c>
      <c r="V297" s="53">
        <f t="shared" si="60"/>
        <v>2.8507400016295992</v>
      </c>
      <c r="W297" s="53">
        <f t="shared" si="61"/>
        <v>2.8539884104113824</v>
      </c>
      <c r="X297" s="54">
        <v>2.8539889999999999</v>
      </c>
      <c r="Y297" s="55">
        <f t="shared" si="62"/>
        <v>-5.8958861748337199E-7</v>
      </c>
      <c r="Z297" s="29">
        <f t="shared" si="63"/>
        <v>527863.99774975143</v>
      </c>
      <c r="AA297" s="23">
        <f t="shared" si="64"/>
        <v>10026655.001430472</v>
      </c>
    </row>
    <row r="298" spans="1:27" x14ac:dyDescent="0.2">
      <c r="A298" s="27" t="s">
        <v>283</v>
      </c>
      <c r="B298" s="27" t="s">
        <v>155</v>
      </c>
      <c r="C298" s="27" t="s">
        <v>55</v>
      </c>
      <c r="D298" s="51">
        <v>745394</v>
      </c>
      <c r="E298" s="51">
        <v>814508</v>
      </c>
      <c r="F298" s="45">
        <v>745394</v>
      </c>
      <c r="G298" s="27" t="s">
        <v>284</v>
      </c>
      <c r="H298" s="51">
        <v>762355</v>
      </c>
      <c r="I298" s="51">
        <v>837762</v>
      </c>
      <c r="J298" s="45">
        <v>762355</v>
      </c>
      <c r="K298" s="27" t="s">
        <v>281</v>
      </c>
      <c r="L298" s="45">
        <v>16249925216</v>
      </c>
      <c r="M298" s="27" t="str">
        <f t="shared" si="52"/>
        <v>2026-03|FGP segunda parte (30%)</v>
      </c>
      <c r="N298" s="52">
        <f t="shared" si="53"/>
        <v>1.0927214332286013</v>
      </c>
      <c r="O298" s="52">
        <f t="shared" si="54"/>
        <v>1.0989132359596252</v>
      </c>
      <c r="P298" s="30">
        <f t="shared" si="55"/>
        <v>814508</v>
      </c>
      <c r="Q298" s="30">
        <f t="shared" si="56"/>
        <v>819123.33260488883</v>
      </c>
      <c r="R298" s="30">
        <f t="shared" si="57"/>
        <v>837762.00000000012</v>
      </c>
      <c r="S298" s="53">
        <f t="shared" si="58"/>
        <v>0.54816336421505307</v>
      </c>
      <c r="T298" s="54">
        <v>0.54816299999999996</v>
      </c>
      <c r="U298" s="55">
        <f t="shared" si="59"/>
        <v>3.6421505311690083E-7</v>
      </c>
      <c r="V298" s="53">
        <f t="shared" si="60"/>
        <v>0.55973255283171963</v>
      </c>
      <c r="W298" s="53">
        <f t="shared" si="61"/>
        <v>0.57179553717160381</v>
      </c>
      <c r="X298" s="54">
        <v>0.57179599999999997</v>
      </c>
      <c r="Y298" s="55">
        <f t="shared" si="62"/>
        <v>-4.6282839616385019E-7</v>
      </c>
      <c r="Z298" s="29">
        <f t="shared" si="63"/>
        <v>1960225.9340489695</v>
      </c>
      <c r="AA298" s="23">
        <f t="shared" si="64"/>
        <v>1879984.4983063007</v>
      </c>
    </row>
    <row r="299" spans="1:27" x14ac:dyDescent="0.2">
      <c r="A299" s="27" t="s">
        <v>283</v>
      </c>
      <c r="B299" s="27" t="s">
        <v>155</v>
      </c>
      <c r="C299" s="27" t="s">
        <v>56</v>
      </c>
      <c r="D299" s="51">
        <v>5900473</v>
      </c>
      <c r="E299" s="51">
        <v>6524250</v>
      </c>
      <c r="F299" s="45">
        <v>5900473</v>
      </c>
      <c r="G299" s="27" t="s">
        <v>284</v>
      </c>
      <c r="H299" s="51">
        <v>5891372</v>
      </c>
      <c r="I299" s="51">
        <v>7259797</v>
      </c>
      <c r="J299" s="45">
        <v>5891372</v>
      </c>
      <c r="K299" s="27" t="s">
        <v>281</v>
      </c>
      <c r="L299" s="45">
        <v>16249925216</v>
      </c>
      <c r="M299" s="27" t="str">
        <f t="shared" si="52"/>
        <v>2026-03|FGP segunda parte (30%)</v>
      </c>
      <c r="N299" s="52">
        <f t="shared" si="53"/>
        <v>1.1057164400209949</v>
      </c>
      <c r="O299" s="52">
        <f t="shared" si="54"/>
        <v>1.2322761149694841</v>
      </c>
      <c r="P299" s="30">
        <f t="shared" si="55"/>
        <v>6524250</v>
      </c>
      <c r="Q299" s="30">
        <f t="shared" si="56"/>
        <v>7271011.9449223364</v>
      </c>
      <c r="R299" s="30">
        <f t="shared" si="57"/>
        <v>7259796.9999999991</v>
      </c>
      <c r="S299" s="53">
        <f t="shared" si="58"/>
        <v>4.3908160864964625</v>
      </c>
      <c r="T299" s="54">
        <v>4.3908160000000001</v>
      </c>
      <c r="U299" s="55">
        <f t="shared" si="59"/>
        <v>8.6496462436969068E-8</v>
      </c>
      <c r="V299" s="53">
        <f t="shared" si="60"/>
        <v>4.9685095218309696</v>
      </c>
      <c r="W299" s="53">
        <f t="shared" si="61"/>
        <v>4.9550105225252477</v>
      </c>
      <c r="X299" s="54">
        <v>4.9550109999999998</v>
      </c>
      <c r="Y299" s="55">
        <f t="shared" si="62"/>
        <v>-4.7747475218073987E-7</v>
      </c>
      <c r="Z299" s="29">
        <f t="shared" si="63"/>
        <v>-2193577.2920881775</v>
      </c>
      <c r="AA299" s="23">
        <f t="shared" si="64"/>
        <v>93874751.219598725</v>
      </c>
    </row>
    <row r="300" spans="1:27" x14ac:dyDescent="0.2">
      <c r="A300" s="27" t="s">
        <v>283</v>
      </c>
      <c r="B300" s="27" t="s">
        <v>155</v>
      </c>
      <c r="C300" s="27" t="s">
        <v>57</v>
      </c>
      <c r="D300" s="51">
        <v>3991333</v>
      </c>
      <c r="E300" s="51">
        <v>4634369</v>
      </c>
      <c r="F300" s="45">
        <v>3991333</v>
      </c>
      <c r="G300" s="27" t="s">
        <v>284</v>
      </c>
      <c r="H300" s="51">
        <v>4015493</v>
      </c>
      <c r="I300" s="51">
        <v>4358240</v>
      </c>
      <c r="J300" s="45">
        <v>4015493</v>
      </c>
      <c r="K300" s="27" t="s">
        <v>281</v>
      </c>
      <c r="L300" s="45">
        <v>16249925216</v>
      </c>
      <c r="M300" s="27" t="str">
        <f t="shared" si="52"/>
        <v>2026-03|FGP segunda parte (30%)</v>
      </c>
      <c r="N300" s="52">
        <f t="shared" si="53"/>
        <v>1.1611080809343646</v>
      </c>
      <c r="O300" s="52">
        <f t="shared" si="54"/>
        <v>1.0853561443140356</v>
      </c>
      <c r="P300" s="30">
        <f t="shared" si="55"/>
        <v>4634369</v>
      </c>
      <c r="Q300" s="30">
        <f t="shared" si="56"/>
        <v>4332017.7955533722</v>
      </c>
      <c r="R300" s="30">
        <f t="shared" si="57"/>
        <v>4358240</v>
      </c>
      <c r="S300" s="53">
        <f t="shared" si="58"/>
        <v>3.1189273795394912</v>
      </c>
      <c r="T300" s="54">
        <v>3.1189269999999998</v>
      </c>
      <c r="U300" s="55">
        <f t="shared" si="59"/>
        <v>3.7953949139080123E-7</v>
      </c>
      <c r="V300" s="53">
        <f t="shared" si="60"/>
        <v>2.9602030403730875</v>
      </c>
      <c r="W300" s="53">
        <f t="shared" si="61"/>
        <v>2.9746183067777836</v>
      </c>
      <c r="X300" s="54">
        <v>2.974618</v>
      </c>
      <c r="Y300" s="55">
        <f t="shared" si="62"/>
        <v>3.0677778362075969E-7</v>
      </c>
      <c r="Z300" s="29">
        <f t="shared" si="63"/>
        <v>2342470.0104502956</v>
      </c>
      <c r="AA300" s="23">
        <f t="shared" si="64"/>
        <v>-25792586.414130803</v>
      </c>
    </row>
    <row r="301" spans="1:27" x14ac:dyDescent="0.2">
      <c r="A301" s="27" t="s">
        <v>283</v>
      </c>
      <c r="B301" s="27" t="s">
        <v>155</v>
      </c>
      <c r="C301" s="27" t="s">
        <v>58</v>
      </c>
      <c r="D301" s="51">
        <v>9319955</v>
      </c>
      <c r="E301" s="51">
        <v>10328613</v>
      </c>
      <c r="F301" s="45">
        <v>9319955</v>
      </c>
      <c r="G301" s="27" t="s">
        <v>284</v>
      </c>
      <c r="H301" s="51">
        <v>9336468</v>
      </c>
      <c r="I301" s="51">
        <v>10671518</v>
      </c>
      <c r="J301" s="45">
        <v>9336468</v>
      </c>
      <c r="K301" s="27" t="s">
        <v>281</v>
      </c>
      <c r="L301" s="45">
        <v>16249925216</v>
      </c>
      <c r="M301" s="27" t="str">
        <f t="shared" si="52"/>
        <v>2026-03|FGP segunda parte (30%)</v>
      </c>
      <c r="N301" s="52">
        <f t="shared" si="53"/>
        <v>1.1082256298447792</v>
      </c>
      <c r="O301" s="52">
        <f t="shared" si="54"/>
        <v>1.1429930461926288</v>
      </c>
      <c r="P301" s="30">
        <f t="shared" si="55"/>
        <v>10328613</v>
      </c>
      <c r="Q301" s="30">
        <f t="shared" si="56"/>
        <v>10652643.755828222</v>
      </c>
      <c r="R301" s="30">
        <f t="shared" si="57"/>
        <v>10671518</v>
      </c>
      <c r="S301" s="53">
        <f t="shared" si="58"/>
        <v>6.9511499577110749</v>
      </c>
      <c r="T301" s="54">
        <v>6.9511500000000002</v>
      </c>
      <c r="U301" s="55">
        <f t="shared" si="59"/>
        <v>-4.2288925250488774E-8</v>
      </c>
      <c r="V301" s="53">
        <f t="shared" si="60"/>
        <v>7.2792841401488149</v>
      </c>
      <c r="W301" s="53">
        <f t="shared" si="61"/>
        <v>7.2836036574187384</v>
      </c>
      <c r="X301" s="54">
        <v>7.2836040000000004</v>
      </c>
      <c r="Y301" s="55">
        <f t="shared" si="62"/>
        <v>-3.4258126202502126E-7</v>
      </c>
      <c r="Z301" s="29">
        <f t="shared" si="63"/>
        <v>701918.32605477737</v>
      </c>
      <c r="AA301" s="23">
        <f t="shared" si="64"/>
        <v>53321559.254265748</v>
      </c>
    </row>
    <row r="302" spans="1:27" x14ac:dyDescent="0.2">
      <c r="A302" s="27" t="s">
        <v>283</v>
      </c>
      <c r="B302" s="27" t="s">
        <v>155</v>
      </c>
      <c r="C302" s="27" t="s">
        <v>59</v>
      </c>
      <c r="D302" s="51">
        <v>1954301</v>
      </c>
      <c r="E302" s="51">
        <v>2306399</v>
      </c>
      <c r="F302" s="45">
        <v>1954301</v>
      </c>
      <c r="G302" s="27" t="s">
        <v>284</v>
      </c>
      <c r="H302" s="51">
        <v>1968132</v>
      </c>
      <c r="I302" s="51">
        <v>2306397</v>
      </c>
      <c r="J302" s="45">
        <v>1968132</v>
      </c>
      <c r="K302" s="27" t="s">
        <v>281</v>
      </c>
      <c r="L302" s="45">
        <v>16249925216</v>
      </c>
      <c r="M302" s="27" t="str">
        <f t="shared" si="52"/>
        <v>2026-03|FGP segunda parte (30%)</v>
      </c>
      <c r="N302" s="52">
        <f t="shared" si="53"/>
        <v>1.1801656960724065</v>
      </c>
      <c r="O302" s="52">
        <f t="shared" si="54"/>
        <v>1.171871094011987</v>
      </c>
      <c r="P302" s="30">
        <f t="shared" si="55"/>
        <v>2306399</v>
      </c>
      <c r="Q302" s="30">
        <f t="shared" si="56"/>
        <v>2290188.8508987203</v>
      </c>
      <c r="R302" s="30">
        <f t="shared" si="57"/>
        <v>2306397</v>
      </c>
      <c r="S302" s="53">
        <f t="shared" si="58"/>
        <v>1.5522050551526005</v>
      </c>
      <c r="T302" s="54">
        <v>1.5522050000000001</v>
      </c>
      <c r="U302" s="55">
        <f t="shared" si="59"/>
        <v>5.5152600486607639E-8</v>
      </c>
      <c r="V302" s="53">
        <f t="shared" si="60"/>
        <v>1.5649575600584382</v>
      </c>
      <c r="W302" s="53">
        <f t="shared" si="61"/>
        <v>1.5741791959362865</v>
      </c>
      <c r="X302" s="54">
        <v>1.574179</v>
      </c>
      <c r="Y302" s="55">
        <f t="shared" si="62"/>
        <v>1.9593628652891937E-7</v>
      </c>
      <c r="Z302" s="29">
        <f t="shared" si="63"/>
        <v>1498508.9338421738</v>
      </c>
      <c r="AA302" s="23">
        <f t="shared" si="64"/>
        <v>2072272.5103653541</v>
      </c>
    </row>
    <row r="303" spans="1:27" x14ac:dyDescent="0.2">
      <c r="A303" s="27" t="s">
        <v>283</v>
      </c>
      <c r="B303" s="27" t="s">
        <v>155</v>
      </c>
      <c r="C303" s="27" t="s">
        <v>60</v>
      </c>
      <c r="D303" s="51">
        <v>6376710</v>
      </c>
      <c r="E303" s="51">
        <v>7192360</v>
      </c>
      <c r="F303" s="45">
        <v>6376710</v>
      </c>
      <c r="G303" s="27" t="s">
        <v>284</v>
      </c>
      <c r="H303" s="51">
        <v>6402249</v>
      </c>
      <c r="I303" s="51">
        <v>6991678</v>
      </c>
      <c r="J303" s="45">
        <v>6402249</v>
      </c>
      <c r="K303" s="27" t="s">
        <v>281</v>
      </c>
      <c r="L303" s="45">
        <v>16249925216</v>
      </c>
      <c r="M303" s="27" t="str">
        <f t="shared" si="52"/>
        <v>2026-03|FGP segunda parte (30%)</v>
      </c>
      <c r="N303" s="52">
        <f t="shared" si="53"/>
        <v>1.1279107878514156</v>
      </c>
      <c r="O303" s="52">
        <f t="shared" si="54"/>
        <v>1.0920659287072403</v>
      </c>
      <c r="P303" s="30">
        <f t="shared" si="55"/>
        <v>7192360.0000000009</v>
      </c>
      <c r="Q303" s="30">
        <f t="shared" si="56"/>
        <v>6963787.7282467466</v>
      </c>
      <c r="R303" s="30">
        <f t="shared" si="57"/>
        <v>6991678</v>
      </c>
      <c r="S303" s="53">
        <f t="shared" si="58"/>
        <v>4.8404536901365978</v>
      </c>
      <c r="T303" s="54">
        <v>4.8404530000000001</v>
      </c>
      <c r="U303" s="55">
        <f t="shared" si="59"/>
        <v>6.9013659764749491E-7</v>
      </c>
      <c r="V303" s="53">
        <f t="shared" si="60"/>
        <v>4.7585736205489324</v>
      </c>
      <c r="W303" s="53">
        <f t="shared" si="61"/>
        <v>4.7720119529662171</v>
      </c>
      <c r="X303" s="54">
        <v>4.7720120000000001</v>
      </c>
      <c r="Y303" s="55">
        <f t="shared" si="62"/>
        <v>-4.7033783090455472E-8</v>
      </c>
      <c r="Z303" s="29">
        <f t="shared" si="63"/>
        <v>2183718.9680862403</v>
      </c>
      <c r="AA303" s="23">
        <f t="shared" si="64"/>
        <v>-13305450.074804381</v>
      </c>
    </row>
    <row r="304" spans="1:27" x14ac:dyDescent="0.2">
      <c r="A304" s="27" t="s">
        <v>283</v>
      </c>
      <c r="B304" s="27" t="s">
        <v>155</v>
      </c>
      <c r="C304" s="27" t="s">
        <v>61</v>
      </c>
      <c r="D304" s="51">
        <v>3578620</v>
      </c>
      <c r="E304" s="51">
        <v>3921083</v>
      </c>
      <c r="F304" s="45">
        <v>3578620</v>
      </c>
      <c r="G304" s="27" t="s">
        <v>284</v>
      </c>
      <c r="H304" s="51">
        <v>3569633</v>
      </c>
      <c r="I304" s="51">
        <v>4028357</v>
      </c>
      <c r="J304" s="45">
        <v>3569633</v>
      </c>
      <c r="K304" s="27" t="s">
        <v>281</v>
      </c>
      <c r="L304" s="45">
        <v>16249925216</v>
      </c>
      <c r="M304" s="27" t="str">
        <f t="shared" si="52"/>
        <v>2026-03|FGP segunda parte (30%)</v>
      </c>
      <c r="N304" s="52">
        <f t="shared" si="53"/>
        <v>1.0956969446322884</v>
      </c>
      <c r="O304" s="52">
        <f t="shared" si="54"/>
        <v>1.1285073283443985</v>
      </c>
      <c r="P304" s="30">
        <f t="shared" si="55"/>
        <v>3921083</v>
      </c>
      <c r="Q304" s="30">
        <f t="shared" si="56"/>
        <v>4038498.8953598314</v>
      </c>
      <c r="R304" s="30">
        <f t="shared" si="57"/>
        <v>4028357</v>
      </c>
      <c r="S304" s="53">
        <f t="shared" si="58"/>
        <v>2.6388863567287899</v>
      </c>
      <c r="T304" s="54">
        <v>2.6388859999999998</v>
      </c>
      <c r="U304" s="55">
        <f t="shared" si="59"/>
        <v>3.5672879006298785E-7</v>
      </c>
      <c r="V304" s="53">
        <f t="shared" si="60"/>
        <v>2.7596324098341856</v>
      </c>
      <c r="W304" s="53">
        <f t="shared" si="61"/>
        <v>2.7494641135954954</v>
      </c>
      <c r="X304" s="54">
        <v>2.7494640000000001</v>
      </c>
      <c r="Y304" s="55">
        <f t="shared" si="62"/>
        <v>1.1359549523248802E-7</v>
      </c>
      <c r="Z304" s="29">
        <f t="shared" si="63"/>
        <v>-1652340.5345284983</v>
      </c>
      <c r="AA304" s="23">
        <f t="shared" si="64"/>
        <v>19621143.330898438</v>
      </c>
    </row>
    <row r="305" spans="1:27" x14ac:dyDescent="0.2">
      <c r="A305" s="27" t="s">
        <v>283</v>
      </c>
      <c r="B305" s="27" t="s">
        <v>155</v>
      </c>
      <c r="C305" s="27" t="s">
        <v>62</v>
      </c>
      <c r="D305" s="51">
        <v>3228160</v>
      </c>
      <c r="E305" s="51">
        <v>3610610</v>
      </c>
      <c r="F305" s="45">
        <v>3228160</v>
      </c>
      <c r="G305" s="27" t="s">
        <v>284</v>
      </c>
      <c r="H305" s="51">
        <v>3215821</v>
      </c>
      <c r="I305" s="51">
        <v>3605828</v>
      </c>
      <c r="J305" s="45">
        <v>3215821</v>
      </c>
      <c r="K305" s="27" t="s">
        <v>281</v>
      </c>
      <c r="L305" s="45">
        <v>16249925216</v>
      </c>
      <c r="M305" s="27" t="str">
        <f t="shared" si="52"/>
        <v>2026-03|FGP segunda parte (30%)</v>
      </c>
      <c r="N305" s="52">
        <f t="shared" si="53"/>
        <v>1.1184730620539254</v>
      </c>
      <c r="O305" s="52">
        <f t="shared" si="54"/>
        <v>1.1212775835470943</v>
      </c>
      <c r="P305" s="30">
        <f t="shared" si="55"/>
        <v>3610609.9999999995</v>
      </c>
      <c r="Q305" s="30">
        <f t="shared" si="56"/>
        <v>3619663.4441033877</v>
      </c>
      <c r="R305" s="30">
        <f t="shared" si="57"/>
        <v>3605828.0000000005</v>
      </c>
      <c r="S305" s="53">
        <f t="shared" si="58"/>
        <v>2.4299382258596758</v>
      </c>
      <c r="T305" s="54">
        <v>2.4299379999999999</v>
      </c>
      <c r="U305" s="55">
        <f t="shared" si="59"/>
        <v>2.2585967585087019E-7</v>
      </c>
      <c r="V305" s="53">
        <f t="shared" si="60"/>
        <v>2.4734290665566028</v>
      </c>
      <c r="W305" s="53">
        <f t="shared" si="61"/>
        <v>2.4610764849783227</v>
      </c>
      <c r="X305" s="54">
        <v>2.4610759999999998</v>
      </c>
      <c r="Y305" s="55">
        <f t="shared" si="62"/>
        <v>4.8497832283445064E-7</v>
      </c>
      <c r="Z305" s="29">
        <f t="shared" si="63"/>
        <v>-2007285.2687159122</v>
      </c>
      <c r="AA305" s="23">
        <f t="shared" si="64"/>
        <v>7067229.0890603298</v>
      </c>
    </row>
    <row r="306" spans="1:27" x14ac:dyDescent="0.2">
      <c r="A306" s="27" t="s">
        <v>283</v>
      </c>
      <c r="B306" s="27" t="s">
        <v>155</v>
      </c>
      <c r="C306" s="27" t="s">
        <v>63</v>
      </c>
      <c r="D306" s="51">
        <v>8761130</v>
      </c>
      <c r="E306" s="51">
        <v>9974089</v>
      </c>
      <c r="F306" s="45">
        <v>8761130</v>
      </c>
      <c r="G306" s="27" t="s">
        <v>284</v>
      </c>
      <c r="H306" s="51">
        <v>8750952</v>
      </c>
      <c r="I306" s="51">
        <v>9918726</v>
      </c>
      <c r="J306" s="45">
        <v>8750952</v>
      </c>
      <c r="K306" s="27" t="s">
        <v>281</v>
      </c>
      <c r="L306" s="45">
        <v>16249925216</v>
      </c>
      <c r="M306" s="27" t="str">
        <f t="shared" si="52"/>
        <v>2026-03|FGP segunda parte (30%)</v>
      </c>
      <c r="N306" s="52">
        <f t="shared" si="53"/>
        <v>1.1384477801379502</v>
      </c>
      <c r="O306" s="52">
        <f t="shared" si="54"/>
        <v>1.1334453668583715</v>
      </c>
      <c r="P306" s="30">
        <f t="shared" si="55"/>
        <v>9974089</v>
      </c>
      <c r="Q306" s="30">
        <f t="shared" si="56"/>
        <v>9930262.2069438845</v>
      </c>
      <c r="R306" s="30">
        <f t="shared" si="57"/>
        <v>9918726</v>
      </c>
      <c r="S306" s="53">
        <f t="shared" si="58"/>
        <v>6.712555531953468</v>
      </c>
      <c r="T306" s="54">
        <v>6.712555</v>
      </c>
      <c r="U306" s="55">
        <f t="shared" si="59"/>
        <v>5.319534679415483E-7</v>
      </c>
      <c r="V306" s="53">
        <f t="shared" si="60"/>
        <v>6.7856582691951424</v>
      </c>
      <c r="W306" s="53">
        <f t="shared" si="61"/>
        <v>6.7698024751993424</v>
      </c>
      <c r="X306" s="54">
        <v>6.7698029999999996</v>
      </c>
      <c r="Y306" s="55">
        <f t="shared" si="62"/>
        <v>-5.2480065715343471E-7</v>
      </c>
      <c r="Z306" s="29">
        <f t="shared" si="63"/>
        <v>-2576554.66672051</v>
      </c>
      <c r="AA306" s="23">
        <f t="shared" si="64"/>
        <v>11879140.132621069</v>
      </c>
    </row>
    <row r="307" spans="1:27" x14ac:dyDescent="0.2">
      <c r="A307" s="27" t="s">
        <v>283</v>
      </c>
      <c r="B307" s="27" t="s">
        <v>155</v>
      </c>
      <c r="C307" s="27" t="s">
        <v>64</v>
      </c>
      <c r="D307" s="51">
        <v>17789139</v>
      </c>
      <c r="E307" s="51">
        <v>20116061</v>
      </c>
      <c r="F307" s="45">
        <v>17789139</v>
      </c>
      <c r="G307" s="27" t="s">
        <v>284</v>
      </c>
      <c r="H307" s="51">
        <v>17753727</v>
      </c>
      <c r="I307" s="51">
        <v>19679734</v>
      </c>
      <c r="J307" s="45">
        <v>17753727</v>
      </c>
      <c r="K307" s="27" t="s">
        <v>281</v>
      </c>
      <c r="L307" s="45">
        <v>16249925216</v>
      </c>
      <c r="M307" s="27" t="str">
        <f t="shared" si="52"/>
        <v>2026-03|FGP segunda parte (30%)</v>
      </c>
      <c r="N307" s="52">
        <f t="shared" si="53"/>
        <v>1.1308057686209547</v>
      </c>
      <c r="O307" s="52">
        <f t="shared" si="54"/>
        <v>1.1084846578974656</v>
      </c>
      <c r="P307" s="30">
        <f t="shared" si="55"/>
        <v>20116061</v>
      </c>
      <c r="Q307" s="30">
        <f t="shared" si="56"/>
        <v>19718987.658705465</v>
      </c>
      <c r="R307" s="30">
        <f t="shared" si="57"/>
        <v>19679734</v>
      </c>
      <c r="S307" s="53">
        <f t="shared" si="58"/>
        <v>13.538096215771025</v>
      </c>
      <c r="T307" s="54">
        <v>13.538097</v>
      </c>
      <c r="U307" s="55">
        <f t="shared" si="59"/>
        <v>-7.8422897509256018E-7</v>
      </c>
      <c r="V307" s="53">
        <f t="shared" si="60"/>
        <v>13.474600053650713</v>
      </c>
      <c r="W307" s="53">
        <f t="shared" si="61"/>
        <v>13.431958090632271</v>
      </c>
      <c r="X307" s="54">
        <v>13.431958</v>
      </c>
      <c r="Y307" s="55">
        <f t="shared" si="62"/>
        <v>9.0632271465551639E-8</v>
      </c>
      <c r="Z307" s="29">
        <f t="shared" si="63"/>
        <v>-6929287.1011311337</v>
      </c>
      <c r="AA307" s="23">
        <f t="shared" si="64"/>
        <v>-10318078.859580902</v>
      </c>
    </row>
    <row r="308" spans="1:27" x14ac:dyDescent="0.2">
      <c r="A308" s="27" t="s">
        <v>283</v>
      </c>
      <c r="B308" s="27" t="s">
        <v>155</v>
      </c>
      <c r="C308" s="27" t="s">
        <v>65</v>
      </c>
      <c r="D308" s="51">
        <v>4940153</v>
      </c>
      <c r="E308" s="51">
        <v>5674572</v>
      </c>
      <c r="F308" s="45">
        <v>4940153</v>
      </c>
      <c r="G308" s="27" t="s">
        <v>284</v>
      </c>
      <c r="H308" s="51">
        <v>4945881</v>
      </c>
      <c r="I308" s="51">
        <v>5171427</v>
      </c>
      <c r="J308" s="45">
        <v>4945881</v>
      </c>
      <c r="K308" s="27" t="s">
        <v>281</v>
      </c>
      <c r="L308" s="45">
        <v>16249925216</v>
      </c>
      <c r="M308" s="27" t="str">
        <f t="shared" si="52"/>
        <v>2026-03|FGP segunda parte (30%)</v>
      </c>
      <c r="N308" s="52">
        <f t="shared" si="53"/>
        <v>1.1486632094188176</v>
      </c>
      <c r="O308" s="52">
        <f t="shared" si="54"/>
        <v>1.045602795538348</v>
      </c>
      <c r="P308" s="30">
        <f t="shared" si="55"/>
        <v>5674572</v>
      </c>
      <c r="Q308" s="30">
        <f t="shared" si="56"/>
        <v>5165437.7871871563</v>
      </c>
      <c r="R308" s="30">
        <f t="shared" si="57"/>
        <v>5171427</v>
      </c>
      <c r="S308" s="53">
        <f t="shared" si="58"/>
        <v>3.8189833347254321</v>
      </c>
      <c r="T308" s="54">
        <v>3.8189829999999998</v>
      </c>
      <c r="U308" s="55">
        <f t="shared" si="59"/>
        <v>3.3472543226054086E-7</v>
      </c>
      <c r="V308" s="53">
        <f t="shared" si="60"/>
        <v>3.5297049467767043</v>
      </c>
      <c r="W308" s="53">
        <f t="shared" si="61"/>
        <v>3.5296407325812518</v>
      </c>
      <c r="X308" s="54">
        <v>3.5296400000000001</v>
      </c>
      <c r="Y308" s="55">
        <f t="shared" si="62"/>
        <v>7.325812516612018E-7</v>
      </c>
      <c r="Z308" s="29">
        <f t="shared" si="63"/>
        <v>-10434.758739095434</v>
      </c>
      <c r="AA308" s="23">
        <f t="shared" si="64"/>
        <v>-47007521.707718611</v>
      </c>
    </row>
    <row r="309" spans="1:27" x14ac:dyDescent="0.2">
      <c r="A309" s="27" t="s">
        <v>283</v>
      </c>
      <c r="B309" s="27" t="s">
        <v>155</v>
      </c>
      <c r="C309" s="27" t="s">
        <v>66</v>
      </c>
      <c r="D309" s="51">
        <v>1984462</v>
      </c>
      <c r="E309" s="51">
        <v>2201332</v>
      </c>
      <c r="F309" s="45">
        <v>1984462</v>
      </c>
      <c r="G309" s="27" t="s">
        <v>284</v>
      </c>
      <c r="H309" s="51">
        <v>1988503</v>
      </c>
      <c r="I309" s="51">
        <v>2188180</v>
      </c>
      <c r="J309" s="45">
        <v>1988503</v>
      </c>
      <c r="K309" s="27" t="s">
        <v>281</v>
      </c>
      <c r="L309" s="45">
        <v>16249925216</v>
      </c>
      <c r="M309" s="27" t="str">
        <f t="shared" si="52"/>
        <v>2026-03|FGP segunda parte (30%)</v>
      </c>
      <c r="N309" s="52">
        <f t="shared" si="53"/>
        <v>1.109284027610506</v>
      </c>
      <c r="O309" s="52">
        <f t="shared" si="54"/>
        <v>1.1004157398807042</v>
      </c>
      <c r="P309" s="30">
        <f t="shared" si="55"/>
        <v>2201332</v>
      </c>
      <c r="Q309" s="30">
        <f t="shared" si="56"/>
        <v>2183733.219995142</v>
      </c>
      <c r="R309" s="30">
        <f t="shared" si="57"/>
        <v>2188180</v>
      </c>
      <c r="S309" s="53">
        <f t="shared" si="58"/>
        <v>1.4814950312019666</v>
      </c>
      <c r="T309" s="54">
        <v>1.481495</v>
      </c>
      <c r="U309" s="55">
        <f t="shared" si="59"/>
        <v>3.1201966566030137E-8</v>
      </c>
      <c r="V309" s="53">
        <f t="shared" si="60"/>
        <v>1.4922131030552663</v>
      </c>
      <c r="W309" s="53">
        <f t="shared" si="61"/>
        <v>1.4934928518220683</v>
      </c>
      <c r="X309" s="54">
        <v>1.493493</v>
      </c>
      <c r="Y309" s="55">
        <f t="shared" si="62"/>
        <v>-1.4817793170252003E-7</v>
      </c>
      <c r="Z309" s="29">
        <f t="shared" si="63"/>
        <v>207958.217557995</v>
      </c>
      <c r="AA309" s="23">
        <f t="shared" si="64"/>
        <v>1741678.6607583563</v>
      </c>
    </row>
    <row r="310" spans="1:27" x14ac:dyDescent="0.2">
      <c r="A310" s="27" t="s">
        <v>283</v>
      </c>
      <c r="B310" s="27" t="s">
        <v>155</v>
      </c>
      <c r="C310" s="27" t="s">
        <v>67</v>
      </c>
      <c r="D310" s="51">
        <v>1257616</v>
      </c>
      <c r="E310" s="51">
        <v>1527160</v>
      </c>
      <c r="F310" s="45">
        <v>1257616</v>
      </c>
      <c r="G310" s="27" t="s">
        <v>284</v>
      </c>
      <c r="H310" s="51">
        <v>1279298</v>
      </c>
      <c r="I310" s="51">
        <v>1441921</v>
      </c>
      <c r="J310" s="45">
        <v>1279298</v>
      </c>
      <c r="K310" s="27" t="s">
        <v>281</v>
      </c>
      <c r="L310" s="45">
        <v>16249925216</v>
      </c>
      <c r="M310" s="27" t="str">
        <f t="shared" si="52"/>
        <v>2026-03|FGP segunda parte (30%)</v>
      </c>
      <c r="N310" s="52">
        <f t="shared" si="53"/>
        <v>1.2143293342323889</v>
      </c>
      <c r="O310" s="52">
        <f t="shared" si="54"/>
        <v>1.1271189355412108</v>
      </c>
      <c r="P310" s="30">
        <f t="shared" si="55"/>
        <v>1527160</v>
      </c>
      <c r="Q310" s="30">
        <f t="shared" si="56"/>
        <v>1417482.8072395953</v>
      </c>
      <c r="R310" s="30">
        <f t="shared" si="57"/>
        <v>1441920.9999999998</v>
      </c>
      <c r="S310" s="53">
        <f t="shared" si="58"/>
        <v>1.0277777054303465</v>
      </c>
      <c r="T310" s="54">
        <v>1.0277769999999999</v>
      </c>
      <c r="U310" s="55">
        <f t="shared" si="59"/>
        <v>7.0543034658143711E-7</v>
      </c>
      <c r="V310" s="53">
        <f t="shared" si="60"/>
        <v>0.96861026747726631</v>
      </c>
      <c r="W310" s="53">
        <f t="shared" si="61"/>
        <v>0.98415062124328367</v>
      </c>
      <c r="X310" s="54">
        <v>0.984151</v>
      </c>
      <c r="Y310" s="55">
        <f t="shared" si="62"/>
        <v>-3.7875671632381369E-7</v>
      </c>
      <c r="Z310" s="29">
        <f t="shared" si="63"/>
        <v>2525295.865279662</v>
      </c>
      <c r="AA310" s="23">
        <f t="shared" si="64"/>
        <v>-9614664.4195987359</v>
      </c>
    </row>
    <row r="311" spans="1:27" x14ac:dyDescent="0.2">
      <c r="A311" s="27" t="s">
        <v>283</v>
      </c>
      <c r="B311" s="27" t="s">
        <v>155</v>
      </c>
      <c r="C311" s="27" t="s">
        <v>68</v>
      </c>
      <c r="D311" s="51">
        <v>6310265</v>
      </c>
      <c r="E311" s="51">
        <v>7322137</v>
      </c>
      <c r="F311" s="45">
        <v>6310265</v>
      </c>
      <c r="G311" s="27" t="s">
        <v>284</v>
      </c>
      <c r="H311" s="51">
        <v>6234433</v>
      </c>
      <c r="I311" s="51">
        <v>6862310</v>
      </c>
      <c r="J311" s="45">
        <v>6234433</v>
      </c>
      <c r="K311" s="27" t="s">
        <v>281</v>
      </c>
      <c r="L311" s="45">
        <v>16249925216</v>
      </c>
      <c r="M311" s="27" t="str">
        <f t="shared" si="52"/>
        <v>2026-03|FGP segunda parte (30%)</v>
      </c>
      <c r="N311" s="52">
        <f t="shared" si="53"/>
        <v>1.1603533290598731</v>
      </c>
      <c r="O311" s="52">
        <f t="shared" si="54"/>
        <v>1.1007111633086761</v>
      </c>
      <c r="P311" s="30">
        <f t="shared" si="55"/>
        <v>7322137</v>
      </c>
      <c r="Q311" s="30">
        <f t="shared" si="56"/>
        <v>6945779.1289360235</v>
      </c>
      <c r="R311" s="30">
        <f t="shared" si="57"/>
        <v>6862310</v>
      </c>
      <c r="S311" s="53">
        <f t="shared" si="58"/>
        <v>4.9277935283183423</v>
      </c>
      <c r="T311" s="54">
        <v>4.9277930000000003</v>
      </c>
      <c r="U311" s="55">
        <f t="shared" si="59"/>
        <v>5.2831834196354066E-7</v>
      </c>
      <c r="V311" s="53">
        <f t="shared" si="60"/>
        <v>4.7462677822656314</v>
      </c>
      <c r="W311" s="53">
        <f t="shared" si="61"/>
        <v>4.6837147455817609</v>
      </c>
      <c r="X311" s="54">
        <v>4.6837150000000003</v>
      </c>
      <c r="Y311" s="55">
        <f t="shared" si="62"/>
        <v>-2.5441823936489527E-7</v>
      </c>
      <c r="Z311" s="29">
        <f t="shared" si="63"/>
        <v>-10164821.681465998</v>
      </c>
      <c r="AA311" s="23">
        <f t="shared" si="64"/>
        <v>-29497797.981351592</v>
      </c>
    </row>
    <row r="312" spans="1:27" x14ac:dyDescent="0.2">
      <c r="A312" s="27" t="s">
        <v>283</v>
      </c>
      <c r="B312" s="27" t="s">
        <v>155</v>
      </c>
      <c r="C312" s="27" t="s">
        <v>69</v>
      </c>
      <c r="D312" s="51">
        <v>4190375</v>
      </c>
      <c r="E312" s="51">
        <v>4802815</v>
      </c>
      <c r="F312" s="45">
        <v>4190375</v>
      </c>
      <c r="G312" s="27" t="s">
        <v>284</v>
      </c>
      <c r="H312" s="51">
        <v>4178688</v>
      </c>
      <c r="I312" s="51">
        <v>4783053</v>
      </c>
      <c r="J312" s="45">
        <v>4178688</v>
      </c>
      <c r="K312" s="27" t="s">
        <v>281</v>
      </c>
      <c r="L312" s="45">
        <v>16249925216</v>
      </c>
      <c r="M312" s="27" t="str">
        <f t="shared" si="52"/>
        <v>2026-03|FGP segunda parte (30%)</v>
      </c>
      <c r="N312" s="52">
        <f t="shared" si="53"/>
        <v>1.1461539838319958</v>
      </c>
      <c r="O312" s="52">
        <f t="shared" si="54"/>
        <v>1.144630324159162</v>
      </c>
      <c r="P312" s="30">
        <f t="shared" si="55"/>
        <v>4802815</v>
      </c>
      <c r="Q312" s="30">
        <f t="shared" si="56"/>
        <v>4796430.2945984481</v>
      </c>
      <c r="R312" s="30">
        <f t="shared" si="57"/>
        <v>4783053</v>
      </c>
      <c r="S312" s="53">
        <f t="shared" si="58"/>
        <v>3.2322914300442971</v>
      </c>
      <c r="T312" s="54">
        <v>3.2322920000000002</v>
      </c>
      <c r="U312" s="55">
        <f t="shared" si="59"/>
        <v>-5.699557030780511E-7</v>
      </c>
      <c r="V312" s="53">
        <f t="shared" si="60"/>
        <v>3.2775506036891069</v>
      </c>
      <c r="W312" s="53">
        <f t="shared" si="61"/>
        <v>3.2645648280242483</v>
      </c>
      <c r="X312" s="54">
        <v>3.2645650000000002</v>
      </c>
      <c r="Y312" s="55">
        <f t="shared" si="62"/>
        <v>-1.7197575186145286E-7</v>
      </c>
      <c r="Z312" s="29">
        <f t="shared" si="63"/>
        <v>-2110178.8342570476</v>
      </c>
      <c r="AA312" s="23">
        <f t="shared" si="64"/>
        <v>7354581.8706611749</v>
      </c>
    </row>
    <row r="313" spans="1:27" x14ac:dyDescent="0.2">
      <c r="A313" s="27" t="s">
        <v>283</v>
      </c>
      <c r="B313" s="27" t="s">
        <v>155</v>
      </c>
      <c r="C313" s="27" t="s">
        <v>70</v>
      </c>
      <c r="D313" s="51">
        <v>6624540</v>
      </c>
      <c r="E313" s="51">
        <v>7443857</v>
      </c>
      <c r="F313" s="45">
        <v>6624540</v>
      </c>
      <c r="G313" s="27" t="s">
        <v>284</v>
      </c>
      <c r="H313" s="51">
        <v>6638706</v>
      </c>
      <c r="I313" s="51">
        <v>7255226</v>
      </c>
      <c r="J313" s="45">
        <v>6638706</v>
      </c>
      <c r="K313" s="27" t="s">
        <v>281</v>
      </c>
      <c r="L313" s="45">
        <v>16249925216</v>
      </c>
      <c r="M313" s="27" t="str">
        <f t="shared" si="52"/>
        <v>2026-03|FGP segunda parte (30%)</v>
      </c>
      <c r="N313" s="52">
        <f t="shared" si="53"/>
        <v>1.123679078094479</v>
      </c>
      <c r="O313" s="52">
        <f t="shared" si="54"/>
        <v>1.0928674955631414</v>
      </c>
      <c r="P313" s="30">
        <f t="shared" si="55"/>
        <v>7443857</v>
      </c>
      <c r="Q313" s="30">
        <f t="shared" si="56"/>
        <v>7239744.4390578531</v>
      </c>
      <c r="R313" s="30">
        <f t="shared" si="57"/>
        <v>7255226.0000000009</v>
      </c>
      <c r="S313" s="53">
        <f t="shared" si="58"/>
        <v>5.0097110106417286</v>
      </c>
      <c r="T313" s="54">
        <v>5.0097110000000002</v>
      </c>
      <c r="U313" s="55">
        <f t="shared" si="59"/>
        <v>1.0641728387383864E-8</v>
      </c>
      <c r="V313" s="53">
        <f t="shared" si="60"/>
        <v>4.9471434586490659</v>
      </c>
      <c r="W313" s="53">
        <f t="shared" si="61"/>
        <v>4.9518906896844035</v>
      </c>
      <c r="X313" s="54">
        <v>4.9518909999999998</v>
      </c>
      <c r="Y313" s="55">
        <f t="shared" si="62"/>
        <v>-3.1031559633021288E-7</v>
      </c>
      <c r="Z313" s="29">
        <f t="shared" si="63"/>
        <v>771421.49307310011</v>
      </c>
      <c r="AA313" s="23">
        <f t="shared" si="64"/>
        <v>-10167180.408289611</v>
      </c>
    </row>
    <row r="314" spans="1:27" x14ac:dyDescent="0.2">
      <c r="A314" s="27" t="s">
        <v>283</v>
      </c>
      <c r="B314" s="27" t="s">
        <v>155</v>
      </c>
      <c r="C314" s="27" t="s">
        <v>71</v>
      </c>
      <c r="D314" s="51">
        <v>2498744</v>
      </c>
      <c r="E314" s="51">
        <v>2931857</v>
      </c>
      <c r="F314" s="45">
        <v>2498744</v>
      </c>
      <c r="G314" s="27" t="s">
        <v>284</v>
      </c>
      <c r="H314" s="51">
        <v>2535155</v>
      </c>
      <c r="I314" s="51">
        <v>2747979</v>
      </c>
      <c r="J314" s="45">
        <v>2535155</v>
      </c>
      <c r="K314" s="27" t="s">
        <v>281</v>
      </c>
      <c r="L314" s="45">
        <v>16249925216</v>
      </c>
      <c r="M314" s="27" t="str">
        <f t="shared" si="52"/>
        <v>2026-03|FGP segunda parte (30%)</v>
      </c>
      <c r="N314" s="52">
        <f t="shared" si="53"/>
        <v>1.1733322821385463</v>
      </c>
      <c r="O314" s="52">
        <f t="shared" si="54"/>
        <v>1.0839491076482504</v>
      </c>
      <c r="P314" s="30">
        <f t="shared" si="55"/>
        <v>2931857</v>
      </c>
      <c r="Q314" s="30">
        <f t="shared" si="56"/>
        <v>2708511.3290414196</v>
      </c>
      <c r="R314" s="30">
        <f t="shared" si="57"/>
        <v>2747979</v>
      </c>
      <c r="S314" s="53">
        <f t="shared" si="58"/>
        <v>1.9731378900114585</v>
      </c>
      <c r="T314" s="54">
        <v>1.9731380000000001</v>
      </c>
      <c r="U314" s="55">
        <f t="shared" si="59"/>
        <v>-1.0998854160781946E-7</v>
      </c>
      <c r="V314" s="53">
        <f t="shared" si="60"/>
        <v>1.8508103727882252</v>
      </c>
      <c r="W314" s="53">
        <f t="shared" si="61"/>
        <v>1.8755710195034943</v>
      </c>
      <c r="X314" s="54">
        <v>1.8755710000000001</v>
      </c>
      <c r="Y314" s="55">
        <f t="shared" si="62"/>
        <v>1.95034941530281E-8</v>
      </c>
      <c r="Z314" s="29">
        <f t="shared" si="63"/>
        <v>4023586.5742291738</v>
      </c>
      <c r="AA314" s="23">
        <f t="shared" si="64"/>
        <v>-19878130.067364916</v>
      </c>
    </row>
    <row r="315" spans="1:27" x14ac:dyDescent="0.2">
      <c r="A315" s="27" t="s">
        <v>283</v>
      </c>
      <c r="B315" s="27" t="s">
        <v>155</v>
      </c>
      <c r="C315" s="27" t="s">
        <v>72</v>
      </c>
      <c r="D315" s="51">
        <v>1920249</v>
      </c>
      <c r="E315" s="51">
        <v>2351872</v>
      </c>
      <c r="F315" s="45">
        <v>1920249</v>
      </c>
      <c r="G315" s="27" t="s">
        <v>284</v>
      </c>
      <c r="H315" s="51">
        <v>1975372</v>
      </c>
      <c r="I315" s="51">
        <v>2314635</v>
      </c>
      <c r="J315" s="45">
        <v>1975372</v>
      </c>
      <c r="K315" s="27" t="s">
        <v>281</v>
      </c>
      <c r="L315" s="45">
        <v>16249925216</v>
      </c>
      <c r="M315" s="27" t="str">
        <f t="shared" si="52"/>
        <v>2026-03|FGP segunda parte (30%)</v>
      </c>
      <c r="N315" s="52">
        <f t="shared" si="53"/>
        <v>1.2247744953909623</v>
      </c>
      <c r="O315" s="52">
        <f t="shared" si="54"/>
        <v>1.1717463849847016</v>
      </c>
      <c r="P315" s="30">
        <f t="shared" si="55"/>
        <v>2351872</v>
      </c>
      <c r="Q315" s="30">
        <f t="shared" si="56"/>
        <v>2250044.8240204882</v>
      </c>
      <c r="R315" s="30">
        <f t="shared" si="57"/>
        <v>2314635</v>
      </c>
      <c r="S315" s="53">
        <f t="shared" si="58"/>
        <v>1.5828083551336334</v>
      </c>
      <c r="T315" s="54">
        <v>1.5828089999999999</v>
      </c>
      <c r="U315" s="55">
        <f t="shared" si="59"/>
        <v>-6.4486636652816287E-7</v>
      </c>
      <c r="V315" s="53">
        <f t="shared" si="60"/>
        <v>1.5375258928709812</v>
      </c>
      <c r="W315" s="53">
        <f t="shared" si="61"/>
        <v>1.5798018568294991</v>
      </c>
      <c r="X315" s="54">
        <v>1.5798019999999999</v>
      </c>
      <c r="Y315" s="55">
        <f t="shared" si="62"/>
        <v>-1.4317050078815896E-7</v>
      </c>
      <c r="Z315" s="29">
        <f t="shared" si="63"/>
        <v>6869812.5276022824</v>
      </c>
      <c r="AA315" s="23">
        <f t="shared" si="64"/>
        <v>-7358366.253644404</v>
      </c>
    </row>
    <row r="316" spans="1:27" x14ac:dyDescent="0.2">
      <c r="A316" s="27" t="s">
        <v>283</v>
      </c>
      <c r="B316" s="27" t="s">
        <v>155</v>
      </c>
      <c r="C316" s="27" t="s">
        <v>73</v>
      </c>
      <c r="D316" s="51">
        <v>2924773</v>
      </c>
      <c r="E316" s="51">
        <v>3383833</v>
      </c>
      <c r="F316" s="45">
        <v>2924773</v>
      </c>
      <c r="G316" s="27" t="s">
        <v>284</v>
      </c>
      <c r="H316" s="51">
        <v>2951151</v>
      </c>
      <c r="I316" s="51">
        <v>3412006</v>
      </c>
      <c r="J316" s="45">
        <v>2951151</v>
      </c>
      <c r="K316" s="27" t="s">
        <v>281</v>
      </c>
      <c r="L316" s="45">
        <v>16249925216</v>
      </c>
      <c r="M316" s="27" t="str">
        <f t="shared" si="52"/>
        <v>2026-03|FGP segunda parte (30%)</v>
      </c>
      <c r="N316" s="52">
        <f t="shared" si="53"/>
        <v>1.156955770584589</v>
      </c>
      <c r="O316" s="52">
        <f t="shared" si="54"/>
        <v>1.1561611045995275</v>
      </c>
      <c r="P316" s="30">
        <f t="shared" si="55"/>
        <v>3383833</v>
      </c>
      <c r="Q316" s="30">
        <f t="shared" si="56"/>
        <v>3381508.7823828738</v>
      </c>
      <c r="R316" s="30">
        <f t="shared" si="57"/>
        <v>3412006</v>
      </c>
      <c r="S316" s="53">
        <f t="shared" si="58"/>
        <v>2.2773174495792747</v>
      </c>
      <c r="T316" s="54">
        <v>2.2773180000000002</v>
      </c>
      <c r="U316" s="55">
        <f t="shared" si="59"/>
        <v>-5.5042072544253529E-7</v>
      </c>
      <c r="V316" s="53">
        <f t="shared" si="60"/>
        <v>2.3106905490861234</v>
      </c>
      <c r="W316" s="53">
        <f t="shared" si="61"/>
        <v>2.3287876552084419</v>
      </c>
      <c r="X316" s="54">
        <v>2.3287870000000002</v>
      </c>
      <c r="Y316" s="55">
        <f t="shared" si="62"/>
        <v>6.5520844172439752E-7</v>
      </c>
      <c r="Z316" s="29">
        <f t="shared" si="63"/>
        <v>2940766.2111369167</v>
      </c>
      <c r="AA316" s="23">
        <f t="shared" si="64"/>
        <v>5423103.7121241679</v>
      </c>
    </row>
    <row r="317" spans="1:27" x14ac:dyDescent="0.2">
      <c r="A317" s="27" t="s">
        <v>283</v>
      </c>
      <c r="B317" s="27" t="s">
        <v>155</v>
      </c>
      <c r="C317" s="27" t="s">
        <v>74</v>
      </c>
      <c r="D317" s="51">
        <v>3135869</v>
      </c>
      <c r="E317" s="51">
        <v>3374191</v>
      </c>
      <c r="F317" s="45">
        <v>3135869</v>
      </c>
      <c r="G317" s="27" t="s">
        <v>284</v>
      </c>
      <c r="H317" s="51">
        <v>3085699</v>
      </c>
      <c r="I317" s="51">
        <v>3240121</v>
      </c>
      <c r="J317" s="45">
        <v>3085699</v>
      </c>
      <c r="K317" s="27" t="s">
        <v>281</v>
      </c>
      <c r="L317" s="45">
        <v>16249925216</v>
      </c>
      <c r="M317" s="27" t="str">
        <f t="shared" si="52"/>
        <v>2026-03|FGP segunda parte (30%)</v>
      </c>
      <c r="N317" s="52">
        <f t="shared" si="53"/>
        <v>1.0759987104053135</v>
      </c>
      <c r="O317" s="52">
        <f t="shared" si="54"/>
        <v>1.0500444145718686</v>
      </c>
      <c r="P317" s="30">
        <f t="shared" si="55"/>
        <v>3374191</v>
      </c>
      <c r="Q317" s="30">
        <f t="shared" si="56"/>
        <v>3292801.7282790709</v>
      </c>
      <c r="R317" s="30">
        <f t="shared" si="57"/>
        <v>3240121.0000000005</v>
      </c>
      <c r="S317" s="53">
        <f t="shared" si="58"/>
        <v>2.270828389732396</v>
      </c>
      <c r="T317" s="54">
        <v>2.2708279999999998</v>
      </c>
      <c r="U317" s="55">
        <f t="shared" si="59"/>
        <v>3.8973239613326882E-7</v>
      </c>
      <c r="V317" s="53">
        <f t="shared" si="60"/>
        <v>2.2500742488645145</v>
      </c>
      <c r="W317" s="53">
        <f t="shared" si="61"/>
        <v>2.2114714294704152</v>
      </c>
      <c r="X317" s="54">
        <v>2.211471</v>
      </c>
      <c r="Y317" s="55">
        <f t="shared" si="62"/>
        <v>4.2947041523078155E-7</v>
      </c>
      <c r="Z317" s="29">
        <f t="shared" si="63"/>
        <v>-6272929.2828086745</v>
      </c>
      <c r="AA317" s="23">
        <f t="shared" si="64"/>
        <v>-3372532.3702540402</v>
      </c>
    </row>
    <row r="318" spans="1:27" x14ac:dyDescent="0.2">
      <c r="A318" s="27" t="s">
        <v>283</v>
      </c>
      <c r="B318" s="27" t="s">
        <v>155</v>
      </c>
      <c r="C318" s="27" t="s">
        <v>75</v>
      </c>
      <c r="D318" s="51">
        <v>3032476</v>
      </c>
      <c r="E318" s="51">
        <v>3435320</v>
      </c>
      <c r="F318" s="45">
        <v>3032476</v>
      </c>
      <c r="G318" s="27" t="s">
        <v>284</v>
      </c>
      <c r="H318" s="51">
        <v>3035624</v>
      </c>
      <c r="I318" s="51">
        <v>3447305</v>
      </c>
      <c r="J318" s="45">
        <v>3035624</v>
      </c>
      <c r="K318" s="27" t="s">
        <v>281</v>
      </c>
      <c r="L318" s="45">
        <v>16249925216</v>
      </c>
      <c r="M318" s="27" t="str">
        <f t="shared" si="52"/>
        <v>2026-03|FGP segunda parte (30%)</v>
      </c>
      <c r="N318" s="52">
        <f t="shared" si="53"/>
        <v>1.1328432607545782</v>
      </c>
      <c r="O318" s="52">
        <f t="shared" si="54"/>
        <v>1.1356165981030588</v>
      </c>
      <c r="P318" s="30">
        <f t="shared" si="55"/>
        <v>3435320.0000000005</v>
      </c>
      <c r="Q318" s="30">
        <f t="shared" si="56"/>
        <v>3443730.0789491716</v>
      </c>
      <c r="R318" s="30">
        <f t="shared" si="57"/>
        <v>3447305</v>
      </c>
      <c r="S318" s="53">
        <f t="shared" si="58"/>
        <v>2.3119681677224246</v>
      </c>
      <c r="T318" s="54">
        <v>2.3119679999999998</v>
      </c>
      <c r="U318" s="55">
        <f t="shared" si="59"/>
        <v>1.677224248375353E-7</v>
      </c>
      <c r="V318" s="53">
        <f t="shared" si="60"/>
        <v>2.3532083040825529</v>
      </c>
      <c r="W318" s="53">
        <f t="shared" si="61"/>
        <v>2.3528801906380989</v>
      </c>
      <c r="X318" s="54">
        <v>2.3528799999999999</v>
      </c>
      <c r="Y318" s="55">
        <f t="shared" si="62"/>
        <v>1.9063809908459461E-7</v>
      </c>
      <c r="Z318" s="29">
        <f t="shared" si="63"/>
        <v>-53318.189347406442</v>
      </c>
      <c r="AA318" s="23">
        <f t="shared" si="64"/>
        <v>6701491.3174972646</v>
      </c>
    </row>
    <row r="319" spans="1:27" x14ac:dyDescent="0.2">
      <c r="A319" s="27" t="s">
        <v>283</v>
      </c>
      <c r="B319" s="27" t="s">
        <v>155</v>
      </c>
      <c r="C319" s="27" t="s">
        <v>76</v>
      </c>
      <c r="D319" s="51">
        <v>2567516</v>
      </c>
      <c r="E319" s="51">
        <v>2879540</v>
      </c>
      <c r="F319" s="45">
        <v>2567516</v>
      </c>
      <c r="G319" s="27" t="s">
        <v>284</v>
      </c>
      <c r="H319" s="51">
        <v>2578825</v>
      </c>
      <c r="I319" s="51">
        <v>2872850</v>
      </c>
      <c r="J319" s="45">
        <v>2578825</v>
      </c>
      <c r="K319" s="27" t="s">
        <v>281</v>
      </c>
      <c r="L319" s="45">
        <v>16249925216</v>
      </c>
      <c r="M319" s="27" t="str">
        <f t="shared" si="52"/>
        <v>2026-03|FGP segunda parte (30%)</v>
      </c>
      <c r="N319" s="52">
        <f t="shared" si="53"/>
        <v>1.1215275776275591</v>
      </c>
      <c r="O319" s="52">
        <f t="shared" si="54"/>
        <v>1.1140151037778834</v>
      </c>
      <c r="P319" s="30">
        <f t="shared" si="55"/>
        <v>2879540</v>
      </c>
      <c r="Q319" s="30">
        <f t="shared" si="56"/>
        <v>2860251.6031913762</v>
      </c>
      <c r="R319" s="30">
        <f t="shared" si="57"/>
        <v>2872850</v>
      </c>
      <c r="S319" s="53">
        <f t="shared" si="58"/>
        <v>1.9379285823979804</v>
      </c>
      <c r="T319" s="54">
        <v>1.9379280000000001</v>
      </c>
      <c r="U319" s="55">
        <f t="shared" si="59"/>
        <v>5.823979802865864E-7</v>
      </c>
      <c r="V319" s="53">
        <f t="shared" si="60"/>
        <v>1.9544992406748747</v>
      </c>
      <c r="W319" s="53">
        <f t="shared" si="61"/>
        <v>1.9607989010762501</v>
      </c>
      <c r="X319" s="54">
        <v>1.960799</v>
      </c>
      <c r="Y319" s="55">
        <f t="shared" si="62"/>
        <v>-9.8923749858315091E-8</v>
      </c>
      <c r="Z319" s="29">
        <f t="shared" si="63"/>
        <v>1023690.1040854708</v>
      </c>
      <c r="AA319" s="23">
        <f t="shared" si="64"/>
        <v>2692719.5777942385</v>
      </c>
    </row>
    <row r="320" spans="1:27" x14ac:dyDescent="0.2">
      <c r="A320" s="27" t="s">
        <v>283</v>
      </c>
      <c r="B320" s="27" t="s">
        <v>155</v>
      </c>
      <c r="C320" s="27" t="s">
        <v>77</v>
      </c>
      <c r="D320" s="51">
        <v>3597414</v>
      </c>
      <c r="E320" s="51">
        <v>3984591</v>
      </c>
      <c r="F320" s="45">
        <v>3597414</v>
      </c>
      <c r="G320" s="27" t="s">
        <v>284</v>
      </c>
      <c r="H320" s="51">
        <v>3602540</v>
      </c>
      <c r="I320" s="51">
        <v>3971843</v>
      </c>
      <c r="J320" s="45">
        <v>3602540</v>
      </c>
      <c r="K320" s="27" t="s">
        <v>281</v>
      </c>
      <c r="L320" s="45">
        <v>16249925216</v>
      </c>
      <c r="M320" s="27" t="str">
        <f t="shared" si="52"/>
        <v>2026-03|FGP segunda parte (30%)</v>
      </c>
      <c r="N320" s="52">
        <f t="shared" si="53"/>
        <v>1.1076264783536174</v>
      </c>
      <c r="O320" s="52">
        <f t="shared" si="54"/>
        <v>1.1025118388692423</v>
      </c>
      <c r="P320" s="30">
        <f t="shared" si="55"/>
        <v>3984591</v>
      </c>
      <c r="Q320" s="30">
        <f t="shared" si="56"/>
        <v>3966191.5243139565</v>
      </c>
      <c r="R320" s="30">
        <f t="shared" si="57"/>
        <v>3971843</v>
      </c>
      <c r="S320" s="53">
        <f t="shared" si="58"/>
        <v>2.6816272002006403</v>
      </c>
      <c r="T320" s="54">
        <v>2.6816270000000002</v>
      </c>
      <c r="U320" s="55">
        <f t="shared" si="59"/>
        <v>2.002006400658729E-7</v>
      </c>
      <c r="V320" s="53">
        <f t="shared" si="60"/>
        <v>2.7102225251769498</v>
      </c>
      <c r="W320" s="53">
        <f t="shared" si="61"/>
        <v>2.7108917589318611</v>
      </c>
      <c r="X320" s="54">
        <v>2.7108910000000002</v>
      </c>
      <c r="Y320" s="55">
        <f t="shared" si="62"/>
        <v>7.5893186091136045E-7</v>
      </c>
      <c r="Z320" s="29">
        <f t="shared" si="63"/>
        <v>108749.98469330456</v>
      </c>
      <c r="AA320" s="23">
        <f t="shared" si="64"/>
        <v>4646718.9239224745</v>
      </c>
    </row>
    <row r="321" spans="1:27" x14ac:dyDescent="0.2">
      <c r="A321" s="27" t="s">
        <v>283</v>
      </c>
      <c r="B321" s="27" t="s">
        <v>155</v>
      </c>
      <c r="C321" s="27" t="s">
        <v>78</v>
      </c>
      <c r="D321" s="51">
        <v>1449354</v>
      </c>
      <c r="E321" s="51">
        <v>1645071</v>
      </c>
      <c r="F321" s="45">
        <v>1449354</v>
      </c>
      <c r="G321" s="27" t="s">
        <v>284</v>
      </c>
      <c r="H321" s="51">
        <v>1426175</v>
      </c>
      <c r="I321" s="51">
        <v>1580852</v>
      </c>
      <c r="J321" s="45">
        <v>1426175</v>
      </c>
      <c r="K321" s="27" t="s">
        <v>281</v>
      </c>
      <c r="L321" s="45">
        <v>16249925216</v>
      </c>
      <c r="M321" s="27" t="str">
        <f t="shared" si="52"/>
        <v>2026-03|FGP segunda parte (30%)</v>
      </c>
      <c r="N321" s="52">
        <f t="shared" si="53"/>
        <v>1.1350374028705204</v>
      </c>
      <c r="O321" s="52">
        <f t="shared" si="54"/>
        <v>1.1084558346626465</v>
      </c>
      <c r="P321" s="30">
        <f t="shared" si="55"/>
        <v>1645071.0000000002</v>
      </c>
      <c r="Q321" s="30">
        <f t="shared" si="56"/>
        <v>1606544.8977916455</v>
      </c>
      <c r="R321" s="30">
        <f t="shared" si="57"/>
        <v>1580852</v>
      </c>
      <c r="S321" s="53">
        <f t="shared" si="58"/>
        <v>1.1071317331844768</v>
      </c>
      <c r="T321" s="54">
        <v>1.107132</v>
      </c>
      <c r="U321" s="55">
        <f t="shared" si="59"/>
        <v>-2.668155232310454E-7</v>
      </c>
      <c r="V321" s="53">
        <f t="shared" si="60"/>
        <v>1.0978022980007651</v>
      </c>
      <c r="W321" s="53">
        <f t="shared" si="61"/>
        <v>1.0789748383536182</v>
      </c>
      <c r="X321" s="54">
        <v>1.078975</v>
      </c>
      <c r="Y321" s="55">
        <f t="shared" si="62"/>
        <v>-1.6164638183546742E-7</v>
      </c>
      <c r="Z321" s="29">
        <f t="shared" si="63"/>
        <v>-3059448.112733955</v>
      </c>
      <c r="AA321" s="23">
        <f t="shared" si="64"/>
        <v>-1516026.240428336</v>
      </c>
    </row>
    <row r="322" spans="1:27" x14ac:dyDescent="0.2">
      <c r="A322" s="27" t="s">
        <v>283</v>
      </c>
      <c r="B322" s="27" t="s">
        <v>155</v>
      </c>
      <c r="C322" s="27" t="s">
        <v>79</v>
      </c>
      <c r="D322" s="51">
        <v>8068202</v>
      </c>
      <c r="E322" s="51">
        <v>9074272</v>
      </c>
      <c r="F322" s="45">
        <v>8068202</v>
      </c>
      <c r="G322" s="27" t="s">
        <v>284</v>
      </c>
      <c r="H322" s="51">
        <v>8066173</v>
      </c>
      <c r="I322" s="51">
        <v>8623233</v>
      </c>
      <c r="J322" s="45">
        <v>8066173</v>
      </c>
      <c r="K322" s="27" t="s">
        <v>281</v>
      </c>
      <c r="L322" s="45">
        <v>16249925216</v>
      </c>
      <c r="M322" s="27" t="str">
        <f t="shared" si="52"/>
        <v>2026-03|FGP segunda parte (30%)</v>
      </c>
      <c r="N322" s="52">
        <f t="shared" si="53"/>
        <v>1.124695688085152</v>
      </c>
      <c r="O322" s="52">
        <f t="shared" si="54"/>
        <v>1.0690612512278128</v>
      </c>
      <c r="P322" s="30">
        <f t="shared" si="55"/>
        <v>9074272</v>
      </c>
      <c r="Q322" s="30">
        <f t="shared" si="56"/>
        <v>8625402.1252787411</v>
      </c>
      <c r="R322" s="30">
        <f t="shared" si="57"/>
        <v>8623233</v>
      </c>
      <c r="S322" s="53">
        <f t="shared" si="58"/>
        <v>6.1069792651790511</v>
      </c>
      <c r="T322" s="54">
        <v>6.1069789999999999</v>
      </c>
      <c r="U322" s="55">
        <f t="shared" si="59"/>
        <v>2.6517905116207885E-7</v>
      </c>
      <c r="V322" s="53">
        <f t="shared" si="60"/>
        <v>5.8940066270962861</v>
      </c>
      <c r="W322" s="53">
        <f t="shared" si="61"/>
        <v>5.8855929791407338</v>
      </c>
      <c r="X322" s="54">
        <v>5.8855930000000001</v>
      </c>
      <c r="Y322" s="55">
        <f t="shared" si="62"/>
        <v>-2.0859266314232627E-8</v>
      </c>
      <c r="Z322" s="29">
        <f t="shared" si="63"/>
        <v>-1367211.5007147663</v>
      </c>
      <c r="AA322" s="23">
        <f t="shared" si="64"/>
        <v>-34607894.418991648</v>
      </c>
    </row>
    <row r="323" spans="1:27" x14ac:dyDescent="0.2">
      <c r="A323" s="27" t="s">
        <v>283</v>
      </c>
      <c r="B323" s="27" t="s">
        <v>155</v>
      </c>
      <c r="C323" s="27" t="s">
        <v>80</v>
      </c>
      <c r="D323" s="51">
        <v>2432221</v>
      </c>
      <c r="E323" s="51">
        <v>2853905</v>
      </c>
      <c r="F323" s="45">
        <v>2432221</v>
      </c>
      <c r="G323" s="27" t="s">
        <v>284</v>
      </c>
      <c r="H323" s="51">
        <v>2456821</v>
      </c>
      <c r="I323" s="51">
        <v>2722907</v>
      </c>
      <c r="J323" s="45">
        <v>2456821</v>
      </c>
      <c r="K323" s="27" t="s">
        <v>281</v>
      </c>
      <c r="L323" s="45">
        <v>16249925216</v>
      </c>
      <c r="M323" s="27" t="str">
        <f t="shared" si="52"/>
        <v>2026-03|FGP segunda parte (30%)</v>
      </c>
      <c r="N323" s="52">
        <f t="shared" si="53"/>
        <v>1.1733740478352912</v>
      </c>
      <c r="O323" s="52">
        <f t="shared" si="54"/>
        <v>1.108305000649213</v>
      </c>
      <c r="P323" s="30">
        <f t="shared" si="55"/>
        <v>2853905</v>
      </c>
      <c r="Q323" s="30">
        <f t="shared" si="56"/>
        <v>2695642.6969840294</v>
      </c>
      <c r="R323" s="30">
        <f t="shared" si="57"/>
        <v>2722907</v>
      </c>
      <c r="S323" s="53">
        <f t="shared" si="58"/>
        <v>1.9206762437571654</v>
      </c>
      <c r="T323" s="54">
        <v>1.920676</v>
      </c>
      <c r="U323" s="55">
        <f t="shared" si="59"/>
        <v>2.4375716534130731E-7</v>
      </c>
      <c r="V323" s="53">
        <f t="shared" si="60"/>
        <v>1.8420168346405217</v>
      </c>
      <c r="W323" s="53">
        <f t="shared" si="61"/>
        <v>1.8584586920071806</v>
      </c>
      <c r="X323" s="54">
        <v>1.8584590000000001</v>
      </c>
      <c r="Y323" s="55">
        <f t="shared" si="62"/>
        <v>-3.0799281947047064E-7</v>
      </c>
      <c r="Z323" s="29">
        <f t="shared" si="63"/>
        <v>2671789.5262034629</v>
      </c>
      <c r="AA323" s="23">
        <f t="shared" si="64"/>
        <v>-12782095.156802088</v>
      </c>
    </row>
    <row r="324" spans="1:27" x14ac:dyDescent="0.2">
      <c r="A324" s="27" t="s">
        <v>283</v>
      </c>
      <c r="B324" s="27" t="s">
        <v>155</v>
      </c>
      <c r="C324" s="27" t="s">
        <v>81</v>
      </c>
      <c r="D324" s="51">
        <v>1703991</v>
      </c>
      <c r="E324" s="51">
        <v>1793169</v>
      </c>
      <c r="F324" s="45">
        <v>1703991</v>
      </c>
      <c r="G324" s="27" t="s">
        <v>284</v>
      </c>
      <c r="H324" s="51">
        <v>1689186</v>
      </c>
      <c r="I324" s="51">
        <v>1865255</v>
      </c>
      <c r="J324" s="45">
        <v>1689186</v>
      </c>
      <c r="K324" s="27" t="s">
        <v>281</v>
      </c>
      <c r="L324" s="45">
        <v>16249925216</v>
      </c>
      <c r="M324" s="27" t="str">
        <f t="shared" si="52"/>
        <v>2026-03|FGP segunda parte (30%)</v>
      </c>
      <c r="N324" s="52">
        <f t="shared" si="53"/>
        <v>1.0523347834583634</v>
      </c>
      <c r="O324" s="52">
        <f t="shared" si="54"/>
        <v>1.1042330447919886</v>
      </c>
      <c r="P324" s="30">
        <f t="shared" si="55"/>
        <v>1793169</v>
      </c>
      <c r="Q324" s="30">
        <f t="shared" si="56"/>
        <v>1881603.1702281453</v>
      </c>
      <c r="R324" s="30">
        <f t="shared" si="57"/>
        <v>1865255</v>
      </c>
      <c r="S324" s="53">
        <f t="shared" si="58"/>
        <v>1.2068015926745259</v>
      </c>
      <c r="T324" s="54">
        <v>1.206801</v>
      </c>
      <c r="U324" s="55">
        <f t="shared" si="59"/>
        <v>5.9267452590106018E-7</v>
      </c>
      <c r="V324" s="53">
        <f t="shared" si="60"/>
        <v>1.2857582051030085</v>
      </c>
      <c r="W324" s="53">
        <f t="shared" si="61"/>
        <v>1.273087684434266</v>
      </c>
      <c r="X324" s="54">
        <v>1.273088</v>
      </c>
      <c r="Y324" s="55">
        <f t="shared" si="62"/>
        <v>-3.1556573398816568E-7</v>
      </c>
      <c r="Z324" s="29">
        <f t="shared" si="63"/>
        <v>-2058950.1331484832</v>
      </c>
      <c r="AA324" s="23">
        <f t="shared" si="64"/>
        <v>12830390.472715387</v>
      </c>
    </row>
    <row r="325" spans="1:27" x14ac:dyDescent="0.2">
      <c r="A325" s="27" t="s">
        <v>283</v>
      </c>
      <c r="B325" s="27" t="s">
        <v>157</v>
      </c>
      <c r="C325" s="27" t="s">
        <v>50</v>
      </c>
      <c r="D325" s="51">
        <v>5384140862</v>
      </c>
      <c r="F325" s="45">
        <v>1519678</v>
      </c>
      <c r="G325" s="27" t="s">
        <v>284</v>
      </c>
      <c r="H325" s="51">
        <v>5999239609</v>
      </c>
      <c r="J325" s="45">
        <v>1531396</v>
      </c>
      <c r="K325" s="27" t="s">
        <v>281</v>
      </c>
      <c r="L325" s="45">
        <v>5416641739</v>
      </c>
      <c r="M325" s="27" t="str">
        <f t="shared" ref="M325:M388" si="65">A325&amp;"|"&amp;B325</f>
        <v>2026-03|FGP tercera parte (10%)</v>
      </c>
      <c r="N325" s="52">
        <f t="shared" ref="N325:N388" si="66">IF(E325="",D325,E325/D325)</f>
        <v>5384140862</v>
      </c>
      <c r="O325" s="52">
        <f t="shared" ref="O325:O388" si="67">IF(I325="",H325,I325/H325)</f>
        <v>5999239609</v>
      </c>
      <c r="P325" s="30">
        <f t="shared" ref="P325:P388" si="68">N325*F325</f>
        <v>8182160416882436</v>
      </c>
      <c r="Q325" s="30">
        <f t="shared" ref="Q325:Q388" si="69">O325*F325</f>
        <v>9116912450525902</v>
      </c>
      <c r="R325" s="30">
        <f t="shared" ref="R325:R388" si="70">O325*J325</f>
        <v>9187211540264164</v>
      </c>
      <c r="S325" s="53">
        <f t="shared" ref="S325:S388" si="71">P325/SUMIFS($P$5:$P$516,$M$5:$M$516,M325)*100</f>
        <v>0.25340099225361817</v>
      </c>
      <c r="T325" s="54">
        <v>0.25340099999999999</v>
      </c>
      <c r="U325" s="55">
        <f t="shared" ref="U325:U388" si="72">S325-T325</f>
        <v>-7.7463818137779583E-9</v>
      </c>
      <c r="V325" s="53">
        <f t="shared" ref="V325:V388" si="73">Q325/SUMIFS($Q$5:$Q$516,$M$5:$M$516,M325)*100</f>
        <v>0.24841432362744542</v>
      </c>
      <c r="W325" s="53">
        <f t="shared" ref="W325:W388" si="74">R325/SUMIFS($R$5:$R$516,$M$5:$M$516,M325)*100</f>
        <v>0.25028246893387673</v>
      </c>
      <c r="X325" s="54">
        <v>0.250282</v>
      </c>
      <c r="Y325" s="55">
        <f t="shared" ref="Y325:Y388" si="75">W325-X325</f>
        <v>4.68933876729416E-7</v>
      </c>
      <c r="Z325" s="29">
        <f t="shared" ref="Z325:Z388" si="76">(W325-V325)/100*L325</f>
        <v>101190.73841332791</v>
      </c>
      <c r="AA325" s="23">
        <f t="shared" ref="AA325:AA388" si="77">(V325-S325)/100*L325</f>
        <v>-270109.97419089114</v>
      </c>
    </row>
    <row r="326" spans="1:27" x14ac:dyDescent="0.2">
      <c r="A326" s="27" t="s">
        <v>283</v>
      </c>
      <c r="B326" s="27" t="s">
        <v>157</v>
      </c>
      <c r="C326" s="27" t="s">
        <v>51</v>
      </c>
      <c r="D326" s="51">
        <v>29484012362</v>
      </c>
      <c r="F326" s="45">
        <v>3790412</v>
      </c>
      <c r="G326" s="27" t="s">
        <v>284</v>
      </c>
      <c r="H326" s="51">
        <v>32050362891</v>
      </c>
      <c r="J326" s="45">
        <v>3830329</v>
      </c>
      <c r="K326" s="27" t="s">
        <v>281</v>
      </c>
      <c r="L326" s="45">
        <v>5416641739</v>
      </c>
      <c r="M326" s="27" t="str">
        <f t="shared" si="65"/>
        <v>2026-03|FGP tercera parte (10%)</v>
      </c>
      <c r="N326" s="52">
        <f t="shared" si="66"/>
        <v>29484012362</v>
      </c>
      <c r="O326" s="52">
        <f t="shared" si="67"/>
        <v>32050362891</v>
      </c>
      <c r="P326" s="30">
        <f t="shared" si="68"/>
        <v>1.1175655426507315E+17</v>
      </c>
      <c r="Q326" s="30">
        <f t="shared" si="69"/>
        <v>1.2148408010640109E+17</v>
      </c>
      <c r="R326" s="30">
        <f t="shared" si="70"/>
        <v>1.2276343444192114E+17</v>
      </c>
      <c r="S326" s="53">
        <f t="shared" si="71"/>
        <v>3.4610934397207824</v>
      </c>
      <c r="T326" s="54">
        <v>3.461093</v>
      </c>
      <c r="U326" s="55">
        <f t="shared" si="72"/>
        <v>4.3972078245246848E-7</v>
      </c>
      <c r="V326" s="53">
        <f t="shared" si="73"/>
        <v>3.3101541508598351</v>
      </c>
      <c r="W326" s="53">
        <f t="shared" si="74"/>
        <v>3.3443809726452294</v>
      </c>
      <c r="X326" s="54">
        <v>3.3443809999999998</v>
      </c>
      <c r="Y326" s="55">
        <f t="shared" si="75"/>
        <v>-2.7354770448795307E-8</v>
      </c>
      <c r="Z326" s="29">
        <f t="shared" si="76"/>
        <v>1853944.3147608109</v>
      </c>
      <c r="AA326" s="23">
        <f t="shared" si="77"/>
        <v>-8175840.5209918497</v>
      </c>
    </row>
    <row r="327" spans="1:27" x14ac:dyDescent="0.2">
      <c r="A327" s="27" t="s">
        <v>283</v>
      </c>
      <c r="B327" s="27" t="s">
        <v>157</v>
      </c>
      <c r="C327" s="27" t="s">
        <v>52</v>
      </c>
      <c r="D327" s="51">
        <v>5736083240</v>
      </c>
      <c r="F327" s="45">
        <v>906940</v>
      </c>
      <c r="G327" s="27" t="s">
        <v>284</v>
      </c>
      <c r="H327" s="51">
        <v>6240882605</v>
      </c>
      <c r="J327" s="45">
        <v>928591</v>
      </c>
      <c r="K327" s="27" t="s">
        <v>281</v>
      </c>
      <c r="L327" s="45">
        <v>5416641739</v>
      </c>
      <c r="M327" s="27" t="str">
        <f t="shared" si="65"/>
        <v>2026-03|FGP tercera parte (10%)</v>
      </c>
      <c r="N327" s="52">
        <f t="shared" si="66"/>
        <v>5736083240</v>
      </c>
      <c r="O327" s="52">
        <f t="shared" si="67"/>
        <v>6240882605</v>
      </c>
      <c r="P327" s="30">
        <f t="shared" si="68"/>
        <v>5202283333685600</v>
      </c>
      <c r="Q327" s="30">
        <f t="shared" si="69"/>
        <v>5660106069778700</v>
      </c>
      <c r="R327" s="30">
        <f t="shared" si="70"/>
        <v>5795227419059555</v>
      </c>
      <c r="S327" s="53">
        <f t="shared" si="71"/>
        <v>0.16111438685807092</v>
      </c>
      <c r="T327" s="54">
        <v>0.16111400000000001</v>
      </c>
      <c r="U327" s="55">
        <f t="shared" si="72"/>
        <v>3.8685807091098923E-7</v>
      </c>
      <c r="V327" s="53">
        <f t="shared" si="73"/>
        <v>0.15422451719414801</v>
      </c>
      <c r="W327" s="53">
        <f t="shared" si="74"/>
        <v>0.15787639373696388</v>
      </c>
      <c r="X327" s="54">
        <v>0.15787599999999999</v>
      </c>
      <c r="Y327" s="55">
        <f t="shared" si="75"/>
        <v>3.9373696389399804E-7</v>
      </c>
      <c r="Z327" s="29">
        <f t="shared" si="76"/>
        <v>197809.06907491485</v>
      </c>
      <c r="AA327" s="23">
        <f t="shared" si="77"/>
        <v>-373199.55597874732</v>
      </c>
    </row>
    <row r="328" spans="1:27" x14ac:dyDescent="0.2">
      <c r="A328" s="27" t="s">
        <v>283</v>
      </c>
      <c r="B328" s="27" t="s">
        <v>157</v>
      </c>
      <c r="C328" s="27" t="s">
        <v>53</v>
      </c>
      <c r="D328" s="51">
        <v>3605167152</v>
      </c>
      <c r="F328" s="45">
        <v>918817</v>
      </c>
      <c r="G328" s="27" t="s">
        <v>284</v>
      </c>
      <c r="H328" s="51">
        <v>3313630825</v>
      </c>
      <c r="J328" s="45">
        <v>935371</v>
      </c>
      <c r="K328" s="27" t="s">
        <v>281</v>
      </c>
      <c r="L328" s="45">
        <v>5416641739</v>
      </c>
      <c r="M328" s="27" t="str">
        <f t="shared" si="65"/>
        <v>2026-03|FGP tercera parte (10%)</v>
      </c>
      <c r="N328" s="52">
        <f t="shared" si="66"/>
        <v>3605167152</v>
      </c>
      <c r="O328" s="52">
        <f t="shared" si="67"/>
        <v>3313630825</v>
      </c>
      <c r="P328" s="30">
        <f t="shared" si="68"/>
        <v>3312488867099184</v>
      </c>
      <c r="Q328" s="30">
        <f t="shared" si="69"/>
        <v>3044620333734025</v>
      </c>
      <c r="R328" s="30">
        <f t="shared" si="70"/>
        <v>3099474178411075</v>
      </c>
      <c r="S328" s="53">
        <f t="shared" si="71"/>
        <v>0.10258757137296755</v>
      </c>
      <c r="T328" s="54">
        <v>0.102588</v>
      </c>
      <c r="U328" s="55">
        <f t="shared" si="72"/>
        <v>-4.2862703245050149E-7</v>
      </c>
      <c r="V328" s="53">
        <f t="shared" si="73"/>
        <v>8.2958710529602242E-2</v>
      </c>
      <c r="W328" s="53">
        <f t="shared" si="74"/>
        <v>8.4437377584016926E-2</v>
      </c>
      <c r="X328" s="54">
        <v>8.4436999999999998E-2</v>
      </c>
      <c r="Y328" s="55">
        <f t="shared" si="75"/>
        <v>3.775840169278899E-7</v>
      </c>
      <c r="Z328" s="29">
        <f t="shared" si="76"/>
        <v>80094.096850267611</v>
      </c>
      <c r="AA328" s="23">
        <f t="shared" si="77"/>
        <v>-1063225.0693319526</v>
      </c>
    </row>
    <row r="329" spans="1:27" x14ac:dyDescent="0.2">
      <c r="A329" s="27" t="s">
        <v>283</v>
      </c>
      <c r="B329" s="27" t="s">
        <v>157</v>
      </c>
      <c r="C329" s="27" t="s">
        <v>54</v>
      </c>
      <c r="D329" s="51">
        <v>13249731591</v>
      </c>
      <c r="F329" s="45">
        <v>3582441</v>
      </c>
      <c r="G329" s="27" t="s">
        <v>284</v>
      </c>
      <c r="H329" s="51">
        <v>16399735233</v>
      </c>
      <c r="J329" s="45">
        <v>3590747</v>
      </c>
      <c r="K329" s="27" t="s">
        <v>281</v>
      </c>
      <c r="L329" s="45">
        <v>5416641739</v>
      </c>
      <c r="M329" s="27" t="str">
        <f t="shared" si="65"/>
        <v>2026-03|FGP tercera parte (10%)</v>
      </c>
      <c r="N329" s="52">
        <f t="shared" si="66"/>
        <v>13249731591</v>
      </c>
      <c r="O329" s="52">
        <f t="shared" si="67"/>
        <v>16399735233</v>
      </c>
      <c r="P329" s="30">
        <f t="shared" si="68"/>
        <v>4.7466381690593632E+16</v>
      </c>
      <c r="Q329" s="30">
        <f t="shared" si="69"/>
        <v>5.8751083887843752E+16</v>
      </c>
      <c r="R329" s="30">
        <f t="shared" si="70"/>
        <v>5.8887300088689048E+16</v>
      </c>
      <c r="S329" s="53">
        <f t="shared" si="71"/>
        <v>1.4700308483646567</v>
      </c>
      <c r="T329" s="54">
        <v>1.4700310000000001</v>
      </c>
      <c r="U329" s="55">
        <f t="shared" si="72"/>
        <v>-1.5163534339279749E-7</v>
      </c>
      <c r="V329" s="53">
        <f t="shared" si="73"/>
        <v>1.6008282239823561</v>
      </c>
      <c r="W329" s="53">
        <f t="shared" si="74"/>
        <v>1.6042363660022367</v>
      </c>
      <c r="X329" s="54">
        <v>1.604236</v>
      </c>
      <c r="Y329" s="55">
        <f t="shared" si="75"/>
        <v>3.6600223674021493E-7</v>
      </c>
      <c r="Z329" s="29">
        <f t="shared" si="76"/>
        <v>184606.84317325026</v>
      </c>
      <c r="AA329" s="23">
        <f t="shared" si="77"/>
        <v>7084825.2412249167</v>
      </c>
    </row>
    <row r="330" spans="1:27" x14ac:dyDescent="0.2">
      <c r="A330" s="27" t="s">
        <v>283</v>
      </c>
      <c r="B330" s="27" t="s">
        <v>157</v>
      </c>
      <c r="C330" s="27" t="s">
        <v>55</v>
      </c>
      <c r="D330" s="51">
        <v>2781620079</v>
      </c>
      <c r="F330" s="45">
        <v>745394</v>
      </c>
      <c r="G330" s="27" t="s">
        <v>284</v>
      </c>
      <c r="H330" s="51">
        <v>3126852128</v>
      </c>
      <c r="J330" s="45">
        <v>762355</v>
      </c>
      <c r="K330" s="27" t="s">
        <v>281</v>
      </c>
      <c r="L330" s="45">
        <v>5416641739</v>
      </c>
      <c r="M330" s="27" t="str">
        <f t="shared" si="65"/>
        <v>2026-03|FGP tercera parte (10%)</v>
      </c>
      <c r="N330" s="52">
        <f t="shared" si="66"/>
        <v>2781620079</v>
      </c>
      <c r="O330" s="52">
        <f t="shared" si="67"/>
        <v>3126852128</v>
      </c>
      <c r="P330" s="30">
        <f t="shared" si="68"/>
        <v>2073402917166126</v>
      </c>
      <c r="Q330" s="30">
        <f t="shared" si="69"/>
        <v>2330736815098432</v>
      </c>
      <c r="R330" s="30">
        <f t="shared" si="70"/>
        <v>2383771354041440</v>
      </c>
      <c r="S330" s="53">
        <f t="shared" si="71"/>
        <v>6.4213157623672149E-2</v>
      </c>
      <c r="T330" s="54">
        <v>6.4213000000000006E-2</v>
      </c>
      <c r="U330" s="55">
        <f t="shared" si="72"/>
        <v>1.5762367214233741E-7</v>
      </c>
      <c r="V330" s="53">
        <f t="shared" si="73"/>
        <v>6.3507071348794714E-2</v>
      </c>
      <c r="W330" s="53">
        <f t="shared" si="74"/>
        <v>6.4939854410513254E-2</v>
      </c>
      <c r="X330" s="54">
        <v>6.4939999999999998E-2</v>
      </c>
      <c r="Y330" s="55">
        <f t="shared" si="75"/>
        <v>-1.4558948674414651E-7</v>
      </c>
      <c r="Z330" s="29">
        <f t="shared" si="76"/>
        <v>77608.725350368564</v>
      </c>
      <c r="AA330" s="23">
        <f t="shared" si="77"/>
        <v>-38246.163878361411</v>
      </c>
    </row>
    <row r="331" spans="1:27" x14ac:dyDescent="0.2">
      <c r="A331" s="27" t="s">
        <v>283</v>
      </c>
      <c r="B331" s="27" t="s">
        <v>157</v>
      </c>
      <c r="C331" s="27" t="s">
        <v>56</v>
      </c>
      <c r="D331" s="51">
        <v>5216080441</v>
      </c>
      <c r="F331" s="45">
        <v>5900473</v>
      </c>
      <c r="G331" s="27" t="s">
        <v>284</v>
      </c>
      <c r="H331" s="51">
        <v>8053623880</v>
      </c>
      <c r="J331" s="45">
        <v>5891372</v>
      </c>
      <c r="K331" s="27" t="s">
        <v>281</v>
      </c>
      <c r="L331" s="45">
        <v>5416641739</v>
      </c>
      <c r="M331" s="27" t="str">
        <f t="shared" si="65"/>
        <v>2026-03|FGP tercera parte (10%)</v>
      </c>
      <c r="N331" s="52">
        <f t="shared" si="66"/>
        <v>5216080441</v>
      </c>
      <c r="O331" s="52">
        <f t="shared" si="67"/>
        <v>8053623880</v>
      </c>
      <c r="P331" s="30">
        <f t="shared" si="68"/>
        <v>3.0777341807948592E+16</v>
      </c>
      <c r="Q331" s="30">
        <f t="shared" si="69"/>
        <v>4.752019025609524E+16</v>
      </c>
      <c r="R331" s="30">
        <f t="shared" si="70"/>
        <v>4.744689422516336E+16</v>
      </c>
      <c r="S331" s="53">
        <f t="shared" si="71"/>
        <v>0.95317233538602719</v>
      </c>
      <c r="T331" s="54">
        <v>0.95317200000000002</v>
      </c>
      <c r="U331" s="55">
        <f t="shared" si="72"/>
        <v>3.353860271726461E-7</v>
      </c>
      <c r="V331" s="53">
        <f t="shared" si="73"/>
        <v>1.294812907897835</v>
      </c>
      <c r="W331" s="53">
        <f t="shared" si="74"/>
        <v>1.292571285408427</v>
      </c>
      <c r="X331" s="54">
        <v>1.2925709999999999</v>
      </c>
      <c r="Y331" s="55">
        <f t="shared" si="75"/>
        <v>2.8540842711421988E-7</v>
      </c>
      <c r="Z331" s="29">
        <f t="shared" si="76"/>
        <v>-121420.65939208226</v>
      </c>
      <c r="AA331" s="23">
        <f t="shared" si="77"/>
        <v>18505445.848033141</v>
      </c>
    </row>
    <row r="332" spans="1:27" x14ac:dyDescent="0.2">
      <c r="A332" s="27" t="s">
        <v>283</v>
      </c>
      <c r="B332" s="27" t="s">
        <v>157</v>
      </c>
      <c r="C332" s="27" t="s">
        <v>57</v>
      </c>
      <c r="D332" s="51">
        <v>26119425044</v>
      </c>
      <c r="F332" s="45">
        <v>3991333</v>
      </c>
      <c r="G332" s="27" t="s">
        <v>284</v>
      </c>
      <c r="H332" s="51">
        <v>29378013855</v>
      </c>
      <c r="J332" s="45">
        <v>4015493</v>
      </c>
      <c r="K332" s="27" t="s">
        <v>281</v>
      </c>
      <c r="L332" s="45">
        <v>5416641739</v>
      </c>
      <c r="M332" s="27" t="str">
        <f t="shared" si="65"/>
        <v>2026-03|FGP tercera parte (10%)</v>
      </c>
      <c r="N332" s="52">
        <f t="shared" si="66"/>
        <v>26119425044</v>
      </c>
      <c r="O332" s="52">
        <f t="shared" si="67"/>
        <v>29378013855</v>
      </c>
      <c r="P332" s="30">
        <f t="shared" si="68"/>
        <v>1.0425132311914365E+17</v>
      </c>
      <c r="Q332" s="30">
        <f t="shared" si="69"/>
        <v>1.1725743617391872E+17</v>
      </c>
      <c r="R332" s="30">
        <f t="shared" si="70"/>
        <v>1.1796720898865552E+17</v>
      </c>
      <c r="S332" s="53">
        <f t="shared" si="71"/>
        <v>3.2286569043105016</v>
      </c>
      <c r="T332" s="54">
        <v>3.2286570000000001</v>
      </c>
      <c r="U332" s="55">
        <f t="shared" si="72"/>
        <v>-9.5689498547102403E-8</v>
      </c>
      <c r="V332" s="53">
        <f t="shared" si="73"/>
        <v>3.194988090047099</v>
      </c>
      <c r="W332" s="53">
        <f t="shared" si="74"/>
        <v>3.2137198745801787</v>
      </c>
      <c r="X332" s="54">
        <v>3.2137199999999999</v>
      </c>
      <c r="Y332" s="55">
        <f t="shared" si="75"/>
        <v>-1.2541982119529393E-7</v>
      </c>
      <c r="Z332" s="29">
        <f t="shared" si="76"/>
        <v>1014633.6594783394</v>
      </c>
      <c r="AA332" s="23">
        <f t="shared" si="77"/>
        <v>-1823719.0464178459</v>
      </c>
    </row>
    <row r="333" spans="1:27" x14ac:dyDescent="0.2">
      <c r="A333" s="27" t="s">
        <v>283</v>
      </c>
      <c r="B333" s="27" t="s">
        <v>157</v>
      </c>
      <c r="C333" s="27" t="s">
        <v>58</v>
      </c>
      <c r="D333" s="51">
        <v>83248412524</v>
      </c>
      <c r="F333" s="45">
        <v>9319955</v>
      </c>
      <c r="G333" s="27" t="s">
        <v>284</v>
      </c>
      <c r="H333" s="51">
        <v>103599810122</v>
      </c>
      <c r="J333" s="45">
        <v>9336468</v>
      </c>
      <c r="K333" s="27" t="s">
        <v>281</v>
      </c>
      <c r="L333" s="45">
        <v>5416641739</v>
      </c>
      <c r="M333" s="27" t="str">
        <f t="shared" si="65"/>
        <v>2026-03|FGP tercera parte (10%)</v>
      </c>
      <c r="N333" s="52">
        <f t="shared" si="66"/>
        <v>83248412524</v>
      </c>
      <c r="O333" s="52">
        <f t="shared" si="67"/>
        <v>103599810122</v>
      </c>
      <c r="P333" s="30">
        <f t="shared" si="68"/>
        <v>7.7587145854511642E+17</v>
      </c>
      <c r="Q333" s="30">
        <f t="shared" si="69"/>
        <v>9.6554556834558451E+17</v>
      </c>
      <c r="R333" s="30">
        <f t="shared" si="70"/>
        <v>9.6725631201012915E+17</v>
      </c>
      <c r="S333" s="53">
        <f t="shared" si="71"/>
        <v>24.028690155100318</v>
      </c>
      <c r="T333" s="54">
        <v>24.028690000000001</v>
      </c>
      <c r="U333" s="55">
        <f t="shared" si="72"/>
        <v>1.5510031659005108E-7</v>
      </c>
      <c r="V333" s="53">
        <f t="shared" si="73"/>
        <v>26.308835430158144</v>
      </c>
      <c r="W333" s="53">
        <f t="shared" si="74"/>
        <v>26.350465187482826</v>
      </c>
      <c r="X333" s="54">
        <v>26.350465</v>
      </c>
      <c r="Y333" s="55">
        <f t="shared" si="75"/>
        <v>1.8748282570868469E-7</v>
      </c>
      <c r="Z333" s="29">
        <f t="shared" si="76"/>
        <v>2254934.8110931106</v>
      </c>
      <c r="AA333" s="23">
        <f t="shared" si="77"/>
        <v>123507300.67861858</v>
      </c>
    </row>
    <row r="334" spans="1:27" x14ac:dyDescent="0.2">
      <c r="A334" s="27" t="s">
        <v>283</v>
      </c>
      <c r="B334" s="27" t="s">
        <v>157</v>
      </c>
      <c r="C334" s="27" t="s">
        <v>59</v>
      </c>
      <c r="D334" s="51">
        <v>5165207847</v>
      </c>
      <c r="F334" s="45">
        <v>1954301</v>
      </c>
      <c r="G334" s="27" t="s">
        <v>284</v>
      </c>
      <c r="H334" s="51">
        <v>5695831479</v>
      </c>
      <c r="J334" s="45">
        <v>1968132</v>
      </c>
      <c r="K334" s="27" t="s">
        <v>281</v>
      </c>
      <c r="L334" s="45">
        <v>5416641739</v>
      </c>
      <c r="M334" s="27" t="str">
        <f t="shared" si="65"/>
        <v>2026-03|FGP tercera parte (10%)</v>
      </c>
      <c r="N334" s="52">
        <f t="shared" si="66"/>
        <v>5165207847</v>
      </c>
      <c r="O334" s="52">
        <f t="shared" si="67"/>
        <v>5695831479</v>
      </c>
      <c r="P334" s="30">
        <f t="shared" si="68"/>
        <v>1.0094370860599948E+16</v>
      </c>
      <c r="Q334" s="30">
        <f t="shared" si="69"/>
        <v>1.113136915524118E+16</v>
      </c>
      <c r="R334" s="30">
        <f t="shared" si="70"/>
        <v>1.1210148200427228E+16</v>
      </c>
      <c r="S334" s="53">
        <f t="shared" si="71"/>
        <v>0.31262202913722092</v>
      </c>
      <c r="T334" s="54">
        <v>0.31262200000000001</v>
      </c>
      <c r="U334" s="55">
        <f t="shared" si="72"/>
        <v>2.9137220913799666E-8</v>
      </c>
      <c r="V334" s="53">
        <f t="shared" si="73"/>
        <v>0.30330350924749072</v>
      </c>
      <c r="W334" s="53">
        <f t="shared" si="74"/>
        <v>0.30539228975203375</v>
      </c>
      <c r="X334" s="54">
        <v>0.305392</v>
      </c>
      <c r="Y334" s="55">
        <f t="shared" si="75"/>
        <v>2.8975203375525282E-7</v>
      </c>
      <c r="Z334" s="29">
        <f t="shared" si="76"/>
        <v>113141.7566451726</v>
      </c>
      <c r="AA334" s="23">
        <f t="shared" si="77"/>
        <v>-504750.83780414303</v>
      </c>
    </row>
    <row r="335" spans="1:27" x14ac:dyDescent="0.2">
      <c r="A335" s="27" t="s">
        <v>283</v>
      </c>
      <c r="B335" s="27" t="s">
        <v>157</v>
      </c>
      <c r="C335" s="27" t="s">
        <v>60</v>
      </c>
      <c r="D335" s="51">
        <v>20655474078</v>
      </c>
      <c r="F335" s="45">
        <v>6376710</v>
      </c>
      <c r="G335" s="27" t="s">
        <v>284</v>
      </c>
      <c r="H335" s="51">
        <v>22628728014</v>
      </c>
      <c r="J335" s="45">
        <v>6402249</v>
      </c>
      <c r="K335" s="27" t="s">
        <v>281</v>
      </c>
      <c r="L335" s="45">
        <v>5416641739</v>
      </c>
      <c r="M335" s="27" t="str">
        <f t="shared" si="65"/>
        <v>2026-03|FGP tercera parte (10%)</v>
      </c>
      <c r="N335" s="52">
        <f t="shared" si="66"/>
        <v>20655474078</v>
      </c>
      <c r="O335" s="52">
        <f t="shared" si="67"/>
        <v>22628728014</v>
      </c>
      <c r="P335" s="30">
        <f t="shared" si="68"/>
        <v>1.3171396810792338E+17</v>
      </c>
      <c r="Q335" s="30">
        <f t="shared" si="69"/>
        <v>1.4429683621415395E+17</v>
      </c>
      <c r="R335" s="30">
        <f t="shared" si="70"/>
        <v>1.4487475129890349E+17</v>
      </c>
      <c r="S335" s="53">
        <f t="shared" si="71"/>
        <v>4.0791732881871674</v>
      </c>
      <c r="T335" s="54">
        <v>4.0791729999999999</v>
      </c>
      <c r="U335" s="55">
        <f t="shared" si="72"/>
        <v>2.8818716746314976E-7</v>
      </c>
      <c r="V335" s="53">
        <f t="shared" si="73"/>
        <v>3.9317478547961282</v>
      </c>
      <c r="W335" s="53">
        <f t="shared" si="74"/>
        <v>3.9467481816825938</v>
      </c>
      <c r="X335" s="54">
        <v>3.9467479999999999</v>
      </c>
      <c r="Y335" s="55">
        <f t="shared" si="75"/>
        <v>1.816825938583122E-7</v>
      </c>
      <c r="Z335" s="29">
        <f t="shared" si="76"/>
        <v>812513.96711873345</v>
      </c>
      <c r="AA335" s="23">
        <f t="shared" si="77"/>
        <v>-7985507.5589606715</v>
      </c>
    </row>
    <row r="336" spans="1:27" x14ac:dyDescent="0.2">
      <c r="A336" s="27" t="s">
        <v>283</v>
      </c>
      <c r="B336" s="27" t="s">
        <v>157</v>
      </c>
      <c r="C336" s="27" t="s">
        <v>61</v>
      </c>
      <c r="D336" s="51">
        <v>4116571342</v>
      </c>
      <c r="F336" s="45">
        <v>3578620</v>
      </c>
      <c r="G336" s="27" t="s">
        <v>284</v>
      </c>
      <c r="H336" s="51">
        <v>5343602918</v>
      </c>
      <c r="J336" s="45">
        <v>3569633</v>
      </c>
      <c r="K336" s="27" t="s">
        <v>281</v>
      </c>
      <c r="L336" s="45">
        <v>5416641739</v>
      </c>
      <c r="M336" s="27" t="str">
        <f t="shared" si="65"/>
        <v>2026-03|FGP tercera parte (10%)</v>
      </c>
      <c r="N336" s="52">
        <f t="shared" si="66"/>
        <v>4116571342</v>
      </c>
      <c r="O336" s="52">
        <f t="shared" si="67"/>
        <v>5343602918</v>
      </c>
      <c r="P336" s="30">
        <f t="shared" si="68"/>
        <v>1.473164453590804E+16</v>
      </c>
      <c r="Q336" s="30">
        <f t="shared" si="69"/>
        <v>1.912272427441316E+16</v>
      </c>
      <c r="R336" s="30">
        <f t="shared" si="70"/>
        <v>1.9074701314989096E+16</v>
      </c>
      <c r="S336" s="53">
        <f t="shared" si="71"/>
        <v>0.45623810249726704</v>
      </c>
      <c r="T336" s="54">
        <v>0.45623799999999998</v>
      </c>
      <c r="U336" s="55">
        <f t="shared" si="72"/>
        <v>1.0249726706268447E-7</v>
      </c>
      <c r="V336" s="53">
        <f t="shared" si="73"/>
        <v>0.52104905496470533</v>
      </c>
      <c r="W336" s="53">
        <f t="shared" si="74"/>
        <v>0.51964225688815091</v>
      </c>
      <c r="X336" s="54">
        <v>0.51964200000000005</v>
      </c>
      <c r="Y336" s="55">
        <f t="shared" si="75"/>
        <v>2.5688815086244432E-7</v>
      </c>
      <c r="Z336" s="29">
        <f t="shared" si="76"/>
        <v>-76201.211798095683</v>
      </c>
      <c r="AA336" s="23">
        <f t="shared" si="77"/>
        <v>3510577.1027947124</v>
      </c>
    </row>
    <row r="337" spans="1:27" x14ac:dyDescent="0.2">
      <c r="A337" s="27" t="s">
        <v>283</v>
      </c>
      <c r="B337" s="27" t="s">
        <v>157</v>
      </c>
      <c r="C337" s="27" t="s">
        <v>62</v>
      </c>
      <c r="D337" s="51">
        <v>5795807597</v>
      </c>
      <c r="F337" s="45">
        <v>3228160</v>
      </c>
      <c r="G337" s="27" t="s">
        <v>284</v>
      </c>
      <c r="H337" s="51">
        <v>6359045350</v>
      </c>
      <c r="J337" s="45">
        <v>3215821</v>
      </c>
      <c r="K337" s="27" t="s">
        <v>281</v>
      </c>
      <c r="L337" s="45">
        <v>5416641739</v>
      </c>
      <c r="M337" s="27" t="str">
        <f t="shared" si="65"/>
        <v>2026-03|FGP tercera parte (10%)</v>
      </c>
      <c r="N337" s="52">
        <f t="shared" si="66"/>
        <v>5795807597</v>
      </c>
      <c r="O337" s="52">
        <f t="shared" si="67"/>
        <v>6359045350</v>
      </c>
      <c r="P337" s="30">
        <f t="shared" si="68"/>
        <v>1.870979425233152E+16</v>
      </c>
      <c r="Q337" s="30">
        <f t="shared" si="69"/>
        <v>2.0528015837056E+16</v>
      </c>
      <c r="R337" s="30">
        <f t="shared" si="70"/>
        <v>2.0449551576482352E+16</v>
      </c>
      <c r="S337" s="53">
        <f t="shared" si="71"/>
        <v>0.57944114840616812</v>
      </c>
      <c r="T337" s="54">
        <v>0.57944099999999998</v>
      </c>
      <c r="U337" s="55">
        <f t="shared" si="72"/>
        <v>1.484061681322757E-7</v>
      </c>
      <c r="V337" s="53">
        <f t="shared" si="73"/>
        <v>0.55933992974579849</v>
      </c>
      <c r="W337" s="53">
        <f t="shared" si="74"/>
        <v>0.55709659396886924</v>
      </c>
      <c r="X337" s="54">
        <v>0.55709699999999995</v>
      </c>
      <c r="Y337" s="55">
        <f t="shared" si="75"/>
        <v>-4.0603113071746577E-7</v>
      </c>
      <c r="Z337" s="29">
        <f t="shared" si="76"/>
        <v>-121513.46203907001</v>
      </c>
      <c r="AA337" s="23">
        <f t="shared" si="77"/>
        <v>-1088811.0000052378</v>
      </c>
    </row>
    <row r="338" spans="1:27" x14ac:dyDescent="0.2">
      <c r="A338" s="27" t="s">
        <v>283</v>
      </c>
      <c r="B338" s="27" t="s">
        <v>157</v>
      </c>
      <c r="C338" s="27" t="s">
        <v>63</v>
      </c>
      <c r="D338" s="51">
        <v>32342104929</v>
      </c>
      <c r="F338" s="45">
        <v>8761130</v>
      </c>
      <c r="G338" s="27" t="s">
        <v>284</v>
      </c>
      <c r="H338" s="51">
        <v>37400090365</v>
      </c>
      <c r="J338" s="45">
        <v>8750952</v>
      </c>
      <c r="K338" s="27" t="s">
        <v>281</v>
      </c>
      <c r="L338" s="45">
        <v>5416641739</v>
      </c>
      <c r="M338" s="27" t="str">
        <f t="shared" si="65"/>
        <v>2026-03|FGP tercera parte (10%)</v>
      </c>
      <c r="N338" s="52">
        <f t="shared" si="66"/>
        <v>32342104929</v>
      </c>
      <c r="O338" s="52">
        <f t="shared" si="67"/>
        <v>37400090365</v>
      </c>
      <c r="P338" s="30">
        <f t="shared" si="68"/>
        <v>2.8335338575660976E+17</v>
      </c>
      <c r="Q338" s="30">
        <f t="shared" si="69"/>
        <v>3.2766705369951245E+17</v>
      </c>
      <c r="R338" s="30">
        <f t="shared" si="70"/>
        <v>3.2728639557977747E+17</v>
      </c>
      <c r="S338" s="53">
        <f t="shared" si="71"/>
        <v>8.7754364924203152</v>
      </c>
      <c r="T338" s="54">
        <v>8.7754359999999991</v>
      </c>
      <c r="U338" s="55">
        <f t="shared" si="72"/>
        <v>4.9242031607832359E-7</v>
      </c>
      <c r="V338" s="53">
        <f t="shared" si="73"/>
        <v>8.9281530300389012</v>
      </c>
      <c r="W338" s="53">
        <f t="shared" si="74"/>
        <v>8.9160945924862034</v>
      </c>
      <c r="X338" s="54">
        <v>8.9160950000000003</v>
      </c>
      <c r="Y338" s="55">
        <f t="shared" si="75"/>
        <v>-4.0751379692949286E-7</v>
      </c>
      <c r="Z338" s="29">
        <f t="shared" si="76"/>
        <v>-653162.36155067664</v>
      </c>
      <c r="AA338" s="23">
        <f t="shared" si="77"/>
        <v>8272107.7190039624</v>
      </c>
    </row>
    <row r="339" spans="1:27" x14ac:dyDescent="0.2">
      <c r="A339" s="27" t="s">
        <v>283</v>
      </c>
      <c r="B339" s="27" t="s">
        <v>157</v>
      </c>
      <c r="C339" s="27" t="s">
        <v>64</v>
      </c>
      <c r="D339" s="51">
        <v>50154698531</v>
      </c>
      <c r="F339" s="45">
        <v>17789139</v>
      </c>
      <c r="G339" s="27" t="s">
        <v>284</v>
      </c>
      <c r="H339" s="51">
        <v>53147294196</v>
      </c>
      <c r="J339" s="45">
        <v>17753727</v>
      </c>
      <c r="K339" s="27" t="s">
        <v>281</v>
      </c>
      <c r="L339" s="45">
        <v>5416641739</v>
      </c>
      <c r="M339" s="27" t="str">
        <f t="shared" si="65"/>
        <v>2026-03|FGP tercera parte (10%)</v>
      </c>
      <c r="N339" s="52">
        <f t="shared" si="66"/>
        <v>50154698531</v>
      </c>
      <c r="O339" s="52">
        <f t="shared" si="67"/>
        <v>53147294196</v>
      </c>
      <c r="P339" s="30">
        <f t="shared" si="68"/>
        <v>8.9220890367105485E+17</v>
      </c>
      <c r="Q339" s="30">
        <f t="shared" si="69"/>
        <v>9.4544460392653722E+17</v>
      </c>
      <c r="R339" s="30">
        <f t="shared" si="70"/>
        <v>9.4356255194446848E+17</v>
      </c>
      <c r="S339" s="53">
        <f t="shared" si="71"/>
        <v>27.631653495972596</v>
      </c>
      <c r="T339" s="54">
        <v>27.631653</v>
      </c>
      <c r="U339" s="55">
        <f t="shared" si="72"/>
        <v>4.9597259632605528E-7</v>
      </c>
      <c r="V339" s="53">
        <f t="shared" si="73"/>
        <v>25.76113164255306</v>
      </c>
      <c r="W339" s="53">
        <f t="shared" si="74"/>
        <v>25.70498829369728</v>
      </c>
      <c r="X339" s="54">
        <v>25.704988</v>
      </c>
      <c r="Y339" s="55">
        <f t="shared" si="75"/>
        <v>2.9369727982953009E-7</v>
      </c>
      <c r="Z339" s="29">
        <f t="shared" si="76"/>
        <v>-3041084.0677945758</v>
      </c>
      <c r="AA339" s="23">
        <f t="shared" si="77"/>
        <v>-101319467.44943899</v>
      </c>
    </row>
    <row r="340" spans="1:27" x14ac:dyDescent="0.2">
      <c r="A340" s="27" t="s">
        <v>283</v>
      </c>
      <c r="B340" s="27" t="s">
        <v>157</v>
      </c>
      <c r="C340" s="27" t="s">
        <v>65</v>
      </c>
      <c r="D340" s="51">
        <v>9111204420</v>
      </c>
      <c r="F340" s="45">
        <v>4940153</v>
      </c>
      <c r="G340" s="27" t="s">
        <v>284</v>
      </c>
      <c r="H340" s="51">
        <v>9995352838</v>
      </c>
      <c r="J340" s="45">
        <v>4945881</v>
      </c>
      <c r="K340" s="27" t="s">
        <v>281</v>
      </c>
      <c r="L340" s="45">
        <v>5416641739</v>
      </c>
      <c r="M340" s="27" t="str">
        <f t="shared" si="65"/>
        <v>2026-03|FGP tercera parte (10%)</v>
      </c>
      <c r="N340" s="52">
        <f t="shared" si="66"/>
        <v>9111204420</v>
      </c>
      <c r="O340" s="52">
        <f t="shared" si="67"/>
        <v>9995352838</v>
      </c>
      <c r="P340" s="30">
        <f t="shared" si="68"/>
        <v>4.5010743849076256E+16</v>
      </c>
      <c r="Q340" s="30">
        <f t="shared" si="69"/>
        <v>4.9378572308704216E+16</v>
      </c>
      <c r="R340" s="30">
        <f t="shared" si="70"/>
        <v>4.943582568976028E+16</v>
      </c>
      <c r="S340" s="53">
        <f t="shared" si="71"/>
        <v>1.393979899232431</v>
      </c>
      <c r="T340" s="54">
        <v>1.39398</v>
      </c>
      <c r="U340" s="55">
        <f t="shared" si="72"/>
        <v>-1.0076756895571748E-7</v>
      </c>
      <c r="V340" s="53">
        <f t="shared" si="73"/>
        <v>1.3454494280076243</v>
      </c>
      <c r="W340" s="53">
        <f t="shared" si="74"/>
        <v>1.3467547202099375</v>
      </c>
      <c r="X340" s="54">
        <v>1.3467549999999999</v>
      </c>
      <c r="Y340" s="55">
        <f t="shared" si="75"/>
        <v>-2.7979006245182347E-7</v>
      </c>
      <c r="Z340" s="29">
        <f t="shared" si="76"/>
        <v>70703.002246405013</v>
      </c>
      <c r="AA340" s="23">
        <f t="shared" si="77"/>
        <v>-2628721.7604962639</v>
      </c>
    </row>
    <row r="341" spans="1:27" x14ac:dyDescent="0.2">
      <c r="A341" s="27" t="s">
        <v>283</v>
      </c>
      <c r="B341" s="27" t="s">
        <v>157</v>
      </c>
      <c r="C341" s="27" t="s">
        <v>66</v>
      </c>
      <c r="D341" s="51">
        <v>4622484543</v>
      </c>
      <c r="F341" s="45">
        <v>1984462</v>
      </c>
      <c r="G341" s="27" t="s">
        <v>284</v>
      </c>
      <c r="H341" s="51">
        <v>5098806088</v>
      </c>
      <c r="J341" s="45">
        <v>1988503</v>
      </c>
      <c r="K341" s="27" t="s">
        <v>281</v>
      </c>
      <c r="L341" s="45">
        <v>5416641739</v>
      </c>
      <c r="M341" s="27" t="str">
        <f t="shared" si="65"/>
        <v>2026-03|FGP tercera parte (10%)</v>
      </c>
      <c r="N341" s="52">
        <f t="shared" si="66"/>
        <v>4622484543</v>
      </c>
      <c r="O341" s="52">
        <f t="shared" si="67"/>
        <v>5098806088</v>
      </c>
      <c r="P341" s="30">
        <f t="shared" si="68"/>
        <v>9173144921170866</v>
      </c>
      <c r="Q341" s="30">
        <f t="shared" si="69"/>
        <v>1.0118386927004656E+16</v>
      </c>
      <c r="R341" s="30">
        <f t="shared" si="70"/>
        <v>1.0138991202406264E+16</v>
      </c>
      <c r="S341" s="53">
        <f t="shared" si="71"/>
        <v>0.28409171987324711</v>
      </c>
      <c r="T341" s="54">
        <v>0.28409200000000001</v>
      </c>
      <c r="U341" s="55">
        <f t="shared" si="72"/>
        <v>-2.8012675290511879E-7</v>
      </c>
      <c r="V341" s="53">
        <f t="shared" si="73"/>
        <v>0.27570213691452694</v>
      </c>
      <c r="W341" s="53">
        <f t="shared" si="74"/>
        <v>0.27621131172561747</v>
      </c>
      <c r="X341" s="54">
        <v>0.27621099999999998</v>
      </c>
      <c r="Y341" s="55">
        <f t="shared" si="75"/>
        <v>3.1172561748560312E-7</v>
      </c>
      <c r="Z341" s="29">
        <f t="shared" si="76"/>
        <v>27580.175342004004</v>
      </c>
      <c r="AA341" s="23">
        <f t="shared" si="77"/>
        <v>-454433.6522700676</v>
      </c>
    </row>
    <row r="342" spans="1:27" x14ac:dyDescent="0.2">
      <c r="A342" s="27" t="s">
        <v>283</v>
      </c>
      <c r="B342" s="27" t="s">
        <v>157</v>
      </c>
      <c r="C342" s="27" t="s">
        <v>67</v>
      </c>
      <c r="D342" s="51">
        <v>3580532424</v>
      </c>
      <c r="F342" s="45">
        <v>1257616</v>
      </c>
      <c r="G342" s="27" t="s">
        <v>284</v>
      </c>
      <c r="H342" s="51">
        <v>4160780168</v>
      </c>
      <c r="J342" s="45">
        <v>1279298</v>
      </c>
      <c r="K342" s="27" t="s">
        <v>281</v>
      </c>
      <c r="L342" s="45">
        <v>5416641739</v>
      </c>
      <c r="M342" s="27" t="str">
        <f t="shared" si="65"/>
        <v>2026-03|FGP tercera parte (10%)</v>
      </c>
      <c r="N342" s="52">
        <f t="shared" si="66"/>
        <v>3580532424</v>
      </c>
      <c r="O342" s="52">
        <f t="shared" si="67"/>
        <v>4160780168</v>
      </c>
      <c r="P342" s="30">
        <f t="shared" si="68"/>
        <v>4502934864941184</v>
      </c>
      <c r="Q342" s="30">
        <f t="shared" si="69"/>
        <v>5232663711759488</v>
      </c>
      <c r="R342" s="30">
        <f t="shared" si="70"/>
        <v>5322877747362064</v>
      </c>
      <c r="S342" s="53">
        <f t="shared" si="71"/>
        <v>0.13945560887258551</v>
      </c>
      <c r="T342" s="54">
        <v>0.139456</v>
      </c>
      <c r="U342" s="55">
        <f t="shared" si="72"/>
        <v>-3.9112741448410482E-7</v>
      </c>
      <c r="V342" s="53">
        <f t="shared" si="73"/>
        <v>0.1425777228618258</v>
      </c>
      <c r="W342" s="53">
        <f t="shared" si="74"/>
        <v>0.1450084150783213</v>
      </c>
      <c r="X342" s="54">
        <v>0.145008</v>
      </c>
      <c r="Y342" s="55">
        <f t="shared" si="75"/>
        <v>4.1507832129750177E-7</v>
      </c>
      <c r="Z342" s="29">
        <f t="shared" si="76"/>
        <v>131661.88914531952</v>
      </c>
      <c r="AA342" s="23">
        <f t="shared" si="77"/>
        <v>169113.72948034713</v>
      </c>
    </row>
    <row r="343" spans="1:27" x14ac:dyDescent="0.2">
      <c r="A343" s="27" t="s">
        <v>283</v>
      </c>
      <c r="B343" s="27" t="s">
        <v>157</v>
      </c>
      <c r="C343" s="27" t="s">
        <v>68</v>
      </c>
      <c r="D343" s="51">
        <v>40632791075</v>
      </c>
      <c r="F343" s="45">
        <v>6310265</v>
      </c>
      <c r="G343" s="27" t="s">
        <v>284</v>
      </c>
      <c r="H343" s="51">
        <v>44971267966</v>
      </c>
      <c r="J343" s="45">
        <v>6234433</v>
      </c>
      <c r="K343" s="27" t="s">
        <v>281</v>
      </c>
      <c r="L343" s="45">
        <v>5416641739</v>
      </c>
      <c r="M343" s="27" t="str">
        <f t="shared" si="65"/>
        <v>2026-03|FGP tercera parte (10%)</v>
      </c>
      <c r="N343" s="52">
        <f t="shared" si="66"/>
        <v>40632791075</v>
      </c>
      <c r="O343" s="52">
        <f t="shared" si="67"/>
        <v>44971267966</v>
      </c>
      <c r="P343" s="30">
        <f t="shared" si="68"/>
        <v>2.5640367937288486E+17</v>
      </c>
      <c r="Q343" s="30">
        <f t="shared" si="69"/>
        <v>2.8378061825147098E+17</v>
      </c>
      <c r="R343" s="30">
        <f t="shared" si="70"/>
        <v>2.8037035705907328E+17</v>
      </c>
      <c r="S343" s="53">
        <f t="shared" si="71"/>
        <v>7.9408057848031746</v>
      </c>
      <c r="T343" s="54">
        <v>7.9408060000000003</v>
      </c>
      <c r="U343" s="55">
        <f t="shared" si="72"/>
        <v>-2.1519682569248744E-7</v>
      </c>
      <c r="V343" s="53">
        <f t="shared" si="73"/>
        <v>7.732351355140084</v>
      </c>
      <c r="W343" s="53">
        <f t="shared" si="74"/>
        <v>7.6379851354331336</v>
      </c>
      <c r="X343" s="54">
        <v>7.6379849999999996</v>
      </c>
      <c r="Y343" s="55">
        <f t="shared" si="75"/>
        <v>1.3543313404085211E-7</v>
      </c>
      <c r="Z343" s="29">
        <f t="shared" si="76"/>
        <v>-5111480.0441631163</v>
      </c>
      <c r="AA343" s="23">
        <f t="shared" si="77"/>
        <v>-11291229.643925361</v>
      </c>
    </row>
    <row r="344" spans="1:27" x14ac:dyDescent="0.2">
      <c r="A344" s="27" t="s">
        <v>283</v>
      </c>
      <c r="B344" s="27" t="s">
        <v>157</v>
      </c>
      <c r="C344" s="27" t="s">
        <v>69</v>
      </c>
      <c r="D344" s="51">
        <v>5023050899</v>
      </c>
      <c r="F344" s="45">
        <v>4190375</v>
      </c>
      <c r="G344" s="27" t="s">
        <v>284</v>
      </c>
      <c r="H344" s="51">
        <v>5676564891</v>
      </c>
      <c r="J344" s="45">
        <v>4178688</v>
      </c>
      <c r="K344" s="27" t="s">
        <v>281</v>
      </c>
      <c r="L344" s="45">
        <v>5416641739</v>
      </c>
      <c r="M344" s="27" t="str">
        <f t="shared" si="65"/>
        <v>2026-03|FGP tercera parte (10%)</v>
      </c>
      <c r="N344" s="52">
        <f t="shared" si="66"/>
        <v>5023050899</v>
      </c>
      <c r="O344" s="52">
        <f t="shared" si="67"/>
        <v>5676564891</v>
      </c>
      <c r="P344" s="30">
        <f t="shared" si="68"/>
        <v>2.1048466910897124E+16</v>
      </c>
      <c r="Q344" s="30">
        <f t="shared" si="69"/>
        <v>2.3786935605124124E+16</v>
      </c>
      <c r="R344" s="30">
        <f t="shared" si="70"/>
        <v>2.3720593591243008E+16</v>
      </c>
      <c r="S344" s="53">
        <f t="shared" si="71"/>
        <v>0.65186969319663213</v>
      </c>
      <c r="T344" s="54">
        <v>0.65186999999999995</v>
      </c>
      <c r="U344" s="55">
        <f t="shared" si="72"/>
        <v>-3.0680336782218376E-7</v>
      </c>
      <c r="V344" s="53">
        <f t="shared" si="73"/>
        <v>0.64813779353290291</v>
      </c>
      <c r="W344" s="53">
        <f t="shared" si="74"/>
        <v>0.64620790569307918</v>
      </c>
      <c r="X344" s="54">
        <v>0.646208</v>
      </c>
      <c r="Y344" s="55">
        <f t="shared" si="75"/>
        <v>-9.4306920828124419E-8</v>
      </c>
      <c r="Z344" s="29">
        <f t="shared" si="76"/>
        <v>-104535.1102477776</v>
      </c>
      <c r="AA344" s="23">
        <f t="shared" si="77"/>
        <v>-202143.63484315763</v>
      </c>
    </row>
    <row r="345" spans="1:27" x14ac:dyDescent="0.2">
      <c r="A345" s="27" t="s">
        <v>283</v>
      </c>
      <c r="B345" s="27" t="s">
        <v>157</v>
      </c>
      <c r="C345" s="27" t="s">
        <v>70</v>
      </c>
      <c r="D345" s="51">
        <v>11122445539</v>
      </c>
      <c r="F345" s="45">
        <v>6624540</v>
      </c>
      <c r="G345" s="27" t="s">
        <v>284</v>
      </c>
      <c r="H345" s="51">
        <v>12070661710</v>
      </c>
      <c r="J345" s="45">
        <v>6638706</v>
      </c>
      <c r="K345" s="27" t="s">
        <v>281</v>
      </c>
      <c r="L345" s="45">
        <v>5416641739</v>
      </c>
      <c r="M345" s="27" t="str">
        <f t="shared" si="65"/>
        <v>2026-03|FGP tercera parte (10%)</v>
      </c>
      <c r="N345" s="52">
        <f t="shared" si="66"/>
        <v>11122445539</v>
      </c>
      <c r="O345" s="52">
        <f t="shared" si="67"/>
        <v>12070661710</v>
      </c>
      <c r="P345" s="30">
        <f t="shared" si="68"/>
        <v>7.3681085370927056E+16</v>
      </c>
      <c r="Q345" s="30">
        <f t="shared" si="69"/>
        <v>7.9962581324363392E+16</v>
      </c>
      <c r="R345" s="30">
        <f t="shared" si="70"/>
        <v>8.0133574318147264E+16</v>
      </c>
      <c r="S345" s="53">
        <f t="shared" si="71"/>
        <v>2.2818985685971716</v>
      </c>
      <c r="T345" s="54">
        <v>2.2818990000000001</v>
      </c>
      <c r="U345" s="55">
        <f t="shared" si="72"/>
        <v>-4.314028285712368E-7</v>
      </c>
      <c r="V345" s="53">
        <f t="shared" si="73"/>
        <v>2.1787914124425423</v>
      </c>
      <c r="W345" s="53">
        <f t="shared" si="74"/>
        <v>2.1830376645779852</v>
      </c>
      <c r="X345" s="54">
        <v>2.1830379999999998</v>
      </c>
      <c r="Y345" s="55">
        <f t="shared" si="75"/>
        <v>-3.3542201460790011E-7</v>
      </c>
      <c r="Z345" s="29">
        <f t="shared" si="76"/>
        <v>230004.26551158112</v>
      </c>
      <c r="AA345" s="23">
        <f t="shared" si="77"/>
        <v>-5584945.256167558</v>
      </c>
    </row>
    <row r="346" spans="1:27" x14ac:dyDescent="0.2">
      <c r="A346" s="27" t="s">
        <v>283</v>
      </c>
      <c r="B346" s="27" t="s">
        <v>157</v>
      </c>
      <c r="C346" s="27" t="s">
        <v>71</v>
      </c>
      <c r="D346" s="51">
        <v>15221679435</v>
      </c>
      <c r="F346" s="45">
        <v>2498744</v>
      </c>
      <c r="G346" s="27" t="s">
        <v>284</v>
      </c>
      <c r="H346" s="51">
        <v>16610144570</v>
      </c>
      <c r="J346" s="45">
        <v>2535155</v>
      </c>
      <c r="K346" s="27" t="s">
        <v>281</v>
      </c>
      <c r="L346" s="45">
        <v>5416641739</v>
      </c>
      <c r="M346" s="27" t="str">
        <f t="shared" si="65"/>
        <v>2026-03|FGP tercera parte (10%)</v>
      </c>
      <c r="N346" s="52">
        <f t="shared" si="66"/>
        <v>15221679435</v>
      </c>
      <c r="O346" s="52">
        <f t="shared" si="67"/>
        <v>16610144570</v>
      </c>
      <c r="P346" s="30">
        <f t="shared" si="68"/>
        <v>3.803508015812964E+16</v>
      </c>
      <c r="Q346" s="30">
        <f t="shared" si="69"/>
        <v>4.150449908342008E+16</v>
      </c>
      <c r="R346" s="30">
        <f t="shared" si="70"/>
        <v>4.2109291057358352E+16</v>
      </c>
      <c r="S346" s="53">
        <f t="shared" si="71"/>
        <v>1.1779440345155532</v>
      </c>
      <c r="T346" s="54">
        <v>1.1779440000000001</v>
      </c>
      <c r="U346" s="55">
        <f t="shared" si="72"/>
        <v>3.4515553082314909E-8</v>
      </c>
      <c r="V346" s="53">
        <f t="shared" si="73"/>
        <v>1.1308995367953747</v>
      </c>
      <c r="W346" s="53">
        <f t="shared" si="74"/>
        <v>1.1471617132904102</v>
      </c>
      <c r="X346" s="54">
        <v>1.147162</v>
      </c>
      <c r="Y346" s="55">
        <f t="shared" si="75"/>
        <v>-2.8670958984733375E-7</v>
      </c>
      <c r="Z346" s="29">
        <f t="shared" si="76"/>
        <v>880863.83969993878</v>
      </c>
      <c r="AA346" s="23">
        <f t="shared" si="77"/>
        <v>-2548231.8994140914</v>
      </c>
    </row>
    <row r="347" spans="1:27" x14ac:dyDescent="0.2">
      <c r="A347" s="27" t="s">
        <v>283</v>
      </c>
      <c r="B347" s="27" t="s">
        <v>157</v>
      </c>
      <c r="C347" s="27" t="s">
        <v>72</v>
      </c>
      <c r="D347" s="51">
        <v>18124327099</v>
      </c>
      <c r="F347" s="45">
        <v>1920249</v>
      </c>
      <c r="G347" s="27" t="s">
        <v>284</v>
      </c>
      <c r="H347" s="51">
        <v>19369943128</v>
      </c>
      <c r="J347" s="45">
        <v>1975372</v>
      </c>
      <c r="K347" s="27" t="s">
        <v>281</v>
      </c>
      <c r="L347" s="45">
        <v>5416641739</v>
      </c>
      <c r="M347" s="27" t="str">
        <f t="shared" si="65"/>
        <v>2026-03|FGP tercera parte (10%)</v>
      </c>
      <c r="N347" s="52">
        <f t="shared" si="66"/>
        <v>18124327099</v>
      </c>
      <c r="O347" s="52">
        <f t="shared" si="67"/>
        <v>19369943128</v>
      </c>
      <c r="P347" s="30">
        <f t="shared" si="68"/>
        <v>3.4803220987527652E+16</v>
      </c>
      <c r="Q347" s="30">
        <f t="shared" si="69"/>
        <v>3.7195113921598872E+16</v>
      </c>
      <c r="R347" s="30">
        <f t="shared" si="70"/>
        <v>3.8262843296643616E+16</v>
      </c>
      <c r="S347" s="53">
        <f t="shared" si="71"/>
        <v>1.0778535597596772</v>
      </c>
      <c r="T347" s="54">
        <v>1.0778540000000001</v>
      </c>
      <c r="U347" s="55">
        <f t="shared" si="72"/>
        <v>-4.4024032286316128E-7</v>
      </c>
      <c r="V347" s="53">
        <f t="shared" si="73"/>
        <v>1.0134789729769504</v>
      </c>
      <c r="W347" s="53">
        <f t="shared" si="74"/>
        <v>1.0423749193913348</v>
      </c>
      <c r="X347" s="54">
        <v>1.0423750000000001</v>
      </c>
      <c r="Y347" s="55">
        <f t="shared" si="75"/>
        <v>-8.0608665298242954E-8</v>
      </c>
      <c r="Z347" s="29">
        <f t="shared" si="76"/>
        <v>1565189.8943606142</v>
      </c>
      <c r="AA347" s="23">
        <f t="shared" si="77"/>
        <v>-3486940.7369819563</v>
      </c>
    </row>
    <row r="348" spans="1:27" x14ac:dyDescent="0.2">
      <c r="A348" s="27" t="s">
        <v>283</v>
      </c>
      <c r="B348" s="27" t="s">
        <v>157</v>
      </c>
      <c r="C348" s="27" t="s">
        <v>73</v>
      </c>
      <c r="D348" s="51">
        <v>7487153499</v>
      </c>
      <c r="F348" s="45">
        <v>2924773</v>
      </c>
      <c r="G348" s="27" t="s">
        <v>284</v>
      </c>
      <c r="H348" s="51">
        <v>8859478216</v>
      </c>
      <c r="J348" s="45">
        <v>2951151</v>
      </c>
      <c r="K348" s="27" t="s">
        <v>281</v>
      </c>
      <c r="L348" s="45">
        <v>5416641739</v>
      </c>
      <c r="M348" s="27" t="str">
        <f t="shared" si="65"/>
        <v>2026-03|FGP tercera parte (10%)</v>
      </c>
      <c r="N348" s="52">
        <f t="shared" si="66"/>
        <v>7487153499</v>
      </c>
      <c r="O348" s="52">
        <f t="shared" si="67"/>
        <v>8859478216</v>
      </c>
      <c r="P348" s="30">
        <f t="shared" si="68"/>
        <v>2.1898224400730728E+16</v>
      </c>
      <c r="Q348" s="30">
        <f t="shared" si="69"/>
        <v>2.5911962680244968E+16</v>
      </c>
      <c r="R348" s="30">
        <f t="shared" si="70"/>
        <v>2.6145657996626616E+16</v>
      </c>
      <c r="S348" s="53">
        <f t="shared" si="71"/>
        <v>0.67818662908247529</v>
      </c>
      <c r="T348" s="54">
        <v>0.67818699999999998</v>
      </c>
      <c r="U348" s="55">
        <f t="shared" si="72"/>
        <v>-3.7091752469464723E-7</v>
      </c>
      <c r="V348" s="53">
        <f t="shared" si="73"/>
        <v>0.70603976050042616</v>
      </c>
      <c r="W348" s="53">
        <f t="shared" si="74"/>
        <v>0.71227268541900912</v>
      </c>
      <c r="X348" s="54">
        <v>0.71227300000000004</v>
      </c>
      <c r="Y348" s="55">
        <f t="shared" si="75"/>
        <v>-3.1458099092329661E-7</v>
      </c>
      <c r="Z348" s="29">
        <f t="shared" si="76"/>
        <v>337615.21270049643</v>
      </c>
      <c r="AA348" s="23">
        <f t="shared" si="77"/>
        <v>1508704.3420032496</v>
      </c>
    </row>
    <row r="349" spans="1:27" x14ac:dyDescent="0.2">
      <c r="A349" s="27" t="s">
        <v>283</v>
      </c>
      <c r="B349" s="27" t="s">
        <v>157</v>
      </c>
      <c r="C349" s="27" t="s">
        <v>74</v>
      </c>
      <c r="D349" s="51">
        <v>12537579490</v>
      </c>
      <c r="F349" s="45">
        <v>3135869</v>
      </c>
      <c r="G349" s="27" t="s">
        <v>284</v>
      </c>
      <c r="H349" s="51">
        <v>13161541989</v>
      </c>
      <c r="J349" s="45">
        <v>3085699</v>
      </c>
      <c r="K349" s="27" t="s">
        <v>281</v>
      </c>
      <c r="L349" s="45">
        <v>5416641739</v>
      </c>
      <c r="M349" s="27" t="str">
        <f t="shared" si="65"/>
        <v>2026-03|FGP tercera parte (10%)</v>
      </c>
      <c r="N349" s="52">
        <f t="shared" si="66"/>
        <v>12537579490</v>
      </c>
      <c r="O349" s="52">
        <f t="shared" si="67"/>
        <v>13161541989</v>
      </c>
      <c r="P349" s="30">
        <f t="shared" si="68"/>
        <v>3.9316206857726808E+16</v>
      </c>
      <c r="Q349" s="30">
        <f t="shared" si="69"/>
        <v>4.127287151550344E+16</v>
      </c>
      <c r="R349" s="30">
        <f t="shared" si="70"/>
        <v>4.0612556953915312E+16</v>
      </c>
      <c r="S349" s="53">
        <f t="shared" si="71"/>
        <v>1.2176204476314205</v>
      </c>
      <c r="T349" s="54">
        <v>1.2176199999999999</v>
      </c>
      <c r="U349" s="55">
        <f t="shared" si="72"/>
        <v>4.4763142059700556E-7</v>
      </c>
      <c r="V349" s="53">
        <f t="shared" si="73"/>
        <v>1.1245882328391583</v>
      </c>
      <c r="W349" s="53">
        <f t="shared" si="74"/>
        <v>1.1063869575219709</v>
      </c>
      <c r="X349" s="54">
        <v>1.106387</v>
      </c>
      <c r="Y349" s="55">
        <f t="shared" si="75"/>
        <v>-4.2478029094183967E-8</v>
      </c>
      <c r="Z349" s="29">
        <f t="shared" si="76"/>
        <v>-985897.87586107757</v>
      </c>
      <c r="AA349" s="23">
        <f t="shared" si="77"/>
        <v>-5039221.7771538068</v>
      </c>
    </row>
    <row r="350" spans="1:27" x14ac:dyDescent="0.2">
      <c r="A350" s="27" t="s">
        <v>283</v>
      </c>
      <c r="B350" s="27" t="s">
        <v>157</v>
      </c>
      <c r="C350" s="27" t="s">
        <v>75</v>
      </c>
      <c r="D350" s="51">
        <v>13680442636</v>
      </c>
      <c r="F350" s="45">
        <v>3032476</v>
      </c>
      <c r="G350" s="27" t="s">
        <v>284</v>
      </c>
      <c r="H350" s="51">
        <v>16407372864</v>
      </c>
      <c r="J350" s="45">
        <v>3035624</v>
      </c>
      <c r="K350" s="27" t="s">
        <v>281</v>
      </c>
      <c r="L350" s="45">
        <v>5416641739</v>
      </c>
      <c r="M350" s="27" t="str">
        <f t="shared" si="65"/>
        <v>2026-03|FGP tercera parte (10%)</v>
      </c>
      <c r="N350" s="52">
        <f t="shared" si="66"/>
        <v>13680442636</v>
      </c>
      <c r="O350" s="52">
        <f t="shared" si="67"/>
        <v>16407372864</v>
      </c>
      <c r="P350" s="30">
        <f t="shared" si="68"/>
        <v>4.1485613963046736E+16</v>
      </c>
      <c r="Q350" s="30">
        <f t="shared" si="69"/>
        <v>4.9754964433131264E+16</v>
      </c>
      <c r="R350" s="30">
        <f t="shared" si="70"/>
        <v>4.9806614842907136E+16</v>
      </c>
      <c r="S350" s="53">
        <f t="shared" si="71"/>
        <v>1.2848068489094802</v>
      </c>
      <c r="T350" s="54">
        <v>1.284807</v>
      </c>
      <c r="U350" s="55">
        <f t="shared" si="72"/>
        <v>-1.5109051987316491E-7</v>
      </c>
      <c r="V350" s="53">
        <f t="shared" si="73"/>
        <v>1.355705224091621</v>
      </c>
      <c r="W350" s="53">
        <f t="shared" si="74"/>
        <v>1.3568559380056504</v>
      </c>
      <c r="X350" s="54">
        <v>1.3568560000000001</v>
      </c>
      <c r="Y350" s="55">
        <f t="shared" si="75"/>
        <v>-6.1994349653815561E-8</v>
      </c>
      <c r="Z350" s="29">
        <f t="shared" si="76"/>
        <v>62330.050163798856</v>
      </c>
      <c r="AA350" s="23">
        <f t="shared" si="77"/>
        <v>3840310.9823886566</v>
      </c>
    </row>
    <row r="351" spans="1:27" x14ac:dyDescent="0.2">
      <c r="A351" s="27" t="s">
        <v>283</v>
      </c>
      <c r="B351" s="27" t="s">
        <v>157</v>
      </c>
      <c r="C351" s="27" t="s">
        <v>76</v>
      </c>
      <c r="D351" s="51">
        <v>4346228391</v>
      </c>
      <c r="F351" s="45">
        <v>2567516</v>
      </c>
      <c r="G351" s="27" t="s">
        <v>284</v>
      </c>
      <c r="H351" s="51">
        <v>4819016505</v>
      </c>
      <c r="J351" s="45">
        <v>2578825</v>
      </c>
      <c r="K351" s="27" t="s">
        <v>281</v>
      </c>
      <c r="L351" s="45">
        <v>5416641739</v>
      </c>
      <c r="M351" s="27" t="str">
        <f t="shared" si="65"/>
        <v>2026-03|FGP tercera parte (10%)</v>
      </c>
      <c r="N351" s="52">
        <f t="shared" si="66"/>
        <v>4346228391</v>
      </c>
      <c r="O351" s="52">
        <f t="shared" si="67"/>
        <v>4819016505</v>
      </c>
      <c r="P351" s="30">
        <f t="shared" si="68"/>
        <v>1.1159010933546756E+16</v>
      </c>
      <c r="Q351" s="30">
        <f t="shared" si="69"/>
        <v>1.237290198085158E+16</v>
      </c>
      <c r="R351" s="30">
        <f t="shared" si="70"/>
        <v>1.2427400238506624E+16</v>
      </c>
      <c r="S351" s="53">
        <f t="shared" si="71"/>
        <v>0.3455938650744681</v>
      </c>
      <c r="T351" s="54">
        <v>0.34559400000000001</v>
      </c>
      <c r="U351" s="55">
        <f t="shared" si="72"/>
        <v>-1.3492553191385426E-7</v>
      </c>
      <c r="V351" s="53">
        <f t="shared" si="73"/>
        <v>0.33713234535937947</v>
      </c>
      <c r="W351" s="53">
        <f t="shared" si="74"/>
        <v>0.3385532596578758</v>
      </c>
      <c r="X351" s="54">
        <v>0.33855299999999999</v>
      </c>
      <c r="Y351" s="55">
        <f t="shared" si="75"/>
        <v>2.5965787581183619E-7</v>
      </c>
      <c r="Z351" s="29">
        <f t="shared" si="76"/>
        <v>76965.83696777148</v>
      </c>
      <c r="AA351" s="23">
        <f t="shared" si="77"/>
        <v>-458330.20864120446</v>
      </c>
    </row>
    <row r="352" spans="1:27" x14ac:dyDescent="0.2">
      <c r="A352" s="27" t="s">
        <v>283</v>
      </c>
      <c r="B352" s="27" t="s">
        <v>157</v>
      </c>
      <c r="C352" s="27" t="s">
        <v>77</v>
      </c>
      <c r="D352" s="51">
        <v>13854166845</v>
      </c>
      <c r="F352" s="45">
        <v>3597414</v>
      </c>
      <c r="G352" s="27" t="s">
        <v>284</v>
      </c>
      <c r="H352" s="51">
        <v>15297439759</v>
      </c>
      <c r="J352" s="45">
        <v>3602540</v>
      </c>
      <c r="K352" s="27" t="s">
        <v>281</v>
      </c>
      <c r="L352" s="45">
        <v>5416641739</v>
      </c>
      <c r="M352" s="27" t="str">
        <f t="shared" si="65"/>
        <v>2026-03|FGP tercera parte (10%)</v>
      </c>
      <c r="N352" s="52">
        <f t="shared" si="66"/>
        <v>13854166845</v>
      </c>
      <c r="O352" s="52">
        <f t="shared" si="67"/>
        <v>15297439759</v>
      </c>
      <c r="P352" s="30">
        <f t="shared" si="68"/>
        <v>4.9839173766538832E+16</v>
      </c>
      <c r="Q352" s="30">
        <f t="shared" si="69"/>
        <v>5.5031223953183224E+16</v>
      </c>
      <c r="R352" s="30">
        <f t="shared" si="70"/>
        <v>5.5109638629387856E+16</v>
      </c>
      <c r="S352" s="53">
        <f t="shared" si="71"/>
        <v>1.5435160693602543</v>
      </c>
      <c r="T352" s="54">
        <v>1.5435160000000001</v>
      </c>
      <c r="U352" s="55">
        <f t="shared" si="72"/>
        <v>6.9360254206785044E-8</v>
      </c>
      <c r="V352" s="53">
        <f t="shared" si="73"/>
        <v>1.4994708297250248</v>
      </c>
      <c r="W352" s="53">
        <f t="shared" si="74"/>
        <v>1.5013234818603451</v>
      </c>
      <c r="X352" s="54">
        <v>1.501323</v>
      </c>
      <c r="Y352" s="55">
        <f t="shared" si="75"/>
        <v>4.8186034518060694E-7</v>
      </c>
      <c r="Z352" s="29">
        <f t="shared" si="76"/>
        <v>100351.52884023826</v>
      </c>
      <c r="AA352" s="23">
        <f t="shared" si="77"/>
        <v>-2385772.8341244152</v>
      </c>
    </row>
    <row r="353" spans="1:27" x14ac:dyDescent="0.2">
      <c r="A353" s="27" t="s">
        <v>283</v>
      </c>
      <c r="B353" s="27" t="s">
        <v>157</v>
      </c>
      <c r="C353" s="27" t="s">
        <v>78</v>
      </c>
      <c r="D353" s="51">
        <v>2013001528</v>
      </c>
      <c r="F353" s="45">
        <v>1449354</v>
      </c>
      <c r="G353" s="27" t="s">
        <v>284</v>
      </c>
      <c r="H353" s="51">
        <v>2196216088</v>
      </c>
      <c r="J353" s="45">
        <v>1426175</v>
      </c>
      <c r="K353" s="27" t="s">
        <v>281</v>
      </c>
      <c r="L353" s="45">
        <v>5416641739</v>
      </c>
      <c r="M353" s="27" t="str">
        <f t="shared" si="65"/>
        <v>2026-03|FGP tercera parte (10%)</v>
      </c>
      <c r="N353" s="52">
        <f t="shared" si="66"/>
        <v>2013001528</v>
      </c>
      <c r="O353" s="52">
        <f t="shared" si="67"/>
        <v>2196216088</v>
      </c>
      <c r="P353" s="30">
        <f t="shared" si="68"/>
        <v>2917551816612912</v>
      </c>
      <c r="Q353" s="30">
        <f t="shared" si="69"/>
        <v>3183094572007152</v>
      </c>
      <c r="R353" s="30">
        <f t="shared" si="70"/>
        <v>3132188479303400</v>
      </c>
      <c r="S353" s="53">
        <f t="shared" si="71"/>
        <v>9.0356395818838031E-2</v>
      </c>
      <c r="T353" s="54">
        <v>9.0356000000000006E-2</v>
      </c>
      <c r="U353" s="55">
        <f t="shared" si="72"/>
        <v>3.9581883802541906E-7</v>
      </c>
      <c r="V353" s="53">
        <f t="shared" si="73"/>
        <v>8.6731806347634402E-2</v>
      </c>
      <c r="W353" s="53">
        <f t="shared" si="74"/>
        <v>8.5328596422387284E-2</v>
      </c>
      <c r="X353" s="54">
        <v>8.5329000000000002E-2</v>
      </c>
      <c r="Y353" s="55">
        <f t="shared" si="75"/>
        <v>-4.0357761271758719E-7</v>
      </c>
      <c r="Z353" s="29">
        <f t="shared" si="76"/>
        <v>-76006.854496726068</v>
      </c>
      <c r="AA353" s="23">
        <f t="shared" si="77"/>
        <v>-196331.02616461518</v>
      </c>
    </row>
    <row r="354" spans="1:27" x14ac:dyDescent="0.2">
      <c r="A354" s="27" t="s">
        <v>283</v>
      </c>
      <c r="B354" s="27" t="s">
        <v>157</v>
      </c>
      <c r="C354" s="27" t="s">
        <v>79</v>
      </c>
      <c r="D354" s="51">
        <v>14058779342</v>
      </c>
      <c r="F354" s="45">
        <v>8068202</v>
      </c>
      <c r="G354" s="27" t="s">
        <v>284</v>
      </c>
      <c r="H354" s="51">
        <v>15085123820</v>
      </c>
      <c r="J354" s="45">
        <v>8066173</v>
      </c>
      <c r="K354" s="27" t="s">
        <v>281</v>
      </c>
      <c r="L354" s="45">
        <v>5416641739</v>
      </c>
      <c r="M354" s="27" t="str">
        <f t="shared" si="65"/>
        <v>2026-03|FGP tercera parte (10%)</v>
      </c>
      <c r="N354" s="52">
        <f t="shared" si="66"/>
        <v>14058779342</v>
      </c>
      <c r="O354" s="52">
        <f t="shared" si="67"/>
        <v>15085123820</v>
      </c>
      <c r="P354" s="30">
        <f t="shared" si="68"/>
        <v>1.1342907160468309E+17</v>
      </c>
      <c r="Q354" s="30">
        <f t="shared" si="69"/>
        <v>1.2170982617477165E+17</v>
      </c>
      <c r="R354" s="30">
        <f t="shared" si="70"/>
        <v>1.2167921845854086E+17</v>
      </c>
      <c r="S354" s="53">
        <f t="shared" si="71"/>
        <v>3.5128911962820046</v>
      </c>
      <c r="T354" s="54">
        <v>3.5128910000000002</v>
      </c>
      <c r="U354" s="55">
        <f t="shared" si="72"/>
        <v>1.9628200442767252E-7</v>
      </c>
      <c r="V354" s="53">
        <f t="shared" si="73"/>
        <v>3.3163051978497169</v>
      </c>
      <c r="W354" s="53">
        <f t="shared" si="74"/>
        <v>3.314844235411226</v>
      </c>
      <c r="X354" s="54">
        <v>3.3148439999999999</v>
      </c>
      <c r="Y354" s="55">
        <f t="shared" si="75"/>
        <v>2.354112260682939E-7</v>
      </c>
      <c r="Z354" s="29">
        <f t="shared" si="76"/>
        <v>-79135.101234411399</v>
      </c>
      <c r="AA354" s="23">
        <f t="shared" si="77"/>
        <v>-10648359.244113185</v>
      </c>
    </row>
    <row r="355" spans="1:27" x14ac:dyDescent="0.2">
      <c r="A355" s="27" t="s">
        <v>283</v>
      </c>
      <c r="B355" s="27" t="s">
        <v>157</v>
      </c>
      <c r="C355" s="27" t="s">
        <v>80</v>
      </c>
      <c r="D355" s="51">
        <v>7530932633</v>
      </c>
      <c r="F355" s="45">
        <v>2432221</v>
      </c>
      <c r="G355" s="27" t="s">
        <v>284</v>
      </c>
      <c r="H355" s="51">
        <v>8921829182</v>
      </c>
      <c r="J355" s="45">
        <v>2456821</v>
      </c>
      <c r="K355" s="27" t="s">
        <v>281</v>
      </c>
      <c r="L355" s="45">
        <v>5416641739</v>
      </c>
      <c r="M355" s="27" t="str">
        <f t="shared" si="65"/>
        <v>2026-03|FGP tercera parte (10%)</v>
      </c>
      <c r="N355" s="52">
        <f t="shared" si="66"/>
        <v>7530932633</v>
      </c>
      <c r="O355" s="52">
        <f t="shared" si="67"/>
        <v>8921829182</v>
      </c>
      <c r="P355" s="30">
        <f t="shared" si="68"/>
        <v>1.8316892499567892E+16</v>
      </c>
      <c r="Q355" s="30">
        <f t="shared" si="69"/>
        <v>2.1699860294873224E+16</v>
      </c>
      <c r="R355" s="30">
        <f t="shared" si="70"/>
        <v>2.1919337292750424E+16</v>
      </c>
      <c r="S355" s="53">
        <f t="shared" si="71"/>
        <v>0.56727300589419027</v>
      </c>
      <c r="T355" s="54">
        <v>0.56727300000000003</v>
      </c>
      <c r="U355" s="55">
        <f t="shared" si="72"/>
        <v>5.8941902469911156E-9</v>
      </c>
      <c r="V355" s="53">
        <f t="shared" si="73"/>
        <v>0.59126992248894961</v>
      </c>
      <c r="W355" s="53">
        <f t="shared" si="74"/>
        <v>0.59713720871460763</v>
      </c>
      <c r="X355" s="54">
        <v>0.59713700000000003</v>
      </c>
      <c r="Y355" s="55">
        <f t="shared" si="75"/>
        <v>2.0871460759686045E-7</v>
      </c>
      <c r="Z355" s="29">
        <f t="shared" si="76"/>
        <v>317809.87464559003</v>
      </c>
      <c r="AA355" s="23">
        <f t="shared" si="77"/>
        <v>1299827.0003447514</v>
      </c>
    </row>
    <row r="356" spans="1:27" x14ac:dyDescent="0.2">
      <c r="A356" s="27" t="s">
        <v>283</v>
      </c>
      <c r="B356" s="27" t="s">
        <v>157</v>
      </c>
      <c r="C356" s="27" t="s">
        <v>81</v>
      </c>
      <c r="D356" s="51">
        <v>4819410776</v>
      </c>
      <c r="F356" s="45">
        <v>1703991</v>
      </c>
      <c r="G356" s="27" t="s">
        <v>284</v>
      </c>
      <c r="H356" s="51">
        <v>5425831297</v>
      </c>
      <c r="J356" s="45">
        <v>1689186</v>
      </c>
      <c r="K356" s="27" t="s">
        <v>281</v>
      </c>
      <c r="L356" s="45">
        <v>5416641739</v>
      </c>
      <c r="M356" s="27" t="str">
        <f t="shared" si="65"/>
        <v>2026-03|FGP tercera parte (10%)</v>
      </c>
      <c r="N356" s="52">
        <f t="shared" si="66"/>
        <v>4819410776</v>
      </c>
      <c r="O356" s="52">
        <f t="shared" si="67"/>
        <v>5425831297</v>
      </c>
      <c r="P356" s="30">
        <f t="shared" si="68"/>
        <v>8212232587607016</v>
      </c>
      <c r="Q356" s="30">
        <f t="shared" si="69"/>
        <v>9245567697606328</v>
      </c>
      <c r="R356" s="30">
        <f t="shared" si="70"/>
        <v>9165238265254242</v>
      </c>
      <c r="S356" s="53">
        <f t="shared" si="71"/>
        <v>0.25433232548501095</v>
      </c>
      <c r="T356" s="54">
        <v>0.254332</v>
      </c>
      <c r="U356" s="55">
        <f t="shared" si="72"/>
        <v>3.254850109435381E-7</v>
      </c>
      <c r="V356" s="53">
        <f t="shared" si="73"/>
        <v>0.25191987513493658</v>
      </c>
      <c r="W356" s="53">
        <f t="shared" si="74"/>
        <v>0.24968386232773254</v>
      </c>
      <c r="X356" s="54">
        <v>0.24968399999999999</v>
      </c>
      <c r="Y356" s="55">
        <f t="shared" si="75"/>
        <v>-1.3767226744731964E-7</v>
      </c>
      <c r="Z356" s="29">
        <f t="shared" si="76"/>
        <v>-121116.80300439936</v>
      </c>
      <c r="AA356" s="23">
        <f t="shared" si="77"/>
        <v>-130673.79259477986</v>
      </c>
    </row>
    <row r="357" spans="1:27" x14ac:dyDescent="0.2">
      <c r="A357" s="27" t="s">
        <v>283</v>
      </c>
      <c r="B357" s="27" t="s">
        <v>44</v>
      </c>
      <c r="C357" s="27" t="s">
        <v>50</v>
      </c>
      <c r="D357" s="51">
        <v>2207122394</v>
      </c>
      <c r="E357" s="51">
        <v>2325992855</v>
      </c>
      <c r="F357" s="45">
        <v>1519678</v>
      </c>
      <c r="G357" s="27" t="s">
        <v>284</v>
      </c>
      <c r="H357" s="51">
        <v>2325992855</v>
      </c>
      <c r="I357" s="51">
        <v>2685180317</v>
      </c>
      <c r="J357" s="45">
        <v>1531396</v>
      </c>
      <c r="K357" s="27" t="s">
        <v>281</v>
      </c>
      <c r="L357" s="45">
        <v>1426351622</v>
      </c>
      <c r="M357" s="27" t="str">
        <f t="shared" si="65"/>
        <v>2026-03|FFM 70%</v>
      </c>
      <c r="N357" s="52">
        <f t="shared" si="66"/>
        <v>1.0538576661281431</v>
      </c>
      <c r="O357" s="52">
        <f t="shared" si="67"/>
        <v>1.1544232869107416</v>
      </c>
      <c r="P357" s="30">
        <f t="shared" si="68"/>
        <v>1601524.3103462844</v>
      </c>
      <c r="Q357" s="30">
        <f t="shared" si="69"/>
        <v>1754351.671805942</v>
      </c>
      <c r="R357" s="30">
        <f t="shared" si="70"/>
        <v>1767879.203881962</v>
      </c>
      <c r="S357" s="53">
        <f t="shared" si="71"/>
        <v>1.1530954237788402</v>
      </c>
      <c r="T357" s="54">
        <v>1.153095</v>
      </c>
      <c r="U357" s="55">
        <f t="shared" si="72"/>
        <v>4.2377884024169532E-7</v>
      </c>
      <c r="V357" s="53">
        <f t="shared" si="73"/>
        <v>1.2098092190070879</v>
      </c>
      <c r="W357" s="53">
        <f t="shared" si="74"/>
        <v>1.2177254192393179</v>
      </c>
      <c r="X357" s="54">
        <v>1.2177249999999999</v>
      </c>
      <c r="Y357" s="55">
        <f t="shared" si="75"/>
        <v>4.1923931792808844E-7</v>
      </c>
      <c r="Z357" s="29">
        <f t="shared" si="76"/>
        <v>112912.85041317953</v>
      </c>
      <c r="AA357" s="23">
        <f t="shared" si="77"/>
        <v>808938.13813586975</v>
      </c>
    </row>
    <row r="358" spans="1:27" x14ac:dyDescent="0.2">
      <c r="A358" s="27" t="s">
        <v>283</v>
      </c>
      <c r="B358" s="27" t="s">
        <v>44</v>
      </c>
      <c r="C358" s="27" t="s">
        <v>51</v>
      </c>
      <c r="D358" s="51">
        <v>12057564919</v>
      </c>
      <c r="E358" s="51">
        <v>13420132605</v>
      </c>
      <c r="F358" s="45">
        <v>3790412</v>
      </c>
      <c r="G358" s="27" t="s">
        <v>284</v>
      </c>
      <c r="H358" s="51">
        <v>13420132605</v>
      </c>
      <c r="I358" s="51">
        <v>15205577447</v>
      </c>
      <c r="J358" s="45">
        <v>3830329</v>
      </c>
      <c r="K358" s="27" t="s">
        <v>281</v>
      </c>
      <c r="L358" s="45">
        <v>1426351622</v>
      </c>
      <c r="M358" s="27" t="str">
        <f t="shared" si="65"/>
        <v>2026-03|FFM 70%</v>
      </c>
      <c r="N358" s="52">
        <f t="shared" si="66"/>
        <v>1.1130052125079501</v>
      </c>
      <c r="O358" s="52">
        <f t="shared" si="67"/>
        <v>1.1330422652705225</v>
      </c>
      <c r="P358" s="30">
        <f t="shared" si="68"/>
        <v>4218748.3135526842</v>
      </c>
      <c r="Q358" s="30">
        <f t="shared" si="69"/>
        <v>4294696.9987885719</v>
      </c>
      <c r="R358" s="30">
        <f t="shared" si="70"/>
        <v>4339924.6468913751</v>
      </c>
      <c r="S358" s="53">
        <f t="shared" si="71"/>
        <v>3.0374933074730928</v>
      </c>
      <c r="T358" s="54">
        <v>3.037493</v>
      </c>
      <c r="U358" s="55">
        <f t="shared" si="72"/>
        <v>3.0747309276435431E-7</v>
      </c>
      <c r="V358" s="53">
        <f t="shared" si="73"/>
        <v>2.9616433839789553</v>
      </c>
      <c r="W358" s="53">
        <f t="shared" si="74"/>
        <v>2.9893651944647841</v>
      </c>
      <c r="X358" s="54">
        <v>2.9893649999999998</v>
      </c>
      <c r="Y358" s="55">
        <f t="shared" si="75"/>
        <v>1.944647842755387E-7</v>
      </c>
      <c r="Z358" s="29">
        <f t="shared" si="76"/>
        <v>395410.49351238483</v>
      </c>
      <c r="AA358" s="23">
        <f t="shared" si="77"/>
        <v>-1081886.6140443883</v>
      </c>
    </row>
    <row r="359" spans="1:27" x14ac:dyDescent="0.2">
      <c r="A359" s="27" t="s">
        <v>283</v>
      </c>
      <c r="B359" s="27" t="s">
        <v>44</v>
      </c>
      <c r="C359" s="27" t="s">
        <v>52</v>
      </c>
      <c r="D359" s="51">
        <v>2462231484</v>
      </c>
      <c r="E359" s="51">
        <v>2519870154</v>
      </c>
      <c r="F359" s="45">
        <v>906940</v>
      </c>
      <c r="G359" s="27" t="s">
        <v>284</v>
      </c>
      <c r="H359" s="51">
        <v>2519870154</v>
      </c>
      <c r="I359" s="51">
        <v>2654174283</v>
      </c>
      <c r="J359" s="45">
        <v>928591</v>
      </c>
      <c r="K359" s="27" t="s">
        <v>281</v>
      </c>
      <c r="L359" s="45">
        <v>1426351622</v>
      </c>
      <c r="M359" s="27" t="str">
        <f t="shared" si="65"/>
        <v>2026-03|FFM 70%</v>
      </c>
      <c r="N359" s="52">
        <f t="shared" si="66"/>
        <v>1.0234091190753372</v>
      </c>
      <c r="O359" s="52">
        <f t="shared" si="67"/>
        <v>1.0532980355304451</v>
      </c>
      <c r="P359" s="30">
        <f t="shared" si="68"/>
        <v>928170.66645418631</v>
      </c>
      <c r="Q359" s="30">
        <f t="shared" si="69"/>
        <v>955278.12034398189</v>
      </c>
      <c r="R359" s="30">
        <f t="shared" si="70"/>
        <v>978083.07611125149</v>
      </c>
      <c r="S359" s="53">
        <f t="shared" si="71"/>
        <v>0.66828167456456711</v>
      </c>
      <c r="T359" s="54">
        <v>0.66828200000000004</v>
      </c>
      <c r="U359" s="55">
        <f t="shared" si="72"/>
        <v>-3.2543543293517274E-7</v>
      </c>
      <c r="V359" s="53">
        <f t="shared" si="73"/>
        <v>0.65876431463608531</v>
      </c>
      <c r="W359" s="53">
        <f t="shared" si="74"/>
        <v>0.6737092790577216</v>
      </c>
      <c r="X359" s="54">
        <v>0.673709</v>
      </c>
      <c r="Y359" s="55">
        <f t="shared" si="75"/>
        <v>2.7905772159719788E-7</v>
      </c>
      <c r="Z359" s="29">
        <f t="shared" si="76"/>
        <v>213167.74243533207</v>
      </c>
      <c r="AA359" s="23">
        <f t="shared" si="77"/>
        <v>-135751.01771147811</v>
      </c>
    </row>
    <row r="360" spans="1:27" x14ac:dyDescent="0.2">
      <c r="A360" s="27" t="s">
        <v>283</v>
      </c>
      <c r="B360" s="27" t="s">
        <v>44</v>
      </c>
      <c r="C360" s="27" t="s">
        <v>53</v>
      </c>
      <c r="D360" s="51">
        <v>521998784</v>
      </c>
      <c r="E360" s="51">
        <v>517415843</v>
      </c>
      <c r="F360" s="45">
        <v>918817</v>
      </c>
      <c r="G360" s="27" t="s">
        <v>284</v>
      </c>
      <c r="H360" s="51">
        <v>517415843</v>
      </c>
      <c r="I360" s="51">
        <v>550844550</v>
      </c>
      <c r="J360" s="45">
        <v>935371</v>
      </c>
      <c r="K360" s="27" t="s">
        <v>281</v>
      </c>
      <c r="L360" s="45">
        <v>1426351622</v>
      </c>
      <c r="M360" s="27" t="str">
        <f t="shared" si="65"/>
        <v>2026-03|FFM 70%</v>
      </c>
      <c r="N360" s="52">
        <f t="shared" si="66"/>
        <v>0.99122039908813275</v>
      </c>
      <c r="O360" s="52">
        <f t="shared" si="67"/>
        <v>1.0646070418064102</v>
      </c>
      <c r="P360" s="30">
        <f t="shared" si="68"/>
        <v>910750.15342896082</v>
      </c>
      <c r="Q360" s="30">
        <f t="shared" si="69"/>
        <v>978179.04833144043</v>
      </c>
      <c r="R360" s="30">
        <f t="shared" si="70"/>
        <v>995802.55330150377</v>
      </c>
      <c r="S360" s="53">
        <f t="shared" si="71"/>
        <v>0.65573892780793264</v>
      </c>
      <c r="T360" s="54">
        <v>0.65573899999999996</v>
      </c>
      <c r="U360" s="55">
        <f t="shared" si="72"/>
        <v>-7.2192067324117204E-8</v>
      </c>
      <c r="V360" s="53">
        <f t="shared" si="73"/>
        <v>0.6745569030026608</v>
      </c>
      <c r="W360" s="53">
        <f t="shared" si="74"/>
        <v>0.68591455741770291</v>
      </c>
      <c r="X360" s="54">
        <v>0.68591500000000005</v>
      </c>
      <c r="Y360" s="55">
        <f t="shared" si="75"/>
        <v>-4.4258229714433384E-7</v>
      </c>
      <c r="Z360" s="29">
        <f t="shared" si="76"/>
        <v>162000.08797010771</v>
      </c>
      <c r="AA360" s="23">
        <f t="shared" si="77"/>
        <v>268410.49441756285</v>
      </c>
    </row>
    <row r="361" spans="1:27" x14ac:dyDescent="0.2">
      <c r="A361" s="27" t="s">
        <v>283</v>
      </c>
      <c r="B361" s="27" t="s">
        <v>44</v>
      </c>
      <c r="C361" s="27" t="s">
        <v>54</v>
      </c>
      <c r="D361" s="51">
        <v>4352564104</v>
      </c>
      <c r="E361" s="51">
        <v>4784874505</v>
      </c>
      <c r="F361" s="45">
        <v>3582441</v>
      </c>
      <c r="G361" s="27" t="s">
        <v>284</v>
      </c>
      <c r="H361" s="51">
        <v>4784874505</v>
      </c>
      <c r="I361" s="51">
        <v>5238424574</v>
      </c>
      <c r="J361" s="45">
        <v>3590747</v>
      </c>
      <c r="K361" s="27" t="s">
        <v>281</v>
      </c>
      <c r="L361" s="45">
        <v>1426351622</v>
      </c>
      <c r="M361" s="27" t="str">
        <f t="shared" si="65"/>
        <v>2026-03|FFM 70%</v>
      </c>
      <c r="N361" s="52">
        <f t="shared" si="66"/>
        <v>1.09932315542526</v>
      </c>
      <c r="O361" s="52">
        <f t="shared" si="67"/>
        <v>1.0947882893325747</v>
      </c>
      <c r="P361" s="30">
        <f t="shared" si="68"/>
        <v>3938260.3442448238</v>
      </c>
      <c r="Q361" s="30">
        <f t="shared" si="69"/>
        <v>3922014.4540248783</v>
      </c>
      <c r="R361" s="30">
        <f t="shared" si="70"/>
        <v>3931107.7655560747</v>
      </c>
      <c r="S361" s="53">
        <f t="shared" si="71"/>
        <v>2.8355423338010284</v>
      </c>
      <c r="T361" s="54">
        <v>2.8355419999999998</v>
      </c>
      <c r="U361" s="55">
        <f t="shared" si="72"/>
        <v>3.3380102859581484E-7</v>
      </c>
      <c r="V361" s="53">
        <f t="shared" si="73"/>
        <v>2.7046397366121733</v>
      </c>
      <c r="W361" s="53">
        <f t="shared" si="74"/>
        <v>2.7077697624222572</v>
      </c>
      <c r="X361" s="54">
        <v>2.70777</v>
      </c>
      <c r="Y361" s="55">
        <f t="shared" si="75"/>
        <v>-2.3757774281207844E-7</v>
      </c>
      <c r="Z361" s="29">
        <f t="shared" si="76"/>
        <v>44645.173911150705</v>
      </c>
      <c r="AA361" s="23">
        <f t="shared" si="77"/>
        <v>-1867131.3182433613</v>
      </c>
    </row>
    <row r="362" spans="1:27" x14ac:dyDescent="0.2">
      <c r="A362" s="27" t="s">
        <v>283</v>
      </c>
      <c r="B362" s="27" t="s">
        <v>44</v>
      </c>
      <c r="C362" s="27" t="s">
        <v>55</v>
      </c>
      <c r="D362" s="51">
        <v>1484931675</v>
      </c>
      <c r="E362" s="51">
        <v>1573298254</v>
      </c>
      <c r="F362" s="45">
        <v>745394</v>
      </c>
      <c r="G362" s="27" t="s">
        <v>284</v>
      </c>
      <c r="H362" s="51">
        <v>1573298254</v>
      </c>
      <c r="I362" s="51">
        <v>1761626340</v>
      </c>
      <c r="J362" s="45">
        <v>762355</v>
      </c>
      <c r="K362" s="27" t="s">
        <v>281</v>
      </c>
      <c r="L362" s="45">
        <v>1426351622</v>
      </c>
      <c r="M362" s="27" t="str">
        <f t="shared" si="65"/>
        <v>2026-03|FFM 70%</v>
      </c>
      <c r="N362" s="52">
        <f t="shared" si="66"/>
        <v>1.0595088518129967</v>
      </c>
      <c r="O362" s="52">
        <f t="shared" si="67"/>
        <v>1.1197027235752592</v>
      </c>
      <c r="P362" s="30">
        <f t="shared" si="68"/>
        <v>789751.54108829692</v>
      </c>
      <c r="Q362" s="30">
        <f t="shared" si="69"/>
        <v>834619.69193665683</v>
      </c>
      <c r="R362" s="30">
        <f t="shared" si="70"/>
        <v>853610.96983121673</v>
      </c>
      <c r="S362" s="53">
        <f t="shared" si="71"/>
        <v>0.56862008404624065</v>
      </c>
      <c r="T362" s="54">
        <v>0.56862000000000001</v>
      </c>
      <c r="U362" s="55">
        <f t="shared" si="72"/>
        <v>8.4046240633739444E-8</v>
      </c>
      <c r="V362" s="53">
        <f t="shared" si="73"/>
        <v>0.57555769113862976</v>
      </c>
      <c r="W362" s="53">
        <f t="shared" si="74"/>
        <v>0.58797217243266031</v>
      </c>
      <c r="X362" s="54">
        <v>0.58797200000000005</v>
      </c>
      <c r="Y362" s="55">
        <f t="shared" si="75"/>
        <v>1.7243266026145676E-7</v>
      </c>
      <c r="Z362" s="29">
        <f t="shared" si="76"/>
        <v>177074.1553002914</v>
      </c>
      <c r="AA362" s="23">
        <f t="shared" si="77"/>
        <v>98954.67129027909</v>
      </c>
    </row>
    <row r="363" spans="1:27" x14ac:dyDescent="0.2">
      <c r="A363" s="27" t="s">
        <v>283</v>
      </c>
      <c r="B363" s="27" t="s">
        <v>44</v>
      </c>
      <c r="C363" s="27" t="s">
        <v>56</v>
      </c>
      <c r="D363" s="51">
        <v>1744005137</v>
      </c>
      <c r="E363" s="51">
        <v>1815319906</v>
      </c>
      <c r="F363" s="45">
        <v>5900473</v>
      </c>
      <c r="G363" s="27" t="s">
        <v>284</v>
      </c>
      <c r="H363" s="51">
        <v>1815319906</v>
      </c>
      <c r="I363" s="51">
        <v>2015743275</v>
      </c>
      <c r="J363" s="45">
        <v>5891372</v>
      </c>
      <c r="K363" s="27" t="s">
        <v>281</v>
      </c>
      <c r="L363" s="45">
        <v>1426351622</v>
      </c>
      <c r="M363" s="27" t="str">
        <f t="shared" si="65"/>
        <v>2026-03|FFM 70%</v>
      </c>
      <c r="N363" s="52">
        <f t="shared" si="66"/>
        <v>1.0408913755395663</v>
      </c>
      <c r="O363" s="52">
        <f t="shared" si="67"/>
        <v>1.1104066387073486</v>
      </c>
      <c r="P363" s="30">
        <f t="shared" si="68"/>
        <v>6141751.4573040716</v>
      </c>
      <c r="Q363" s="30">
        <f t="shared" si="69"/>
        <v>6551924.3907134654</v>
      </c>
      <c r="R363" s="30">
        <f t="shared" si="70"/>
        <v>6541818.5798945893</v>
      </c>
      <c r="S363" s="53">
        <f t="shared" si="71"/>
        <v>4.4220530738450412</v>
      </c>
      <c r="T363" s="54">
        <v>4.422053</v>
      </c>
      <c r="U363" s="55">
        <f t="shared" si="72"/>
        <v>7.3845041193010275E-8</v>
      </c>
      <c r="V363" s="53">
        <f t="shared" si="73"/>
        <v>4.5182380804886586</v>
      </c>
      <c r="W363" s="53">
        <f t="shared" si="74"/>
        <v>4.5060424690201755</v>
      </c>
      <c r="X363" s="54">
        <v>4.5060419999999999</v>
      </c>
      <c r="Y363" s="55">
        <f t="shared" si="75"/>
        <v>4.6902017558636544E-7</v>
      </c>
      <c r="Z363" s="29">
        <f t="shared" si="76"/>
        <v>-173952.30199352722</v>
      </c>
      <c r="AA363" s="23">
        <f t="shared" si="77"/>
        <v>1371936.4023820446</v>
      </c>
    </row>
    <row r="364" spans="1:27" x14ac:dyDescent="0.2">
      <c r="A364" s="27" t="s">
        <v>283</v>
      </c>
      <c r="B364" s="27" t="s">
        <v>44</v>
      </c>
      <c r="C364" s="27" t="s">
        <v>57</v>
      </c>
      <c r="D364" s="51">
        <v>8865227370</v>
      </c>
      <c r="E364" s="51">
        <v>9521809148</v>
      </c>
      <c r="F364" s="45">
        <v>3991333</v>
      </c>
      <c r="G364" s="27" t="s">
        <v>284</v>
      </c>
      <c r="H364" s="51">
        <v>9521809148</v>
      </c>
      <c r="I364" s="51">
        <v>10593672612</v>
      </c>
      <c r="J364" s="45">
        <v>4015493</v>
      </c>
      <c r="K364" s="27" t="s">
        <v>281</v>
      </c>
      <c r="L364" s="45">
        <v>1426351622</v>
      </c>
      <c r="M364" s="27" t="str">
        <f t="shared" si="65"/>
        <v>2026-03|FFM 70%</v>
      </c>
      <c r="N364" s="52">
        <f t="shared" si="66"/>
        <v>1.0740625988028099</v>
      </c>
      <c r="O364" s="52">
        <f t="shared" si="67"/>
        <v>1.1125693077166054</v>
      </c>
      <c r="P364" s="30">
        <f t="shared" si="68"/>
        <v>4286941.4946674155</v>
      </c>
      <c r="Q364" s="30">
        <f t="shared" si="69"/>
        <v>4440634.5926764421</v>
      </c>
      <c r="R364" s="30">
        <f t="shared" si="70"/>
        <v>4467514.2671508752</v>
      </c>
      <c r="S364" s="53">
        <f t="shared" si="71"/>
        <v>3.0865923093229721</v>
      </c>
      <c r="T364" s="54">
        <v>3.086592</v>
      </c>
      <c r="U364" s="55">
        <f t="shared" si="72"/>
        <v>3.0932297212515891E-7</v>
      </c>
      <c r="V364" s="53">
        <f t="shared" si="73"/>
        <v>3.0622826396781897</v>
      </c>
      <c r="W364" s="53">
        <f t="shared" si="74"/>
        <v>3.0772496627474135</v>
      </c>
      <c r="X364" s="54">
        <v>3.0772499999999998</v>
      </c>
      <c r="Y364" s="55">
        <f t="shared" si="75"/>
        <v>-3.3725258630212807E-7</v>
      </c>
      <c r="Z364" s="29">
        <f t="shared" si="76"/>
        <v>213482.37631298811</v>
      </c>
      <c r="AA364" s="23">
        <f t="shared" si="77"/>
        <v>-346741.36728119582</v>
      </c>
    </row>
    <row r="365" spans="1:27" x14ac:dyDescent="0.2">
      <c r="A365" s="27" t="s">
        <v>283</v>
      </c>
      <c r="B365" s="27" t="s">
        <v>44</v>
      </c>
      <c r="C365" s="27" t="s">
        <v>58</v>
      </c>
      <c r="D365" s="51">
        <v>31486327492</v>
      </c>
      <c r="E365" s="51">
        <v>33493698824</v>
      </c>
      <c r="F365" s="45">
        <v>9319955</v>
      </c>
      <c r="G365" s="27" t="s">
        <v>284</v>
      </c>
      <c r="H365" s="51">
        <v>33493698824</v>
      </c>
      <c r="I365" s="51">
        <v>38907672159</v>
      </c>
      <c r="J365" s="45">
        <v>9336468</v>
      </c>
      <c r="K365" s="27" t="s">
        <v>281</v>
      </c>
      <c r="L365" s="45">
        <v>1426351622</v>
      </c>
      <c r="M365" s="27" t="str">
        <f t="shared" si="65"/>
        <v>2026-03|FFM 70%</v>
      </c>
      <c r="N365" s="52">
        <f t="shared" si="66"/>
        <v>1.0637537462096851</v>
      </c>
      <c r="O365" s="52">
        <f t="shared" si="67"/>
        <v>1.1616415482640157</v>
      </c>
      <c r="P365" s="30">
        <f t="shared" si="68"/>
        <v>9914137.0457556862</v>
      </c>
      <c r="Q365" s="30">
        <f t="shared" si="69"/>
        <v>10826446.955950955</v>
      </c>
      <c r="R365" s="30">
        <f t="shared" si="70"/>
        <v>10845629.142837439</v>
      </c>
      <c r="S365" s="53">
        <f t="shared" si="71"/>
        <v>7.1381657988727722</v>
      </c>
      <c r="T365" s="54">
        <v>7.138166</v>
      </c>
      <c r="U365" s="55">
        <f t="shared" si="72"/>
        <v>-2.0112722776133296E-7</v>
      </c>
      <c r="V365" s="53">
        <f t="shared" si="73"/>
        <v>7.4659690795731866</v>
      </c>
      <c r="W365" s="53">
        <f t="shared" si="74"/>
        <v>7.4705320736142848</v>
      </c>
      <c r="X365" s="54">
        <v>7.4705320000000004</v>
      </c>
      <c r="Y365" s="55">
        <f t="shared" si="75"/>
        <v>7.3614284445966405E-8</v>
      </c>
      <c r="Z365" s="29">
        <f t="shared" si="76"/>
        <v>65084.339516968641</v>
      </c>
      <c r="AA365" s="23">
        <f t="shared" si="77"/>
        <v>4675627.4112395719</v>
      </c>
    </row>
    <row r="366" spans="1:27" x14ac:dyDescent="0.2">
      <c r="A366" s="27" t="s">
        <v>283</v>
      </c>
      <c r="B366" s="27" t="s">
        <v>44</v>
      </c>
      <c r="C366" s="27" t="s">
        <v>59</v>
      </c>
      <c r="D366" s="51">
        <v>1334905929</v>
      </c>
      <c r="E366" s="51">
        <v>1513863761</v>
      </c>
      <c r="F366" s="45">
        <v>1954301</v>
      </c>
      <c r="G366" s="27" t="s">
        <v>284</v>
      </c>
      <c r="H366" s="51">
        <v>1513863761</v>
      </c>
      <c r="I366" s="51">
        <v>1682810165</v>
      </c>
      <c r="J366" s="45">
        <v>1968132</v>
      </c>
      <c r="K366" s="27" t="s">
        <v>281</v>
      </c>
      <c r="L366" s="45">
        <v>1426351622</v>
      </c>
      <c r="M366" s="27" t="str">
        <f t="shared" si="65"/>
        <v>2026-03|FFM 70%</v>
      </c>
      <c r="N366" s="52">
        <f t="shared" si="66"/>
        <v>1.1340602570654998</v>
      </c>
      <c r="O366" s="52">
        <f t="shared" si="67"/>
        <v>1.1115994770152899</v>
      </c>
      <c r="P366" s="30">
        <f t="shared" si="68"/>
        <v>2216295.0944433636</v>
      </c>
      <c r="Q366" s="30">
        <f t="shared" si="69"/>
        <v>2172399.9695304581</v>
      </c>
      <c r="R366" s="30">
        <f t="shared" si="70"/>
        <v>2187774.5018970566</v>
      </c>
      <c r="S366" s="53">
        <f t="shared" si="71"/>
        <v>1.5957295900138779</v>
      </c>
      <c r="T366" s="54">
        <v>1.5957300000000001</v>
      </c>
      <c r="U366" s="55">
        <f t="shared" si="72"/>
        <v>-4.0998612216291974E-7</v>
      </c>
      <c r="V366" s="53">
        <f t="shared" si="73"/>
        <v>1.4980973044037338</v>
      </c>
      <c r="W366" s="53">
        <f t="shared" si="74"/>
        <v>1.5069517287571197</v>
      </c>
      <c r="X366" s="54">
        <v>1.5069520000000001</v>
      </c>
      <c r="Y366" s="55">
        <f t="shared" si="75"/>
        <v>-2.7124288037860822E-7</v>
      </c>
      <c r="Z366" s="29">
        <f t="shared" si="76"/>
        <v>126295.22538328286</v>
      </c>
      <c r="AA366" s="23">
        <f t="shared" si="77"/>
        <v>-1392579.6893959637</v>
      </c>
    </row>
    <row r="367" spans="1:27" x14ac:dyDescent="0.2">
      <c r="A367" s="27" t="s">
        <v>283</v>
      </c>
      <c r="B367" s="27" t="s">
        <v>44</v>
      </c>
      <c r="C367" s="27" t="s">
        <v>60</v>
      </c>
      <c r="D367" s="51">
        <v>8541908458</v>
      </c>
      <c r="E367" s="51">
        <v>8649635331</v>
      </c>
      <c r="F367" s="45">
        <v>6376710</v>
      </c>
      <c r="G367" s="27" t="s">
        <v>284</v>
      </c>
      <c r="H367" s="51">
        <v>8649635331</v>
      </c>
      <c r="I367" s="51">
        <v>9505316553</v>
      </c>
      <c r="J367" s="45">
        <v>6402249</v>
      </c>
      <c r="K367" s="27" t="s">
        <v>281</v>
      </c>
      <c r="L367" s="45">
        <v>1426351622</v>
      </c>
      <c r="M367" s="27" t="str">
        <f t="shared" si="65"/>
        <v>2026-03|FFM 70%</v>
      </c>
      <c r="N367" s="52">
        <f t="shared" si="66"/>
        <v>1.0126115695959148</v>
      </c>
      <c r="O367" s="52">
        <f t="shared" si="67"/>
        <v>1.0989268552089435</v>
      </c>
      <c r="P367" s="30">
        <f t="shared" si="68"/>
        <v>6457130.3219579663</v>
      </c>
      <c r="Q367" s="30">
        <f t="shared" si="69"/>
        <v>7007537.8668794222</v>
      </c>
      <c r="R367" s="30">
        <f t="shared" si="70"/>
        <v>7035603.359834603</v>
      </c>
      <c r="S367" s="53">
        <f t="shared" si="71"/>
        <v>4.6491254468584371</v>
      </c>
      <c r="T367" s="54">
        <v>4.6491249999999997</v>
      </c>
      <c r="U367" s="55">
        <f t="shared" si="72"/>
        <v>4.468584373640283E-7</v>
      </c>
      <c r="V367" s="53">
        <f t="shared" si="73"/>
        <v>4.8324312907941085</v>
      </c>
      <c r="W367" s="53">
        <f t="shared" si="74"/>
        <v>4.846164280989063</v>
      </c>
      <c r="X367" s="54">
        <v>4.8461639999999999</v>
      </c>
      <c r="Y367" s="55">
        <f t="shared" si="75"/>
        <v>2.8098906312834515E-7</v>
      </c>
      <c r="Z367" s="29">
        <f t="shared" si="76"/>
        <v>195880.72839483526</v>
      </c>
      <c r="AA367" s="23">
        <f t="shared" si="77"/>
        <v>2614585.8781972378</v>
      </c>
    </row>
    <row r="368" spans="1:27" x14ac:dyDescent="0.2">
      <c r="A368" s="27" t="s">
        <v>283</v>
      </c>
      <c r="B368" s="27" t="s">
        <v>44</v>
      </c>
      <c r="C368" s="27" t="s">
        <v>61</v>
      </c>
      <c r="D368" s="51">
        <v>1948086444</v>
      </c>
      <c r="E368" s="51">
        <v>1892957129</v>
      </c>
      <c r="F368" s="45">
        <v>3578620</v>
      </c>
      <c r="G368" s="27" t="s">
        <v>284</v>
      </c>
      <c r="H368" s="51">
        <v>1892957129</v>
      </c>
      <c r="I368" s="51">
        <v>2078450286</v>
      </c>
      <c r="J368" s="45">
        <v>3569633</v>
      </c>
      <c r="K368" s="27" t="s">
        <v>281</v>
      </c>
      <c r="L368" s="45">
        <v>1426351622</v>
      </c>
      <c r="M368" s="27" t="str">
        <f t="shared" si="65"/>
        <v>2026-03|FFM 70%</v>
      </c>
      <c r="N368" s="52">
        <f t="shared" si="66"/>
        <v>0.97170078608688271</v>
      </c>
      <c r="O368" s="52">
        <f t="shared" si="67"/>
        <v>1.0979912086535162</v>
      </c>
      <c r="P368" s="30">
        <f t="shared" si="68"/>
        <v>3477347.8671062402</v>
      </c>
      <c r="Q368" s="30">
        <f t="shared" si="69"/>
        <v>3929293.2991116461</v>
      </c>
      <c r="R368" s="30">
        <f t="shared" si="70"/>
        <v>3919425.6521194768</v>
      </c>
      <c r="S368" s="53">
        <f t="shared" si="71"/>
        <v>2.5036859487823375</v>
      </c>
      <c r="T368" s="54">
        <v>2.5036860000000001</v>
      </c>
      <c r="U368" s="55">
        <f t="shared" si="72"/>
        <v>-5.1217662555558263E-8</v>
      </c>
      <c r="V368" s="53">
        <f t="shared" si="73"/>
        <v>2.7096592626463298</v>
      </c>
      <c r="W368" s="53">
        <f t="shared" si="74"/>
        <v>2.6997230551297311</v>
      </c>
      <c r="X368" s="54">
        <v>2.6997230000000001</v>
      </c>
      <c r="Y368" s="55">
        <f t="shared" si="75"/>
        <v>5.5129731002523386E-8</v>
      </c>
      <c r="Z368" s="29">
        <f t="shared" si="76"/>
        <v>-141725.25707829202</v>
      </c>
      <c r="AA368" s="23">
        <f t="shared" si="77"/>
        <v>2937903.7031862051</v>
      </c>
    </row>
    <row r="369" spans="1:27" x14ac:dyDescent="0.2">
      <c r="A369" s="27" t="s">
        <v>283</v>
      </c>
      <c r="B369" s="27" t="s">
        <v>44</v>
      </c>
      <c r="C369" s="27" t="s">
        <v>62</v>
      </c>
      <c r="D369" s="51">
        <v>2273811624</v>
      </c>
      <c r="E369" s="51">
        <v>2561806971</v>
      </c>
      <c r="F369" s="45">
        <v>3228160</v>
      </c>
      <c r="G369" s="27" t="s">
        <v>284</v>
      </c>
      <c r="H369" s="51">
        <v>2561806971</v>
      </c>
      <c r="I369" s="51">
        <v>2753891044</v>
      </c>
      <c r="J369" s="45">
        <v>3215821</v>
      </c>
      <c r="K369" s="27" t="s">
        <v>281</v>
      </c>
      <c r="L369" s="45">
        <v>1426351622</v>
      </c>
      <c r="M369" s="27" t="str">
        <f t="shared" si="65"/>
        <v>2026-03|FFM 70%</v>
      </c>
      <c r="N369" s="52">
        <f t="shared" si="66"/>
        <v>1.1266575225318665</v>
      </c>
      <c r="O369" s="52">
        <f t="shared" si="67"/>
        <v>1.0749799165879466</v>
      </c>
      <c r="P369" s="30">
        <f t="shared" si="68"/>
        <v>3637030.74793647</v>
      </c>
      <c r="Q369" s="30">
        <f t="shared" si="69"/>
        <v>3470207.1675325455</v>
      </c>
      <c r="R369" s="30">
        <f t="shared" si="70"/>
        <v>3456942.9903417667</v>
      </c>
      <c r="S369" s="53">
        <f t="shared" si="71"/>
        <v>2.618657415622792</v>
      </c>
      <c r="T369" s="54">
        <v>2.6186569999999998</v>
      </c>
      <c r="U369" s="55">
        <f t="shared" si="72"/>
        <v>4.1562279218254616E-7</v>
      </c>
      <c r="V369" s="53">
        <f t="shared" si="73"/>
        <v>2.3930712927263893</v>
      </c>
      <c r="W369" s="53">
        <f t="shared" si="74"/>
        <v>2.3811623231704786</v>
      </c>
      <c r="X369" s="54">
        <v>2.3811619999999998</v>
      </c>
      <c r="Y369" s="55">
        <f t="shared" si="75"/>
        <v>3.2317047882202132E-7</v>
      </c>
      <c r="Z369" s="29">
        <f t="shared" si="76"/>
        <v>-169863.78042421842</v>
      </c>
      <c r="AA369" s="23">
        <f t="shared" si="77"/>
        <v>-3217651.3229397526</v>
      </c>
    </row>
    <row r="370" spans="1:27" x14ac:dyDescent="0.2">
      <c r="A370" s="27" t="s">
        <v>283</v>
      </c>
      <c r="B370" s="27" t="s">
        <v>44</v>
      </c>
      <c r="C370" s="27" t="s">
        <v>63</v>
      </c>
      <c r="D370" s="51">
        <v>11989654420</v>
      </c>
      <c r="E370" s="51">
        <v>12962869372</v>
      </c>
      <c r="F370" s="45">
        <v>8761130</v>
      </c>
      <c r="G370" s="27" t="s">
        <v>284</v>
      </c>
      <c r="H370" s="51">
        <v>12962869372</v>
      </c>
      <c r="I370" s="51">
        <v>14385676589</v>
      </c>
      <c r="J370" s="45">
        <v>8750952</v>
      </c>
      <c r="K370" s="27" t="s">
        <v>281</v>
      </c>
      <c r="L370" s="45">
        <v>1426351622</v>
      </c>
      <c r="M370" s="27" t="str">
        <f t="shared" si="65"/>
        <v>2026-03|FFM 70%</v>
      </c>
      <c r="N370" s="52">
        <f t="shared" si="66"/>
        <v>1.081171226284602</v>
      </c>
      <c r="O370" s="52">
        <f t="shared" si="67"/>
        <v>1.1097602063377485</v>
      </c>
      <c r="P370" s="30">
        <f t="shared" si="68"/>
        <v>9472281.6657388154</v>
      </c>
      <c r="Q370" s="30">
        <f t="shared" si="69"/>
        <v>9722753.4365518391</v>
      </c>
      <c r="R370" s="30">
        <f t="shared" si="70"/>
        <v>9711458.2971717324</v>
      </c>
      <c r="S370" s="53">
        <f t="shared" si="71"/>
        <v>6.8200304990349885</v>
      </c>
      <c r="T370" s="54">
        <v>6.82003</v>
      </c>
      <c r="U370" s="55">
        <f t="shared" si="72"/>
        <v>4.9903498844372507E-7</v>
      </c>
      <c r="V370" s="53">
        <f t="shared" si="73"/>
        <v>6.704856803063139</v>
      </c>
      <c r="W370" s="53">
        <f t="shared" si="74"/>
        <v>6.6893086362354168</v>
      </c>
      <c r="X370" s="54">
        <v>6.6893089999999997</v>
      </c>
      <c r="Y370" s="55">
        <f t="shared" si="75"/>
        <v>-3.6376458290021674E-7</v>
      </c>
      <c r="Z370" s="29">
        <f t="shared" si="76"/>
        <v>-221771.52973848153</v>
      </c>
      <c r="AA370" s="23">
        <f t="shared" si="77"/>
        <v>-1642781.8806118234</v>
      </c>
    </row>
    <row r="371" spans="1:27" x14ac:dyDescent="0.2">
      <c r="A371" s="27" t="s">
        <v>283</v>
      </c>
      <c r="B371" s="27" t="s">
        <v>44</v>
      </c>
      <c r="C371" s="27" t="s">
        <v>64</v>
      </c>
      <c r="D371" s="51">
        <v>15655134223</v>
      </c>
      <c r="E371" s="51">
        <v>16658474505</v>
      </c>
      <c r="F371" s="45">
        <v>17789139</v>
      </c>
      <c r="G371" s="27" t="s">
        <v>284</v>
      </c>
      <c r="H371" s="51">
        <v>16658474505</v>
      </c>
      <c r="I371" s="51">
        <v>17892416722</v>
      </c>
      <c r="J371" s="45">
        <v>17753727</v>
      </c>
      <c r="K371" s="27" t="s">
        <v>281</v>
      </c>
      <c r="L371" s="45">
        <v>1426351622</v>
      </c>
      <c r="M371" s="27" t="str">
        <f t="shared" si="65"/>
        <v>2026-03|FFM 70%</v>
      </c>
      <c r="N371" s="52">
        <f t="shared" si="66"/>
        <v>1.0640901743611961</v>
      </c>
      <c r="O371" s="52">
        <f t="shared" si="67"/>
        <v>1.0740729420709942</v>
      </c>
      <c r="P371" s="30">
        <f t="shared" si="68"/>
        <v>18929248.020245556</v>
      </c>
      <c r="Q371" s="30">
        <f t="shared" si="69"/>
        <v>19106832.862639863</v>
      </c>
      <c r="R371" s="30">
        <f t="shared" si="70"/>
        <v>19068797.791615248</v>
      </c>
      <c r="S371" s="53">
        <f t="shared" si="71"/>
        <v>13.629033993870687</v>
      </c>
      <c r="T371" s="54">
        <v>13.629034000000001</v>
      </c>
      <c r="U371" s="55">
        <f t="shared" si="72"/>
        <v>-6.129313945280046E-9</v>
      </c>
      <c r="V371" s="53">
        <f t="shared" si="73"/>
        <v>13.176162405029041</v>
      </c>
      <c r="W371" s="53">
        <f t="shared" si="74"/>
        <v>13.134698193290614</v>
      </c>
      <c r="X371" s="54">
        <v>13.134698</v>
      </c>
      <c r="Y371" s="55">
        <f t="shared" si="75"/>
        <v>1.9329061373696277E-7</v>
      </c>
      <c r="Z371" s="29">
        <f t="shared" si="76"/>
        <v>-591425.4566805705</v>
      </c>
      <c r="AA371" s="23">
        <f t="shared" si="77"/>
        <v>-6459541.2530199839</v>
      </c>
    </row>
    <row r="372" spans="1:27" x14ac:dyDescent="0.2">
      <c r="A372" s="27" t="s">
        <v>283</v>
      </c>
      <c r="B372" s="27" t="s">
        <v>44</v>
      </c>
      <c r="C372" s="27" t="s">
        <v>65</v>
      </c>
      <c r="D372" s="51">
        <v>3360450841</v>
      </c>
      <c r="E372" s="51">
        <v>3596469228</v>
      </c>
      <c r="F372" s="45">
        <v>4940153</v>
      </c>
      <c r="G372" s="27" t="s">
        <v>284</v>
      </c>
      <c r="H372" s="51">
        <v>3596469228</v>
      </c>
      <c r="I372" s="51">
        <v>4081188314</v>
      </c>
      <c r="J372" s="45">
        <v>4945881</v>
      </c>
      <c r="K372" s="27" t="s">
        <v>281</v>
      </c>
      <c r="L372" s="45">
        <v>1426351622</v>
      </c>
      <c r="M372" s="27" t="str">
        <f t="shared" si="65"/>
        <v>2026-03|FFM 70%</v>
      </c>
      <c r="N372" s="52">
        <f t="shared" si="66"/>
        <v>1.0702341436215641</v>
      </c>
      <c r="O372" s="52">
        <f t="shared" si="67"/>
        <v>1.1347763751810418</v>
      </c>
      <c r="P372" s="30">
        <f t="shared" si="68"/>
        <v>5287120.4153145012</v>
      </c>
      <c r="Q372" s="30">
        <f t="shared" si="69"/>
        <v>5605968.9141797489</v>
      </c>
      <c r="R372" s="30">
        <f t="shared" si="70"/>
        <v>5612468.9132567858</v>
      </c>
      <c r="S372" s="53">
        <f t="shared" si="71"/>
        <v>3.8067198333996091</v>
      </c>
      <c r="T372" s="54">
        <v>3.8067199999999999</v>
      </c>
      <c r="U372" s="55">
        <f t="shared" si="72"/>
        <v>-1.6660039081628497E-7</v>
      </c>
      <c r="V372" s="53">
        <f t="shared" si="73"/>
        <v>3.8659027051629962</v>
      </c>
      <c r="W372" s="53">
        <f t="shared" si="74"/>
        <v>3.8659010442319688</v>
      </c>
      <c r="X372" s="54">
        <v>3.865901</v>
      </c>
      <c r="Y372" s="55">
        <f t="shared" si="75"/>
        <v>4.4231968754360196E-8</v>
      </c>
      <c r="Z372" s="29">
        <f t="shared" si="76"/>
        <v>-23.690716649346463</v>
      </c>
      <c r="AA372" s="23">
        <f t="shared" si="77"/>
        <v>844155.851343252</v>
      </c>
    </row>
    <row r="373" spans="1:27" x14ac:dyDescent="0.2">
      <c r="A373" s="27" t="s">
        <v>283</v>
      </c>
      <c r="B373" s="27" t="s">
        <v>44</v>
      </c>
      <c r="C373" s="27" t="s">
        <v>66</v>
      </c>
      <c r="D373" s="51">
        <v>1992262825</v>
      </c>
      <c r="E373" s="51">
        <v>2040265749</v>
      </c>
      <c r="F373" s="45">
        <v>1984462</v>
      </c>
      <c r="G373" s="27" t="s">
        <v>284</v>
      </c>
      <c r="H373" s="51">
        <v>2040265749</v>
      </c>
      <c r="I373" s="51">
        <v>2177978663</v>
      </c>
      <c r="J373" s="45">
        <v>1988503</v>
      </c>
      <c r="K373" s="27" t="s">
        <v>281</v>
      </c>
      <c r="L373" s="45">
        <v>1426351622</v>
      </c>
      <c r="M373" s="27" t="str">
        <f t="shared" si="65"/>
        <v>2026-03|FFM 70%</v>
      </c>
      <c r="N373" s="52">
        <f t="shared" si="66"/>
        <v>1.0240946743560304</v>
      </c>
      <c r="O373" s="52">
        <f t="shared" si="67"/>
        <v>1.0674975375474971</v>
      </c>
      <c r="P373" s="30">
        <f t="shared" si="68"/>
        <v>2032276.9656619169</v>
      </c>
      <c r="Q373" s="30">
        <f t="shared" si="69"/>
        <v>2118408.298356581</v>
      </c>
      <c r="R373" s="30">
        <f t="shared" si="70"/>
        <v>2122722.0559058106</v>
      </c>
      <c r="S373" s="53">
        <f t="shared" si="71"/>
        <v>1.4632367762492517</v>
      </c>
      <c r="T373" s="54">
        <v>1.4632369999999999</v>
      </c>
      <c r="U373" s="55">
        <f t="shared" si="72"/>
        <v>-2.2375074815172979E-7</v>
      </c>
      <c r="V373" s="53">
        <f t="shared" si="73"/>
        <v>1.4608643923339917</v>
      </c>
      <c r="W373" s="53">
        <f t="shared" si="74"/>
        <v>1.4621432277615267</v>
      </c>
      <c r="X373" s="54">
        <v>1.462143</v>
      </c>
      <c r="Y373" s="55">
        <f t="shared" si="75"/>
        <v>2.2776152674985894E-7</v>
      </c>
      <c r="Z373" s="29">
        <f t="shared" si="76"/>
        <v>18240.689863356693</v>
      </c>
      <c r="AA373" s="23">
        <f t="shared" si="77"/>
        <v>-33838.536455379086</v>
      </c>
    </row>
    <row r="374" spans="1:27" x14ac:dyDescent="0.2">
      <c r="A374" s="27" t="s">
        <v>283</v>
      </c>
      <c r="B374" s="27" t="s">
        <v>44</v>
      </c>
      <c r="C374" s="27" t="s">
        <v>67</v>
      </c>
      <c r="D374" s="51">
        <v>933018792</v>
      </c>
      <c r="E374" s="51">
        <v>1039445326</v>
      </c>
      <c r="F374" s="45">
        <v>1257616</v>
      </c>
      <c r="G374" s="27" t="s">
        <v>284</v>
      </c>
      <c r="H374" s="51">
        <v>1039445326</v>
      </c>
      <c r="I374" s="51">
        <v>1264832168</v>
      </c>
      <c r="J374" s="45">
        <v>1279298</v>
      </c>
      <c r="K374" s="27" t="s">
        <v>281</v>
      </c>
      <c r="L374" s="45">
        <v>1426351622</v>
      </c>
      <c r="M374" s="27" t="str">
        <f t="shared" si="65"/>
        <v>2026-03|FFM 70%</v>
      </c>
      <c r="N374" s="52">
        <f t="shared" si="66"/>
        <v>1.1140668707988894</v>
      </c>
      <c r="O374" s="52">
        <f t="shared" si="67"/>
        <v>1.2168337635105206</v>
      </c>
      <c r="P374" s="30">
        <f t="shared" si="68"/>
        <v>1401068.3217866162</v>
      </c>
      <c r="Q374" s="30">
        <f t="shared" si="69"/>
        <v>1530309.6103310469</v>
      </c>
      <c r="R374" s="30">
        <f t="shared" si="70"/>
        <v>1556692.9999914821</v>
      </c>
      <c r="S374" s="53">
        <f t="shared" si="71"/>
        <v>1.0087673723193913</v>
      </c>
      <c r="T374" s="54">
        <v>1.008767</v>
      </c>
      <c r="U374" s="55">
        <f t="shared" si="72"/>
        <v>3.7231939131743275E-7</v>
      </c>
      <c r="V374" s="53">
        <f t="shared" si="73"/>
        <v>1.0553087526674847</v>
      </c>
      <c r="W374" s="53">
        <f t="shared" si="74"/>
        <v>1.0722591407145181</v>
      </c>
      <c r="X374" s="54">
        <v>1.0722590000000001</v>
      </c>
      <c r="Y374" s="55">
        <f t="shared" si="75"/>
        <v>1.4071451803765456E-7</v>
      </c>
      <c r="Z374" s="29">
        <f t="shared" si="76"/>
        <v>241772.13484415525</v>
      </c>
      <c r="AA374" s="23">
        <f t="shared" si="77"/>
        <v>663843.73349621962</v>
      </c>
    </row>
    <row r="375" spans="1:27" x14ac:dyDescent="0.2">
      <c r="A375" s="27" t="s">
        <v>283</v>
      </c>
      <c r="B375" s="27" t="s">
        <v>44</v>
      </c>
      <c r="C375" s="27" t="s">
        <v>68</v>
      </c>
      <c r="D375" s="51">
        <v>13238060362</v>
      </c>
      <c r="E375" s="51">
        <v>14903709928</v>
      </c>
      <c r="F375" s="45">
        <v>6310265</v>
      </c>
      <c r="G375" s="27" t="s">
        <v>284</v>
      </c>
      <c r="H375" s="51">
        <v>14903709928</v>
      </c>
      <c r="I375" s="51">
        <v>16472101478</v>
      </c>
      <c r="J375" s="45">
        <v>6234433</v>
      </c>
      <c r="K375" s="27" t="s">
        <v>281</v>
      </c>
      <c r="L375" s="45">
        <v>1426351622</v>
      </c>
      <c r="M375" s="27" t="str">
        <f t="shared" si="65"/>
        <v>2026-03|FFM 70%</v>
      </c>
      <c r="N375" s="52">
        <f t="shared" si="66"/>
        <v>1.1258227807134997</v>
      </c>
      <c r="O375" s="52">
        <f t="shared" si="67"/>
        <v>1.105234975558228</v>
      </c>
      <c r="P375" s="30">
        <f t="shared" si="68"/>
        <v>7104240.0893390728</v>
      </c>
      <c r="Q375" s="30">
        <f t="shared" si="69"/>
        <v>6974325.5830409415</v>
      </c>
      <c r="R375" s="30">
        <f t="shared" si="70"/>
        <v>6890513.4043744104</v>
      </c>
      <c r="S375" s="53">
        <f t="shared" si="71"/>
        <v>5.1150436390639635</v>
      </c>
      <c r="T375" s="54">
        <v>5.1150440000000001</v>
      </c>
      <c r="U375" s="55">
        <f t="shared" si="72"/>
        <v>-3.6093603661413454E-7</v>
      </c>
      <c r="V375" s="53">
        <f t="shared" si="73"/>
        <v>4.8095279426126618</v>
      </c>
      <c r="W375" s="53">
        <f t="shared" si="74"/>
        <v>4.7462254806161539</v>
      </c>
      <c r="X375" s="54">
        <v>4.7462249999999999</v>
      </c>
      <c r="Y375" s="55">
        <f t="shared" si="75"/>
        <v>4.8061615398609092E-7</v>
      </c>
      <c r="Z375" s="29">
        <f t="shared" si="76"/>
        <v>-902915.69345312414</v>
      </c>
      <c r="AA375" s="23">
        <f t="shared" si="77"/>
        <v>-4357728.0917977383</v>
      </c>
    </row>
    <row r="376" spans="1:27" x14ac:dyDescent="0.2">
      <c r="A376" s="27" t="s">
        <v>283</v>
      </c>
      <c r="B376" s="27" t="s">
        <v>44</v>
      </c>
      <c r="C376" s="27" t="s">
        <v>69</v>
      </c>
      <c r="D376" s="51">
        <v>785553577</v>
      </c>
      <c r="E376" s="51">
        <v>780859947</v>
      </c>
      <c r="F376" s="45">
        <v>4190375</v>
      </c>
      <c r="G376" s="27" t="s">
        <v>284</v>
      </c>
      <c r="H376" s="51">
        <v>780859947</v>
      </c>
      <c r="I376" s="51">
        <v>959523539</v>
      </c>
      <c r="J376" s="45">
        <v>4178688</v>
      </c>
      <c r="K376" s="27" t="s">
        <v>281</v>
      </c>
      <c r="L376" s="45">
        <v>1426351622</v>
      </c>
      <c r="M376" s="27" t="str">
        <f t="shared" si="65"/>
        <v>2026-03|FFM 70%</v>
      </c>
      <c r="N376" s="52">
        <f t="shared" si="66"/>
        <v>0.99402506698788795</v>
      </c>
      <c r="O376" s="52">
        <f t="shared" si="67"/>
        <v>1.2288036320551603</v>
      </c>
      <c r="P376" s="30">
        <f t="shared" si="68"/>
        <v>4165337.7900793711</v>
      </c>
      <c r="Q376" s="30">
        <f t="shared" si="69"/>
        <v>5149148.0196731426</v>
      </c>
      <c r="R376" s="30">
        <f t="shared" si="70"/>
        <v>5134786.9916253136</v>
      </c>
      <c r="S376" s="53">
        <f t="shared" si="71"/>
        <v>2.9990377999289124</v>
      </c>
      <c r="T376" s="54">
        <v>2.9990380000000001</v>
      </c>
      <c r="U376" s="55">
        <f t="shared" si="72"/>
        <v>-2.0007108769704018E-7</v>
      </c>
      <c r="V376" s="53">
        <f t="shared" si="73"/>
        <v>3.5508768534532082</v>
      </c>
      <c r="W376" s="53">
        <f t="shared" si="74"/>
        <v>3.5368709741884699</v>
      </c>
      <c r="X376" s="54">
        <v>3.5368710000000001</v>
      </c>
      <c r="Y376" s="55">
        <f t="shared" si="75"/>
        <v>-2.581153024650007E-8</v>
      </c>
      <c r="Z376" s="29">
        <f t="shared" si="76"/>
        <v>-199773.08606795777</v>
      </c>
      <c r="AA376" s="23">
        <f t="shared" si="77"/>
        <v>7871165.2907732418</v>
      </c>
    </row>
    <row r="377" spans="1:27" x14ac:dyDescent="0.2">
      <c r="A377" s="27" t="s">
        <v>283</v>
      </c>
      <c r="B377" s="27" t="s">
        <v>44</v>
      </c>
      <c r="C377" s="27" t="s">
        <v>70</v>
      </c>
      <c r="D377" s="51">
        <v>3663252126</v>
      </c>
      <c r="E377" s="51">
        <v>3842817237</v>
      </c>
      <c r="F377" s="45">
        <v>6624540</v>
      </c>
      <c r="G377" s="27" t="s">
        <v>284</v>
      </c>
      <c r="H377" s="51">
        <v>3842817237</v>
      </c>
      <c r="I377" s="51">
        <v>4275370590</v>
      </c>
      <c r="J377" s="45">
        <v>6638706</v>
      </c>
      <c r="K377" s="27" t="s">
        <v>281</v>
      </c>
      <c r="L377" s="45">
        <v>1426351622</v>
      </c>
      <c r="M377" s="27" t="str">
        <f t="shared" si="65"/>
        <v>2026-03|FFM 70%</v>
      </c>
      <c r="N377" s="52">
        <f t="shared" si="66"/>
        <v>1.0490179503959156</v>
      </c>
      <c r="O377" s="52">
        <f t="shared" si="67"/>
        <v>1.1125615209683208</v>
      </c>
      <c r="P377" s="30">
        <f t="shared" si="68"/>
        <v>6949261.3731157584</v>
      </c>
      <c r="Q377" s="30">
        <f t="shared" si="69"/>
        <v>7370208.2981154798</v>
      </c>
      <c r="R377" s="30">
        <f t="shared" si="70"/>
        <v>7385968.8446215177</v>
      </c>
      <c r="S377" s="53">
        <f t="shared" si="71"/>
        <v>5.0034591646318631</v>
      </c>
      <c r="T377" s="54">
        <v>5.0034590000000003</v>
      </c>
      <c r="U377" s="55">
        <f t="shared" si="72"/>
        <v>1.6463186280901709E-7</v>
      </c>
      <c r="V377" s="53">
        <f t="shared" si="73"/>
        <v>5.0825305372690144</v>
      </c>
      <c r="W377" s="53">
        <f t="shared" si="74"/>
        <v>5.0874980530659588</v>
      </c>
      <c r="X377" s="54">
        <v>5.0874980000000001</v>
      </c>
      <c r="Y377" s="55">
        <f t="shared" si="75"/>
        <v>5.3065958738329755E-8</v>
      </c>
      <c r="Z377" s="29">
        <f t="shared" si="76"/>
        <v>70854.242142823146</v>
      </c>
      <c r="AA377" s="23">
        <f t="shared" si="77"/>
        <v>1127835.8061476711</v>
      </c>
    </row>
    <row r="378" spans="1:27" x14ac:dyDescent="0.2">
      <c r="A378" s="27" t="s">
        <v>283</v>
      </c>
      <c r="B378" s="27" t="s">
        <v>44</v>
      </c>
      <c r="C378" s="27" t="s">
        <v>71</v>
      </c>
      <c r="D378" s="51">
        <v>6089114278</v>
      </c>
      <c r="E378" s="51">
        <v>6342492623</v>
      </c>
      <c r="F378" s="45">
        <v>2498744</v>
      </c>
      <c r="G378" s="27" t="s">
        <v>284</v>
      </c>
      <c r="H378" s="51">
        <v>6342492623</v>
      </c>
      <c r="I378" s="51">
        <v>6951984946</v>
      </c>
      <c r="J378" s="45">
        <v>2535155</v>
      </c>
      <c r="K378" s="27" t="s">
        <v>281</v>
      </c>
      <c r="L378" s="45">
        <v>1426351622</v>
      </c>
      <c r="M378" s="27" t="str">
        <f t="shared" si="65"/>
        <v>2026-03|FFM 70%</v>
      </c>
      <c r="N378" s="52">
        <f t="shared" si="66"/>
        <v>1.0416116915255569</v>
      </c>
      <c r="O378" s="52">
        <f t="shared" si="67"/>
        <v>1.0960966546164794</v>
      </c>
      <c r="P378" s="30">
        <f t="shared" si="68"/>
        <v>2602720.964529336</v>
      </c>
      <c r="Q378" s="30">
        <f t="shared" si="69"/>
        <v>2738864.9391430002</v>
      </c>
      <c r="R378" s="30">
        <f t="shared" si="70"/>
        <v>2778774.9144342411</v>
      </c>
      <c r="S378" s="53">
        <f t="shared" si="71"/>
        <v>1.8739557146797881</v>
      </c>
      <c r="T378" s="54">
        <v>1.873956</v>
      </c>
      <c r="U378" s="55">
        <f t="shared" si="72"/>
        <v>-2.8532021190130763E-7</v>
      </c>
      <c r="V378" s="53">
        <f t="shared" si="73"/>
        <v>1.8887342294259306</v>
      </c>
      <c r="W378" s="53">
        <f t="shared" si="74"/>
        <v>1.9140362306547416</v>
      </c>
      <c r="X378" s="54">
        <v>1.9140360000000001</v>
      </c>
      <c r="Y378" s="55">
        <f t="shared" si="75"/>
        <v>2.3065474152872412E-7</v>
      </c>
      <c r="Z378" s="29">
        <f t="shared" si="76"/>
        <v>360895.50492560549</v>
      </c>
      <c r="AA378" s="23">
        <f t="shared" si="77"/>
        <v>210793.58478911355</v>
      </c>
    </row>
    <row r="379" spans="1:27" x14ac:dyDescent="0.2">
      <c r="A379" s="27" t="s">
        <v>283</v>
      </c>
      <c r="B379" s="27" t="s">
        <v>44</v>
      </c>
      <c r="C379" s="27" t="s">
        <v>72</v>
      </c>
      <c r="D379" s="51">
        <v>5916680527</v>
      </c>
      <c r="E379" s="51">
        <v>6088161317</v>
      </c>
      <c r="F379" s="45">
        <v>1920249</v>
      </c>
      <c r="G379" s="27" t="s">
        <v>284</v>
      </c>
      <c r="H379" s="51">
        <v>6088161317</v>
      </c>
      <c r="I379" s="51">
        <v>6371125057</v>
      </c>
      <c r="J379" s="45">
        <v>1975372</v>
      </c>
      <c r="K379" s="27" t="s">
        <v>281</v>
      </c>
      <c r="L379" s="45">
        <v>1426351622</v>
      </c>
      <c r="M379" s="27" t="str">
        <f t="shared" si="65"/>
        <v>2026-03|FFM 70%</v>
      </c>
      <c r="N379" s="52">
        <f t="shared" si="66"/>
        <v>1.0289826008379985</v>
      </c>
      <c r="O379" s="52">
        <f t="shared" si="67"/>
        <v>1.0464777007813311</v>
      </c>
      <c r="P379" s="30">
        <f t="shared" si="68"/>
        <v>1975902.8102765658</v>
      </c>
      <c r="Q379" s="30">
        <f t="shared" si="69"/>
        <v>2009497.7584476501</v>
      </c>
      <c r="R379" s="30">
        <f t="shared" si="70"/>
        <v>2067182.7487478196</v>
      </c>
      <c r="S379" s="53">
        <f t="shared" si="71"/>
        <v>1.4226474575768489</v>
      </c>
      <c r="T379" s="54">
        <v>1.422647</v>
      </c>
      <c r="U379" s="55">
        <f t="shared" si="72"/>
        <v>4.5757684885572303E-7</v>
      </c>
      <c r="V379" s="53">
        <f t="shared" si="73"/>
        <v>1.3857591683664228</v>
      </c>
      <c r="W379" s="53">
        <f t="shared" si="74"/>
        <v>1.4238874318085464</v>
      </c>
      <c r="X379" s="54">
        <v>1.4238869999999999</v>
      </c>
      <c r="Y379" s="55">
        <f t="shared" si="75"/>
        <v>4.3180854647495437E-7</v>
      </c>
      <c r="Z379" s="29">
        <f t="shared" si="76"/>
        <v>543843.10404716316</v>
      </c>
      <c r="AA379" s="23">
        <f t="shared" si="77"/>
        <v>-526156.71148096351</v>
      </c>
    </row>
    <row r="380" spans="1:27" x14ac:dyDescent="0.2">
      <c r="A380" s="27" t="s">
        <v>283</v>
      </c>
      <c r="B380" s="27" t="s">
        <v>44</v>
      </c>
      <c r="C380" s="27" t="s">
        <v>73</v>
      </c>
      <c r="D380" s="51">
        <v>2449054350</v>
      </c>
      <c r="E380" s="51">
        <v>2527538116</v>
      </c>
      <c r="F380" s="45">
        <v>2924773</v>
      </c>
      <c r="G380" s="27" t="s">
        <v>284</v>
      </c>
      <c r="H380" s="51">
        <v>2527538116</v>
      </c>
      <c r="I380" s="51">
        <v>2740573920</v>
      </c>
      <c r="J380" s="45">
        <v>2951151</v>
      </c>
      <c r="K380" s="27" t="s">
        <v>281</v>
      </c>
      <c r="L380" s="45">
        <v>1426351622</v>
      </c>
      <c r="M380" s="27" t="str">
        <f t="shared" si="65"/>
        <v>2026-03|FFM 70%</v>
      </c>
      <c r="N380" s="52">
        <f t="shared" si="66"/>
        <v>1.0320465595220458</v>
      </c>
      <c r="O380" s="52">
        <f t="shared" si="67"/>
        <v>1.0842858917345009</v>
      </c>
      <c r="P380" s="30">
        <f t="shared" si="68"/>
        <v>3018501.9120329726</v>
      </c>
      <c r="Q380" s="30">
        <f t="shared" si="69"/>
        <v>3171290.1004259912</v>
      </c>
      <c r="R380" s="30">
        <f t="shared" si="70"/>
        <v>3199891.3936781641</v>
      </c>
      <c r="S380" s="53">
        <f t="shared" si="71"/>
        <v>2.1733174569671778</v>
      </c>
      <c r="T380" s="54">
        <v>2.1733169999999999</v>
      </c>
      <c r="U380" s="55">
        <f t="shared" si="72"/>
        <v>4.569671778753559E-7</v>
      </c>
      <c r="V380" s="53">
        <f t="shared" si="73"/>
        <v>2.1869366680010041</v>
      </c>
      <c r="W380" s="53">
        <f t="shared" si="74"/>
        <v>2.2041036968650238</v>
      </c>
      <c r="X380" s="54">
        <v>2.2041040000000001</v>
      </c>
      <c r="Y380" s="55">
        <f t="shared" si="75"/>
        <v>-3.0313497623168928E-7</v>
      </c>
      <c r="Z380" s="29">
        <f t="shared" si="76"/>
        <v>244862.19465115419</v>
      </c>
      <c r="AA380" s="23">
        <f t="shared" si="77"/>
        <v>194257.83748458352</v>
      </c>
    </row>
    <row r="381" spans="1:27" x14ac:dyDescent="0.2">
      <c r="A381" s="27" t="s">
        <v>283</v>
      </c>
      <c r="B381" s="27" t="s">
        <v>44</v>
      </c>
      <c r="C381" s="27" t="s">
        <v>74</v>
      </c>
      <c r="D381" s="51">
        <v>5127365283</v>
      </c>
      <c r="E381" s="51">
        <v>5096208896</v>
      </c>
      <c r="F381" s="45">
        <v>3135869</v>
      </c>
      <c r="G381" s="27" t="s">
        <v>284</v>
      </c>
      <c r="H381" s="51">
        <v>5096208896</v>
      </c>
      <c r="I381" s="51">
        <v>5225519381</v>
      </c>
      <c r="J381" s="45">
        <v>3085699</v>
      </c>
      <c r="K381" s="27" t="s">
        <v>281</v>
      </c>
      <c r="L381" s="45">
        <v>1426351622</v>
      </c>
      <c r="M381" s="27" t="str">
        <f t="shared" si="65"/>
        <v>2026-03|FFM 70%</v>
      </c>
      <c r="N381" s="52">
        <f t="shared" si="66"/>
        <v>0.99392350938925678</v>
      </c>
      <c r="O381" s="52">
        <f t="shared" si="67"/>
        <v>1.0253738588113011</v>
      </c>
      <c r="P381" s="30">
        <f t="shared" si="68"/>
        <v>3116813.9214649792</v>
      </c>
      <c r="Q381" s="30">
        <f t="shared" si="69"/>
        <v>3215438.0972567359</v>
      </c>
      <c r="R381" s="30">
        <f t="shared" si="70"/>
        <v>3163995.0907601728</v>
      </c>
      <c r="S381" s="53">
        <f t="shared" si="71"/>
        <v>2.2441019760944818</v>
      </c>
      <c r="T381" s="54">
        <v>2.2441019999999998</v>
      </c>
      <c r="U381" s="55">
        <f t="shared" si="72"/>
        <v>-2.3905518009570415E-8</v>
      </c>
      <c r="V381" s="53">
        <f t="shared" si="73"/>
        <v>2.2173813356379952</v>
      </c>
      <c r="W381" s="53">
        <f t="shared" si="74"/>
        <v>2.1793781158276042</v>
      </c>
      <c r="X381" s="54">
        <v>2.1793779999999998</v>
      </c>
      <c r="Y381" s="55">
        <f t="shared" si="75"/>
        <v>1.1582760439665662E-7</v>
      </c>
      <c r="Z381" s="29">
        <f t="shared" si="76"/>
        <v>-542059.54217773746</v>
      </c>
      <c r="AA381" s="23">
        <f t="shared" si="77"/>
        <v>-381130.28855988471</v>
      </c>
    </row>
    <row r="382" spans="1:27" x14ac:dyDescent="0.2">
      <c r="A382" s="27" t="s">
        <v>283</v>
      </c>
      <c r="B382" s="27" t="s">
        <v>44</v>
      </c>
      <c r="C382" s="27" t="s">
        <v>75</v>
      </c>
      <c r="D382" s="51">
        <v>4498545546</v>
      </c>
      <c r="E382" s="51">
        <v>5072399122</v>
      </c>
      <c r="F382" s="45">
        <v>3032476</v>
      </c>
      <c r="G382" s="27" t="s">
        <v>284</v>
      </c>
      <c r="H382" s="51">
        <v>5072399122</v>
      </c>
      <c r="I382" s="51">
        <v>5527852624</v>
      </c>
      <c r="J382" s="45">
        <v>3035624</v>
      </c>
      <c r="K382" s="27" t="s">
        <v>281</v>
      </c>
      <c r="L382" s="45">
        <v>1426351622</v>
      </c>
      <c r="M382" s="27" t="str">
        <f t="shared" si="65"/>
        <v>2026-03|FFM 70%</v>
      </c>
      <c r="N382" s="52">
        <f t="shared" si="66"/>
        <v>1.1275642471843499</v>
      </c>
      <c r="O382" s="52">
        <f t="shared" si="67"/>
        <v>1.0897905490174478</v>
      </c>
      <c r="P382" s="30">
        <f t="shared" si="68"/>
        <v>3419311.5180446086</v>
      </c>
      <c r="Q382" s="30">
        <f t="shared" si="69"/>
        <v>3304763.6849222337</v>
      </c>
      <c r="R382" s="30">
        <f t="shared" si="70"/>
        <v>3308194.345570541</v>
      </c>
      <c r="S382" s="53">
        <f t="shared" si="71"/>
        <v>2.4618998528214657</v>
      </c>
      <c r="T382" s="54">
        <v>2.4619</v>
      </c>
      <c r="U382" s="55">
        <f t="shared" si="72"/>
        <v>-1.4717853424883742E-7</v>
      </c>
      <c r="V382" s="53">
        <f t="shared" si="73"/>
        <v>2.278980683811842</v>
      </c>
      <c r="W382" s="53">
        <f t="shared" si="74"/>
        <v>2.2787033964420127</v>
      </c>
      <c r="X382" s="54">
        <v>2.2787030000000001</v>
      </c>
      <c r="Y382" s="55">
        <f t="shared" si="75"/>
        <v>3.9644201255129019E-7</v>
      </c>
      <c r="Z382" s="29">
        <f t="shared" si="76"/>
        <v>-3955.0928971620542</v>
      </c>
      <c r="AA382" s="23">
        <f t="shared" si="77"/>
        <v>-2609070.5341176889</v>
      </c>
    </row>
    <row r="383" spans="1:27" x14ac:dyDescent="0.2">
      <c r="A383" s="27" t="s">
        <v>283</v>
      </c>
      <c r="B383" s="27" t="s">
        <v>44</v>
      </c>
      <c r="C383" s="27" t="s">
        <v>76</v>
      </c>
      <c r="D383" s="51">
        <v>584669981</v>
      </c>
      <c r="E383" s="51">
        <v>567303935</v>
      </c>
      <c r="F383" s="45">
        <v>2567516</v>
      </c>
      <c r="G383" s="27" t="s">
        <v>284</v>
      </c>
      <c r="H383" s="51">
        <v>567303935</v>
      </c>
      <c r="I383" s="51">
        <v>665596908</v>
      </c>
      <c r="J383" s="45">
        <v>2578825</v>
      </c>
      <c r="K383" s="27" t="s">
        <v>281</v>
      </c>
      <c r="L383" s="45">
        <v>1426351622</v>
      </c>
      <c r="M383" s="27" t="str">
        <f t="shared" si="65"/>
        <v>2026-03|FFM 70%</v>
      </c>
      <c r="N383" s="52">
        <f t="shared" si="66"/>
        <v>0.97029769517104725</v>
      </c>
      <c r="O383" s="52">
        <f t="shared" si="67"/>
        <v>1.1732633372268078</v>
      </c>
      <c r="P383" s="30">
        <f t="shared" si="68"/>
        <v>2491254.8571147867</v>
      </c>
      <c r="Q383" s="30">
        <f t="shared" si="69"/>
        <v>3012372.3905432248</v>
      </c>
      <c r="R383" s="30">
        <f t="shared" si="70"/>
        <v>3025640.8256239225</v>
      </c>
      <c r="S383" s="53">
        <f t="shared" si="71"/>
        <v>1.7937002620863982</v>
      </c>
      <c r="T383" s="54">
        <v>1.7937000000000001</v>
      </c>
      <c r="U383" s="55">
        <f t="shared" si="72"/>
        <v>2.6208639813951606E-7</v>
      </c>
      <c r="V383" s="53">
        <f t="shared" si="73"/>
        <v>2.0773462628562078</v>
      </c>
      <c r="W383" s="53">
        <f t="shared" si="74"/>
        <v>2.0840788979021712</v>
      </c>
      <c r="X383" s="54">
        <v>2.084079</v>
      </c>
      <c r="Y383" s="55">
        <f t="shared" si="75"/>
        <v>-1.0209782885794993E-7</v>
      </c>
      <c r="Z383" s="29">
        <f t="shared" si="76"/>
        <v>96031.049181438415</v>
      </c>
      <c r="AA383" s="23">
        <f t="shared" si="77"/>
        <v>4045789.3327183123</v>
      </c>
    </row>
    <row r="384" spans="1:27" x14ac:dyDescent="0.2">
      <c r="A384" s="27" t="s">
        <v>283</v>
      </c>
      <c r="B384" s="27" t="s">
        <v>44</v>
      </c>
      <c r="C384" s="27" t="s">
        <v>77</v>
      </c>
      <c r="D384" s="51">
        <v>4561458079</v>
      </c>
      <c r="E384" s="51">
        <v>5005541870</v>
      </c>
      <c r="F384" s="45">
        <v>3597414</v>
      </c>
      <c r="G384" s="27" t="s">
        <v>284</v>
      </c>
      <c r="H384" s="51">
        <v>5005541870</v>
      </c>
      <c r="I384" s="51">
        <v>5440571346</v>
      </c>
      <c r="J384" s="45">
        <v>3602540</v>
      </c>
      <c r="K384" s="27" t="s">
        <v>281</v>
      </c>
      <c r="L384" s="45">
        <v>1426351622</v>
      </c>
      <c r="M384" s="27" t="str">
        <f t="shared" si="65"/>
        <v>2026-03|FFM 70%</v>
      </c>
      <c r="N384" s="52">
        <f t="shared" si="66"/>
        <v>1.0973556663919524</v>
      </c>
      <c r="O384" s="52">
        <f t="shared" si="67"/>
        <v>1.0869095668957016</v>
      </c>
      <c r="P384" s="30">
        <f t="shared" si="68"/>
        <v>3947642.637257739</v>
      </c>
      <c r="Q384" s="30">
        <f t="shared" si="69"/>
        <v>3910063.6926845335</v>
      </c>
      <c r="R384" s="30">
        <f t="shared" si="70"/>
        <v>3915635.1911244411</v>
      </c>
      <c r="S384" s="53">
        <f t="shared" si="71"/>
        <v>2.8422975725868858</v>
      </c>
      <c r="T384" s="54">
        <v>2.842298</v>
      </c>
      <c r="U384" s="55">
        <f t="shared" si="72"/>
        <v>-4.2741311423455386E-7</v>
      </c>
      <c r="V384" s="53">
        <f t="shared" si="73"/>
        <v>2.6963984350099586</v>
      </c>
      <c r="W384" s="53">
        <f t="shared" si="74"/>
        <v>2.6971121636762003</v>
      </c>
      <c r="X384" s="54">
        <v>2.6971120000000002</v>
      </c>
      <c r="Y384" s="55">
        <f t="shared" si="75"/>
        <v>1.6367620014889894E-7</v>
      </c>
      <c r="Z384" s="29">
        <f t="shared" si="76"/>
        <v>10180.280407618211</v>
      </c>
      <c r="AA384" s="23">
        <f t="shared" si="77"/>
        <v>-2081034.7153125124</v>
      </c>
    </row>
    <row r="385" spans="1:27" x14ac:dyDescent="0.2">
      <c r="A385" s="27" t="s">
        <v>283</v>
      </c>
      <c r="B385" s="27" t="s">
        <v>44</v>
      </c>
      <c r="C385" s="27" t="s">
        <v>78</v>
      </c>
      <c r="D385" s="51">
        <v>451672513</v>
      </c>
      <c r="E385" s="51">
        <v>461261777</v>
      </c>
      <c r="F385" s="45">
        <v>1449354</v>
      </c>
      <c r="G385" s="27" t="s">
        <v>284</v>
      </c>
      <c r="H385" s="51">
        <v>461261777</v>
      </c>
      <c r="I385" s="51">
        <v>558824590</v>
      </c>
      <c r="J385" s="45">
        <v>1426175</v>
      </c>
      <c r="K385" s="27" t="s">
        <v>281</v>
      </c>
      <c r="L385" s="45">
        <v>1426351622</v>
      </c>
      <c r="M385" s="27" t="str">
        <f t="shared" si="65"/>
        <v>2026-03|FFM 70%</v>
      </c>
      <c r="N385" s="52">
        <f t="shared" si="66"/>
        <v>1.0212305679978362</v>
      </c>
      <c r="O385" s="52">
        <f t="shared" si="67"/>
        <v>1.2115128932523711</v>
      </c>
      <c r="P385" s="30">
        <f t="shared" si="68"/>
        <v>1480124.6086499358</v>
      </c>
      <c r="Q385" s="30">
        <f t="shared" si="69"/>
        <v>1755911.0578868971</v>
      </c>
      <c r="R385" s="30">
        <f t="shared" si="70"/>
        <v>1727829.4005342002</v>
      </c>
      <c r="S385" s="53">
        <f t="shared" si="71"/>
        <v>1.0656877962018925</v>
      </c>
      <c r="T385" s="54">
        <v>1.065688</v>
      </c>
      <c r="U385" s="55">
        <f t="shared" si="72"/>
        <v>-2.0379810750092986E-7</v>
      </c>
      <c r="V385" s="53">
        <f t="shared" si="73"/>
        <v>1.210884579031563</v>
      </c>
      <c r="W385" s="53">
        <f t="shared" si="74"/>
        <v>1.1901388830862734</v>
      </c>
      <c r="X385" s="54">
        <v>1.1901390000000001</v>
      </c>
      <c r="Y385" s="55">
        <f t="shared" si="75"/>
        <v>-1.1691372669986322E-7</v>
      </c>
      <c r="Z385" s="29">
        <f t="shared" si="76"/>
        <v>-295906.57061082689</v>
      </c>
      <c r="AA385" s="23">
        <f t="shared" si="77"/>
        <v>2071016.6669828231</v>
      </c>
    </row>
    <row r="386" spans="1:27" x14ac:dyDescent="0.2">
      <c r="A386" s="27" t="s">
        <v>283</v>
      </c>
      <c r="B386" s="27" t="s">
        <v>44</v>
      </c>
      <c r="C386" s="27" t="s">
        <v>79</v>
      </c>
      <c r="D386" s="51">
        <v>4628462870</v>
      </c>
      <c r="E386" s="51">
        <v>4968141044</v>
      </c>
      <c r="F386" s="45">
        <v>8068202</v>
      </c>
      <c r="G386" s="27" t="s">
        <v>284</v>
      </c>
      <c r="H386" s="51">
        <v>4968141044</v>
      </c>
      <c r="I386" s="51">
        <v>5256423850</v>
      </c>
      <c r="J386" s="45">
        <v>8066173</v>
      </c>
      <c r="K386" s="27" t="s">
        <v>281</v>
      </c>
      <c r="L386" s="45">
        <v>1426351622</v>
      </c>
      <c r="M386" s="27" t="str">
        <f t="shared" si="65"/>
        <v>2026-03|FFM 70%</v>
      </c>
      <c r="N386" s="52">
        <f t="shared" si="66"/>
        <v>1.0733889810808832</v>
      </c>
      <c r="O386" s="52">
        <f t="shared" si="67"/>
        <v>1.0580262926206891</v>
      </c>
      <c r="P386" s="30">
        <f t="shared" si="68"/>
        <v>8660319.1239347439</v>
      </c>
      <c r="Q386" s="30">
        <f t="shared" si="69"/>
        <v>8536369.8501748294</v>
      </c>
      <c r="R386" s="30">
        <f t="shared" si="70"/>
        <v>8534223.1148271021</v>
      </c>
      <c r="S386" s="53">
        <f t="shared" si="71"/>
        <v>6.2354185233156398</v>
      </c>
      <c r="T386" s="54">
        <v>6.2354190000000003</v>
      </c>
      <c r="U386" s="55">
        <f t="shared" si="72"/>
        <v>-4.7668436042869189E-7</v>
      </c>
      <c r="V386" s="53">
        <f t="shared" si="73"/>
        <v>5.8867210648618631</v>
      </c>
      <c r="W386" s="53">
        <f t="shared" si="74"/>
        <v>5.8784222347120201</v>
      </c>
      <c r="X386" s="54">
        <v>5.8784219999999996</v>
      </c>
      <c r="Y386" s="55">
        <f t="shared" si="75"/>
        <v>2.3471202048597206E-7</v>
      </c>
      <c r="Z386" s="29">
        <f t="shared" si="76"/>
        <v>-118370.49844931075</v>
      </c>
      <c r="AA386" s="23">
        <f t="shared" si="77"/>
        <v>-4973651.8545282204</v>
      </c>
    </row>
    <row r="387" spans="1:27" x14ac:dyDescent="0.2">
      <c r="A387" s="27" t="s">
        <v>283</v>
      </c>
      <c r="B387" s="27" t="s">
        <v>44</v>
      </c>
      <c r="C387" s="27" t="s">
        <v>80</v>
      </c>
      <c r="D387" s="51">
        <v>1925506884</v>
      </c>
      <c r="E387" s="51">
        <v>1981620237</v>
      </c>
      <c r="F387" s="45">
        <v>2432221</v>
      </c>
      <c r="G387" s="27" t="s">
        <v>284</v>
      </c>
      <c r="H387" s="51">
        <v>1981620237</v>
      </c>
      <c r="I387" s="51">
        <v>2285077031</v>
      </c>
      <c r="J387" s="45">
        <v>2456821</v>
      </c>
      <c r="K387" s="27" t="s">
        <v>281</v>
      </c>
      <c r="L387" s="45">
        <v>1426351622</v>
      </c>
      <c r="M387" s="27" t="str">
        <f t="shared" si="65"/>
        <v>2026-03|FFM 70%</v>
      </c>
      <c r="N387" s="52">
        <f t="shared" si="66"/>
        <v>1.0291421201691222</v>
      </c>
      <c r="O387" s="52">
        <f t="shared" si="67"/>
        <v>1.1531356958987293</v>
      </c>
      <c r="P387" s="30">
        <f t="shared" si="68"/>
        <v>2503101.0766598624</v>
      </c>
      <c r="Q387" s="30">
        <f t="shared" si="69"/>
        <v>2804680.8554145033</v>
      </c>
      <c r="R387" s="30">
        <f t="shared" si="70"/>
        <v>2833047.9935336122</v>
      </c>
      <c r="S387" s="53">
        <f t="shared" si="71"/>
        <v>1.8022295247758624</v>
      </c>
      <c r="T387" s="54">
        <v>1.80223</v>
      </c>
      <c r="U387" s="55">
        <f t="shared" si="72"/>
        <v>-4.7522413759715221E-7</v>
      </c>
      <c r="V387" s="53">
        <f t="shared" si="73"/>
        <v>1.9341211968979068</v>
      </c>
      <c r="W387" s="53">
        <f t="shared" si="74"/>
        <v>1.9514198413983763</v>
      </c>
      <c r="X387" s="54">
        <v>1.9514199999999999</v>
      </c>
      <c r="Y387" s="55">
        <f t="shared" si="75"/>
        <v>-1.5860162361214236E-7</v>
      </c>
      <c r="Z387" s="29">
        <f t="shared" si="76"/>
        <v>246739.49641646014</v>
      </c>
      <c r="AA387" s="23">
        <f t="shared" si="77"/>
        <v>1881239.004595703</v>
      </c>
    </row>
    <row r="388" spans="1:27" x14ac:dyDescent="0.2">
      <c r="A388" s="27" t="s">
        <v>283</v>
      </c>
      <c r="B388" s="27" t="s">
        <v>44</v>
      </c>
      <c r="C388" s="27" t="s">
        <v>81</v>
      </c>
      <c r="D388" s="51">
        <v>1412961700</v>
      </c>
      <c r="E388" s="51">
        <v>1504822070</v>
      </c>
      <c r="F388" s="45">
        <v>1703991</v>
      </c>
      <c r="G388" s="27" t="s">
        <v>284</v>
      </c>
      <c r="H388" s="51">
        <v>1504822070</v>
      </c>
      <c r="I388" s="51">
        <v>1621236790</v>
      </c>
      <c r="J388" s="45">
        <v>1689186</v>
      </c>
      <c r="K388" s="27" t="s">
        <v>281</v>
      </c>
      <c r="L388" s="45">
        <v>1426351622</v>
      </c>
      <c r="M388" s="27" t="str">
        <f t="shared" si="65"/>
        <v>2026-03|FFM 70%</v>
      </c>
      <c r="N388" s="52">
        <f t="shared" si="66"/>
        <v>1.065012639762281</v>
      </c>
      <c r="O388" s="52">
        <f t="shared" si="67"/>
        <v>1.0773611195109598</v>
      </c>
      <c r="P388" s="30">
        <f t="shared" si="68"/>
        <v>1814771.9530411689</v>
      </c>
      <c r="Q388" s="30">
        <f t="shared" si="69"/>
        <v>1835813.6513965998</v>
      </c>
      <c r="R388" s="30">
        <f t="shared" si="70"/>
        <v>1819863.32002224</v>
      </c>
      <c r="S388" s="53">
        <f t="shared" si="71"/>
        <v>1.3066334496049536</v>
      </c>
      <c r="T388" s="54">
        <v>1.3066329999999999</v>
      </c>
      <c r="U388" s="55">
        <f t="shared" si="72"/>
        <v>4.4960495371171305E-7</v>
      </c>
      <c r="V388" s="53">
        <f t="shared" si="73"/>
        <v>1.265985785821593</v>
      </c>
      <c r="W388" s="53">
        <f t="shared" si="74"/>
        <v>1.2535323790597086</v>
      </c>
      <c r="X388" s="54">
        <v>1.2535320000000001</v>
      </c>
      <c r="Y388" s="55">
        <f t="shared" si="75"/>
        <v>3.7905970851070947E-7</v>
      </c>
      <c r="Z388" s="29">
        <f t="shared" si="76"/>
        <v>-177629.36934239647</v>
      </c>
      <c r="AA388" s="23">
        <f t="shared" si="77"/>
        <v>-579778.61167907051</v>
      </c>
    </row>
    <row r="389" spans="1:27" x14ac:dyDescent="0.2">
      <c r="A389" s="27" t="s">
        <v>285</v>
      </c>
      <c r="B389" s="27" t="s">
        <v>153</v>
      </c>
      <c r="C389" s="27" t="s">
        <v>50</v>
      </c>
      <c r="D389" s="51">
        <v>424041038</v>
      </c>
      <c r="E389" s="51">
        <v>435173210</v>
      </c>
      <c r="F389" s="45">
        <v>1519678</v>
      </c>
      <c r="G389" s="27" t="s">
        <v>284</v>
      </c>
      <c r="H389" s="51">
        <v>424041038</v>
      </c>
      <c r="I389" s="51">
        <v>435173210</v>
      </c>
      <c r="J389" s="45">
        <v>1531396</v>
      </c>
      <c r="K389" s="27" t="s">
        <v>281</v>
      </c>
      <c r="L389" s="45">
        <v>49518288051</v>
      </c>
      <c r="M389" s="27" t="str">
        <f t="shared" ref="M389:M452" si="78">A389&amp;"|"&amp;B389</f>
        <v>2026-04|FGP primera parte (60%)</v>
      </c>
      <c r="N389" s="52">
        <f t="shared" ref="N389:N452" si="79">IF(E389="",D389,E389/D389)</f>
        <v>1.0262525817135653</v>
      </c>
      <c r="O389" s="52">
        <f t="shared" ref="O389:O452" si="80">IF(I389="",H389,I389/H389)</f>
        <v>1.0262525817135653</v>
      </c>
      <c r="P389" s="30">
        <f t="shared" ref="P389:P452" si="81">N389*F389</f>
        <v>1559573.4708733074</v>
      </c>
      <c r="Q389" s="30">
        <f t="shared" ref="Q389:Q452" si="82">O389*F389</f>
        <v>1559573.4708733074</v>
      </c>
      <c r="R389" s="30">
        <f t="shared" ref="R389:R452" si="83">O389*J389</f>
        <v>1571599.0986258269</v>
      </c>
      <c r="S389" s="53">
        <f t="shared" ref="S389:S452" si="84">P389/SUMIFS($P$5:$P$516,$M$5:$M$516,M389)*100</f>
        <v>1.1276636330063565</v>
      </c>
      <c r="T389" s="54">
        <v>1.127664</v>
      </c>
      <c r="U389" s="55">
        <f t="shared" ref="U389:U452" si="85">S389-T389</f>
        <v>-3.6699364347470009E-7</v>
      </c>
      <c r="V389" s="53">
        <f t="shared" ref="V389:V452" si="86">Q389/SUMIFS($Q$5:$Q$516,$M$5:$M$516,M389)*100</f>
        <v>1.1276636330063565</v>
      </c>
      <c r="W389" s="53">
        <f t="shared" ref="W389:W452" si="87">R389/SUMIFS($R$5:$R$516,$M$5:$M$516,M389)*100</f>
        <v>1.1351484297080587</v>
      </c>
      <c r="X389" s="54">
        <v>1.135148</v>
      </c>
      <c r="Y389" s="55">
        <f t="shared" ref="Y389:Y452" si="88">W389-X389</f>
        <v>4.2970805869124717E-7</v>
      </c>
      <c r="Z389" s="29">
        <f t="shared" ref="Z389:Z452" si="89">(W389-V389)/100*L389</f>
        <v>3706343.1907806485</v>
      </c>
      <c r="AA389" s="23">
        <f t="shared" ref="AA389:AA452" si="90">(V389-S389)/100*L389</f>
        <v>0</v>
      </c>
    </row>
    <row r="390" spans="1:27" x14ac:dyDescent="0.2">
      <c r="A390" s="27" t="s">
        <v>285</v>
      </c>
      <c r="B390" s="27" t="s">
        <v>153</v>
      </c>
      <c r="C390" s="27" t="s">
        <v>51</v>
      </c>
      <c r="D390" s="51">
        <v>1248958117</v>
      </c>
      <c r="E390" s="51">
        <v>1292417521</v>
      </c>
      <c r="F390" s="45">
        <v>3790412</v>
      </c>
      <c r="G390" s="27" t="s">
        <v>284</v>
      </c>
      <c r="H390" s="51">
        <v>1248958117</v>
      </c>
      <c r="I390" s="51">
        <v>1292417521</v>
      </c>
      <c r="J390" s="45">
        <v>3830329</v>
      </c>
      <c r="K390" s="27" t="s">
        <v>281</v>
      </c>
      <c r="L390" s="45">
        <v>49518288051</v>
      </c>
      <c r="M390" s="27" t="str">
        <f t="shared" si="78"/>
        <v>2026-04|FGP primera parte (60%)</v>
      </c>
      <c r="N390" s="52">
        <f t="shared" si="79"/>
        <v>1.0347965263273917</v>
      </c>
      <c r="O390" s="52">
        <f t="shared" si="80"/>
        <v>1.0347965263273917</v>
      </c>
      <c r="P390" s="30">
        <f t="shared" si="81"/>
        <v>3922305.1709496616</v>
      </c>
      <c r="Q390" s="30">
        <f t="shared" si="82"/>
        <v>3922305.1709496616</v>
      </c>
      <c r="R390" s="30">
        <f t="shared" si="83"/>
        <v>3963611.1438910719</v>
      </c>
      <c r="S390" s="53">
        <f t="shared" si="84"/>
        <v>2.836058051408096</v>
      </c>
      <c r="T390" s="54">
        <v>2.836058</v>
      </c>
      <c r="U390" s="55">
        <f t="shared" si="85"/>
        <v>5.1408096002347747E-8</v>
      </c>
      <c r="V390" s="53">
        <f t="shared" si="86"/>
        <v>2.836058051408096</v>
      </c>
      <c r="W390" s="53">
        <f t="shared" si="87"/>
        <v>2.8628719435480678</v>
      </c>
      <c r="X390" s="54">
        <v>2.8628719999999999</v>
      </c>
      <c r="Y390" s="55">
        <f t="shared" si="88"/>
        <v>-5.6451932017864692E-8</v>
      </c>
      <c r="Z390" s="29">
        <f t="shared" si="89"/>
        <v>13277780.347555721</v>
      </c>
      <c r="AA390" s="23">
        <f t="shared" si="90"/>
        <v>0</v>
      </c>
    </row>
    <row r="391" spans="1:27" x14ac:dyDescent="0.2">
      <c r="A391" s="27" t="s">
        <v>285</v>
      </c>
      <c r="B391" s="27" t="s">
        <v>153</v>
      </c>
      <c r="C391" s="27" t="s">
        <v>52</v>
      </c>
      <c r="D391" s="51">
        <v>235075861</v>
      </c>
      <c r="E391" s="51">
        <v>251902223</v>
      </c>
      <c r="F391" s="45">
        <v>906940</v>
      </c>
      <c r="G391" s="27" t="s">
        <v>284</v>
      </c>
      <c r="H391" s="51">
        <v>235075861</v>
      </c>
      <c r="I391" s="51">
        <v>251902223</v>
      </c>
      <c r="J391" s="45">
        <v>928591</v>
      </c>
      <c r="K391" s="27" t="s">
        <v>281</v>
      </c>
      <c r="L391" s="45">
        <v>49518288051</v>
      </c>
      <c r="M391" s="27" t="str">
        <f t="shared" si="78"/>
        <v>2026-04|FGP primera parte (60%)</v>
      </c>
      <c r="N391" s="52">
        <f t="shared" si="79"/>
        <v>1.0715784339932717</v>
      </c>
      <c r="O391" s="52">
        <f t="shared" si="80"/>
        <v>1.0715784339932717</v>
      </c>
      <c r="P391" s="30">
        <f t="shared" si="81"/>
        <v>971857.34492585785</v>
      </c>
      <c r="Q391" s="30">
        <f t="shared" si="82"/>
        <v>971857.34492585785</v>
      </c>
      <c r="R391" s="30">
        <f t="shared" si="83"/>
        <v>995058.08960024617</v>
      </c>
      <c r="S391" s="53">
        <f t="shared" si="84"/>
        <v>0.70271019917344613</v>
      </c>
      <c r="T391" s="54">
        <v>0.70270999999999995</v>
      </c>
      <c r="U391" s="55">
        <f t="shared" si="85"/>
        <v>1.9917344618036736E-7</v>
      </c>
      <c r="V391" s="53">
        <f t="shared" si="86"/>
        <v>0.70271019917344613</v>
      </c>
      <c r="W391" s="53">
        <f t="shared" si="87"/>
        <v>0.71871931516483112</v>
      </c>
      <c r="X391" s="54">
        <v>0.718719</v>
      </c>
      <c r="Y391" s="55">
        <f t="shared" si="88"/>
        <v>3.151648311217059E-7</v>
      </c>
      <c r="Z391" s="29">
        <f t="shared" si="89"/>
        <v>7927440.171032724</v>
      </c>
      <c r="AA391" s="23">
        <f t="shared" si="90"/>
        <v>0</v>
      </c>
    </row>
    <row r="392" spans="1:27" x14ac:dyDescent="0.2">
      <c r="A392" s="27" t="s">
        <v>285</v>
      </c>
      <c r="B392" s="27" t="s">
        <v>153</v>
      </c>
      <c r="C392" s="27" t="s">
        <v>53</v>
      </c>
      <c r="D392" s="51">
        <v>600899202</v>
      </c>
      <c r="E392" s="51">
        <v>520398428</v>
      </c>
      <c r="F392" s="45">
        <v>918817</v>
      </c>
      <c r="G392" s="27" t="s">
        <v>284</v>
      </c>
      <c r="H392" s="51">
        <v>600899202</v>
      </c>
      <c r="I392" s="51">
        <v>520398428</v>
      </c>
      <c r="J392" s="45">
        <v>935371</v>
      </c>
      <c r="K392" s="27" t="s">
        <v>281</v>
      </c>
      <c r="L392" s="45">
        <v>49518288051</v>
      </c>
      <c r="M392" s="27" t="str">
        <f t="shared" si="78"/>
        <v>2026-04|FGP primera parte (60%)</v>
      </c>
      <c r="N392" s="52">
        <f t="shared" si="79"/>
        <v>0.8660328159330789</v>
      </c>
      <c r="O392" s="52">
        <f t="shared" si="80"/>
        <v>0.8660328159330789</v>
      </c>
      <c r="P392" s="30">
        <f t="shared" si="81"/>
        <v>795725.67383718374</v>
      </c>
      <c r="Q392" s="30">
        <f t="shared" si="82"/>
        <v>795725.67383718374</v>
      </c>
      <c r="R392" s="30">
        <f t="shared" si="83"/>
        <v>810061.98107213993</v>
      </c>
      <c r="S392" s="53">
        <f t="shared" si="84"/>
        <v>0.57535660935114941</v>
      </c>
      <c r="T392" s="54">
        <v>0.57535700000000001</v>
      </c>
      <c r="U392" s="55">
        <f t="shared" si="85"/>
        <v>-3.9064885060113852E-7</v>
      </c>
      <c r="V392" s="53">
        <f t="shared" si="86"/>
        <v>0.57535660935114941</v>
      </c>
      <c r="W392" s="53">
        <f t="shared" si="87"/>
        <v>0.58509869761586508</v>
      </c>
      <c r="X392" s="54">
        <v>0.58509900000000004</v>
      </c>
      <c r="Y392" s="55">
        <f t="shared" si="88"/>
        <v>-3.0238413495364824E-7</v>
      </c>
      <c r="Z392" s="29">
        <f t="shared" si="89"/>
        <v>4824115.3291045763</v>
      </c>
      <c r="AA392" s="23">
        <f t="shared" si="90"/>
        <v>0</v>
      </c>
    </row>
    <row r="393" spans="1:27" x14ac:dyDescent="0.2">
      <c r="A393" s="27" t="s">
        <v>285</v>
      </c>
      <c r="B393" s="27" t="s">
        <v>153</v>
      </c>
      <c r="C393" s="27" t="s">
        <v>54</v>
      </c>
      <c r="D393" s="51">
        <v>1180088820</v>
      </c>
      <c r="E393" s="51">
        <v>1236355664</v>
      </c>
      <c r="F393" s="45">
        <v>3582441</v>
      </c>
      <c r="G393" s="27" t="s">
        <v>284</v>
      </c>
      <c r="H393" s="51">
        <v>1180088820</v>
      </c>
      <c r="I393" s="51">
        <v>1236355664</v>
      </c>
      <c r="J393" s="45">
        <v>3590747</v>
      </c>
      <c r="K393" s="27" t="s">
        <v>281</v>
      </c>
      <c r="L393" s="45">
        <v>49518288051</v>
      </c>
      <c r="M393" s="27" t="str">
        <f t="shared" si="78"/>
        <v>2026-04|FGP primera parte (60%)</v>
      </c>
      <c r="N393" s="52">
        <f t="shared" si="79"/>
        <v>1.0476801771581905</v>
      </c>
      <c r="O393" s="52">
        <f t="shared" si="80"/>
        <v>1.0476801771581905</v>
      </c>
      <c r="P393" s="30">
        <f t="shared" si="81"/>
        <v>3753252.4215387651</v>
      </c>
      <c r="Q393" s="30">
        <f t="shared" si="82"/>
        <v>3753252.4215387651</v>
      </c>
      <c r="R393" s="30">
        <f t="shared" si="83"/>
        <v>3761954.4530902412</v>
      </c>
      <c r="S393" s="53">
        <f t="shared" si="84"/>
        <v>2.7138229396094475</v>
      </c>
      <c r="T393" s="54">
        <v>2.7138230000000001</v>
      </c>
      <c r="U393" s="55">
        <f t="shared" si="85"/>
        <v>-6.039055255868675E-8</v>
      </c>
      <c r="V393" s="53">
        <f t="shared" si="86"/>
        <v>2.7138229396094475</v>
      </c>
      <c r="W393" s="53">
        <f t="shared" si="87"/>
        <v>2.7172175739936182</v>
      </c>
      <c r="X393" s="54">
        <v>2.7172179999999999</v>
      </c>
      <c r="Y393" s="55">
        <f t="shared" si="88"/>
        <v>-4.2600638172629601E-7</v>
      </c>
      <c r="Z393" s="29">
        <f t="shared" si="89"/>
        <v>1680964.8326319112</v>
      </c>
      <c r="AA393" s="23">
        <f t="shared" si="90"/>
        <v>0</v>
      </c>
    </row>
    <row r="394" spans="1:27" x14ac:dyDescent="0.2">
      <c r="A394" s="27" t="s">
        <v>285</v>
      </c>
      <c r="B394" s="27" t="s">
        <v>153</v>
      </c>
      <c r="C394" s="27" t="s">
        <v>55</v>
      </c>
      <c r="D394" s="51">
        <v>204172711</v>
      </c>
      <c r="E394" s="51">
        <v>214421765</v>
      </c>
      <c r="F394" s="45">
        <v>745394</v>
      </c>
      <c r="G394" s="27" t="s">
        <v>284</v>
      </c>
      <c r="H394" s="51">
        <v>204172711</v>
      </c>
      <c r="I394" s="51">
        <v>214421765</v>
      </c>
      <c r="J394" s="45">
        <v>762355</v>
      </c>
      <c r="K394" s="27" t="s">
        <v>281</v>
      </c>
      <c r="L394" s="45">
        <v>49518288051</v>
      </c>
      <c r="M394" s="27" t="str">
        <f t="shared" si="78"/>
        <v>2026-04|FGP primera parte (60%)</v>
      </c>
      <c r="N394" s="52">
        <f t="shared" si="79"/>
        <v>1.0501979620577209</v>
      </c>
      <c r="O394" s="52">
        <f t="shared" si="80"/>
        <v>1.0501979620577209</v>
      </c>
      <c r="P394" s="30">
        <f t="shared" si="81"/>
        <v>782811.25973005279</v>
      </c>
      <c r="Q394" s="30">
        <f t="shared" si="82"/>
        <v>782811.25973005279</v>
      </c>
      <c r="R394" s="30">
        <f t="shared" si="83"/>
        <v>800623.66736451385</v>
      </c>
      <c r="S394" s="53">
        <f t="shared" si="84"/>
        <v>0.56601872601177639</v>
      </c>
      <c r="T394" s="54">
        <v>0.56601900000000005</v>
      </c>
      <c r="U394" s="55">
        <f t="shared" si="85"/>
        <v>-2.7398822366464515E-7</v>
      </c>
      <c r="V394" s="53">
        <f t="shared" si="86"/>
        <v>0.56601872601177639</v>
      </c>
      <c r="W394" s="53">
        <f t="shared" si="87"/>
        <v>0.57828150931786226</v>
      </c>
      <c r="X394" s="54">
        <v>0.57828199999999996</v>
      </c>
      <c r="Y394" s="55">
        <f t="shared" si="88"/>
        <v>-4.9068213769931646E-7</v>
      </c>
      <c r="Z394" s="29">
        <f t="shared" si="89"/>
        <v>6072320.3605775461</v>
      </c>
      <c r="AA394" s="23">
        <f t="shared" si="90"/>
        <v>0</v>
      </c>
    </row>
    <row r="395" spans="1:27" x14ac:dyDescent="0.2">
      <c r="A395" s="27" t="s">
        <v>285</v>
      </c>
      <c r="B395" s="27" t="s">
        <v>153</v>
      </c>
      <c r="C395" s="27" t="s">
        <v>56</v>
      </c>
      <c r="D395" s="51">
        <v>499823695</v>
      </c>
      <c r="E395" s="51">
        <v>532775844</v>
      </c>
      <c r="F395" s="45">
        <v>5900473</v>
      </c>
      <c r="G395" s="27" t="s">
        <v>284</v>
      </c>
      <c r="H395" s="51">
        <v>499823695</v>
      </c>
      <c r="I395" s="51">
        <v>532775844</v>
      </c>
      <c r="J395" s="45">
        <v>5891372</v>
      </c>
      <c r="K395" s="27" t="s">
        <v>281</v>
      </c>
      <c r="L395" s="45">
        <v>49518288051</v>
      </c>
      <c r="M395" s="27" t="str">
        <f t="shared" si="78"/>
        <v>2026-04|FGP primera parte (60%)</v>
      </c>
      <c r="N395" s="52">
        <f t="shared" si="79"/>
        <v>1.0659275447115408</v>
      </c>
      <c r="O395" s="52">
        <f t="shared" si="80"/>
        <v>1.0659275447115408</v>
      </c>
      <c r="P395" s="30">
        <f t="shared" si="81"/>
        <v>6289476.6975267399</v>
      </c>
      <c r="Q395" s="30">
        <f t="shared" si="82"/>
        <v>6289476.6975267399</v>
      </c>
      <c r="R395" s="30">
        <f t="shared" si="83"/>
        <v>6279775.69094232</v>
      </c>
      <c r="S395" s="53">
        <f t="shared" si="84"/>
        <v>4.5476627263160072</v>
      </c>
      <c r="T395" s="54">
        <v>4.547663</v>
      </c>
      <c r="U395" s="55">
        <f t="shared" si="85"/>
        <v>-2.7368399280192079E-7</v>
      </c>
      <c r="V395" s="53">
        <f t="shared" si="86"/>
        <v>4.5476627263160072</v>
      </c>
      <c r="W395" s="53">
        <f t="shared" si="87"/>
        <v>4.5358116587907213</v>
      </c>
      <c r="X395" s="54">
        <v>4.535812</v>
      </c>
      <c r="Y395" s="55">
        <f t="shared" si="88"/>
        <v>-3.4120927860925576E-7</v>
      </c>
      <c r="Z395" s="29">
        <f t="shared" si="89"/>
        <v>-5868445.7542895712</v>
      </c>
      <c r="AA395" s="23">
        <f t="shared" si="90"/>
        <v>0</v>
      </c>
    </row>
    <row r="396" spans="1:27" x14ac:dyDescent="0.2">
      <c r="A396" s="27" t="s">
        <v>285</v>
      </c>
      <c r="B396" s="27" t="s">
        <v>153</v>
      </c>
      <c r="C396" s="27" t="s">
        <v>57</v>
      </c>
      <c r="D396" s="51">
        <v>1235956187</v>
      </c>
      <c r="E396" s="51">
        <v>1282412409</v>
      </c>
      <c r="F396" s="45">
        <v>3991333</v>
      </c>
      <c r="G396" s="27" t="s">
        <v>284</v>
      </c>
      <c r="H396" s="51">
        <v>1235956187</v>
      </c>
      <c r="I396" s="51">
        <v>1282412409</v>
      </c>
      <c r="J396" s="45">
        <v>4015493</v>
      </c>
      <c r="K396" s="27" t="s">
        <v>281</v>
      </c>
      <c r="L396" s="45">
        <v>49518288051</v>
      </c>
      <c r="M396" s="27" t="str">
        <f t="shared" si="78"/>
        <v>2026-04|FGP primera parte (60%)</v>
      </c>
      <c r="N396" s="52">
        <f t="shared" si="79"/>
        <v>1.0375872725009467</v>
      </c>
      <c r="O396" s="52">
        <f t="shared" si="80"/>
        <v>1.0375872725009467</v>
      </c>
      <c r="P396" s="30">
        <f t="shared" si="81"/>
        <v>4141356.3211130211</v>
      </c>
      <c r="Q396" s="30">
        <f t="shared" si="82"/>
        <v>4141356.3211130211</v>
      </c>
      <c r="R396" s="30">
        <f t="shared" si="83"/>
        <v>4166424.429616644</v>
      </c>
      <c r="S396" s="53">
        <f t="shared" si="84"/>
        <v>2.9944449568157099</v>
      </c>
      <c r="T396" s="54">
        <v>2.9944449999999998</v>
      </c>
      <c r="U396" s="55">
        <f t="shared" si="85"/>
        <v>-4.3184289921782693E-8</v>
      </c>
      <c r="V396" s="53">
        <f t="shared" si="86"/>
        <v>2.9944449568157099</v>
      </c>
      <c r="W396" s="53">
        <f t="shared" si="87"/>
        <v>3.0093617086647684</v>
      </c>
      <c r="X396" s="54">
        <v>3.0093619999999999</v>
      </c>
      <c r="Y396" s="55">
        <f t="shared" si="88"/>
        <v>-2.9133523149482698E-7</v>
      </c>
      <c r="Z396" s="29">
        <f t="shared" si="89"/>
        <v>7386520.1484696548</v>
      </c>
      <c r="AA396" s="23">
        <f t="shared" si="90"/>
        <v>0</v>
      </c>
    </row>
    <row r="397" spans="1:27" x14ac:dyDescent="0.2">
      <c r="A397" s="27" t="s">
        <v>285</v>
      </c>
      <c r="B397" s="27" t="s">
        <v>153</v>
      </c>
      <c r="C397" s="27" t="s">
        <v>58</v>
      </c>
      <c r="D397" s="51">
        <v>4714038082</v>
      </c>
      <c r="E397" s="51">
        <v>5019086938</v>
      </c>
      <c r="F397" s="45">
        <v>9319955</v>
      </c>
      <c r="G397" s="27" t="s">
        <v>284</v>
      </c>
      <c r="H397" s="51">
        <v>4714038082</v>
      </c>
      <c r="I397" s="51">
        <v>5019086938</v>
      </c>
      <c r="J397" s="45">
        <v>9336468</v>
      </c>
      <c r="K397" s="27" t="s">
        <v>281</v>
      </c>
      <c r="L397" s="45">
        <v>49518288051</v>
      </c>
      <c r="M397" s="27" t="str">
        <f t="shared" si="78"/>
        <v>2026-04|FGP primera parte (60%)</v>
      </c>
      <c r="N397" s="52">
        <f t="shared" si="79"/>
        <v>1.064710732220173</v>
      </c>
      <c r="O397" s="52">
        <f t="shared" si="80"/>
        <v>1.064710732220173</v>
      </c>
      <c r="P397" s="30">
        <f t="shared" si="81"/>
        <v>9923056.1123090629</v>
      </c>
      <c r="Q397" s="30">
        <f t="shared" si="82"/>
        <v>9923056.1123090629</v>
      </c>
      <c r="R397" s="30">
        <f t="shared" si="83"/>
        <v>9940637.6806302145</v>
      </c>
      <c r="S397" s="53">
        <f t="shared" si="84"/>
        <v>7.1749550214305886</v>
      </c>
      <c r="T397" s="54">
        <v>7.1749549999999997</v>
      </c>
      <c r="U397" s="55">
        <f t="shared" si="85"/>
        <v>2.1430588859061572E-8</v>
      </c>
      <c r="V397" s="53">
        <f t="shared" si="86"/>
        <v>7.1749550214305886</v>
      </c>
      <c r="W397" s="53">
        <f t="shared" si="87"/>
        <v>7.1800112785319907</v>
      </c>
      <c r="X397" s="54">
        <v>7.1800110000000004</v>
      </c>
      <c r="Y397" s="55">
        <f t="shared" si="88"/>
        <v>2.7853199036087517E-7</v>
      </c>
      <c r="Z397" s="29">
        <f t="shared" si="89"/>
        <v>2503771.9560714439</v>
      </c>
      <c r="AA397" s="23">
        <f t="shared" si="90"/>
        <v>0</v>
      </c>
    </row>
    <row r="398" spans="1:27" x14ac:dyDescent="0.2">
      <c r="A398" s="27" t="s">
        <v>285</v>
      </c>
      <c r="B398" s="27" t="s">
        <v>153</v>
      </c>
      <c r="C398" s="27" t="s">
        <v>59</v>
      </c>
      <c r="D398" s="51">
        <v>412374115</v>
      </c>
      <c r="E398" s="51">
        <v>451314096</v>
      </c>
      <c r="F398" s="45">
        <v>1954301</v>
      </c>
      <c r="G398" s="27" t="s">
        <v>284</v>
      </c>
      <c r="H398" s="51">
        <v>412374115</v>
      </c>
      <c r="I398" s="51">
        <v>451314096</v>
      </c>
      <c r="J398" s="45">
        <v>1968132</v>
      </c>
      <c r="K398" s="27" t="s">
        <v>281</v>
      </c>
      <c r="L398" s="45">
        <v>49518288051</v>
      </c>
      <c r="M398" s="27" t="str">
        <f t="shared" si="78"/>
        <v>2026-04|FGP primera parte (60%)</v>
      </c>
      <c r="N398" s="52">
        <f t="shared" si="79"/>
        <v>1.0944287713112157</v>
      </c>
      <c r="O398" s="52">
        <f t="shared" si="80"/>
        <v>1.0944287713112157</v>
      </c>
      <c r="P398" s="30">
        <f t="shared" si="81"/>
        <v>2138843.2422022801</v>
      </c>
      <c r="Q398" s="30">
        <f t="shared" si="82"/>
        <v>2138843.2422022801</v>
      </c>
      <c r="R398" s="30">
        <f t="shared" si="83"/>
        <v>2153980.2865382857</v>
      </c>
      <c r="S398" s="53">
        <f t="shared" si="84"/>
        <v>1.5465098541220625</v>
      </c>
      <c r="T398" s="54">
        <v>1.5465100000000001</v>
      </c>
      <c r="U398" s="55">
        <f t="shared" si="85"/>
        <v>-1.4587793750742151E-7</v>
      </c>
      <c r="V398" s="53">
        <f t="shared" si="86"/>
        <v>1.5465098541220625</v>
      </c>
      <c r="W398" s="53">
        <f t="shared" si="87"/>
        <v>1.5557958400612359</v>
      </c>
      <c r="X398" s="54">
        <v>1.555796</v>
      </c>
      <c r="Y398" s="55">
        <f t="shared" si="88"/>
        <v>-1.5993876401054763E-7</v>
      </c>
      <c r="Z398" s="29">
        <f t="shared" si="89"/>
        <v>4598261.2657352425</v>
      </c>
      <c r="AA398" s="23">
        <f t="shared" si="90"/>
        <v>0</v>
      </c>
    </row>
    <row r="399" spans="1:27" x14ac:dyDescent="0.2">
      <c r="A399" s="27" t="s">
        <v>285</v>
      </c>
      <c r="B399" s="27" t="s">
        <v>153</v>
      </c>
      <c r="C399" s="27" t="s">
        <v>60</v>
      </c>
      <c r="D399" s="51">
        <v>1413043069</v>
      </c>
      <c r="E399" s="51">
        <v>1521161531</v>
      </c>
      <c r="F399" s="45">
        <v>6376710</v>
      </c>
      <c r="G399" s="27" t="s">
        <v>284</v>
      </c>
      <c r="H399" s="51">
        <v>1413043069</v>
      </c>
      <c r="I399" s="51">
        <v>1521161531</v>
      </c>
      <c r="J399" s="45">
        <v>6402249</v>
      </c>
      <c r="K399" s="27" t="s">
        <v>281</v>
      </c>
      <c r="L399" s="45">
        <v>49518288051</v>
      </c>
      <c r="M399" s="27" t="str">
        <f t="shared" si="78"/>
        <v>2026-04|FGP primera parte (60%)</v>
      </c>
      <c r="N399" s="52">
        <f t="shared" si="79"/>
        <v>1.076514626037913</v>
      </c>
      <c r="O399" s="52">
        <f t="shared" si="80"/>
        <v>1.076514626037913</v>
      </c>
      <c r="P399" s="30">
        <f t="shared" si="81"/>
        <v>6864621.5810022205</v>
      </c>
      <c r="Q399" s="30">
        <f t="shared" si="82"/>
        <v>6864621.5810022205</v>
      </c>
      <c r="R399" s="30">
        <f t="shared" si="83"/>
        <v>6892114.6880366029</v>
      </c>
      <c r="S399" s="53">
        <f t="shared" si="84"/>
        <v>4.9635264101486145</v>
      </c>
      <c r="T399" s="54">
        <v>4.9635259999999999</v>
      </c>
      <c r="U399" s="55">
        <f t="shared" si="85"/>
        <v>4.1014861462684848E-7</v>
      </c>
      <c r="V399" s="53">
        <f t="shared" si="86"/>
        <v>4.9635264101486145</v>
      </c>
      <c r="W399" s="53">
        <f t="shared" si="87"/>
        <v>4.978097259239564</v>
      </c>
      <c r="X399" s="54">
        <v>4.978097</v>
      </c>
      <c r="Y399" s="55">
        <f t="shared" si="88"/>
        <v>2.5923956403772763E-7</v>
      </c>
      <c r="Z399" s="29">
        <f t="shared" si="89"/>
        <v>7215235.0243328996</v>
      </c>
      <c r="AA399" s="23">
        <f t="shared" si="90"/>
        <v>0</v>
      </c>
    </row>
    <row r="400" spans="1:27" x14ac:dyDescent="0.2">
      <c r="A400" s="27" t="s">
        <v>285</v>
      </c>
      <c r="B400" s="27" t="s">
        <v>153</v>
      </c>
      <c r="C400" s="27" t="s">
        <v>61</v>
      </c>
      <c r="D400" s="51">
        <v>406787621</v>
      </c>
      <c r="E400" s="51">
        <v>430966290</v>
      </c>
      <c r="F400" s="45">
        <v>3578620</v>
      </c>
      <c r="G400" s="27" t="s">
        <v>284</v>
      </c>
      <c r="H400" s="51">
        <v>406787621</v>
      </c>
      <c r="I400" s="51">
        <v>430966290</v>
      </c>
      <c r="J400" s="45">
        <v>3569633</v>
      </c>
      <c r="K400" s="27" t="s">
        <v>281</v>
      </c>
      <c r="L400" s="45">
        <v>49518288051</v>
      </c>
      <c r="M400" s="27" t="str">
        <f t="shared" si="78"/>
        <v>2026-04|FGP primera parte (60%)</v>
      </c>
      <c r="N400" s="52">
        <f t="shared" si="79"/>
        <v>1.0594380648569441</v>
      </c>
      <c r="O400" s="52">
        <f t="shared" si="80"/>
        <v>1.0594380648569441</v>
      </c>
      <c r="P400" s="30">
        <f t="shared" si="81"/>
        <v>3791326.2476583575</v>
      </c>
      <c r="Q400" s="30">
        <f t="shared" si="82"/>
        <v>3791326.2476583575</v>
      </c>
      <c r="R400" s="30">
        <f t="shared" si="83"/>
        <v>3781805.0777694881</v>
      </c>
      <c r="S400" s="53">
        <f t="shared" si="84"/>
        <v>2.7413525622186534</v>
      </c>
      <c r="T400" s="54">
        <v>2.7413530000000002</v>
      </c>
      <c r="U400" s="55">
        <f t="shared" si="85"/>
        <v>-4.3778134672933788E-7</v>
      </c>
      <c r="V400" s="53">
        <f t="shared" si="86"/>
        <v>2.7413525622186534</v>
      </c>
      <c r="W400" s="53">
        <f t="shared" si="87"/>
        <v>2.7315554579062993</v>
      </c>
      <c r="X400" s="54">
        <v>2.7315550000000002</v>
      </c>
      <c r="Y400" s="55">
        <f t="shared" si="88"/>
        <v>4.5790629910058556E-7</v>
      </c>
      <c r="Z400" s="29">
        <f t="shared" si="89"/>
        <v>-4851358.3340484677</v>
      </c>
      <c r="AA400" s="23">
        <f t="shared" si="90"/>
        <v>0</v>
      </c>
    </row>
    <row r="401" spans="1:27" x14ac:dyDescent="0.2">
      <c r="A401" s="27" t="s">
        <v>285</v>
      </c>
      <c r="B401" s="27" t="s">
        <v>153</v>
      </c>
      <c r="C401" s="27" t="s">
        <v>62</v>
      </c>
      <c r="D401" s="51">
        <v>544779418</v>
      </c>
      <c r="E401" s="51">
        <v>585823220</v>
      </c>
      <c r="F401" s="45">
        <v>3228160</v>
      </c>
      <c r="G401" s="27" t="s">
        <v>284</v>
      </c>
      <c r="H401" s="51">
        <v>544779418</v>
      </c>
      <c r="I401" s="51">
        <v>585823220</v>
      </c>
      <c r="J401" s="45">
        <v>3215821</v>
      </c>
      <c r="K401" s="27" t="s">
        <v>281</v>
      </c>
      <c r="L401" s="45">
        <v>49518288051</v>
      </c>
      <c r="M401" s="27" t="str">
        <f t="shared" si="78"/>
        <v>2026-04|FGP primera parte (60%)</v>
      </c>
      <c r="N401" s="52">
        <f t="shared" si="79"/>
        <v>1.0753402214618908</v>
      </c>
      <c r="O401" s="52">
        <f t="shared" si="80"/>
        <v>1.0753402214618908</v>
      </c>
      <c r="P401" s="30">
        <f t="shared" si="81"/>
        <v>3471370.2893144172</v>
      </c>
      <c r="Q401" s="30">
        <f t="shared" si="82"/>
        <v>3471370.2893144172</v>
      </c>
      <c r="R401" s="30">
        <f t="shared" si="83"/>
        <v>3458101.6663217992</v>
      </c>
      <c r="S401" s="53">
        <f t="shared" si="84"/>
        <v>2.5100055271949553</v>
      </c>
      <c r="T401" s="54">
        <v>2.5100060000000002</v>
      </c>
      <c r="U401" s="55">
        <f t="shared" si="85"/>
        <v>-4.7280504489322084E-7</v>
      </c>
      <c r="V401" s="53">
        <f t="shared" si="86"/>
        <v>2.5100055271949553</v>
      </c>
      <c r="W401" s="53">
        <f t="shared" si="87"/>
        <v>2.4977481087437314</v>
      </c>
      <c r="X401" s="54">
        <v>2.4977480000000001</v>
      </c>
      <c r="Y401" s="55">
        <f t="shared" si="88"/>
        <v>1.0874373135294491E-7</v>
      </c>
      <c r="Z401" s="29">
        <f t="shared" si="89"/>
        <v>-6069663.7762934528</v>
      </c>
      <c r="AA401" s="23">
        <f t="shared" si="90"/>
        <v>0</v>
      </c>
    </row>
    <row r="402" spans="1:27" x14ac:dyDescent="0.2">
      <c r="A402" s="27" t="s">
        <v>285</v>
      </c>
      <c r="B402" s="27" t="s">
        <v>153</v>
      </c>
      <c r="C402" s="27" t="s">
        <v>63</v>
      </c>
      <c r="D402" s="51">
        <v>2396338446</v>
      </c>
      <c r="E402" s="51">
        <v>2528861330</v>
      </c>
      <c r="F402" s="45">
        <v>8761130</v>
      </c>
      <c r="G402" s="27" t="s">
        <v>284</v>
      </c>
      <c r="H402" s="51">
        <v>2396338446</v>
      </c>
      <c r="I402" s="51">
        <v>2528861330</v>
      </c>
      <c r="J402" s="45">
        <v>8750952</v>
      </c>
      <c r="K402" s="27" t="s">
        <v>281</v>
      </c>
      <c r="L402" s="45">
        <v>49518288051</v>
      </c>
      <c r="M402" s="27" t="str">
        <f t="shared" si="78"/>
        <v>2026-04|FGP primera parte (60%)</v>
      </c>
      <c r="N402" s="52">
        <f t="shared" si="79"/>
        <v>1.0553022400576217</v>
      </c>
      <c r="O402" s="52">
        <f t="shared" si="80"/>
        <v>1.0553022400576217</v>
      </c>
      <c r="P402" s="30">
        <f t="shared" si="81"/>
        <v>9245640.1144360323</v>
      </c>
      <c r="Q402" s="30">
        <f t="shared" si="82"/>
        <v>9245640.1144360323</v>
      </c>
      <c r="R402" s="30">
        <f t="shared" si="83"/>
        <v>9234899.2482367251</v>
      </c>
      <c r="S402" s="53">
        <f t="shared" si="84"/>
        <v>6.6851432879760742</v>
      </c>
      <c r="T402" s="54">
        <v>6.6851430000000001</v>
      </c>
      <c r="U402" s="55">
        <f t="shared" si="85"/>
        <v>2.8797607409813963E-7</v>
      </c>
      <c r="V402" s="53">
        <f t="shared" si="86"/>
        <v>6.6851432879760742</v>
      </c>
      <c r="W402" s="53">
        <f t="shared" si="87"/>
        <v>6.6702643118809055</v>
      </c>
      <c r="X402" s="54">
        <v>6.6702640000000004</v>
      </c>
      <c r="Y402" s="55">
        <f t="shared" si="88"/>
        <v>3.1188090510170241E-7</v>
      </c>
      <c r="Z402" s="29">
        <f t="shared" si="89"/>
        <v>-7367814.2418450387</v>
      </c>
      <c r="AA402" s="23">
        <f t="shared" si="90"/>
        <v>0</v>
      </c>
    </row>
    <row r="403" spans="1:27" x14ac:dyDescent="0.2">
      <c r="A403" s="27" t="s">
        <v>285</v>
      </c>
      <c r="B403" s="27" t="s">
        <v>153</v>
      </c>
      <c r="C403" s="27" t="s">
        <v>64</v>
      </c>
      <c r="D403" s="51">
        <v>2883021204</v>
      </c>
      <c r="E403" s="51">
        <v>3052582506</v>
      </c>
      <c r="F403" s="45">
        <v>17789139</v>
      </c>
      <c r="G403" s="27" t="s">
        <v>284</v>
      </c>
      <c r="H403" s="51">
        <v>2883021204</v>
      </c>
      <c r="I403" s="51">
        <v>3052582506</v>
      </c>
      <c r="J403" s="45">
        <v>17753727</v>
      </c>
      <c r="K403" s="27" t="s">
        <v>281</v>
      </c>
      <c r="L403" s="45">
        <v>49518288051</v>
      </c>
      <c r="M403" s="27" t="str">
        <f t="shared" si="78"/>
        <v>2026-04|FGP primera parte (60%)</v>
      </c>
      <c r="N403" s="52">
        <f t="shared" si="79"/>
        <v>1.0588137547392107</v>
      </c>
      <c r="O403" s="52">
        <f t="shared" si="80"/>
        <v>1.0588137547392107</v>
      </c>
      <c r="P403" s="30">
        <f t="shared" si="81"/>
        <v>18835385.05816773</v>
      </c>
      <c r="Q403" s="30">
        <f t="shared" si="82"/>
        <v>18835385.05816773</v>
      </c>
      <c r="R403" s="30">
        <f t="shared" si="83"/>
        <v>18797890.345484901</v>
      </c>
      <c r="S403" s="53">
        <f t="shared" si="84"/>
        <v>13.619094669437667</v>
      </c>
      <c r="T403" s="54">
        <v>13.619095</v>
      </c>
      <c r="U403" s="55">
        <f t="shared" si="85"/>
        <v>-3.3056233306183458E-7</v>
      </c>
      <c r="V403" s="53">
        <f t="shared" si="86"/>
        <v>13.619094669437667</v>
      </c>
      <c r="W403" s="53">
        <f t="shared" si="87"/>
        <v>13.577505692233666</v>
      </c>
      <c r="X403" s="54">
        <v>13.577506</v>
      </c>
      <c r="Y403" s="55">
        <f t="shared" si="88"/>
        <v>-3.0776633330731329E-7</v>
      </c>
      <c r="Z403" s="29">
        <f t="shared" si="89"/>
        <v>-20594149.529341616</v>
      </c>
      <c r="AA403" s="23">
        <f t="shared" si="90"/>
        <v>0</v>
      </c>
    </row>
    <row r="404" spans="1:27" x14ac:dyDescent="0.2">
      <c r="A404" s="27" t="s">
        <v>285</v>
      </c>
      <c r="B404" s="27" t="s">
        <v>153</v>
      </c>
      <c r="C404" s="27" t="s">
        <v>65</v>
      </c>
      <c r="D404" s="51">
        <v>881074925</v>
      </c>
      <c r="E404" s="51">
        <v>922949796</v>
      </c>
      <c r="F404" s="45">
        <v>4940153</v>
      </c>
      <c r="G404" s="27" t="s">
        <v>284</v>
      </c>
      <c r="H404" s="51">
        <v>881074925</v>
      </c>
      <c r="I404" s="51">
        <v>922949796</v>
      </c>
      <c r="J404" s="45">
        <v>4945881</v>
      </c>
      <c r="K404" s="27" t="s">
        <v>281</v>
      </c>
      <c r="L404" s="45">
        <v>49518288051</v>
      </c>
      <c r="M404" s="27" t="str">
        <f t="shared" si="78"/>
        <v>2026-04|FGP primera parte (60%)</v>
      </c>
      <c r="N404" s="52">
        <f t="shared" si="79"/>
        <v>1.0475270261493368</v>
      </c>
      <c r="O404" s="52">
        <f t="shared" si="80"/>
        <v>1.0475270261493368</v>
      </c>
      <c r="P404" s="30">
        <f t="shared" si="81"/>
        <v>5174943.7808127245</v>
      </c>
      <c r="Q404" s="30">
        <f t="shared" si="82"/>
        <v>5174943.7808127245</v>
      </c>
      <c r="R404" s="30">
        <f t="shared" si="83"/>
        <v>5180944.0156185078</v>
      </c>
      <c r="S404" s="53">
        <f t="shared" si="84"/>
        <v>3.7417896709971568</v>
      </c>
      <c r="T404" s="54">
        <v>3.7417899999999999</v>
      </c>
      <c r="U404" s="55">
        <f t="shared" si="85"/>
        <v>-3.2900284319126172E-7</v>
      </c>
      <c r="V404" s="53">
        <f t="shared" si="86"/>
        <v>3.7417896709971568</v>
      </c>
      <c r="W404" s="53">
        <f t="shared" si="87"/>
        <v>3.7421378447449216</v>
      </c>
      <c r="X404" s="54">
        <v>3.7421380000000002</v>
      </c>
      <c r="Y404" s="55">
        <f t="shared" si="88"/>
        <v>-1.5525507857105936E-7</v>
      </c>
      <c r="Z404" s="29">
        <f t="shared" si="89"/>
        <v>172409.67933616418</v>
      </c>
      <c r="AA404" s="23">
        <f t="shared" si="90"/>
        <v>0</v>
      </c>
    </row>
    <row r="405" spans="1:27" x14ac:dyDescent="0.2">
      <c r="A405" s="27" t="s">
        <v>285</v>
      </c>
      <c r="B405" s="27" t="s">
        <v>153</v>
      </c>
      <c r="C405" s="27" t="s">
        <v>66</v>
      </c>
      <c r="D405" s="51">
        <v>341344156</v>
      </c>
      <c r="E405" s="51">
        <v>355087156</v>
      </c>
      <c r="F405" s="45">
        <v>1984462</v>
      </c>
      <c r="G405" s="27" t="s">
        <v>284</v>
      </c>
      <c r="H405" s="51">
        <v>341344156</v>
      </c>
      <c r="I405" s="51">
        <v>355087156</v>
      </c>
      <c r="J405" s="45">
        <v>1988503</v>
      </c>
      <c r="K405" s="27" t="s">
        <v>281</v>
      </c>
      <c r="L405" s="45">
        <v>49518288051</v>
      </c>
      <c r="M405" s="27" t="str">
        <f t="shared" si="78"/>
        <v>2026-04|FGP primera parte (60%)</v>
      </c>
      <c r="N405" s="52">
        <f t="shared" si="79"/>
        <v>1.0402614187424377</v>
      </c>
      <c r="O405" s="52">
        <f t="shared" si="80"/>
        <v>1.0402614187424377</v>
      </c>
      <c r="P405" s="30">
        <f t="shared" si="81"/>
        <v>2064359.2555604554</v>
      </c>
      <c r="Q405" s="30">
        <f t="shared" si="82"/>
        <v>2064359.2555604554</v>
      </c>
      <c r="R405" s="30">
        <f t="shared" si="83"/>
        <v>2068562.9519535936</v>
      </c>
      <c r="S405" s="53">
        <f t="shared" si="84"/>
        <v>1.4926535372854572</v>
      </c>
      <c r="T405" s="54">
        <v>1.4926539999999999</v>
      </c>
      <c r="U405" s="55">
        <f t="shared" si="85"/>
        <v>-4.6271454268165257E-7</v>
      </c>
      <c r="V405" s="53">
        <f t="shared" si="86"/>
        <v>1.4926535372854572</v>
      </c>
      <c r="W405" s="53">
        <f t="shared" si="87"/>
        <v>1.4940998558191718</v>
      </c>
      <c r="X405" s="54">
        <v>1.4941</v>
      </c>
      <c r="Y405" s="55">
        <f t="shared" si="88"/>
        <v>-1.441808281654744E-7</v>
      </c>
      <c r="Z405" s="29">
        <f t="shared" si="89"/>
        <v>716192.17765978258</v>
      </c>
      <c r="AA405" s="23">
        <f t="shared" si="90"/>
        <v>0</v>
      </c>
    </row>
    <row r="406" spans="1:27" x14ac:dyDescent="0.2">
      <c r="A406" s="27" t="s">
        <v>285</v>
      </c>
      <c r="B406" s="27" t="s">
        <v>153</v>
      </c>
      <c r="C406" s="27" t="s">
        <v>67</v>
      </c>
      <c r="D406" s="51">
        <v>218524605</v>
      </c>
      <c r="E406" s="51">
        <v>226764339</v>
      </c>
      <c r="F406" s="45">
        <v>1257616</v>
      </c>
      <c r="G406" s="27" t="s">
        <v>284</v>
      </c>
      <c r="H406" s="51">
        <v>218524605</v>
      </c>
      <c r="I406" s="51">
        <v>226764339</v>
      </c>
      <c r="J406" s="45">
        <v>1279298</v>
      </c>
      <c r="K406" s="27" t="s">
        <v>281</v>
      </c>
      <c r="L406" s="45">
        <v>49518288051</v>
      </c>
      <c r="M406" s="27" t="str">
        <f t="shared" si="78"/>
        <v>2026-04|FGP primera parte (60%)</v>
      </c>
      <c r="N406" s="52">
        <f t="shared" si="79"/>
        <v>1.0377062070424519</v>
      </c>
      <c r="O406" s="52">
        <f t="shared" si="80"/>
        <v>1.0377062070424519</v>
      </c>
      <c r="P406" s="30">
        <f t="shared" si="81"/>
        <v>1305035.9292759001</v>
      </c>
      <c r="Q406" s="30">
        <f t="shared" si="82"/>
        <v>1305035.9292759001</v>
      </c>
      <c r="R406" s="30">
        <f t="shared" si="83"/>
        <v>1327535.4752569946</v>
      </c>
      <c r="S406" s="53">
        <f t="shared" si="84"/>
        <v>0.94361797292372462</v>
      </c>
      <c r="T406" s="54">
        <v>0.94361799999999996</v>
      </c>
      <c r="U406" s="55">
        <f t="shared" si="85"/>
        <v>-2.7076275332937882E-8</v>
      </c>
      <c r="V406" s="53">
        <f t="shared" si="86"/>
        <v>0.94361797292372462</v>
      </c>
      <c r="W406" s="53">
        <f t="shared" si="87"/>
        <v>0.95886400764505675</v>
      </c>
      <c r="X406" s="54">
        <v>0.95886400000000005</v>
      </c>
      <c r="Y406" s="55">
        <f t="shared" si="88"/>
        <v>7.6450566988128799E-9</v>
      </c>
      <c r="Z406" s="29">
        <f t="shared" si="89"/>
        <v>7549575.3896647161</v>
      </c>
      <c r="AA406" s="23">
        <f t="shared" si="90"/>
        <v>0</v>
      </c>
    </row>
    <row r="407" spans="1:27" x14ac:dyDescent="0.2">
      <c r="A407" s="27" t="s">
        <v>285</v>
      </c>
      <c r="B407" s="27" t="s">
        <v>153</v>
      </c>
      <c r="C407" s="27" t="s">
        <v>68</v>
      </c>
      <c r="D407" s="51">
        <v>2508047719</v>
      </c>
      <c r="E407" s="51">
        <v>2698173018</v>
      </c>
      <c r="F407" s="45">
        <v>6310265</v>
      </c>
      <c r="G407" s="27" t="s">
        <v>284</v>
      </c>
      <c r="H407" s="51">
        <v>2508047719</v>
      </c>
      <c r="I407" s="51">
        <v>2698173018</v>
      </c>
      <c r="J407" s="45">
        <v>6234433</v>
      </c>
      <c r="K407" s="27" t="s">
        <v>281</v>
      </c>
      <c r="L407" s="45">
        <v>49518288051</v>
      </c>
      <c r="M407" s="27" t="str">
        <f t="shared" si="78"/>
        <v>2026-04|FGP primera parte (60%)</v>
      </c>
      <c r="N407" s="52">
        <f t="shared" si="79"/>
        <v>1.0758060931455506</v>
      </c>
      <c r="O407" s="52">
        <f t="shared" si="80"/>
        <v>1.0758060931455506</v>
      </c>
      <c r="P407" s="30">
        <f t="shared" si="81"/>
        <v>6788621.5363631081</v>
      </c>
      <c r="Q407" s="30">
        <f t="shared" si="82"/>
        <v>6788621.5363631081</v>
      </c>
      <c r="R407" s="30">
        <f t="shared" si="83"/>
        <v>6707041.0087076947</v>
      </c>
      <c r="S407" s="53">
        <f t="shared" si="84"/>
        <v>4.9085738939337826</v>
      </c>
      <c r="T407" s="54">
        <v>4.9085739999999998</v>
      </c>
      <c r="U407" s="55">
        <f t="shared" si="85"/>
        <v>-1.0606621714259745E-7</v>
      </c>
      <c r="V407" s="53">
        <f t="shared" si="86"/>
        <v>4.9085738939337826</v>
      </c>
      <c r="W407" s="53">
        <f t="shared" si="87"/>
        <v>4.8444206131698389</v>
      </c>
      <c r="X407" s="54">
        <v>4.8444209999999996</v>
      </c>
      <c r="Y407" s="55">
        <f t="shared" si="88"/>
        <v>-3.8683016079232857E-7</v>
      </c>
      <c r="Z407" s="29">
        <f t="shared" si="89"/>
        <v>-31767606.362856451</v>
      </c>
      <c r="AA407" s="23">
        <f t="shared" si="90"/>
        <v>0</v>
      </c>
    </row>
    <row r="408" spans="1:27" x14ac:dyDescent="0.2">
      <c r="A408" s="27" t="s">
        <v>285</v>
      </c>
      <c r="B408" s="27" t="s">
        <v>153</v>
      </c>
      <c r="C408" s="27" t="s">
        <v>69</v>
      </c>
      <c r="D408" s="51">
        <v>575507319</v>
      </c>
      <c r="E408" s="51">
        <v>631307638</v>
      </c>
      <c r="F408" s="45">
        <v>4190375</v>
      </c>
      <c r="G408" s="27" t="s">
        <v>284</v>
      </c>
      <c r="H408" s="51">
        <v>575507319</v>
      </c>
      <c r="I408" s="51">
        <v>631307638</v>
      </c>
      <c r="J408" s="45">
        <v>4178688</v>
      </c>
      <c r="K408" s="27" t="s">
        <v>281</v>
      </c>
      <c r="L408" s="45">
        <v>49518288051</v>
      </c>
      <c r="M408" s="27" t="str">
        <f t="shared" si="78"/>
        <v>2026-04|FGP primera parte (60%)</v>
      </c>
      <c r="N408" s="52">
        <f t="shared" si="79"/>
        <v>1.0969584871604388</v>
      </c>
      <c r="O408" s="52">
        <f t="shared" si="80"/>
        <v>1.0969584871604388</v>
      </c>
      <c r="P408" s="30">
        <f t="shared" si="81"/>
        <v>4596667.4206349235</v>
      </c>
      <c r="Q408" s="30">
        <f t="shared" si="82"/>
        <v>4596667.4206349235</v>
      </c>
      <c r="R408" s="30">
        <f t="shared" si="83"/>
        <v>4583847.2667954797</v>
      </c>
      <c r="S408" s="53">
        <f t="shared" si="84"/>
        <v>3.3236617447541965</v>
      </c>
      <c r="T408" s="54">
        <v>3.3236620000000001</v>
      </c>
      <c r="U408" s="55">
        <f t="shared" si="85"/>
        <v>-2.5524580360425375E-7</v>
      </c>
      <c r="V408" s="53">
        <f t="shared" si="86"/>
        <v>3.3236617447541965</v>
      </c>
      <c r="W408" s="53">
        <f t="shared" si="87"/>
        <v>3.310861549535224</v>
      </c>
      <c r="X408" s="54">
        <v>3.3108620000000002</v>
      </c>
      <c r="Y408" s="55">
        <f t="shared" si="88"/>
        <v>-4.5046477614718583E-7</v>
      </c>
      <c r="Z408" s="29">
        <f t="shared" si="89"/>
        <v>-6338437.5396211157</v>
      </c>
      <c r="AA408" s="23">
        <f t="shared" si="90"/>
        <v>0</v>
      </c>
    </row>
    <row r="409" spans="1:27" x14ac:dyDescent="0.2">
      <c r="A409" s="27" t="s">
        <v>285</v>
      </c>
      <c r="B409" s="27" t="s">
        <v>153</v>
      </c>
      <c r="C409" s="27" t="s">
        <v>70</v>
      </c>
      <c r="D409" s="51">
        <v>1101798435</v>
      </c>
      <c r="E409" s="51">
        <v>1184829794</v>
      </c>
      <c r="F409" s="45">
        <v>6624540</v>
      </c>
      <c r="G409" s="27" t="s">
        <v>284</v>
      </c>
      <c r="H409" s="51">
        <v>1101798435</v>
      </c>
      <c r="I409" s="51">
        <v>1184829794</v>
      </c>
      <c r="J409" s="45">
        <v>6638706</v>
      </c>
      <c r="K409" s="27" t="s">
        <v>281</v>
      </c>
      <c r="L409" s="45">
        <v>49518288051</v>
      </c>
      <c r="M409" s="27" t="str">
        <f t="shared" si="78"/>
        <v>2026-04|FGP primera parte (60%)</v>
      </c>
      <c r="N409" s="52">
        <f t="shared" si="79"/>
        <v>1.0753598447432902</v>
      </c>
      <c r="O409" s="52">
        <f t="shared" si="80"/>
        <v>1.0753598447432902</v>
      </c>
      <c r="P409" s="30">
        <f t="shared" si="81"/>
        <v>7123764.305895715</v>
      </c>
      <c r="Q409" s="30">
        <f t="shared" si="82"/>
        <v>7123764.305895715</v>
      </c>
      <c r="R409" s="30">
        <f t="shared" si="83"/>
        <v>7138997.8534563491</v>
      </c>
      <c r="S409" s="53">
        <f t="shared" si="84"/>
        <v>5.1509018894563816</v>
      </c>
      <c r="T409" s="54">
        <v>5.1509020000000003</v>
      </c>
      <c r="U409" s="55">
        <f t="shared" si="85"/>
        <v>-1.1054361870321827E-7</v>
      </c>
      <c r="V409" s="53">
        <f t="shared" si="86"/>
        <v>5.1509018894563816</v>
      </c>
      <c r="W409" s="53">
        <f t="shared" si="87"/>
        <v>5.156418204951879</v>
      </c>
      <c r="X409" s="54">
        <v>5.1564180000000004</v>
      </c>
      <c r="Y409" s="55">
        <f t="shared" si="88"/>
        <v>2.0495187857960673E-7</v>
      </c>
      <c r="Z409" s="29">
        <f t="shared" si="89"/>
        <v>2731584.99686233</v>
      </c>
      <c r="AA409" s="23">
        <f t="shared" si="90"/>
        <v>0</v>
      </c>
    </row>
    <row r="410" spans="1:27" x14ac:dyDescent="0.2">
      <c r="A410" s="27" t="s">
        <v>285</v>
      </c>
      <c r="B410" s="27" t="s">
        <v>153</v>
      </c>
      <c r="C410" s="27" t="s">
        <v>71</v>
      </c>
      <c r="D410" s="51">
        <v>771420538</v>
      </c>
      <c r="E410" s="51">
        <v>800779464</v>
      </c>
      <c r="F410" s="45">
        <v>2498744</v>
      </c>
      <c r="G410" s="27" t="s">
        <v>284</v>
      </c>
      <c r="H410" s="51">
        <v>771420538</v>
      </c>
      <c r="I410" s="51">
        <v>800779464</v>
      </c>
      <c r="J410" s="45">
        <v>2535155</v>
      </c>
      <c r="K410" s="27" t="s">
        <v>281</v>
      </c>
      <c r="L410" s="45">
        <v>49518288051</v>
      </c>
      <c r="M410" s="27" t="str">
        <f t="shared" si="78"/>
        <v>2026-04|FGP primera parte (60%)</v>
      </c>
      <c r="N410" s="52">
        <f t="shared" si="79"/>
        <v>1.0380582633645152</v>
      </c>
      <c r="O410" s="52">
        <f t="shared" si="80"/>
        <v>1.0380582633645152</v>
      </c>
      <c r="P410" s="30">
        <f t="shared" si="81"/>
        <v>2593841.8572325022</v>
      </c>
      <c r="Q410" s="30">
        <f t="shared" si="82"/>
        <v>2593841.8572325022</v>
      </c>
      <c r="R410" s="30">
        <f t="shared" si="83"/>
        <v>2631638.5966598676</v>
      </c>
      <c r="S410" s="53">
        <f t="shared" si="84"/>
        <v>1.8755006973367336</v>
      </c>
      <c r="T410" s="54">
        <v>1.8755010000000001</v>
      </c>
      <c r="U410" s="55">
        <f t="shared" si="85"/>
        <v>-3.0266326644934338E-7</v>
      </c>
      <c r="V410" s="53">
        <f t="shared" si="86"/>
        <v>1.8755006973367336</v>
      </c>
      <c r="W410" s="53">
        <f t="shared" si="87"/>
        <v>1.900803088503678</v>
      </c>
      <c r="X410" s="54">
        <v>1.900803</v>
      </c>
      <c r="Y410" s="55">
        <f t="shared" si="88"/>
        <v>8.8503677941886849E-8</v>
      </c>
      <c r="Z410" s="29">
        <f t="shared" si="89"/>
        <v>12529310.941838274</v>
      </c>
      <c r="AA410" s="23">
        <f t="shared" si="90"/>
        <v>0</v>
      </c>
    </row>
    <row r="411" spans="1:27" x14ac:dyDescent="0.2">
      <c r="A411" s="27" t="s">
        <v>285</v>
      </c>
      <c r="B411" s="27" t="s">
        <v>153</v>
      </c>
      <c r="C411" s="27" t="s">
        <v>72</v>
      </c>
      <c r="D411" s="51">
        <v>506151626</v>
      </c>
      <c r="E411" s="51">
        <v>512293497</v>
      </c>
      <c r="F411" s="45">
        <v>1920249</v>
      </c>
      <c r="G411" s="27" t="s">
        <v>284</v>
      </c>
      <c r="H411" s="51">
        <v>506151626</v>
      </c>
      <c r="I411" s="51">
        <v>512293497</v>
      </c>
      <c r="J411" s="45">
        <v>1975372</v>
      </c>
      <c r="K411" s="27" t="s">
        <v>281</v>
      </c>
      <c r="L411" s="45">
        <v>49518288051</v>
      </c>
      <c r="M411" s="27" t="str">
        <f t="shared" si="78"/>
        <v>2026-04|FGP primera parte (60%)</v>
      </c>
      <c r="N411" s="52">
        <f t="shared" si="79"/>
        <v>1.0121344488183073</v>
      </c>
      <c r="O411" s="52">
        <f t="shared" si="80"/>
        <v>1.0121344488183073</v>
      </c>
      <c r="P411" s="30">
        <f t="shared" si="81"/>
        <v>1943550.1632089058</v>
      </c>
      <c r="Q411" s="30">
        <f t="shared" si="82"/>
        <v>1943550.1632089058</v>
      </c>
      <c r="R411" s="30">
        <f t="shared" si="83"/>
        <v>1999342.0504311172</v>
      </c>
      <c r="S411" s="53">
        <f t="shared" si="84"/>
        <v>1.4053014358772027</v>
      </c>
      <c r="T411" s="54">
        <v>1.4053009999999999</v>
      </c>
      <c r="U411" s="55">
        <f t="shared" si="85"/>
        <v>4.3587720277571407E-7</v>
      </c>
      <c r="V411" s="53">
        <f t="shared" si="86"/>
        <v>1.4053014358772027</v>
      </c>
      <c r="W411" s="53">
        <f t="shared" si="87"/>
        <v>1.4441023738055205</v>
      </c>
      <c r="X411" s="54">
        <v>1.444102</v>
      </c>
      <c r="Y411" s="55">
        <f t="shared" si="88"/>
        <v>3.7380552053711824E-7</v>
      </c>
      <c r="Z411" s="29">
        <f t="shared" si="89"/>
        <v>19213560.209834144</v>
      </c>
      <c r="AA411" s="23">
        <f t="shared" si="90"/>
        <v>0</v>
      </c>
    </row>
    <row r="412" spans="1:27" x14ac:dyDescent="0.2">
      <c r="A412" s="27" t="s">
        <v>285</v>
      </c>
      <c r="B412" s="27" t="s">
        <v>153</v>
      </c>
      <c r="C412" s="27" t="s">
        <v>73</v>
      </c>
      <c r="D412" s="51">
        <v>749045737</v>
      </c>
      <c r="E412" s="51">
        <v>776825450</v>
      </c>
      <c r="F412" s="45">
        <v>2924773</v>
      </c>
      <c r="G412" s="27" t="s">
        <v>284</v>
      </c>
      <c r="H412" s="51">
        <v>749045737</v>
      </c>
      <c r="I412" s="51">
        <v>776825450</v>
      </c>
      <c r="J412" s="45">
        <v>2951151</v>
      </c>
      <c r="K412" s="27" t="s">
        <v>281</v>
      </c>
      <c r="L412" s="45">
        <v>49518288051</v>
      </c>
      <c r="M412" s="27" t="str">
        <f t="shared" si="78"/>
        <v>2026-04|FGP primera parte (60%)</v>
      </c>
      <c r="N412" s="52">
        <f t="shared" si="79"/>
        <v>1.0370868047540867</v>
      </c>
      <c r="O412" s="52">
        <f t="shared" si="80"/>
        <v>1.0370868047540867</v>
      </c>
      <c r="P412" s="30">
        <f t="shared" si="81"/>
        <v>3033243.4852010245</v>
      </c>
      <c r="Q412" s="30">
        <f t="shared" si="82"/>
        <v>3033243.4852010245</v>
      </c>
      <c r="R412" s="30">
        <f t="shared" si="83"/>
        <v>3060599.7609368274</v>
      </c>
      <c r="S412" s="53">
        <f t="shared" si="84"/>
        <v>2.1932139986962582</v>
      </c>
      <c r="T412" s="54">
        <v>2.1932140000000002</v>
      </c>
      <c r="U412" s="55">
        <f t="shared" si="85"/>
        <v>-1.3037420032446789E-9</v>
      </c>
      <c r="V412" s="53">
        <f t="shared" si="86"/>
        <v>2.1932139986962582</v>
      </c>
      <c r="W412" s="53">
        <f t="shared" si="87"/>
        <v>2.2106369338275247</v>
      </c>
      <c r="X412" s="54">
        <v>2.2106370000000002</v>
      </c>
      <c r="Y412" s="55">
        <f t="shared" si="88"/>
        <v>-6.6172475499115535E-8</v>
      </c>
      <c r="Z412" s="29">
        <f t="shared" si="89"/>
        <v>8627539.2052394059</v>
      </c>
      <c r="AA412" s="23">
        <f t="shared" si="90"/>
        <v>0</v>
      </c>
    </row>
    <row r="413" spans="1:27" x14ac:dyDescent="0.2">
      <c r="A413" s="27" t="s">
        <v>285</v>
      </c>
      <c r="B413" s="27" t="s">
        <v>153</v>
      </c>
      <c r="C413" s="27" t="s">
        <v>74</v>
      </c>
      <c r="D413" s="51">
        <v>691765006</v>
      </c>
      <c r="E413" s="51">
        <v>708269470</v>
      </c>
      <c r="F413" s="45">
        <v>3135869</v>
      </c>
      <c r="G413" s="27" t="s">
        <v>284</v>
      </c>
      <c r="H413" s="51">
        <v>691765006</v>
      </c>
      <c r="I413" s="51">
        <v>708269470</v>
      </c>
      <c r="J413" s="45">
        <v>3085699</v>
      </c>
      <c r="K413" s="27" t="s">
        <v>281</v>
      </c>
      <c r="L413" s="45">
        <v>49518288051</v>
      </c>
      <c r="M413" s="27" t="str">
        <f t="shared" si="78"/>
        <v>2026-04|FGP primera parte (60%)</v>
      </c>
      <c r="N413" s="52">
        <f t="shared" si="79"/>
        <v>1.0238584835267022</v>
      </c>
      <c r="O413" s="52">
        <f t="shared" si="80"/>
        <v>1.0238584835267022</v>
      </c>
      <c r="P413" s="30">
        <f t="shared" si="81"/>
        <v>3210686.0788783962</v>
      </c>
      <c r="Q413" s="30">
        <f t="shared" si="82"/>
        <v>3210686.0788783962</v>
      </c>
      <c r="R413" s="30">
        <f t="shared" si="83"/>
        <v>3159319.0987598612</v>
      </c>
      <c r="S413" s="53">
        <f t="shared" si="84"/>
        <v>2.321515462893549</v>
      </c>
      <c r="T413" s="54">
        <v>2.3215150000000002</v>
      </c>
      <c r="U413" s="55">
        <f t="shared" si="85"/>
        <v>4.628935488248942E-7</v>
      </c>
      <c r="V413" s="53">
        <f t="shared" si="86"/>
        <v>2.321515462893549</v>
      </c>
      <c r="W413" s="53">
        <f t="shared" si="87"/>
        <v>2.2819408060488948</v>
      </c>
      <c r="X413" s="54">
        <v>2.2819410000000002</v>
      </c>
      <c r="Y413" s="55">
        <f t="shared" si="88"/>
        <v>-1.9395110539832672E-7</v>
      </c>
      <c r="Z413" s="29">
        <f t="shared" si="89"/>
        <v>-19596692.571530666</v>
      </c>
      <c r="AA413" s="23">
        <f t="shared" si="90"/>
        <v>0</v>
      </c>
    </row>
    <row r="414" spans="1:27" x14ac:dyDescent="0.2">
      <c r="A414" s="27" t="s">
        <v>285</v>
      </c>
      <c r="B414" s="27" t="s">
        <v>153</v>
      </c>
      <c r="C414" s="27" t="s">
        <v>75</v>
      </c>
      <c r="D414" s="51">
        <v>1066140938</v>
      </c>
      <c r="E414" s="51">
        <v>1101556783</v>
      </c>
      <c r="F414" s="45">
        <v>3032476</v>
      </c>
      <c r="G414" s="27" t="s">
        <v>284</v>
      </c>
      <c r="H414" s="51">
        <v>1066140938</v>
      </c>
      <c r="I414" s="51">
        <v>1101556783</v>
      </c>
      <c r="J414" s="45">
        <v>3035624</v>
      </c>
      <c r="K414" s="27" t="s">
        <v>281</v>
      </c>
      <c r="L414" s="45">
        <v>49518288051</v>
      </c>
      <c r="M414" s="27" t="str">
        <f t="shared" si="78"/>
        <v>2026-04|FGP primera parte (60%)</v>
      </c>
      <c r="N414" s="52">
        <f t="shared" si="79"/>
        <v>1.0332187272223479</v>
      </c>
      <c r="O414" s="52">
        <f t="shared" si="80"/>
        <v>1.0332187272223479</v>
      </c>
      <c r="P414" s="30">
        <f t="shared" si="81"/>
        <v>3133210.9930523164</v>
      </c>
      <c r="Q414" s="30">
        <f t="shared" si="82"/>
        <v>3133210.9930523164</v>
      </c>
      <c r="R414" s="30">
        <f t="shared" si="83"/>
        <v>3136463.5656056125</v>
      </c>
      <c r="S414" s="53">
        <f t="shared" si="84"/>
        <v>2.2654964048743111</v>
      </c>
      <c r="T414" s="54">
        <v>2.2654960000000002</v>
      </c>
      <c r="U414" s="55">
        <f t="shared" si="85"/>
        <v>4.0487431096636328E-7</v>
      </c>
      <c r="V414" s="53">
        <f t="shared" si="86"/>
        <v>2.2654964048743111</v>
      </c>
      <c r="W414" s="53">
        <f t="shared" si="87"/>
        <v>2.2654325103945698</v>
      </c>
      <c r="X414" s="54">
        <v>2.2654329999999998</v>
      </c>
      <c r="Y414" s="55">
        <f t="shared" si="88"/>
        <v>-4.8960542997633638E-7</v>
      </c>
      <c r="Z414" s="29">
        <f t="shared" si="89"/>
        <v>-31639.45252699023</v>
      </c>
      <c r="AA414" s="23">
        <f t="shared" si="90"/>
        <v>0</v>
      </c>
    </row>
    <row r="415" spans="1:27" x14ac:dyDescent="0.2">
      <c r="A415" s="27" t="s">
        <v>285</v>
      </c>
      <c r="B415" s="27" t="s">
        <v>153</v>
      </c>
      <c r="C415" s="27" t="s">
        <v>76</v>
      </c>
      <c r="D415" s="51">
        <v>755926952</v>
      </c>
      <c r="E415" s="51">
        <v>696392466</v>
      </c>
      <c r="F415" s="45">
        <v>2567516</v>
      </c>
      <c r="G415" s="27" t="s">
        <v>284</v>
      </c>
      <c r="H415" s="51">
        <v>755926952</v>
      </c>
      <c r="I415" s="51">
        <v>696392466</v>
      </c>
      <c r="J415" s="45">
        <v>2578825</v>
      </c>
      <c r="K415" s="27" t="s">
        <v>281</v>
      </c>
      <c r="L415" s="45">
        <v>49518288051</v>
      </c>
      <c r="M415" s="27" t="str">
        <f t="shared" si="78"/>
        <v>2026-04|FGP primera parte (60%)</v>
      </c>
      <c r="N415" s="52">
        <f t="shared" si="79"/>
        <v>0.92124307005791217</v>
      </c>
      <c r="O415" s="52">
        <f t="shared" si="80"/>
        <v>0.92124307005791217</v>
      </c>
      <c r="P415" s="30">
        <f t="shared" si="81"/>
        <v>2365306.3222628105</v>
      </c>
      <c r="Q415" s="30">
        <f t="shared" si="82"/>
        <v>2365306.3222628105</v>
      </c>
      <c r="R415" s="30">
        <f t="shared" si="83"/>
        <v>2375724.6601420953</v>
      </c>
      <c r="S415" s="53">
        <f t="shared" si="84"/>
        <v>1.7102560221431602</v>
      </c>
      <c r="T415" s="54">
        <v>1.710256</v>
      </c>
      <c r="U415" s="55">
        <f t="shared" si="85"/>
        <v>2.2143160194332268E-8</v>
      </c>
      <c r="V415" s="53">
        <f t="shared" si="86"/>
        <v>1.7102560221431602</v>
      </c>
      <c r="W415" s="53">
        <f t="shared" si="87"/>
        <v>1.715959317956492</v>
      </c>
      <c r="X415" s="54">
        <v>1.715959</v>
      </c>
      <c r="Y415" s="55">
        <f t="shared" si="88"/>
        <v>3.1795649202415177E-7</v>
      </c>
      <c r="Z415" s="29">
        <f t="shared" si="89"/>
        <v>2824174.4492462855</v>
      </c>
      <c r="AA415" s="23">
        <f t="shared" si="90"/>
        <v>0</v>
      </c>
    </row>
    <row r="416" spans="1:27" x14ac:dyDescent="0.2">
      <c r="A416" s="27" t="s">
        <v>285</v>
      </c>
      <c r="B416" s="27" t="s">
        <v>153</v>
      </c>
      <c r="C416" s="27" t="s">
        <v>77</v>
      </c>
      <c r="D416" s="51">
        <v>944396524</v>
      </c>
      <c r="E416" s="51">
        <v>1003380332</v>
      </c>
      <c r="F416" s="45">
        <v>3597414</v>
      </c>
      <c r="G416" s="27" t="s">
        <v>284</v>
      </c>
      <c r="H416" s="51">
        <v>944396524</v>
      </c>
      <c r="I416" s="51">
        <v>1003380332</v>
      </c>
      <c r="J416" s="45">
        <v>3602540</v>
      </c>
      <c r="K416" s="27" t="s">
        <v>281</v>
      </c>
      <c r="L416" s="45">
        <v>49518288051</v>
      </c>
      <c r="M416" s="27" t="str">
        <f t="shared" si="78"/>
        <v>2026-04|FGP primera parte (60%)</v>
      </c>
      <c r="N416" s="52">
        <f t="shared" si="79"/>
        <v>1.0624566127691508</v>
      </c>
      <c r="O416" s="52">
        <f t="shared" si="80"/>
        <v>1.0624566127691508</v>
      </c>
      <c r="P416" s="30">
        <f t="shared" si="81"/>
        <v>3822096.2931683217</v>
      </c>
      <c r="Q416" s="30">
        <f t="shared" si="82"/>
        <v>3822096.2931683217</v>
      </c>
      <c r="R416" s="30">
        <f t="shared" si="83"/>
        <v>3827542.4457653766</v>
      </c>
      <c r="S416" s="53">
        <f t="shared" si="84"/>
        <v>2.7636011205299895</v>
      </c>
      <c r="T416" s="54">
        <v>2.763601</v>
      </c>
      <c r="U416" s="55">
        <f t="shared" si="85"/>
        <v>1.2052998954459326E-7</v>
      </c>
      <c r="V416" s="53">
        <f t="shared" si="86"/>
        <v>2.7636011205299895</v>
      </c>
      <c r="W416" s="53">
        <f t="shared" si="87"/>
        <v>2.7645910466292176</v>
      </c>
      <c r="X416" s="54">
        <v>2.7645909999999998</v>
      </c>
      <c r="Y416" s="55">
        <f t="shared" si="88"/>
        <v>4.6629217820282065E-8</v>
      </c>
      <c r="Z416" s="29">
        <f t="shared" si="89"/>
        <v>490194.45730779867</v>
      </c>
      <c r="AA416" s="23">
        <f t="shared" si="90"/>
        <v>0</v>
      </c>
    </row>
    <row r="417" spans="1:27" x14ac:dyDescent="0.2">
      <c r="A417" s="27" t="s">
        <v>285</v>
      </c>
      <c r="B417" s="27" t="s">
        <v>153</v>
      </c>
      <c r="C417" s="27" t="s">
        <v>78</v>
      </c>
      <c r="D417" s="51">
        <v>190382859</v>
      </c>
      <c r="E417" s="51">
        <v>199483012</v>
      </c>
      <c r="F417" s="45">
        <v>1449354</v>
      </c>
      <c r="G417" s="27" t="s">
        <v>284</v>
      </c>
      <c r="H417" s="51">
        <v>190382859</v>
      </c>
      <c r="I417" s="51">
        <v>199483012</v>
      </c>
      <c r="J417" s="45">
        <v>1426175</v>
      </c>
      <c r="K417" s="27" t="s">
        <v>281</v>
      </c>
      <c r="L417" s="45">
        <v>49518288051</v>
      </c>
      <c r="M417" s="27" t="str">
        <f t="shared" si="78"/>
        <v>2026-04|FGP primera parte (60%)</v>
      </c>
      <c r="N417" s="52">
        <f t="shared" si="79"/>
        <v>1.0477992244039154</v>
      </c>
      <c r="O417" s="52">
        <f t="shared" si="80"/>
        <v>1.0477992244039154</v>
      </c>
      <c r="P417" s="30">
        <f t="shared" si="81"/>
        <v>1518631.9970867124</v>
      </c>
      <c r="Q417" s="30">
        <f t="shared" si="82"/>
        <v>1518631.9970867124</v>
      </c>
      <c r="R417" s="30">
        <f t="shared" si="83"/>
        <v>1494345.058864254</v>
      </c>
      <c r="S417" s="53">
        <f t="shared" si="84"/>
        <v>1.0980605319450298</v>
      </c>
      <c r="T417" s="54">
        <v>1.098061</v>
      </c>
      <c r="U417" s="55">
        <f t="shared" si="85"/>
        <v>-4.6805497011526143E-7</v>
      </c>
      <c r="V417" s="53">
        <f t="shared" si="86"/>
        <v>1.0980605319450298</v>
      </c>
      <c r="W417" s="53">
        <f t="shared" si="87"/>
        <v>1.0793487019017551</v>
      </c>
      <c r="X417" s="54">
        <v>1.0793489999999999</v>
      </c>
      <c r="Y417" s="55">
        <f t="shared" si="88"/>
        <v>-2.9809824475535152E-7</v>
      </c>
      <c r="Z417" s="29">
        <f t="shared" si="89"/>
        <v>-9265777.9004423246</v>
      </c>
      <c r="AA417" s="23">
        <f t="shared" si="90"/>
        <v>0</v>
      </c>
    </row>
    <row r="418" spans="1:27" x14ac:dyDescent="0.2">
      <c r="A418" s="27" t="s">
        <v>285</v>
      </c>
      <c r="B418" s="27" t="s">
        <v>153</v>
      </c>
      <c r="C418" s="27" t="s">
        <v>79</v>
      </c>
      <c r="D418" s="51">
        <v>1354310854</v>
      </c>
      <c r="E418" s="51">
        <v>1439874641</v>
      </c>
      <c r="F418" s="45">
        <v>8068202</v>
      </c>
      <c r="G418" s="27" t="s">
        <v>284</v>
      </c>
      <c r="H418" s="51">
        <v>1354310854</v>
      </c>
      <c r="I418" s="51">
        <v>1439874641</v>
      </c>
      <c r="J418" s="45">
        <v>8066173</v>
      </c>
      <c r="K418" s="27" t="s">
        <v>281</v>
      </c>
      <c r="L418" s="45">
        <v>49518288051</v>
      </c>
      <c r="M418" s="27" t="str">
        <f t="shared" si="78"/>
        <v>2026-04|FGP primera parte (60%)</v>
      </c>
      <c r="N418" s="52">
        <f t="shared" si="79"/>
        <v>1.0631788387040424</v>
      </c>
      <c r="O418" s="52">
        <f t="shared" si="80"/>
        <v>1.0631788387040424</v>
      </c>
      <c r="P418" s="30">
        <f t="shared" si="81"/>
        <v>8577941.6327896323</v>
      </c>
      <c r="Q418" s="30">
        <f t="shared" si="82"/>
        <v>8577941.6327896323</v>
      </c>
      <c r="R418" s="30">
        <f t="shared" si="83"/>
        <v>8575784.4429259021</v>
      </c>
      <c r="S418" s="53">
        <f t="shared" si="84"/>
        <v>6.2023578920789593</v>
      </c>
      <c r="T418" s="54">
        <v>6.2023580000000003</v>
      </c>
      <c r="U418" s="55">
        <f t="shared" si="85"/>
        <v>-1.0792104099266453E-7</v>
      </c>
      <c r="V418" s="53">
        <f t="shared" si="86"/>
        <v>6.2023578920789593</v>
      </c>
      <c r="W418" s="53">
        <f t="shared" si="87"/>
        <v>6.194193068966527</v>
      </c>
      <c r="X418" s="54">
        <v>6.1941930000000003</v>
      </c>
      <c r="Y418" s="55">
        <f t="shared" si="88"/>
        <v>6.8966526711733422E-8</v>
      </c>
      <c r="Z418" s="29">
        <f t="shared" si="89"/>
        <v>-4043080.6276688371</v>
      </c>
      <c r="AA418" s="23">
        <f t="shared" si="90"/>
        <v>0</v>
      </c>
    </row>
    <row r="419" spans="1:27" x14ac:dyDescent="0.2">
      <c r="A419" s="27" t="s">
        <v>285</v>
      </c>
      <c r="B419" s="27" t="s">
        <v>153</v>
      </c>
      <c r="C419" s="27" t="s">
        <v>80</v>
      </c>
      <c r="D419" s="51">
        <v>506034200</v>
      </c>
      <c r="E419" s="51">
        <v>546558258</v>
      </c>
      <c r="F419" s="45">
        <v>2432221</v>
      </c>
      <c r="G419" s="27" t="s">
        <v>284</v>
      </c>
      <c r="H419" s="51">
        <v>506034200</v>
      </c>
      <c r="I419" s="51">
        <v>546558258</v>
      </c>
      <c r="J419" s="45">
        <v>2456821</v>
      </c>
      <c r="K419" s="27" t="s">
        <v>281</v>
      </c>
      <c r="L419" s="45">
        <v>49518288051</v>
      </c>
      <c r="M419" s="27" t="str">
        <f t="shared" si="78"/>
        <v>2026-04|FGP primera parte (60%)</v>
      </c>
      <c r="N419" s="52">
        <f t="shared" si="79"/>
        <v>1.0800816585124089</v>
      </c>
      <c r="O419" s="52">
        <f t="shared" si="80"/>
        <v>1.0800816585124089</v>
      </c>
      <c r="P419" s="30">
        <f t="shared" si="81"/>
        <v>2626997.2915487099</v>
      </c>
      <c r="Q419" s="30">
        <f t="shared" si="82"/>
        <v>2626997.2915487099</v>
      </c>
      <c r="R419" s="30">
        <f t="shared" si="83"/>
        <v>2653567.3003481152</v>
      </c>
      <c r="S419" s="53">
        <f t="shared" si="84"/>
        <v>1.8994740324909811</v>
      </c>
      <c r="T419" s="54">
        <v>1.8994740000000001</v>
      </c>
      <c r="U419" s="55">
        <f t="shared" si="85"/>
        <v>3.2490981016763953E-8</v>
      </c>
      <c r="V419" s="53">
        <f t="shared" si="86"/>
        <v>1.8994740324909811</v>
      </c>
      <c r="W419" s="53">
        <f t="shared" si="87"/>
        <v>1.9166419456136194</v>
      </c>
      <c r="X419" s="54">
        <v>1.916642</v>
      </c>
      <c r="Y419" s="55">
        <f t="shared" si="88"/>
        <v>-5.4386380510251797E-8</v>
      </c>
      <c r="Z419" s="29">
        <f t="shared" si="89"/>
        <v>8501256.6724134739</v>
      </c>
      <c r="AA419" s="23">
        <f t="shared" si="90"/>
        <v>0</v>
      </c>
    </row>
    <row r="420" spans="1:27" x14ac:dyDescent="0.2">
      <c r="A420" s="27" t="s">
        <v>285</v>
      </c>
      <c r="B420" s="27" t="s">
        <v>153</v>
      </c>
      <c r="C420" s="27" t="s">
        <v>81</v>
      </c>
      <c r="D420" s="51">
        <v>305155572</v>
      </c>
      <c r="E420" s="51">
        <v>346668814</v>
      </c>
      <c r="F420" s="45">
        <v>1703991</v>
      </c>
      <c r="G420" s="27" t="s">
        <v>284</v>
      </c>
      <c r="H420" s="51">
        <v>305155572</v>
      </c>
      <c r="I420" s="51">
        <v>346668814</v>
      </c>
      <c r="J420" s="45">
        <v>1689186</v>
      </c>
      <c r="K420" s="27" t="s">
        <v>281</v>
      </c>
      <c r="L420" s="45">
        <v>49518288051</v>
      </c>
      <c r="M420" s="27" t="str">
        <f t="shared" si="78"/>
        <v>2026-04|FGP primera parte (60%)</v>
      </c>
      <c r="N420" s="52">
        <f t="shared" si="79"/>
        <v>1.1360396001551629</v>
      </c>
      <c r="O420" s="52">
        <f t="shared" si="80"/>
        <v>1.1360396001551629</v>
      </c>
      <c r="P420" s="30">
        <f t="shared" si="81"/>
        <v>1935801.2543079962</v>
      </c>
      <c r="Q420" s="30">
        <f t="shared" si="82"/>
        <v>1935801.2543079962</v>
      </c>
      <c r="R420" s="30">
        <f t="shared" si="83"/>
        <v>1918982.188027699</v>
      </c>
      <c r="S420" s="53">
        <f t="shared" si="84"/>
        <v>1.3996985175625292</v>
      </c>
      <c r="T420" s="54">
        <v>1.399699</v>
      </c>
      <c r="U420" s="55">
        <f t="shared" si="85"/>
        <v>-4.824374708611856E-7</v>
      </c>
      <c r="V420" s="53">
        <f t="shared" si="86"/>
        <v>1.3996985175625292</v>
      </c>
      <c r="W420" s="53">
        <f t="shared" si="87"/>
        <v>1.3860593450849283</v>
      </c>
      <c r="X420" s="54">
        <v>1.3860589999999999</v>
      </c>
      <c r="Y420" s="55">
        <f t="shared" si="88"/>
        <v>3.4508492841034411E-7</v>
      </c>
      <c r="Z420" s="29">
        <f t="shared" si="89"/>
        <v>-6753884.7152310899</v>
      </c>
      <c r="AA420" s="23">
        <f t="shared" si="90"/>
        <v>0</v>
      </c>
    </row>
    <row r="421" spans="1:27" x14ac:dyDescent="0.2">
      <c r="A421" s="27" t="s">
        <v>285</v>
      </c>
      <c r="B421" s="27" t="s">
        <v>155</v>
      </c>
      <c r="C421" s="27" t="s">
        <v>50</v>
      </c>
      <c r="D421" s="51">
        <v>1519678</v>
      </c>
      <c r="E421" s="51">
        <v>1693194</v>
      </c>
      <c r="F421" s="45">
        <v>1519678</v>
      </c>
      <c r="G421" s="27" t="s">
        <v>284</v>
      </c>
      <c r="H421" s="51">
        <v>1531396</v>
      </c>
      <c r="I421" s="51">
        <v>1737186</v>
      </c>
      <c r="J421" s="45">
        <v>1531396</v>
      </c>
      <c r="K421" s="27" t="s">
        <v>281</v>
      </c>
      <c r="L421" s="45">
        <v>24759144025</v>
      </c>
      <c r="M421" s="27" t="str">
        <f t="shared" si="78"/>
        <v>2026-04|FGP segunda parte (30%)</v>
      </c>
      <c r="N421" s="52">
        <f t="shared" si="79"/>
        <v>1.114179451173209</v>
      </c>
      <c r="O421" s="52">
        <f t="shared" si="80"/>
        <v>1.1343806566035173</v>
      </c>
      <c r="P421" s="30">
        <f t="shared" si="81"/>
        <v>1693194</v>
      </c>
      <c r="Q421" s="30">
        <f t="shared" si="82"/>
        <v>1723893.32746592</v>
      </c>
      <c r="R421" s="30">
        <f t="shared" si="83"/>
        <v>1737186</v>
      </c>
      <c r="S421" s="53">
        <f t="shared" si="84"/>
        <v>1.1395184814743904</v>
      </c>
      <c r="T421" s="54">
        <v>1.139518</v>
      </c>
      <c r="U421" s="55">
        <f t="shared" si="85"/>
        <v>4.8147439035695072E-7</v>
      </c>
      <c r="V421" s="53">
        <f t="shared" si="86"/>
        <v>1.1779901445653291</v>
      </c>
      <c r="W421" s="53">
        <f t="shared" si="87"/>
        <v>1.1856770801695342</v>
      </c>
      <c r="X421" s="54">
        <v>1.1856770000000001</v>
      </c>
      <c r="Y421" s="55">
        <f t="shared" si="88"/>
        <v>8.0169534122376263E-8</v>
      </c>
      <c r="Z421" s="29">
        <f t="shared" si="89"/>
        <v>1903219.45735414</v>
      </c>
      <c r="AA421" s="23">
        <f t="shared" si="90"/>
        <v>9525254.4734982904</v>
      </c>
    </row>
    <row r="422" spans="1:27" x14ac:dyDescent="0.2">
      <c r="A422" s="27" t="s">
        <v>285</v>
      </c>
      <c r="B422" s="27" t="s">
        <v>155</v>
      </c>
      <c r="C422" s="27" t="s">
        <v>51</v>
      </c>
      <c r="D422" s="51">
        <v>3790412</v>
      </c>
      <c r="E422" s="51">
        <v>4551357</v>
      </c>
      <c r="F422" s="45">
        <v>3790412</v>
      </c>
      <c r="G422" s="27" t="s">
        <v>284</v>
      </c>
      <c r="H422" s="51">
        <v>3830329</v>
      </c>
      <c r="I422" s="51">
        <v>4447138</v>
      </c>
      <c r="J422" s="45">
        <v>3830329</v>
      </c>
      <c r="K422" s="27" t="s">
        <v>281</v>
      </c>
      <c r="L422" s="45">
        <v>24759144025</v>
      </c>
      <c r="M422" s="27" t="str">
        <f t="shared" si="78"/>
        <v>2026-04|FGP segunda parte (30%)</v>
      </c>
      <c r="N422" s="52">
        <f t="shared" si="79"/>
        <v>1.2007552213321402</v>
      </c>
      <c r="O422" s="52">
        <f t="shared" si="80"/>
        <v>1.1610329034398872</v>
      </c>
      <c r="P422" s="30">
        <f t="shared" si="81"/>
        <v>4551357</v>
      </c>
      <c r="Q422" s="30">
        <f t="shared" si="82"/>
        <v>4400793.04959339</v>
      </c>
      <c r="R422" s="30">
        <f t="shared" si="83"/>
        <v>4447138</v>
      </c>
      <c r="S422" s="53">
        <f t="shared" si="84"/>
        <v>3.0630603565142782</v>
      </c>
      <c r="T422" s="54">
        <v>3.0630600000000001</v>
      </c>
      <c r="U422" s="55">
        <f t="shared" si="85"/>
        <v>3.565142780992403E-7</v>
      </c>
      <c r="V422" s="53">
        <f t="shared" si="86"/>
        <v>3.0071993191789286</v>
      </c>
      <c r="W422" s="53">
        <f t="shared" si="87"/>
        <v>3.0352936294392094</v>
      </c>
      <c r="X422" s="54">
        <v>3.0352929999999998</v>
      </c>
      <c r="Y422" s="55">
        <f t="shared" si="88"/>
        <v>6.2943920964286804E-7</v>
      </c>
      <c r="Z422" s="29">
        <f t="shared" si="89"/>
        <v>6955910.7401732914</v>
      </c>
      <c r="AA422" s="23">
        <f t="shared" si="90"/>
        <v>-13830714.687718241</v>
      </c>
    </row>
    <row r="423" spans="1:27" x14ac:dyDescent="0.2">
      <c r="A423" s="27" t="s">
        <v>285</v>
      </c>
      <c r="B423" s="27" t="s">
        <v>155</v>
      </c>
      <c r="C423" s="27" t="s">
        <v>52</v>
      </c>
      <c r="D423" s="51">
        <v>906940</v>
      </c>
      <c r="E423" s="51">
        <v>1052078</v>
      </c>
      <c r="F423" s="45">
        <v>906940</v>
      </c>
      <c r="G423" s="27" t="s">
        <v>284</v>
      </c>
      <c r="H423" s="51">
        <v>928591</v>
      </c>
      <c r="I423" s="51">
        <v>1017323</v>
      </c>
      <c r="J423" s="45">
        <v>928591</v>
      </c>
      <c r="K423" s="27" t="s">
        <v>281</v>
      </c>
      <c r="L423" s="45">
        <v>24759144025</v>
      </c>
      <c r="M423" s="27" t="str">
        <f t="shared" si="78"/>
        <v>2026-04|FGP segunda parte (30%)</v>
      </c>
      <c r="N423" s="52">
        <f t="shared" si="79"/>
        <v>1.1600304320021171</v>
      </c>
      <c r="O423" s="52">
        <f t="shared" si="80"/>
        <v>1.0955555244451001</v>
      </c>
      <c r="P423" s="30">
        <f t="shared" si="81"/>
        <v>1052078</v>
      </c>
      <c r="Q423" s="30">
        <f t="shared" si="82"/>
        <v>993603.12734023901</v>
      </c>
      <c r="R423" s="30">
        <f t="shared" si="83"/>
        <v>1017322.9999999999</v>
      </c>
      <c r="S423" s="53">
        <f t="shared" si="84"/>
        <v>0.70804782260781318</v>
      </c>
      <c r="T423" s="54">
        <v>0.70804800000000001</v>
      </c>
      <c r="U423" s="55">
        <f t="shared" si="85"/>
        <v>-1.7739218682866209E-7</v>
      </c>
      <c r="V423" s="53">
        <f t="shared" si="86"/>
        <v>0.67896004524632059</v>
      </c>
      <c r="W423" s="53">
        <f t="shared" si="87"/>
        <v>0.69435084339230857</v>
      </c>
      <c r="X423" s="54">
        <v>0.69435100000000005</v>
      </c>
      <c r="Y423" s="55">
        <f t="shared" si="88"/>
        <v>-1.5660769148162501E-7</v>
      </c>
      <c r="Z423" s="29">
        <f t="shared" si="89"/>
        <v>3810629.8795621949</v>
      </c>
      <c r="AA423" s="23">
        <f t="shared" si="90"/>
        <v>-7201884.6906032963</v>
      </c>
    </row>
    <row r="424" spans="1:27" x14ac:dyDescent="0.2">
      <c r="A424" s="27" t="s">
        <v>285</v>
      </c>
      <c r="B424" s="27" t="s">
        <v>155</v>
      </c>
      <c r="C424" s="27" t="s">
        <v>53</v>
      </c>
      <c r="D424" s="51">
        <v>918817</v>
      </c>
      <c r="E424" s="51">
        <v>1045896</v>
      </c>
      <c r="F424" s="45">
        <v>918817</v>
      </c>
      <c r="G424" s="27" t="s">
        <v>284</v>
      </c>
      <c r="H424" s="51">
        <v>935371</v>
      </c>
      <c r="I424" s="51">
        <v>971973</v>
      </c>
      <c r="J424" s="45">
        <v>935371</v>
      </c>
      <c r="K424" s="27" t="s">
        <v>281</v>
      </c>
      <c r="L424" s="45">
        <v>24759144025</v>
      </c>
      <c r="M424" s="27" t="str">
        <f t="shared" si="78"/>
        <v>2026-04|FGP segunda parte (30%)</v>
      </c>
      <c r="N424" s="52">
        <f t="shared" si="79"/>
        <v>1.1383071928360053</v>
      </c>
      <c r="O424" s="52">
        <f t="shared" si="80"/>
        <v>1.0391309972192853</v>
      </c>
      <c r="P424" s="30">
        <f t="shared" si="81"/>
        <v>1045895.9999999999</v>
      </c>
      <c r="Q424" s="30">
        <f t="shared" si="82"/>
        <v>954771.22547203198</v>
      </c>
      <c r="R424" s="30">
        <f t="shared" si="83"/>
        <v>971973.00000000012</v>
      </c>
      <c r="S424" s="53">
        <f t="shared" si="84"/>
        <v>0.70388734055290691</v>
      </c>
      <c r="T424" s="54">
        <v>0.70388799999999996</v>
      </c>
      <c r="U424" s="55">
        <f t="shared" si="85"/>
        <v>-6.5944709304321947E-7</v>
      </c>
      <c r="V424" s="53">
        <f t="shared" si="86"/>
        <v>0.6524249940533805</v>
      </c>
      <c r="W424" s="53">
        <f t="shared" si="87"/>
        <v>0.6633982248553828</v>
      </c>
      <c r="X424" s="54">
        <v>0.66339800000000004</v>
      </c>
      <c r="Y424" s="55">
        <f t="shared" si="88"/>
        <v>2.248553827577382E-7</v>
      </c>
      <c r="Z424" s="29">
        <f t="shared" si="89"/>
        <v>2716878.0184634114</v>
      </c>
      <c r="AA424" s="23">
        <f t="shared" si="90"/>
        <v>-12741636.488462292</v>
      </c>
    </row>
    <row r="425" spans="1:27" x14ac:dyDescent="0.2">
      <c r="A425" s="27" t="s">
        <v>285</v>
      </c>
      <c r="B425" s="27" t="s">
        <v>155</v>
      </c>
      <c r="C425" s="27" t="s">
        <v>54</v>
      </c>
      <c r="D425" s="51">
        <v>3582441</v>
      </c>
      <c r="E425" s="51">
        <v>4144190</v>
      </c>
      <c r="F425" s="45">
        <v>3582441</v>
      </c>
      <c r="G425" s="27" t="s">
        <v>284</v>
      </c>
      <c r="H425" s="51">
        <v>3590747</v>
      </c>
      <c r="I425" s="51">
        <v>4181500</v>
      </c>
      <c r="J425" s="45">
        <v>3590747</v>
      </c>
      <c r="K425" s="27" t="s">
        <v>281</v>
      </c>
      <c r="L425" s="45">
        <v>24759144025</v>
      </c>
      <c r="M425" s="27" t="str">
        <f t="shared" si="78"/>
        <v>2026-04|FGP segunda parte (30%)</v>
      </c>
      <c r="N425" s="52">
        <f t="shared" si="79"/>
        <v>1.1568062111839386</v>
      </c>
      <c r="O425" s="52">
        <f t="shared" si="80"/>
        <v>1.1645209200202631</v>
      </c>
      <c r="P425" s="30">
        <f t="shared" si="81"/>
        <v>4144190</v>
      </c>
      <c r="Q425" s="30">
        <f t="shared" si="82"/>
        <v>4171827.4892383111</v>
      </c>
      <c r="R425" s="30">
        <f t="shared" si="83"/>
        <v>4181499.9999999995</v>
      </c>
      <c r="S425" s="53">
        <f t="shared" si="84"/>
        <v>2.7890372253512319</v>
      </c>
      <c r="T425" s="54">
        <v>2.789037</v>
      </c>
      <c r="U425" s="55">
        <f t="shared" si="85"/>
        <v>2.2535123189726392E-7</v>
      </c>
      <c r="V425" s="53">
        <f t="shared" si="86"/>
        <v>2.8507400016295992</v>
      </c>
      <c r="W425" s="53">
        <f t="shared" si="87"/>
        <v>2.8539884104113824</v>
      </c>
      <c r="X425" s="54">
        <v>2.8539889999999999</v>
      </c>
      <c r="Y425" s="55">
        <f t="shared" si="88"/>
        <v>-5.8958861748337199E-7</v>
      </c>
      <c r="Z425" s="29">
        <f t="shared" si="89"/>
        <v>804278.20880245767</v>
      </c>
      <c r="AA425" s="23">
        <f t="shared" si="90"/>
        <v>15277079.246184491</v>
      </c>
    </row>
    <row r="426" spans="1:27" x14ac:dyDescent="0.2">
      <c r="A426" s="27" t="s">
        <v>285</v>
      </c>
      <c r="B426" s="27" t="s">
        <v>155</v>
      </c>
      <c r="C426" s="27" t="s">
        <v>55</v>
      </c>
      <c r="D426" s="51">
        <v>745394</v>
      </c>
      <c r="E426" s="51">
        <v>814508</v>
      </c>
      <c r="F426" s="45">
        <v>745394</v>
      </c>
      <c r="G426" s="27" t="s">
        <v>284</v>
      </c>
      <c r="H426" s="51">
        <v>762355</v>
      </c>
      <c r="I426" s="51">
        <v>837762</v>
      </c>
      <c r="J426" s="45">
        <v>762355</v>
      </c>
      <c r="K426" s="27" t="s">
        <v>281</v>
      </c>
      <c r="L426" s="45">
        <v>24759144025</v>
      </c>
      <c r="M426" s="27" t="str">
        <f t="shared" si="78"/>
        <v>2026-04|FGP segunda parte (30%)</v>
      </c>
      <c r="N426" s="52">
        <f t="shared" si="79"/>
        <v>1.0927214332286013</v>
      </c>
      <c r="O426" s="52">
        <f t="shared" si="80"/>
        <v>1.0989132359596252</v>
      </c>
      <c r="P426" s="30">
        <f t="shared" si="81"/>
        <v>814508</v>
      </c>
      <c r="Q426" s="30">
        <f t="shared" si="82"/>
        <v>819123.33260488883</v>
      </c>
      <c r="R426" s="30">
        <f t="shared" si="83"/>
        <v>837762.00000000012</v>
      </c>
      <c r="S426" s="53">
        <f t="shared" si="84"/>
        <v>0.54816336421505307</v>
      </c>
      <c r="T426" s="54">
        <v>0.54816299999999996</v>
      </c>
      <c r="U426" s="55">
        <f t="shared" si="85"/>
        <v>3.6421505311690083E-7</v>
      </c>
      <c r="V426" s="53">
        <f t="shared" si="86"/>
        <v>0.55973255283171963</v>
      </c>
      <c r="W426" s="53">
        <f t="shared" si="87"/>
        <v>0.57179553717160381</v>
      </c>
      <c r="X426" s="54">
        <v>0.57179599999999997</v>
      </c>
      <c r="Y426" s="55">
        <f t="shared" si="88"/>
        <v>-4.6282839616385019E-7</v>
      </c>
      <c r="Z426" s="29">
        <f t="shared" si="89"/>
        <v>2986691.6664251182</v>
      </c>
      <c r="AA426" s="23">
        <f t="shared" si="90"/>
        <v>2864432.0721243783</v>
      </c>
    </row>
    <row r="427" spans="1:27" x14ac:dyDescent="0.2">
      <c r="A427" s="27" t="s">
        <v>285</v>
      </c>
      <c r="B427" s="27" t="s">
        <v>155</v>
      </c>
      <c r="C427" s="27" t="s">
        <v>56</v>
      </c>
      <c r="D427" s="51">
        <v>5900473</v>
      </c>
      <c r="E427" s="51">
        <v>6524250</v>
      </c>
      <c r="F427" s="45">
        <v>5900473</v>
      </c>
      <c r="G427" s="27" t="s">
        <v>284</v>
      </c>
      <c r="H427" s="51">
        <v>5891372</v>
      </c>
      <c r="I427" s="51">
        <v>7259797</v>
      </c>
      <c r="J427" s="45">
        <v>5891372</v>
      </c>
      <c r="K427" s="27" t="s">
        <v>281</v>
      </c>
      <c r="L427" s="45">
        <v>24759144025</v>
      </c>
      <c r="M427" s="27" t="str">
        <f t="shared" si="78"/>
        <v>2026-04|FGP segunda parte (30%)</v>
      </c>
      <c r="N427" s="52">
        <f t="shared" si="79"/>
        <v>1.1057164400209949</v>
      </c>
      <c r="O427" s="52">
        <f t="shared" si="80"/>
        <v>1.2322761149694841</v>
      </c>
      <c r="P427" s="30">
        <f t="shared" si="81"/>
        <v>6524250</v>
      </c>
      <c r="Q427" s="30">
        <f t="shared" si="82"/>
        <v>7271011.9449223364</v>
      </c>
      <c r="R427" s="30">
        <f t="shared" si="83"/>
        <v>7259796.9999999991</v>
      </c>
      <c r="S427" s="53">
        <f t="shared" si="84"/>
        <v>4.3908160864964625</v>
      </c>
      <c r="T427" s="54">
        <v>4.3908160000000001</v>
      </c>
      <c r="U427" s="55">
        <f t="shared" si="85"/>
        <v>8.6496462436969068E-8</v>
      </c>
      <c r="V427" s="53">
        <f t="shared" si="86"/>
        <v>4.9685095218309696</v>
      </c>
      <c r="W427" s="53">
        <f t="shared" si="87"/>
        <v>4.9550105225252477</v>
      </c>
      <c r="X427" s="54">
        <v>4.9550109999999998</v>
      </c>
      <c r="Y427" s="55">
        <f t="shared" si="88"/>
        <v>-4.7747475218073987E-7</v>
      </c>
      <c r="Z427" s="29">
        <f t="shared" si="89"/>
        <v>-3342236.68003745</v>
      </c>
      <c r="AA427" s="23">
        <f t="shared" si="90"/>
        <v>143031949.67744085</v>
      </c>
    </row>
    <row r="428" spans="1:27" x14ac:dyDescent="0.2">
      <c r="A428" s="27" t="s">
        <v>285</v>
      </c>
      <c r="B428" s="27" t="s">
        <v>155</v>
      </c>
      <c r="C428" s="27" t="s">
        <v>57</v>
      </c>
      <c r="D428" s="51">
        <v>3991333</v>
      </c>
      <c r="E428" s="51">
        <v>4634369</v>
      </c>
      <c r="F428" s="45">
        <v>3991333</v>
      </c>
      <c r="G428" s="27" t="s">
        <v>284</v>
      </c>
      <c r="H428" s="51">
        <v>4015493</v>
      </c>
      <c r="I428" s="51">
        <v>4358240</v>
      </c>
      <c r="J428" s="45">
        <v>4015493</v>
      </c>
      <c r="K428" s="27" t="s">
        <v>281</v>
      </c>
      <c r="L428" s="45">
        <v>24759144025</v>
      </c>
      <c r="M428" s="27" t="str">
        <f t="shared" si="78"/>
        <v>2026-04|FGP segunda parte (30%)</v>
      </c>
      <c r="N428" s="52">
        <f t="shared" si="79"/>
        <v>1.1611080809343646</v>
      </c>
      <c r="O428" s="52">
        <f t="shared" si="80"/>
        <v>1.0853561443140356</v>
      </c>
      <c r="P428" s="30">
        <f t="shared" si="81"/>
        <v>4634369</v>
      </c>
      <c r="Q428" s="30">
        <f t="shared" si="82"/>
        <v>4332017.7955533722</v>
      </c>
      <c r="R428" s="30">
        <f t="shared" si="83"/>
        <v>4358240</v>
      </c>
      <c r="S428" s="53">
        <f t="shared" si="84"/>
        <v>3.1189273795394912</v>
      </c>
      <c r="T428" s="54">
        <v>3.1189269999999998</v>
      </c>
      <c r="U428" s="55">
        <f t="shared" si="85"/>
        <v>3.7953949139080123E-7</v>
      </c>
      <c r="V428" s="53">
        <f t="shared" si="86"/>
        <v>2.9602030403730875</v>
      </c>
      <c r="W428" s="53">
        <f t="shared" si="87"/>
        <v>2.9746183067777836</v>
      </c>
      <c r="X428" s="54">
        <v>2.974618</v>
      </c>
      <c r="Y428" s="55">
        <f t="shared" si="88"/>
        <v>3.0677778362075969E-7</v>
      </c>
      <c r="Z428" s="29">
        <f t="shared" si="89"/>
        <v>3569096.5707261586</v>
      </c>
      <c r="AA428" s="23">
        <f t="shared" si="90"/>
        <v>-39298787.736939386</v>
      </c>
    </row>
    <row r="429" spans="1:27" x14ac:dyDescent="0.2">
      <c r="A429" s="27" t="s">
        <v>285</v>
      </c>
      <c r="B429" s="27" t="s">
        <v>155</v>
      </c>
      <c r="C429" s="27" t="s">
        <v>58</v>
      </c>
      <c r="D429" s="51">
        <v>9319955</v>
      </c>
      <c r="E429" s="51">
        <v>10328613</v>
      </c>
      <c r="F429" s="45">
        <v>9319955</v>
      </c>
      <c r="G429" s="27" t="s">
        <v>284</v>
      </c>
      <c r="H429" s="51">
        <v>9336468</v>
      </c>
      <c r="I429" s="51">
        <v>10671518</v>
      </c>
      <c r="J429" s="45">
        <v>9336468</v>
      </c>
      <c r="K429" s="27" t="s">
        <v>281</v>
      </c>
      <c r="L429" s="45">
        <v>24759144025</v>
      </c>
      <c r="M429" s="27" t="str">
        <f t="shared" si="78"/>
        <v>2026-04|FGP segunda parte (30%)</v>
      </c>
      <c r="N429" s="52">
        <f t="shared" si="79"/>
        <v>1.1082256298447792</v>
      </c>
      <c r="O429" s="52">
        <f t="shared" si="80"/>
        <v>1.1429930461926288</v>
      </c>
      <c r="P429" s="30">
        <f t="shared" si="81"/>
        <v>10328613</v>
      </c>
      <c r="Q429" s="30">
        <f t="shared" si="82"/>
        <v>10652643.755828222</v>
      </c>
      <c r="R429" s="30">
        <f t="shared" si="83"/>
        <v>10671518</v>
      </c>
      <c r="S429" s="53">
        <f t="shared" si="84"/>
        <v>6.9511499577110749</v>
      </c>
      <c r="T429" s="54">
        <v>6.9511500000000002</v>
      </c>
      <c r="U429" s="55">
        <f t="shared" si="85"/>
        <v>-4.2288925250488774E-8</v>
      </c>
      <c r="V429" s="53">
        <f t="shared" si="86"/>
        <v>7.2792841401488149</v>
      </c>
      <c r="W429" s="53">
        <f t="shared" si="87"/>
        <v>7.2836036574187384</v>
      </c>
      <c r="X429" s="54">
        <v>7.2836040000000004</v>
      </c>
      <c r="Y429" s="55">
        <f t="shared" si="88"/>
        <v>-3.4258126202502126E-7</v>
      </c>
      <c r="Z429" s="29">
        <f t="shared" si="89"/>
        <v>1069475.5020451131</v>
      </c>
      <c r="AA429" s="23">
        <f t="shared" si="90"/>
        <v>81243214.82501629</v>
      </c>
    </row>
    <row r="430" spans="1:27" x14ac:dyDescent="0.2">
      <c r="A430" s="27" t="s">
        <v>285</v>
      </c>
      <c r="B430" s="27" t="s">
        <v>155</v>
      </c>
      <c r="C430" s="27" t="s">
        <v>59</v>
      </c>
      <c r="D430" s="51">
        <v>1954301</v>
      </c>
      <c r="E430" s="51">
        <v>2306399</v>
      </c>
      <c r="F430" s="45">
        <v>1954301</v>
      </c>
      <c r="G430" s="27" t="s">
        <v>284</v>
      </c>
      <c r="H430" s="51">
        <v>1968132</v>
      </c>
      <c r="I430" s="51">
        <v>2306397</v>
      </c>
      <c r="J430" s="45">
        <v>1968132</v>
      </c>
      <c r="K430" s="27" t="s">
        <v>281</v>
      </c>
      <c r="L430" s="45">
        <v>24759144025</v>
      </c>
      <c r="M430" s="27" t="str">
        <f t="shared" si="78"/>
        <v>2026-04|FGP segunda parte (30%)</v>
      </c>
      <c r="N430" s="52">
        <f t="shared" si="79"/>
        <v>1.1801656960724065</v>
      </c>
      <c r="O430" s="52">
        <f t="shared" si="80"/>
        <v>1.171871094011987</v>
      </c>
      <c r="P430" s="30">
        <f t="shared" si="81"/>
        <v>2306399</v>
      </c>
      <c r="Q430" s="30">
        <f t="shared" si="82"/>
        <v>2290188.8508987203</v>
      </c>
      <c r="R430" s="30">
        <f t="shared" si="83"/>
        <v>2306397</v>
      </c>
      <c r="S430" s="53">
        <f t="shared" si="84"/>
        <v>1.5522050551526005</v>
      </c>
      <c r="T430" s="54">
        <v>1.5522050000000001</v>
      </c>
      <c r="U430" s="55">
        <f t="shared" si="85"/>
        <v>5.5152600486607639E-8</v>
      </c>
      <c r="V430" s="53">
        <f t="shared" si="86"/>
        <v>1.5649575600584382</v>
      </c>
      <c r="W430" s="53">
        <f t="shared" si="87"/>
        <v>1.5741791959362865</v>
      </c>
      <c r="X430" s="54">
        <v>1.574179</v>
      </c>
      <c r="Y430" s="55">
        <f t="shared" si="88"/>
        <v>1.9593628652891937E-7</v>
      </c>
      <c r="Z430" s="29">
        <f t="shared" si="89"/>
        <v>2283198.1084575336</v>
      </c>
      <c r="AA430" s="23">
        <f t="shared" si="90"/>
        <v>3157411.0564315417</v>
      </c>
    </row>
    <row r="431" spans="1:27" x14ac:dyDescent="0.2">
      <c r="A431" s="27" t="s">
        <v>285</v>
      </c>
      <c r="B431" s="27" t="s">
        <v>155</v>
      </c>
      <c r="C431" s="27" t="s">
        <v>60</v>
      </c>
      <c r="D431" s="51">
        <v>6376710</v>
      </c>
      <c r="E431" s="51">
        <v>7192360</v>
      </c>
      <c r="F431" s="45">
        <v>6376710</v>
      </c>
      <c r="G431" s="27" t="s">
        <v>284</v>
      </c>
      <c r="H431" s="51">
        <v>6402249</v>
      </c>
      <c r="I431" s="51">
        <v>6991678</v>
      </c>
      <c r="J431" s="45">
        <v>6402249</v>
      </c>
      <c r="K431" s="27" t="s">
        <v>281</v>
      </c>
      <c r="L431" s="45">
        <v>24759144025</v>
      </c>
      <c r="M431" s="27" t="str">
        <f t="shared" si="78"/>
        <v>2026-04|FGP segunda parte (30%)</v>
      </c>
      <c r="N431" s="52">
        <f t="shared" si="79"/>
        <v>1.1279107878514156</v>
      </c>
      <c r="O431" s="52">
        <f t="shared" si="80"/>
        <v>1.0920659287072403</v>
      </c>
      <c r="P431" s="30">
        <f t="shared" si="81"/>
        <v>7192360.0000000009</v>
      </c>
      <c r="Q431" s="30">
        <f t="shared" si="82"/>
        <v>6963787.7282467466</v>
      </c>
      <c r="R431" s="30">
        <f t="shared" si="83"/>
        <v>6991678</v>
      </c>
      <c r="S431" s="53">
        <f t="shared" si="84"/>
        <v>4.8404536901365978</v>
      </c>
      <c r="T431" s="54">
        <v>4.8404530000000001</v>
      </c>
      <c r="U431" s="55">
        <f t="shared" si="85"/>
        <v>6.9013659764749491E-7</v>
      </c>
      <c r="V431" s="53">
        <f t="shared" si="86"/>
        <v>4.7585736205489324</v>
      </c>
      <c r="W431" s="53">
        <f t="shared" si="87"/>
        <v>4.7720119529662171</v>
      </c>
      <c r="X431" s="54">
        <v>4.7720120000000001</v>
      </c>
      <c r="Y431" s="55">
        <f t="shared" si="88"/>
        <v>-4.7033783090455472E-8</v>
      </c>
      <c r="Z431" s="29">
        <f t="shared" si="89"/>
        <v>3327216.0777537702</v>
      </c>
      <c r="AA431" s="23">
        <f t="shared" si="90"/>
        <v>-20272804.35698029</v>
      </c>
    </row>
    <row r="432" spans="1:27" x14ac:dyDescent="0.2">
      <c r="A432" s="27" t="s">
        <v>285</v>
      </c>
      <c r="B432" s="27" t="s">
        <v>155</v>
      </c>
      <c r="C432" s="27" t="s">
        <v>61</v>
      </c>
      <c r="D432" s="51">
        <v>3578620</v>
      </c>
      <c r="E432" s="51">
        <v>3921083</v>
      </c>
      <c r="F432" s="45">
        <v>3578620</v>
      </c>
      <c r="G432" s="27" t="s">
        <v>284</v>
      </c>
      <c r="H432" s="51">
        <v>3569633</v>
      </c>
      <c r="I432" s="51">
        <v>4028357</v>
      </c>
      <c r="J432" s="45">
        <v>3569633</v>
      </c>
      <c r="K432" s="27" t="s">
        <v>281</v>
      </c>
      <c r="L432" s="45">
        <v>24759144025</v>
      </c>
      <c r="M432" s="27" t="str">
        <f t="shared" si="78"/>
        <v>2026-04|FGP segunda parte (30%)</v>
      </c>
      <c r="N432" s="52">
        <f t="shared" si="79"/>
        <v>1.0956969446322884</v>
      </c>
      <c r="O432" s="52">
        <f t="shared" si="80"/>
        <v>1.1285073283443985</v>
      </c>
      <c r="P432" s="30">
        <f t="shared" si="81"/>
        <v>3921083</v>
      </c>
      <c r="Q432" s="30">
        <f t="shared" si="82"/>
        <v>4038498.8953598314</v>
      </c>
      <c r="R432" s="30">
        <f t="shared" si="83"/>
        <v>4028357</v>
      </c>
      <c r="S432" s="53">
        <f t="shared" si="84"/>
        <v>2.6388863567287899</v>
      </c>
      <c r="T432" s="54">
        <v>2.6388859999999998</v>
      </c>
      <c r="U432" s="55">
        <f t="shared" si="85"/>
        <v>3.5672879006298785E-7</v>
      </c>
      <c r="V432" s="53">
        <f t="shared" si="86"/>
        <v>2.7596324098341856</v>
      </c>
      <c r="W432" s="53">
        <f t="shared" si="87"/>
        <v>2.7494641135954954</v>
      </c>
      <c r="X432" s="54">
        <v>2.7494640000000001</v>
      </c>
      <c r="Y432" s="55">
        <f t="shared" si="88"/>
        <v>1.1359549523248802E-7</v>
      </c>
      <c r="Z432" s="29">
        <f t="shared" si="89"/>
        <v>-2517583.1106259646</v>
      </c>
      <c r="AA432" s="23">
        <f t="shared" si="90"/>
        <v>29895689.192867894</v>
      </c>
    </row>
    <row r="433" spans="1:27" x14ac:dyDescent="0.2">
      <c r="A433" s="27" t="s">
        <v>285</v>
      </c>
      <c r="B433" s="27" t="s">
        <v>155</v>
      </c>
      <c r="C433" s="27" t="s">
        <v>62</v>
      </c>
      <c r="D433" s="51">
        <v>3228160</v>
      </c>
      <c r="E433" s="51">
        <v>3610610</v>
      </c>
      <c r="F433" s="45">
        <v>3228160</v>
      </c>
      <c r="G433" s="27" t="s">
        <v>284</v>
      </c>
      <c r="H433" s="51">
        <v>3215821</v>
      </c>
      <c r="I433" s="51">
        <v>3605828</v>
      </c>
      <c r="J433" s="45">
        <v>3215821</v>
      </c>
      <c r="K433" s="27" t="s">
        <v>281</v>
      </c>
      <c r="L433" s="45">
        <v>24759144025</v>
      </c>
      <c r="M433" s="27" t="str">
        <f t="shared" si="78"/>
        <v>2026-04|FGP segunda parte (30%)</v>
      </c>
      <c r="N433" s="52">
        <f t="shared" si="79"/>
        <v>1.1184730620539254</v>
      </c>
      <c r="O433" s="52">
        <f t="shared" si="80"/>
        <v>1.1212775835470943</v>
      </c>
      <c r="P433" s="30">
        <f t="shared" si="81"/>
        <v>3610609.9999999995</v>
      </c>
      <c r="Q433" s="30">
        <f t="shared" si="82"/>
        <v>3619663.4441033877</v>
      </c>
      <c r="R433" s="30">
        <f t="shared" si="83"/>
        <v>3605828.0000000005</v>
      </c>
      <c r="S433" s="53">
        <f t="shared" si="84"/>
        <v>2.4299382258596758</v>
      </c>
      <c r="T433" s="54">
        <v>2.4299379999999999</v>
      </c>
      <c r="U433" s="55">
        <f t="shared" si="85"/>
        <v>2.2585967585087019E-7</v>
      </c>
      <c r="V433" s="53">
        <f t="shared" si="86"/>
        <v>2.4734290665566028</v>
      </c>
      <c r="W433" s="53">
        <f t="shared" si="87"/>
        <v>2.4610764849783227</v>
      </c>
      <c r="X433" s="54">
        <v>2.4610759999999998</v>
      </c>
      <c r="Y433" s="55">
        <f t="shared" si="88"/>
        <v>4.8497832283445064E-7</v>
      </c>
      <c r="Z433" s="29">
        <f t="shared" si="89"/>
        <v>-3058393.4637719933</v>
      </c>
      <c r="AA433" s="23">
        <f t="shared" si="90"/>
        <v>10767959.885835469</v>
      </c>
    </row>
    <row r="434" spans="1:27" x14ac:dyDescent="0.2">
      <c r="A434" s="27" t="s">
        <v>285</v>
      </c>
      <c r="B434" s="27" t="s">
        <v>155</v>
      </c>
      <c r="C434" s="27" t="s">
        <v>63</v>
      </c>
      <c r="D434" s="51">
        <v>8761130</v>
      </c>
      <c r="E434" s="51">
        <v>9974089</v>
      </c>
      <c r="F434" s="45">
        <v>8761130</v>
      </c>
      <c r="G434" s="27" t="s">
        <v>284</v>
      </c>
      <c r="H434" s="51">
        <v>8750952</v>
      </c>
      <c r="I434" s="51">
        <v>9918726</v>
      </c>
      <c r="J434" s="45">
        <v>8750952</v>
      </c>
      <c r="K434" s="27" t="s">
        <v>281</v>
      </c>
      <c r="L434" s="45">
        <v>24759144025</v>
      </c>
      <c r="M434" s="27" t="str">
        <f t="shared" si="78"/>
        <v>2026-04|FGP segunda parte (30%)</v>
      </c>
      <c r="N434" s="52">
        <f t="shared" si="79"/>
        <v>1.1384477801379502</v>
      </c>
      <c r="O434" s="52">
        <f t="shared" si="80"/>
        <v>1.1334453668583715</v>
      </c>
      <c r="P434" s="30">
        <f t="shared" si="81"/>
        <v>9974089</v>
      </c>
      <c r="Q434" s="30">
        <f t="shared" si="82"/>
        <v>9930262.2069438845</v>
      </c>
      <c r="R434" s="30">
        <f t="shared" si="83"/>
        <v>9918726</v>
      </c>
      <c r="S434" s="53">
        <f t="shared" si="84"/>
        <v>6.712555531953468</v>
      </c>
      <c r="T434" s="54">
        <v>6.712555</v>
      </c>
      <c r="U434" s="55">
        <f t="shared" si="85"/>
        <v>5.319534679415483E-7</v>
      </c>
      <c r="V434" s="53">
        <f t="shared" si="86"/>
        <v>6.7856582691951424</v>
      </c>
      <c r="W434" s="53">
        <f t="shared" si="87"/>
        <v>6.7698024751993424</v>
      </c>
      <c r="X434" s="54">
        <v>6.7698029999999996</v>
      </c>
      <c r="Y434" s="55">
        <f t="shared" si="88"/>
        <v>-5.2480065715343471E-7</v>
      </c>
      <c r="Z434" s="29">
        <f t="shared" si="89"/>
        <v>-3925758.8717274116</v>
      </c>
      <c r="AA434" s="23">
        <f t="shared" si="90"/>
        <v>18099611.999883473</v>
      </c>
    </row>
    <row r="435" spans="1:27" x14ac:dyDescent="0.2">
      <c r="A435" s="27" t="s">
        <v>285</v>
      </c>
      <c r="B435" s="27" t="s">
        <v>155</v>
      </c>
      <c r="C435" s="27" t="s">
        <v>64</v>
      </c>
      <c r="D435" s="51">
        <v>17789139</v>
      </c>
      <c r="E435" s="51">
        <v>20116061</v>
      </c>
      <c r="F435" s="45">
        <v>17789139</v>
      </c>
      <c r="G435" s="27" t="s">
        <v>284</v>
      </c>
      <c r="H435" s="51">
        <v>17753727</v>
      </c>
      <c r="I435" s="51">
        <v>19679734</v>
      </c>
      <c r="J435" s="45">
        <v>17753727</v>
      </c>
      <c r="K435" s="27" t="s">
        <v>281</v>
      </c>
      <c r="L435" s="45">
        <v>24759144025</v>
      </c>
      <c r="M435" s="27" t="str">
        <f t="shared" si="78"/>
        <v>2026-04|FGP segunda parte (30%)</v>
      </c>
      <c r="N435" s="52">
        <f t="shared" si="79"/>
        <v>1.1308057686209547</v>
      </c>
      <c r="O435" s="52">
        <f t="shared" si="80"/>
        <v>1.1084846578974656</v>
      </c>
      <c r="P435" s="30">
        <f t="shared" si="81"/>
        <v>20116061</v>
      </c>
      <c r="Q435" s="30">
        <f t="shared" si="82"/>
        <v>19718987.658705465</v>
      </c>
      <c r="R435" s="30">
        <f t="shared" si="83"/>
        <v>19679734</v>
      </c>
      <c r="S435" s="53">
        <f t="shared" si="84"/>
        <v>13.538096215771025</v>
      </c>
      <c r="T435" s="54">
        <v>13.538097</v>
      </c>
      <c r="U435" s="55">
        <f t="shared" si="85"/>
        <v>-7.8422897509256018E-7</v>
      </c>
      <c r="V435" s="53">
        <f t="shared" si="86"/>
        <v>13.474600053650713</v>
      </c>
      <c r="W435" s="53">
        <f t="shared" si="87"/>
        <v>13.431958090632271</v>
      </c>
      <c r="X435" s="54">
        <v>13.431958</v>
      </c>
      <c r="Y435" s="55">
        <f t="shared" si="88"/>
        <v>9.0632271465551639E-8</v>
      </c>
      <c r="Z435" s="29">
        <f t="shared" si="89"/>
        <v>-10557785.038823189</v>
      </c>
      <c r="AA435" s="23">
        <f t="shared" si="90"/>
        <v>-15721106.229715666</v>
      </c>
    </row>
    <row r="436" spans="1:27" x14ac:dyDescent="0.2">
      <c r="A436" s="27" t="s">
        <v>285</v>
      </c>
      <c r="B436" s="27" t="s">
        <v>155</v>
      </c>
      <c r="C436" s="27" t="s">
        <v>65</v>
      </c>
      <c r="D436" s="51">
        <v>4940153</v>
      </c>
      <c r="E436" s="51">
        <v>5674572</v>
      </c>
      <c r="F436" s="45">
        <v>4940153</v>
      </c>
      <c r="G436" s="27" t="s">
        <v>284</v>
      </c>
      <c r="H436" s="51">
        <v>4945881</v>
      </c>
      <c r="I436" s="51">
        <v>5171427</v>
      </c>
      <c r="J436" s="45">
        <v>4945881</v>
      </c>
      <c r="K436" s="27" t="s">
        <v>281</v>
      </c>
      <c r="L436" s="45">
        <v>24759144025</v>
      </c>
      <c r="M436" s="27" t="str">
        <f t="shared" si="78"/>
        <v>2026-04|FGP segunda parte (30%)</v>
      </c>
      <c r="N436" s="52">
        <f t="shared" si="79"/>
        <v>1.1486632094188176</v>
      </c>
      <c r="O436" s="52">
        <f t="shared" si="80"/>
        <v>1.045602795538348</v>
      </c>
      <c r="P436" s="30">
        <f t="shared" si="81"/>
        <v>5674572</v>
      </c>
      <c r="Q436" s="30">
        <f t="shared" si="82"/>
        <v>5165437.7871871563</v>
      </c>
      <c r="R436" s="30">
        <f t="shared" si="83"/>
        <v>5171427</v>
      </c>
      <c r="S436" s="53">
        <f t="shared" si="84"/>
        <v>3.8189833347254321</v>
      </c>
      <c r="T436" s="54">
        <v>3.8189829999999998</v>
      </c>
      <c r="U436" s="55">
        <f t="shared" si="85"/>
        <v>3.3472543226054086E-7</v>
      </c>
      <c r="V436" s="53">
        <f t="shared" si="86"/>
        <v>3.5297049467767043</v>
      </c>
      <c r="W436" s="53">
        <f t="shared" si="87"/>
        <v>3.5296407325812518</v>
      </c>
      <c r="X436" s="54">
        <v>3.5296400000000001</v>
      </c>
      <c r="Y436" s="55">
        <f t="shared" si="88"/>
        <v>7.325812516612018E-7</v>
      </c>
      <c r="Z436" s="29">
        <f t="shared" si="89"/>
        <v>-15898.885136591834</v>
      </c>
      <c r="AA436" s="23">
        <f t="shared" si="90"/>
        <v>-71622852.705423743</v>
      </c>
    </row>
    <row r="437" spans="1:27" x14ac:dyDescent="0.2">
      <c r="A437" s="27" t="s">
        <v>285</v>
      </c>
      <c r="B437" s="27" t="s">
        <v>155</v>
      </c>
      <c r="C437" s="27" t="s">
        <v>66</v>
      </c>
      <c r="D437" s="51">
        <v>1984462</v>
      </c>
      <c r="E437" s="51">
        <v>2201332</v>
      </c>
      <c r="F437" s="45">
        <v>1984462</v>
      </c>
      <c r="G437" s="27" t="s">
        <v>284</v>
      </c>
      <c r="H437" s="51">
        <v>1988503</v>
      </c>
      <c r="I437" s="51">
        <v>2188180</v>
      </c>
      <c r="J437" s="45">
        <v>1988503</v>
      </c>
      <c r="K437" s="27" t="s">
        <v>281</v>
      </c>
      <c r="L437" s="45">
        <v>24759144025</v>
      </c>
      <c r="M437" s="27" t="str">
        <f t="shared" si="78"/>
        <v>2026-04|FGP segunda parte (30%)</v>
      </c>
      <c r="N437" s="52">
        <f t="shared" si="79"/>
        <v>1.109284027610506</v>
      </c>
      <c r="O437" s="52">
        <f t="shared" si="80"/>
        <v>1.1004157398807042</v>
      </c>
      <c r="P437" s="30">
        <f t="shared" si="81"/>
        <v>2201332</v>
      </c>
      <c r="Q437" s="30">
        <f t="shared" si="82"/>
        <v>2183733.219995142</v>
      </c>
      <c r="R437" s="30">
        <f t="shared" si="83"/>
        <v>2188180</v>
      </c>
      <c r="S437" s="53">
        <f t="shared" si="84"/>
        <v>1.4814950312019666</v>
      </c>
      <c r="T437" s="54">
        <v>1.481495</v>
      </c>
      <c r="U437" s="55">
        <f t="shared" si="85"/>
        <v>3.1201966566030137E-8</v>
      </c>
      <c r="V437" s="53">
        <f t="shared" si="86"/>
        <v>1.4922131030552663</v>
      </c>
      <c r="W437" s="53">
        <f t="shared" si="87"/>
        <v>1.4934928518220683</v>
      </c>
      <c r="X437" s="54">
        <v>1.493493</v>
      </c>
      <c r="Y437" s="55">
        <f t="shared" si="88"/>
        <v>-1.4817793170252003E-7</v>
      </c>
      <c r="Z437" s="29">
        <f t="shared" si="89"/>
        <v>316854.84033064992</v>
      </c>
      <c r="AA437" s="23">
        <f t="shared" si="90"/>
        <v>2653702.8468614742</v>
      </c>
    </row>
    <row r="438" spans="1:27" x14ac:dyDescent="0.2">
      <c r="A438" s="27" t="s">
        <v>285</v>
      </c>
      <c r="B438" s="27" t="s">
        <v>155</v>
      </c>
      <c r="C438" s="27" t="s">
        <v>67</v>
      </c>
      <c r="D438" s="51">
        <v>1257616</v>
      </c>
      <c r="E438" s="51">
        <v>1527160</v>
      </c>
      <c r="F438" s="45">
        <v>1257616</v>
      </c>
      <c r="G438" s="27" t="s">
        <v>284</v>
      </c>
      <c r="H438" s="51">
        <v>1279298</v>
      </c>
      <c r="I438" s="51">
        <v>1441921</v>
      </c>
      <c r="J438" s="45">
        <v>1279298</v>
      </c>
      <c r="K438" s="27" t="s">
        <v>281</v>
      </c>
      <c r="L438" s="45">
        <v>24759144025</v>
      </c>
      <c r="M438" s="27" t="str">
        <f t="shared" si="78"/>
        <v>2026-04|FGP segunda parte (30%)</v>
      </c>
      <c r="N438" s="52">
        <f t="shared" si="79"/>
        <v>1.2143293342323889</v>
      </c>
      <c r="O438" s="52">
        <f t="shared" si="80"/>
        <v>1.1271189355412108</v>
      </c>
      <c r="P438" s="30">
        <f t="shared" si="81"/>
        <v>1527160</v>
      </c>
      <c r="Q438" s="30">
        <f t="shared" si="82"/>
        <v>1417482.8072395953</v>
      </c>
      <c r="R438" s="30">
        <f t="shared" si="83"/>
        <v>1441920.9999999998</v>
      </c>
      <c r="S438" s="53">
        <f t="shared" si="84"/>
        <v>1.0277777054303465</v>
      </c>
      <c r="T438" s="54">
        <v>1.0277769999999999</v>
      </c>
      <c r="U438" s="55">
        <f t="shared" si="85"/>
        <v>7.0543034658143711E-7</v>
      </c>
      <c r="V438" s="53">
        <f t="shared" si="86"/>
        <v>0.96861026747726631</v>
      </c>
      <c r="W438" s="53">
        <f t="shared" si="87"/>
        <v>0.98415062124328367</v>
      </c>
      <c r="X438" s="54">
        <v>0.984151</v>
      </c>
      <c r="Y438" s="55">
        <f t="shared" si="88"/>
        <v>-3.7875671632381369E-7</v>
      </c>
      <c r="Z438" s="29">
        <f t="shared" si="89"/>
        <v>3847658.5709227519</v>
      </c>
      <c r="AA438" s="23">
        <f t="shared" si="90"/>
        <v>-14649351.178705642</v>
      </c>
    </row>
    <row r="439" spans="1:27" x14ac:dyDescent="0.2">
      <c r="A439" s="27" t="s">
        <v>285</v>
      </c>
      <c r="B439" s="27" t="s">
        <v>155</v>
      </c>
      <c r="C439" s="27" t="s">
        <v>68</v>
      </c>
      <c r="D439" s="51">
        <v>6310265</v>
      </c>
      <c r="E439" s="51">
        <v>7322137</v>
      </c>
      <c r="F439" s="45">
        <v>6310265</v>
      </c>
      <c r="G439" s="27" t="s">
        <v>284</v>
      </c>
      <c r="H439" s="51">
        <v>6234433</v>
      </c>
      <c r="I439" s="51">
        <v>6862310</v>
      </c>
      <c r="J439" s="45">
        <v>6234433</v>
      </c>
      <c r="K439" s="27" t="s">
        <v>281</v>
      </c>
      <c r="L439" s="45">
        <v>24759144025</v>
      </c>
      <c r="M439" s="27" t="str">
        <f t="shared" si="78"/>
        <v>2026-04|FGP segunda parte (30%)</v>
      </c>
      <c r="N439" s="52">
        <f t="shared" si="79"/>
        <v>1.1603533290598731</v>
      </c>
      <c r="O439" s="52">
        <f t="shared" si="80"/>
        <v>1.1007111633086761</v>
      </c>
      <c r="P439" s="30">
        <f t="shared" si="81"/>
        <v>7322137</v>
      </c>
      <c r="Q439" s="30">
        <f t="shared" si="82"/>
        <v>6945779.1289360235</v>
      </c>
      <c r="R439" s="30">
        <f t="shared" si="83"/>
        <v>6862310</v>
      </c>
      <c r="S439" s="53">
        <f t="shared" si="84"/>
        <v>4.9277935283183423</v>
      </c>
      <c r="T439" s="54">
        <v>4.9277930000000003</v>
      </c>
      <c r="U439" s="55">
        <f t="shared" si="85"/>
        <v>5.2831834196354066E-7</v>
      </c>
      <c r="V439" s="53">
        <f t="shared" si="86"/>
        <v>4.7462677822656314</v>
      </c>
      <c r="W439" s="53">
        <f t="shared" si="87"/>
        <v>4.6837147455817609</v>
      </c>
      <c r="X439" s="54">
        <v>4.6837150000000003</v>
      </c>
      <c r="Y439" s="55">
        <f t="shared" si="88"/>
        <v>-2.5441823936489527E-7</v>
      </c>
      <c r="Z439" s="29">
        <f t="shared" si="89"/>
        <v>-15487596.444570573</v>
      </c>
      <c r="AA439" s="23">
        <f t="shared" si="90"/>
        <v>-44944220.90764644</v>
      </c>
    </row>
    <row r="440" spans="1:27" x14ac:dyDescent="0.2">
      <c r="A440" s="27" t="s">
        <v>285</v>
      </c>
      <c r="B440" s="27" t="s">
        <v>155</v>
      </c>
      <c r="C440" s="27" t="s">
        <v>69</v>
      </c>
      <c r="D440" s="51">
        <v>4190375</v>
      </c>
      <c r="E440" s="51">
        <v>4802815</v>
      </c>
      <c r="F440" s="45">
        <v>4190375</v>
      </c>
      <c r="G440" s="27" t="s">
        <v>284</v>
      </c>
      <c r="H440" s="51">
        <v>4178688</v>
      </c>
      <c r="I440" s="51">
        <v>4783053</v>
      </c>
      <c r="J440" s="45">
        <v>4178688</v>
      </c>
      <c r="K440" s="27" t="s">
        <v>281</v>
      </c>
      <c r="L440" s="45">
        <v>24759144025</v>
      </c>
      <c r="M440" s="27" t="str">
        <f t="shared" si="78"/>
        <v>2026-04|FGP segunda parte (30%)</v>
      </c>
      <c r="N440" s="52">
        <f t="shared" si="79"/>
        <v>1.1461539838319958</v>
      </c>
      <c r="O440" s="52">
        <f t="shared" si="80"/>
        <v>1.144630324159162</v>
      </c>
      <c r="P440" s="30">
        <f t="shared" si="81"/>
        <v>4802815</v>
      </c>
      <c r="Q440" s="30">
        <f t="shared" si="82"/>
        <v>4796430.2945984481</v>
      </c>
      <c r="R440" s="30">
        <f t="shared" si="83"/>
        <v>4783053</v>
      </c>
      <c r="S440" s="53">
        <f t="shared" si="84"/>
        <v>3.2322914300442971</v>
      </c>
      <c r="T440" s="54">
        <v>3.2322920000000002</v>
      </c>
      <c r="U440" s="55">
        <f t="shared" si="85"/>
        <v>-5.699557030780511E-7</v>
      </c>
      <c r="V440" s="53">
        <f t="shared" si="86"/>
        <v>3.2775506036891069</v>
      </c>
      <c r="W440" s="53">
        <f t="shared" si="87"/>
        <v>3.2645648280242483</v>
      </c>
      <c r="X440" s="54">
        <v>3.2645650000000002</v>
      </c>
      <c r="Y440" s="55">
        <f t="shared" si="88"/>
        <v>-1.7197575186145286E-7</v>
      </c>
      <c r="Z440" s="29">
        <f t="shared" si="89"/>
        <v>-3215166.8996257395</v>
      </c>
      <c r="AA440" s="23">
        <f t="shared" si="90"/>
        <v>11205783.987243302</v>
      </c>
    </row>
    <row r="441" spans="1:27" x14ac:dyDescent="0.2">
      <c r="A441" s="27" t="s">
        <v>285</v>
      </c>
      <c r="B441" s="27" t="s">
        <v>155</v>
      </c>
      <c r="C441" s="27" t="s">
        <v>70</v>
      </c>
      <c r="D441" s="51">
        <v>6624540</v>
      </c>
      <c r="E441" s="51">
        <v>7443857</v>
      </c>
      <c r="F441" s="45">
        <v>6624540</v>
      </c>
      <c r="G441" s="27" t="s">
        <v>284</v>
      </c>
      <c r="H441" s="51">
        <v>6638706</v>
      </c>
      <c r="I441" s="51">
        <v>7255226</v>
      </c>
      <c r="J441" s="45">
        <v>6638706</v>
      </c>
      <c r="K441" s="27" t="s">
        <v>281</v>
      </c>
      <c r="L441" s="45">
        <v>24759144025</v>
      </c>
      <c r="M441" s="27" t="str">
        <f t="shared" si="78"/>
        <v>2026-04|FGP segunda parte (30%)</v>
      </c>
      <c r="N441" s="52">
        <f t="shared" si="79"/>
        <v>1.123679078094479</v>
      </c>
      <c r="O441" s="52">
        <f t="shared" si="80"/>
        <v>1.0928674955631414</v>
      </c>
      <c r="P441" s="30">
        <f t="shared" si="81"/>
        <v>7443857</v>
      </c>
      <c r="Q441" s="30">
        <f t="shared" si="82"/>
        <v>7239744.4390578531</v>
      </c>
      <c r="R441" s="30">
        <f t="shared" si="83"/>
        <v>7255226.0000000009</v>
      </c>
      <c r="S441" s="53">
        <f t="shared" si="84"/>
        <v>5.0097110106417286</v>
      </c>
      <c r="T441" s="54">
        <v>5.0097110000000002</v>
      </c>
      <c r="U441" s="55">
        <f t="shared" si="85"/>
        <v>1.0641728387383864E-8</v>
      </c>
      <c r="V441" s="53">
        <f t="shared" si="86"/>
        <v>4.9471434586490659</v>
      </c>
      <c r="W441" s="53">
        <f t="shared" si="87"/>
        <v>4.9518906896844035</v>
      </c>
      <c r="X441" s="54">
        <v>4.9518909999999998</v>
      </c>
      <c r="Y441" s="55">
        <f t="shared" si="88"/>
        <v>-3.1031559633021288E-7</v>
      </c>
      <c r="Z441" s="29">
        <f t="shared" si="89"/>
        <v>1175373.7692387314</v>
      </c>
      <c r="AA441" s="23">
        <f t="shared" si="90"/>
        <v>-15491190.310780121</v>
      </c>
    </row>
    <row r="442" spans="1:27" x14ac:dyDescent="0.2">
      <c r="A442" s="27" t="s">
        <v>285</v>
      </c>
      <c r="B442" s="27" t="s">
        <v>155</v>
      </c>
      <c r="C442" s="27" t="s">
        <v>71</v>
      </c>
      <c r="D442" s="51">
        <v>2498744</v>
      </c>
      <c r="E442" s="51">
        <v>2931857</v>
      </c>
      <c r="F442" s="45">
        <v>2498744</v>
      </c>
      <c r="G442" s="27" t="s">
        <v>284</v>
      </c>
      <c r="H442" s="51">
        <v>2535155</v>
      </c>
      <c r="I442" s="51">
        <v>2747979</v>
      </c>
      <c r="J442" s="45">
        <v>2535155</v>
      </c>
      <c r="K442" s="27" t="s">
        <v>281</v>
      </c>
      <c r="L442" s="45">
        <v>24759144025</v>
      </c>
      <c r="M442" s="27" t="str">
        <f t="shared" si="78"/>
        <v>2026-04|FGP segunda parte (30%)</v>
      </c>
      <c r="N442" s="52">
        <f t="shared" si="79"/>
        <v>1.1733322821385463</v>
      </c>
      <c r="O442" s="52">
        <f t="shared" si="80"/>
        <v>1.0839491076482504</v>
      </c>
      <c r="P442" s="30">
        <f t="shared" si="81"/>
        <v>2931857</v>
      </c>
      <c r="Q442" s="30">
        <f t="shared" si="82"/>
        <v>2708511.3290414196</v>
      </c>
      <c r="R442" s="30">
        <f t="shared" si="83"/>
        <v>2747979</v>
      </c>
      <c r="S442" s="53">
        <f t="shared" si="84"/>
        <v>1.9731378900114585</v>
      </c>
      <c r="T442" s="54">
        <v>1.9731380000000001</v>
      </c>
      <c r="U442" s="55">
        <f t="shared" si="85"/>
        <v>-1.0998854160781946E-7</v>
      </c>
      <c r="V442" s="53">
        <f t="shared" si="86"/>
        <v>1.8508103727882252</v>
      </c>
      <c r="W442" s="53">
        <f t="shared" si="87"/>
        <v>1.8755710195034943</v>
      </c>
      <c r="X442" s="54">
        <v>1.8755710000000001</v>
      </c>
      <c r="Y442" s="55">
        <f t="shared" si="88"/>
        <v>1.95034941530281E-8</v>
      </c>
      <c r="Z442" s="29">
        <f t="shared" si="89"/>
        <v>6130524.1817548843</v>
      </c>
      <c r="AA442" s="23">
        <f t="shared" si="90"/>
        <v>-30287246.171506993</v>
      </c>
    </row>
    <row r="443" spans="1:27" x14ac:dyDescent="0.2">
      <c r="A443" s="27" t="s">
        <v>285</v>
      </c>
      <c r="B443" s="27" t="s">
        <v>155</v>
      </c>
      <c r="C443" s="27" t="s">
        <v>72</v>
      </c>
      <c r="D443" s="51">
        <v>1920249</v>
      </c>
      <c r="E443" s="51">
        <v>2351872</v>
      </c>
      <c r="F443" s="45">
        <v>1920249</v>
      </c>
      <c r="G443" s="27" t="s">
        <v>284</v>
      </c>
      <c r="H443" s="51">
        <v>1975372</v>
      </c>
      <c r="I443" s="51">
        <v>2314635</v>
      </c>
      <c r="J443" s="45">
        <v>1975372</v>
      </c>
      <c r="K443" s="27" t="s">
        <v>281</v>
      </c>
      <c r="L443" s="45">
        <v>24759144025</v>
      </c>
      <c r="M443" s="27" t="str">
        <f t="shared" si="78"/>
        <v>2026-04|FGP segunda parte (30%)</v>
      </c>
      <c r="N443" s="52">
        <f t="shared" si="79"/>
        <v>1.2247744953909623</v>
      </c>
      <c r="O443" s="52">
        <f t="shared" si="80"/>
        <v>1.1717463849847016</v>
      </c>
      <c r="P443" s="30">
        <f t="shared" si="81"/>
        <v>2351872</v>
      </c>
      <c r="Q443" s="30">
        <f t="shared" si="82"/>
        <v>2250044.8240204882</v>
      </c>
      <c r="R443" s="30">
        <f t="shared" si="83"/>
        <v>2314635</v>
      </c>
      <c r="S443" s="53">
        <f t="shared" si="84"/>
        <v>1.5828083551336334</v>
      </c>
      <c r="T443" s="54">
        <v>1.5828089999999999</v>
      </c>
      <c r="U443" s="55">
        <f t="shared" si="85"/>
        <v>-6.4486636652816287E-7</v>
      </c>
      <c r="V443" s="53">
        <f t="shared" si="86"/>
        <v>1.5375258928709812</v>
      </c>
      <c r="W443" s="53">
        <f t="shared" si="87"/>
        <v>1.5798018568294991</v>
      </c>
      <c r="X443" s="54">
        <v>1.5798019999999999</v>
      </c>
      <c r="Y443" s="55">
        <f t="shared" si="88"/>
        <v>-1.4317050078815896E-7</v>
      </c>
      <c r="Z443" s="29">
        <f t="shared" si="89"/>
        <v>10467166.804446554</v>
      </c>
      <c r="AA443" s="23">
        <f t="shared" si="90"/>
        <v>-11211550.049676333</v>
      </c>
    </row>
    <row r="444" spans="1:27" x14ac:dyDescent="0.2">
      <c r="A444" s="27" t="s">
        <v>285</v>
      </c>
      <c r="B444" s="27" t="s">
        <v>155</v>
      </c>
      <c r="C444" s="27" t="s">
        <v>73</v>
      </c>
      <c r="D444" s="51">
        <v>2924773</v>
      </c>
      <c r="E444" s="51">
        <v>3383833</v>
      </c>
      <c r="F444" s="45">
        <v>2924773</v>
      </c>
      <c r="G444" s="27" t="s">
        <v>284</v>
      </c>
      <c r="H444" s="51">
        <v>2951151</v>
      </c>
      <c r="I444" s="51">
        <v>3412006</v>
      </c>
      <c r="J444" s="45">
        <v>2951151</v>
      </c>
      <c r="K444" s="27" t="s">
        <v>281</v>
      </c>
      <c r="L444" s="45">
        <v>24759144025</v>
      </c>
      <c r="M444" s="27" t="str">
        <f t="shared" si="78"/>
        <v>2026-04|FGP segunda parte (30%)</v>
      </c>
      <c r="N444" s="52">
        <f t="shared" si="79"/>
        <v>1.156955770584589</v>
      </c>
      <c r="O444" s="52">
        <f t="shared" si="80"/>
        <v>1.1561611045995275</v>
      </c>
      <c r="P444" s="30">
        <f t="shared" si="81"/>
        <v>3383833</v>
      </c>
      <c r="Q444" s="30">
        <f t="shared" si="82"/>
        <v>3381508.7823828738</v>
      </c>
      <c r="R444" s="30">
        <f t="shared" si="83"/>
        <v>3412006</v>
      </c>
      <c r="S444" s="53">
        <f t="shared" si="84"/>
        <v>2.2773174495792747</v>
      </c>
      <c r="T444" s="54">
        <v>2.2773180000000002</v>
      </c>
      <c r="U444" s="55">
        <f t="shared" si="85"/>
        <v>-5.5042072544253529E-7</v>
      </c>
      <c r="V444" s="53">
        <f t="shared" si="86"/>
        <v>2.3106905490861234</v>
      </c>
      <c r="W444" s="53">
        <f t="shared" si="87"/>
        <v>2.3287876552084419</v>
      </c>
      <c r="X444" s="54">
        <v>2.3287870000000002</v>
      </c>
      <c r="Y444" s="55">
        <f t="shared" si="88"/>
        <v>6.5520844172439752E-7</v>
      </c>
      <c r="Z444" s="29">
        <f t="shared" si="89"/>
        <v>4480688.569181934</v>
      </c>
      <c r="AA444" s="23">
        <f t="shared" si="90"/>
        <v>8262893.7725072177</v>
      </c>
    </row>
    <row r="445" spans="1:27" x14ac:dyDescent="0.2">
      <c r="A445" s="27" t="s">
        <v>285</v>
      </c>
      <c r="B445" s="27" t="s">
        <v>155</v>
      </c>
      <c r="C445" s="27" t="s">
        <v>74</v>
      </c>
      <c r="D445" s="51">
        <v>3135869</v>
      </c>
      <c r="E445" s="51">
        <v>3374191</v>
      </c>
      <c r="F445" s="45">
        <v>3135869</v>
      </c>
      <c r="G445" s="27" t="s">
        <v>284</v>
      </c>
      <c r="H445" s="51">
        <v>3085699</v>
      </c>
      <c r="I445" s="51">
        <v>3240121</v>
      </c>
      <c r="J445" s="45">
        <v>3085699</v>
      </c>
      <c r="K445" s="27" t="s">
        <v>281</v>
      </c>
      <c r="L445" s="45">
        <v>24759144025</v>
      </c>
      <c r="M445" s="27" t="str">
        <f t="shared" si="78"/>
        <v>2026-04|FGP segunda parte (30%)</v>
      </c>
      <c r="N445" s="52">
        <f t="shared" si="79"/>
        <v>1.0759987104053135</v>
      </c>
      <c r="O445" s="52">
        <f t="shared" si="80"/>
        <v>1.0500444145718686</v>
      </c>
      <c r="P445" s="30">
        <f t="shared" si="81"/>
        <v>3374191</v>
      </c>
      <c r="Q445" s="30">
        <f t="shared" si="82"/>
        <v>3292801.7282790709</v>
      </c>
      <c r="R445" s="30">
        <f t="shared" si="83"/>
        <v>3240121.0000000005</v>
      </c>
      <c r="S445" s="53">
        <f t="shared" si="84"/>
        <v>2.270828389732396</v>
      </c>
      <c r="T445" s="54">
        <v>2.2708279999999998</v>
      </c>
      <c r="U445" s="55">
        <f t="shared" si="85"/>
        <v>3.8973239613326882E-7</v>
      </c>
      <c r="V445" s="53">
        <f t="shared" si="86"/>
        <v>2.2500742488645145</v>
      </c>
      <c r="W445" s="53">
        <f t="shared" si="87"/>
        <v>2.2114714294704152</v>
      </c>
      <c r="X445" s="54">
        <v>2.211471</v>
      </c>
      <c r="Y445" s="55">
        <f t="shared" si="88"/>
        <v>4.2947041523078155E-7</v>
      </c>
      <c r="Z445" s="29">
        <f t="shared" si="89"/>
        <v>-9557727.651495669</v>
      </c>
      <c r="AA445" s="23">
        <f t="shared" si="90"/>
        <v>-5138547.6286301706</v>
      </c>
    </row>
    <row r="446" spans="1:27" x14ac:dyDescent="0.2">
      <c r="A446" s="27" t="s">
        <v>285</v>
      </c>
      <c r="B446" s="27" t="s">
        <v>155</v>
      </c>
      <c r="C446" s="27" t="s">
        <v>75</v>
      </c>
      <c r="D446" s="51">
        <v>3032476</v>
      </c>
      <c r="E446" s="51">
        <v>3435320</v>
      </c>
      <c r="F446" s="45">
        <v>3032476</v>
      </c>
      <c r="G446" s="27" t="s">
        <v>284</v>
      </c>
      <c r="H446" s="51">
        <v>3035624</v>
      </c>
      <c r="I446" s="51">
        <v>3447305</v>
      </c>
      <c r="J446" s="45">
        <v>3035624</v>
      </c>
      <c r="K446" s="27" t="s">
        <v>281</v>
      </c>
      <c r="L446" s="45">
        <v>24759144025</v>
      </c>
      <c r="M446" s="27" t="str">
        <f t="shared" si="78"/>
        <v>2026-04|FGP segunda parte (30%)</v>
      </c>
      <c r="N446" s="52">
        <f t="shared" si="79"/>
        <v>1.1328432607545782</v>
      </c>
      <c r="O446" s="52">
        <f t="shared" si="80"/>
        <v>1.1356165981030588</v>
      </c>
      <c r="P446" s="30">
        <f t="shared" si="81"/>
        <v>3435320.0000000005</v>
      </c>
      <c r="Q446" s="30">
        <f t="shared" si="82"/>
        <v>3443730.0789491716</v>
      </c>
      <c r="R446" s="30">
        <f t="shared" si="83"/>
        <v>3447305</v>
      </c>
      <c r="S446" s="53">
        <f t="shared" si="84"/>
        <v>2.3119681677224246</v>
      </c>
      <c r="T446" s="54">
        <v>2.3119679999999998</v>
      </c>
      <c r="U446" s="55">
        <f t="shared" si="85"/>
        <v>1.677224248375353E-7</v>
      </c>
      <c r="V446" s="53">
        <f t="shared" si="86"/>
        <v>2.3532083040825529</v>
      </c>
      <c r="W446" s="53">
        <f t="shared" si="87"/>
        <v>2.3528801906380989</v>
      </c>
      <c r="X446" s="54">
        <v>2.3528799999999999</v>
      </c>
      <c r="Y446" s="55">
        <f t="shared" si="88"/>
        <v>1.9063809908459461E-7</v>
      </c>
      <c r="Z446" s="29">
        <f t="shared" si="89"/>
        <v>-81238.080277738612</v>
      </c>
      <c r="AA446" s="23">
        <f t="shared" si="90"/>
        <v>10210704.757510545</v>
      </c>
    </row>
    <row r="447" spans="1:27" x14ac:dyDescent="0.2">
      <c r="A447" s="27" t="s">
        <v>285</v>
      </c>
      <c r="B447" s="27" t="s">
        <v>155</v>
      </c>
      <c r="C447" s="27" t="s">
        <v>76</v>
      </c>
      <c r="D447" s="51">
        <v>2567516</v>
      </c>
      <c r="E447" s="51">
        <v>2879540</v>
      </c>
      <c r="F447" s="45">
        <v>2567516</v>
      </c>
      <c r="G447" s="27" t="s">
        <v>284</v>
      </c>
      <c r="H447" s="51">
        <v>2578825</v>
      </c>
      <c r="I447" s="51">
        <v>2872850</v>
      </c>
      <c r="J447" s="45">
        <v>2578825</v>
      </c>
      <c r="K447" s="27" t="s">
        <v>281</v>
      </c>
      <c r="L447" s="45">
        <v>24759144025</v>
      </c>
      <c r="M447" s="27" t="str">
        <f t="shared" si="78"/>
        <v>2026-04|FGP segunda parte (30%)</v>
      </c>
      <c r="N447" s="52">
        <f t="shared" si="79"/>
        <v>1.1215275776275591</v>
      </c>
      <c r="O447" s="52">
        <f t="shared" si="80"/>
        <v>1.1140151037778834</v>
      </c>
      <c r="P447" s="30">
        <f t="shared" si="81"/>
        <v>2879540</v>
      </c>
      <c r="Q447" s="30">
        <f t="shared" si="82"/>
        <v>2860251.6031913762</v>
      </c>
      <c r="R447" s="30">
        <f t="shared" si="83"/>
        <v>2872850</v>
      </c>
      <c r="S447" s="53">
        <f t="shared" si="84"/>
        <v>1.9379285823979804</v>
      </c>
      <c r="T447" s="54">
        <v>1.9379280000000001</v>
      </c>
      <c r="U447" s="55">
        <f t="shared" si="85"/>
        <v>5.823979802865864E-7</v>
      </c>
      <c r="V447" s="53">
        <f t="shared" si="86"/>
        <v>1.9544992406748747</v>
      </c>
      <c r="W447" s="53">
        <f t="shared" si="87"/>
        <v>1.9607989010762501</v>
      </c>
      <c r="X447" s="54">
        <v>1.960799</v>
      </c>
      <c r="Y447" s="55">
        <f t="shared" si="88"/>
        <v>-9.8923749858315091E-8</v>
      </c>
      <c r="Z447" s="29">
        <f t="shared" si="89"/>
        <v>1559741.9918624328</v>
      </c>
      <c r="AA447" s="23">
        <f t="shared" si="90"/>
        <v>4102753.1486668438</v>
      </c>
    </row>
    <row r="448" spans="1:27" x14ac:dyDescent="0.2">
      <c r="A448" s="27" t="s">
        <v>285</v>
      </c>
      <c r="B448" s="27" t="s">
        <v>155</v>
      </c>
      <c r="C448" s="27" t="s">
        <v>77</v>
      </c>
      <c r="D448" s="51">
        <v>3597414</v>
      </c>
      <c r="E448" s="51">
        <v>3984591</v>
      </c>
      <c r="F448" s="45">
        <v>3597414</v>
      </c>
      <c r="G448" s="27" t="s">
        <v>284</v>
      </c>
      <c r="H448" s="51">
        <v>3602540</v>
      </c>
      <c r="I448" s="51">
        <v>3971843</v>
      </c>
      <c r="J448" s="45">
        <v>3602540</v>
      </c>
      <c r="K448" s="27" t="s">
        <v>281</v>
      </c>
      <c r="L448" s="45">
        <v>24759144025</v>
      </c>
      <c r="M448" s="27" t="str">
        <f t="shared" si="78"/>
        <v>2026-04|FGP segunda parte (30%)</v>
      </c>
      <c r="N448" s="52">
        <f t="shared" si="79"/>
        <v>1.1076264783536174</v>
      </c>
      <c r="O448" s="52">
        <f t="shared" si="80"/>
        <v>1.1025118388692423</v>
      </c>
      <c r="P448" s="30">
        <f t="shared" si="81"/>
        <v>3984591</v>
      </c>
      <c r="Q448" s="30">
        <f t="shared" si="82"/>
        <v>3966191.5243139565</v>
      </c>
      <c r="R448" s="30">
        <f t="shared" si="83"/>
        <v>3971843</v>
      </c>
      <c r="S448" s="53">
        <f t="shared" si="84"/>
        <v>2.6816272002006403</v>
      </c>
      <c r="T448" s="54">
        <v>2.6816270000000002</v>
      </c>
      <c r="U448" s="55">
        <f t="shared" si="85"/>
        <v>2.002006400658729E-7</v>
      </c>
      <c r="V448" s="53">
        <f t="shared" si="86"/>
        <v>2.7102225251769498</v>
      </c>
      <c r="W448" s="53">
        <f t="shared" si="87"/>
        <v>2.7108917589318611</v>
      </c>
      <c r="X448" s="54">
        <v>2.7108910000000002</v>
      </c>
      <c r="Y448" s="55">
        <f t="shared" si="88"/>
        <v>7.5893186091136045E-7</v>
      </c>
      <c r="Z448" s="29">
        <f t="shared" si="89"/>
        <v>165696.5492423884</v>
      </c>
      <c r="AA448" s="23">
        <f t="shared" si="90"/>
        <v>7079957.6953012822</v>
      </c>
    </row>
    <row r="449" spans="1:27" x14ac:dyDescent="0.2">
      <c r="A449" s="27" t="s">
        <v>285</v>
      </c>
      <c r="B449" s="27" t="s">
        <v>155</v>
      </c>
      <c r="C449" s="27" t="s">
        <v>78</v>
      </c>
      <c r="D449" s="51">
        <v>1449354</v>
      </c>
      <c r="E449" s="51">
        <v>1645071</v>
      </c>
      <c r="F449" s="45">
        <v>1449354</v>
      </c>
      <c r="G449" s="27" t="s">
        <v>284</v>
      </c>
      <c r="H449" s="51">
        <v>1426175</v>
      </c>
      <c r="I449" s="51">
        <v>1580852</v>
      </c>
      <c r="J449" s="45">
        <v>1426175</v>
      </c>
      <c r="K449" s="27" t="s">
        <v>281</v>
      </c>
      <c r="L449" s="45">
        <v>24759144025</v>
      </c>
      <c r="M449" s="27" t="str">
        <f t="shared" si="78"/>
        <v>2026-04|FGP segunda parte (30%)</v>
      </c>
      <c r="N449" s="52">
        <f t="shared" si="79"/>
        <v>1.1350374028705204</v>
      </c>
      <c r="O449" s="52">
        <f t="shared" si="80"/>
        <v>1.1084558346626465</v>
      </c>
      <c r="P449" s="30">
        <f t="shared" si="81"/>
        <v>1645071.0000000002</v>
      </c>
      <c r="Q449" s="30">
        <f t="shared" si="82"/>
        <v>1606544.8977916455</v>
      </c>
      <c r="R449" s="30">
        <f t="shared" si="83"/>
        <v>1580852</v>
      </c>
      <c r="S449" s="53">
        <f t="shared" si="84"/>
        <v>1.1071317331844768</v>
      </c>
      <c r="T449" s="54">
        <v>1.107132</v>
      </c>
      <c r="U449" s="55">
        <f t="shared" si="85"/>
        <v>-2.668155232310454E-7</v>
      </c>
      <c r="V449" s="53">
        <f t="shared" si="86"/>
        <v>1.0978022980007651</v>
      </c>
      <c r="W449" s="53">
        <f t="shared" si="87"/>
        <v>1.0789748383536182</v>
      </c>
      <c r="X449" s="54">
        <v>1.078975</v>
      </c>
      <c r="Y449" s="55">
        <f t="shared" si="88"/>
        <v>-1.6164638183546742E-7</v>
      </c>
      <c r="Z449" s="29">
        <f t="shared" si="89"/>
        <v>-4661517.8502858672</v>
      </c>
      <c r="AA449" s="23">
        <f t="shared" si="90"/>
        <v>-2309888.2938541914</v>
      </c>
    </row>
    <row r="450" spans="1:27" x14ac:dyDescent="0.2">
      <c r="A450" s="27" t="s">
        <v>285</v>
      </c>
      <c r="B450" s="27" t="s">
        <v>155</v>
      </c>
      <c r="C450" s="27" t="s">
        <v>79</v>
      </c>
      <c r="D450" s="51">
        <v>8068202</v>
      </c>
      <c r="E450" s="51">
        <v>9074272</v>
      </c>
      <c r="F450" s="45">
        <v>8068202</v>
      </c>
      <c r="G450" s="27" t="s">
        <v>284</v>
      </c>
      <c r="H450" s="51">
        <v>8066173</v>
      </c>
      <c r="I450" s="51">
        <v>8623233</v>
      </c>
      <c r="J450" s="45">
        <v>8066173</v>
      </c>
      <c r="K450" s="27" t="s">
        <v>281</v>
      </c>
      <c r="L450" s="45">
        <v>24759144025</v>
      </c>
      <c r="M450" s="27" t="str">
        <f t="shared" si="78"/>
        <v>2026-04|FGP segunda parte (30%)</v>
      </c>
      <c r="N450" s="52">
        <f t="shared" si="79"/>
        <v>1.124695688085152</v>
      </c>
      <c r="O450" s="52">
        <f t="shared" si="80"/>
        <v>1.0690612512278128</v>
      </c>
      <c r="P450" s="30">
        <f t="shared" si="81"/>
        <v>9074272</v>
      </c>
      <c r="Q450" s="30">
        <f t="shared" si="82"/>
        <v>8625402.1252787411</v>
      </c>
      <c r="R450" s="30">
        <f t="shared" si="83"/>
        <v>8623233</v>
      </c>
      <c r="S450" s="53">
        <f t="shared" si="84"/>
        <v>6.1069792651790511</v>
      </c>
      <c r="T450" s="54">
        <v>6.1069789999999999</v>
      </c>
      <c r="U450" s="55">
        <f t="shared" si="85"/>
        <v>2.6517905116207885E-7</v>
      </c>
      <c r="V450" s="53">
        <f t="shared" si="86"/>
        <v>5.8940066270962861</v>
      </c>
      <c r="W450" s="53">
        <f t="shared" si="87"/>
        <v>5.8855929791407338</v>
      </c>
      <c r="X450" s="54">
        <v>5.8855930000000001</v>
      </c>
      <c r="Y450" s="55">
        <f t="shared" si="88"/>
        <v>-2.0859266314232627E-8</v>
      </c>
      <c r="Z450" s="29">
        <f t="shared" si="89"/>
        <v>-2083147.2150716691</v>
      </c>
      <c r="AA450" s="23">
        <f t="shared" si="90"/>
        <v>-52730202.196753785</v>
      </c>
    </row>
    <row r="451" spans="1:27" x14ac:dyDescent="0.2">
      <c r="A451" s="27" t="s">
        <v>285</v>
      </c>
      <c r="B451" s="27" t="s">
        <v>155</v>
      </c>
      <c r="C451" s="27" t="s">
        <v>80</v>
      </c>
      <c r="D451" s="51">
        <v>2432221</v>
      </c>
      <c r="E451" s="51">
        <v>2853905</v>
      </c>
      <c r="F451" s="45">
        <v>2432221</v>
      </c>
      <c r="G451" s="27" t="s">
        <v>284</v>
      </c>
      <c r="H451" s="51">
        <v>2456821</v>
      </c>
      <c r="I451" s="51">
        <v>2722907</v>
      </c>
      <c r="J451" s="45">
        <v>2456821</v>
      </c>
      <c r="K451" s="27" t="s">
        <v>281</v>
      </c>
      <c r="L451" s="45">
        <v>24759144025</v>
      </c>
      <c r="M451" s="27" t="str">
        <f t="shared" si="78"/>
        <v>2026-04|FGP segunda parte (30%)</v>
      </c>
      <c r="N451" s="52">
        <f t="shared" si="79"/>
        <v>1.1733740478352912</v>
      </c>
      <c r="O451" s="52">
        <f t="shared" si="80"/>
        <v>1.108305000649213</v>
      </c>
      <c r="P451" s="30">
        <f t="shared" si="81"/>
        <v>2853905</v>
      </c>
      <c r="Q451" s="30">
        <f t="shared" si="82"/>
        <v>2695642.6969840294</v>
      </c>
      <c r="R451" s="30">
        <f t="shared" si="83"/>
        <v>2722907</v>
      </c>
      <c r="S451" s="53">
        <f t="shared" si="84"/>
        <v>1.9206762437571654</v>
      </c>
      <c r="T451" s="54">
        <v>1.920676</v>
      </c>
      <c r="U451" s="55">
        <f t="shared" si="85"/>
        <v>2.4375716534130731E-7</v>
      </c>
      <c r="V451" s="53">
        <f t="shared" si="86"/>
        <v>1.8420168346405217</v>
      </c>
      <c r="W451" s="53">
        <f t="shared" si="87"/>
        <v>1.8584586920071806</v>
      </c>
      <c r="X451" s="54">
        <v>1.8584590000000001</v>
      </c>
      <c r="Y451" s="55">
        <f t="shared" si="88"/>
        <v>-3.0799281947047064E-7</v>
      </c>
      <c r="Z451" s="29">
        <f t="shared" si="89"/>
        <v>4070863.145796157</v>
      </c>
      <c r="AA451" s="23">
        <f t="shared" si="90"/>
        <v>-19475396.392403796</v>
      </c>
    </row>
    <row r="452" spans="1:27" x14ac:dyDescent="0.2">
      <c r="A452" s="27" t="s">
        <v>285</v>
      </c>
      <c r="B452" s="27" t="s">
        <v>155</v>
      </c>
      <c r="C452" s="27" t="s">
        <v>81</v>
      </c>
      <c r="D452" s="51">
        <v>1703991</v>
      </c>
      <c r="E452" s="51">
        <v>1793169</v>
      </c>
      <c r="F452" s="45">
        <v>1703991</v>
      </c>
      <c r="G452" s="27" t="s">
        <v>284</v>
      </c>
      <c r="H452" s="51">
        <v>1689186</v>
      </c>
      <c r="I452" s="51">
        <v>1865255</v>
      </c>
      <c r="J452" s="45">
        <v>1689186</v>
      </c>
      <c r="K452" s="27" t="s">
        <v>281</v>
      </c>
      <c r="L452" s="45">
        <v>24759144025</v>
      </c>
      <c r="M452" s="27" t="str">
        <f t="shared" si="78"/>
        <v>2026-04|FGP segunda parte (30%)</v>
      </c>
      <c r="N452" s="52">
        <f t="shared" si="79"/>
        <v>1.0523347834583634</v>
      </c>
      <c r="O452" s="52">
        <f t="shared" si="80"/>
        <v>1.1042330447919886</v>
      </c>
      <c r="P452" s="30">
        <f t="shared" si="81"/>
        <v>1793169</v>
      </c>
      <c r="Q452" s="30">
        <f t="shared" si="82"/>
        <v>1881603.1702281453</v>
      </c>
      <c r="R452" s="30">
        <f t="shared" si="83"/>
        <v>1865255</v>
      </c>
      <c r="S452" s="53">
        <f t="shared" si="84"/>
        <v>1.2068015926745259</v>
      </c>
      <c r="T452" s="54">
        <v>1.206801</v>
      </c>
      <c r="U452" s="55">
        <f t="shared" si="85"/>
        <v>5.9267452590106018E-7</v>
      </c>
      <c r="V452" s="53">
        <f t="shared" si="86"/>
        <v>1.2857582051030085</v>
      </c>
      <c r="W452" s="53">
        <f t="shared" si="87"/>
        <v>1.273087684434266</v>
      </c>
      <c r="X452" s="54">
        <v>1.273088</v>
      </c>
      <c r="Y452" s="55">
        <f t="shared" si="88"/>
        <v>-3.1556573398816568E-7</v>
      </c>
      <c r="Z452" s="29">
        <f t="shared" si="89"/>
        <v>-3137112.461091355</v>
      </c>
      <c r="AA452" s="23">
        <f t="shared" si="90"/>
        <v>19548981.388429061</v>
      </c>
    </row>
    <row r="453" spans="1:27" x14ac:dyDescent="0.2">
      <c r="A453" s="27" t="s">
        <v>285</v>
      </c>
      <c r="B453" s="27" t="s">
        <v>157</v>
      </c>
      <c r="C453" s="27" t="s">
        <v>50</v>
      </c>
      <c r="D453" s="51">
        <v>5384140862</v>
      </c>
      <c r="F453" s="45">
        <v>1519678</v>
      </c>
      <c r="G453" s="27" t="s">
        <v>284</v>
      </c>
      <c r="H453" s="51">
        <v>5999239609</v>
      </c>
      <c r="J453" s="45">
        <v>1531396</v>
      </c>
      <c r="K453" s="27" t="s">
        <v>281</v>
      </c>
      <c r="L453" s="45">
        <v>8253048008</v>
      </c>
      <c r="M453" s="27" t="str">
        <f t="shared" ref="M453:M516" si="91">A453&amp;"|"&amp;B453</f>
        <v>2026-04|FGP tercera parte (10%)</v>
      </c>
      <c r="N453" s="52">
        <f t="shared" ref="N453:N516" si="92">IF(E453="",D453,E453/D453)</f>
        <v>5384140862</v>
      </c>
      <c r="O453" s="52">
        <f t="shared" ref="O453:O516" si="93">IF(I453="",H453,I453/H453)</f>
        <v>5999239609</v>
      </c>
      <c r="P453" s="30">
        <f t="shared" ref="P453:P516" si="94">N453*F453</f>
        <v>8182160416882436</v>
      </c>
      <c r="Q453" s="30">
        <f t="shared" ref="Q453:Q516" si="95">O453*F453</f>
        <v>9116912450525902</v>
      </c>
      <c r="R453" s="30">
        <f t="shared" ref="R453:R516" si="96">O453*J453</f>
        <v>9187211540264164</v>
      </c>
      <c r="S453" s="53">
        <f t="shared" ref="S453:S516" si="97">P453/SUMIFS($P$5:$P$516,$M$5:$M$516,M453)*100</f>
        <v>0.25340099225361817</v>
      </c>
      <c r="T453" s="54">
        <v>0.25340099999999999</v>
      </c>
      <c r="U453" s="55">
        <f t="shared" ref="U453:U516" si="98">S453-T453</f>
        <v>-7.7463818137779583E-9</v>
      </c>
      <c r="V453" s="53">
        <f t="shared" ref="V453:V516" si="99">Q453/SUMIFS($Q$5:$Q$516,$M$5:$M$516,M453)*100</f>
        <v>0.24841432362744542</v>
      </c>
      <c r="W453" s="53">
        <f t="shared" ref="W453:W516" si="100">R453/SUMIFS($R$5:$R$516,$M$5:$M$516,M453)*100</f>
        <v>0.25028246893387673</v>
      </c>
      <c r="X453" s="54">
        <v>0.250282</v>
      </c>
      <c r="Y453" s="55">
        <f t="shared" ref="Y453:Y516" si="101">W453-X453</f>
        <v>4.68933876729416E-7</v>
      </c>
      <c r="Z453" s="29">
        <f t="shared" ref="Z453:Z516" si="102">(W453-V453)/100*L453</f>
        <v>154178.92899897491</v>
      </c>
      <c r="AA453" s="23">
        <f t="shared" ref="AA453:AA516" si="103">(V453-S453)/100*L453</f>
        <v>-411552.15571791126</v>
      </c>
    </row>
    <row r="454" spans="1:27" x14ac:dyDescent="0.2">
      <c r="A454" s="27" t="s">
        <v>285</v>
      </c>
      <c r="B454" s="27" t="s">
        <v>157</v>
      </c>
      <c r="C454" s="27" t="s">
        <v>51</v>
      </c>
      <c r="D454" s="51">
        <v>29484012362</v>
      </c>
      <c r="F454" s="45">
        <v>3790412</v>
      </c>
      <c r="G454" s="27" t="s">
        <v>284</v>
      </c>
      <c r="H454" s="51">
        <v>32050362891</v>
      </c>
      <c r="J454" s="45">
        <v>3830329</v>
      </c>
      <c r="K454" s="27" t="s">
        <v>281</v>
      </c>
      <c r="L454" s="45">
        <v>8253048008</v>
      </c>
      <c r="M454" s="27" t="str">
        <f t="shared" si="91"/>
        <v>2026-04|FGP tercera parte (10%)</v>
      </c>
      <c r="N454" s="52">
        <f t="shared" si="92"/>
        <v>29484012362</v>
      </c>
      <c r="O454" s="52">
        <f t="shared" si="93"/>
        <v>32050362891</v>
      </c>
      <c r="P454" s="30">
        <f t="shared" si="94"/>
        <v>1.1175655426507315E+17</v>
      </c>
      <c r="Q454" s="30">
        <f t="shared" si="95"/>
        <v>1.2148408010640109E+17</v>
      </c>
      <c r="R454" s="30">
        <f t="shared" si="96"/>
        <v>1.2276343444192114E+17</v>
      </c>
      <c r="S454" s="53">
        <f t="shared" si="97"/>
        <v>3.4610934397207824</v>
      </c>
      <c r="T454" s="54">
        <v>3.461093</v>
      </c>
      <c r="U454" s="55">
        <f t="shared" si="98"/>
        <v>4.3972078245246848E-7</v>
      </c>
      <c r="V454" s="53">
        <f t="shared" si="99"/>
        <v>3.3101541508598351</v>
      </c>
      <c r="W454" s="53">
        <f t="shared" si="100"/>
        <v>3.3443809726452294</v>
      </c>
      <c r="X454" s="54">
        <v>3.3443809999999998</v>
      </c>
      <c r="Y454" s="55">
        <f t="shared" si="101"/>
        <v>-2.7354770448795307E-8</v>
      </c>
      <c r="Z454" s="29">
        <f t="shared" si="102"/>
        <v>2824756.0335611915</v>
      </c>
      <c r="AA454" s="23">
        <f t="shared" si="103"/>
        <v>-12457091.972627778</v>
      </c>
    </row>
    <row r="455" spans="1:27" x14ac:dyDescent="0.2">
      <c r="A455" s="27" t="s">
        <v>285</v>
      </c>
      <c r="B455" s="27" t="s">
        <v>157</v>
      </c>
      <c r="C455" s="27" t="s">
        <v>52</v>
      </c>
      <c r="D455" s="51">
        <v>5736083240</v>
      </c>
      <c r="F455" s="45">
        <v>906940</v>
      </c>
      <c r="G455" s="27" t="s">
        <v>284</v>
      </c>
      <c r="H455" s="51">
        <v>6240882605</v>
      </c>
      <c r="J455" s="45">
        <v>928591</v>
      </c>
      <c r="K455" s="27" t="s">
        <v>281</v>
      </c>
      <c r="L455" s="45">
        <v>8253048008</v>
      </c>
      <c r="M455" s="27" t="str">
        <f t="shared" si="91"/>
        <v>2026-04|FGP tercera parte (10%)</v>
      </c>
      <c r="N455" s="52">
        <f t="shared" si="92"/>
        <v>5736083240</v>
      </c>
      <c r="O455" s="52">
        <f t="shared" si="93"/>
        <v>6240882605</v>
      </c>
      <c r="P455" s="30">
        <f t="shared" si="94"/>
        <v>5202283333685600</v>
      </c>
      <c r="Q455" s="30">
        <f t="shared" si="95"/>
        <v>5660106069778700</v>
      </c>
      <c r="R455" s="30">
        <f t="shared" si="96"/>
        <v>5795227419059555</v>
      </c>
      <c r="S455" s="53">
        <f t="shared" si="97"/>
        <v>0.16111438685807092</v>
      </c>
      <c r="T455" s="54">
        <v>0.16111400000000001</v>
      </c>
      <c r="U455" s="55">
        <f t="shared" si="98"/>
        <v>3.8685807091098923E-7</v>
      </c>
      <c r="V455" s="53">
        <f t="shared" si="99"/>
        <v>0.15422451719414801</v>
      </c>
      <c r="W455" s="53">
        <f t="shared" si="100"/>
        <v>0.15787639373696388</v>
      </c>
      <c r="X455" s="54">
        <v>0.15787599999999999</v>
      </c>
      <c r="Y455" s="55">
        <f t="shared" si="101"/>
        <v>3.9373696389399804E-7</v>
      </c>
      <c r="Z455" s="29">
        <f t="shared" si="102"/>
        <v>301391.12427148473</v>
      </c>
      <c r="AA455" s="23">
        <f t="shared" si="103"/>
        <v>-568624.25105218601</v>
      </c>
    </row>
    <row r="456" spans="1:27" x14ac:dyDescent="0.2">
      <c r="A456" s="27" t="s">
        <v>285</v>
      </c>
      <c r="B456" s="27" t="s">
        <v>157</v>
      </c>
      <c r="C456" s="27" t="s">
        <v>53</v>
      </c>
      <c r="D456" s="51">
        <v>3605167152</v>
      </c>
      <c r="F456" s="45">
        <v>918817</v>
      </c>
      <c r="G456" s="27" t="s">
        <v>284</v>
      </c>
      <c r="H456" s="51">
        <v>3313630825</v>
      </c>
      <c r="J456" s="45">
        <v>935371</v>
      </c>
      <c r="K456" s="27" t="s">
        <v>281</v>
      </c>
      <c r="L456" s="45">
        <v>8253048008</v>
      </c>
      <c r="M456" s="27" t="str">
        <f t="shared" si="91"/>
        <v>2026-04|FGP tercera parte (10%)</v>
      </c>
      <c r="N456" s="52">
        <f t="shared" si="92"/>
        <v>3605167152</v>
      </c>
      <c r="O456" s="52">
        <f t="shared" si="93"/>
        <v>3313630825</v>
      </c>
      <c r="P456" s="30">
        <f t="shared" si="94"/>
        <v>3312488867099184</v>
      </c>
      <c r="Q456" s="30">
        <f t="shared" si="95"/>
        <v>3044620333734025</v>
      </c>
      <c r="R456" s="30">
        <f t="shared" si="96"/>
        <v>3099474178411075</v>
      </c>
      <c r="S456" s="53">
        <f t="shared" si="97"/>
        <v>0.10258757137296755</v>
      </c>
      <c r="T456" s="54">
        <v>0.102588</v>
      </c>
      <c r="U456" s="55">
        <f t="shared" si="98"/>
        <v>-4.2862703245050149E-7</v>
      </c>
      <c r="V456" s="53">
        <f t="shared" si="99"/>
        <v>8.2958710529602242E-2</v>
      </c>
      <c r="W456" s="53">
        <f t="shared" si="100"/>
        <v>8.4437377584016926E-2</v>
      </c>
      <c r="X456" s="54">
        <v>8.4436999999999998E-2</v>
      </c>
      <c r="Y456" s="55">
        <f t="shared" si="101"/>
        <v>3.775840169278899E-7</v>
      </c>
      <c r="Z456" s="29">
        <f t="shared" si="102"/>
        <v>122035.10187932335</v>
      </c>
      <c r="AA456" s="23">
        <f t="shared" si="103"/>
        <v>-1619979.3088264526</v>
      </c>
    </row>
    <row r="457" spans="1:27" x14ac:dyDescent="0.2">
      <c r="A457" s="27" t="s">
        <v>285</v>
      </c>
      <c r="B457" s="27" t="s">
        <v>157</v>
      </c>
      <c r="C457" s="27" t="s">
        <v>54</v>
      </c>
      <c r="D457" s="51">
        <v>13249731591</v>
      </c>
      <c r="F457" s="45">
        <v>3582441</v>
      </c>
      <c r="G457" s="27" t="s">
        <v>284</v>
      </c>
      <c r="H457" s="51">
        <v>16399735233</v>
      </c>
      <c r="J457" s="45">
        <v>3590747</v>
      </c>
      <c r="K457" s="27" t="s">
        <v>281</v>
      </c>
      <c r="L457" s="45">
        <v>8253048008</v>
      </c>
      <c r="M457" s="27" t="str">
        <f t="shared" si="91"/>
        <v>2026-04|FGP tercera parte (10%)</v>
      </c>
      <c r="N457" s="52">
        <f t="shared" si="92"/>
        <v>13249731591</v>
      </c>
      <c r="O457" s="52">
        <f t="shared" si="93"/>
        <v>16399735233</v>
      </c>
      <c r="P457" s="30">
        <f t="shared" si="94"/>
        <v>4.7466381690593632E+16</v>
      </c>
      <c r="Q457" s="30">
        <f t="shared" si="95"/>
        <v>5.8751083887843752E+16</v>
      </c>
      <c r="R457" s="30">
        <f t="shared" si="96"/>
        <v>5.8887300088689048E+16</v>
      </c>
      <c r="S457" s="53">
        <f t="shared" si="97"/>
        <v>1.4700308483646567</v>
      </c>
      <c r="T457" s="54">
        <v>1.4700310000000001</v>
      </c>
      <c r="U457" s="55">
        <f t="shared" si="98"/>
        <v>-1.5163534339279749E-7</v>
      </c>
      <c r="V457" s="53">
        <f t="shared" si="99"/>
        <v>1.6008282239823561</v>
      </c>
      <c r="W457" s="53">
        <f t="shared" si="100"/>
        <v>1.6042363660022367</v>
      </c>
      <c r="X457" s="54">
        <v>1.604236</v>
      </c>
      <c r="Y457" s="55">
        <f t="shared" si="101"/>
        <v>3.6600223674021493E-7</v>
      </c>
      <c r="Z457" s="29">
        <f t="shared" si="102"/>
        <v>281275.59708156681</v>
      </c>
      <c r="AA457" s="23">
        <f t="shared" si="103"/>
        <v>10794770.202932822</v>
      </c>
    </row>
    <row r="458" spans="1:27" x14ac:dyDescent="0.2">
      <c r="A458" s="27" t="s">
        <v>285</v>
      </c>
      <c r="B458" s="27" t="s">
        <v>157</v>
      </c>
      <c r="C458" s="27" t="s">
        <v>55</v>
      </c>
      <c r="D458" s="51">
        <v>2781620079</v>
      </c>
      <c r="F458" s="45">
        <v>745394</v>
      </c>
      <c r="G458" s="27" t="s">
        <v>284</v>
      </c>
      <c r="H458" s="51">
        <v>3126852128</v>
      </c>
      <c r="J458" s="45">
        <v>762355</v>
      </c>
      <c r="K458" s="27" t="s">
        <v>281</v>
      </c>
      <c r="L458" s="45">
        <v>8253048008</v>
      </c>
      <c r="M458" s="27" t="str">
        <f t="shared" si="91"/>
        <v>2026-04|FGP tercera parte (10%)</v>
      </c>
      <c r="N458" s="52">
        <f t="shared" si="92"/>
        <v>2781620079</v>
      </c>
      <c r="O458" s="52">
        <f t="shared" si="93"/>
        <v>3126852128</v>
      </c>
      <c r="P458" s="30">
        <f t="shared" si="94"/>
        <v>2073402917166126</v>
      </c>
      <c r="Q458" s="30">
        <f t="shared" si="95"/>
        <v>2330736815098432</v>
      </c>
      <c r="R458" s="30">
        <f t="shared" si="96"/>
        <v>2383771354041440</v>
      </c>
      <c r="S458" s="53">
        <f t="shared" si="97"/>
        <v>6.4213157623672149E-2</v>
      </c>
      <c r="T458" s="54">
        <v>6.4213000000000006E-2</v>
      </c>
      <c r="U458" s="55">
        <f t="shared" si="98"/>
        <v>1.5762367214233741E-7</v>
      </c>
      <c r="V458" s="53">
        <f t="shared" si="99"/>
        <v>6.3507071348794714E-2</v>
      </c>
      <c r="W458" s="53">
        <f t="shared" si="100"/>
        <v>6.4939854410513254E-2</v>
      </c>
      <c r="X458" s="54">
        <v>6.4939999999999998E-2</v>
      </c>
      <c r="Y458" s="55">
        <f t="shared" si="101"/>
        <v>-1.4558948674414651E-7</v>
      </c>
      <c r="Z458" s="29">
        <f t="shared" si="102"/>
        <v>118248.27393412337</v>
      </c>
      <c r="AA458" s="23">
        <f t="shared" si="103"/>
        <v>-58273.639243533551</v>
      </c>
    </row>
    <row r="459" spans="1:27" x14ac:dyDescent="0.2">
      <c r="A459" s="27" t="s">
        <v>285</v>
      </c>
      <c r="B459" s="27" t="s">
        <v>157</v>
      </c>
      <c r="C459" s="27" t="s">
        <v>56</v>
      </c>
      <c r="D459" s="51">
        <v>5216080441</v>
      </c>
      <c r="F459" s="45">
        <v>5900473</v>
      </c>
      <c r="G459" s="27" t="s">
        <v>284</v>
      </c>
      <c r="H459" s="51">
        <v>8053623880</v>
      </c>
      <c r="J459" s="45">
        <v>5891372</v>
      </c>
      <c r="K459" s="27" t="s">
        <v>281</v>
      </c>
      <c r="L459" s="45">
        <v>8253048008</v>
      </c>
      <c r="M459" s="27" t="str">
        <f t="shared" si="91"/>
        <v>2026-04|FGP tercera parte (10%)</v>
      </c>
      <c r="N459" s="52">
        <f t="shared" si="92"/>
        <v>5216080441</v>
      </c>
      <c r="O459" s="52">
        <f t="shared" si="93"/>
        <v>8053623880</v>
      </c>
      <c r="P459" s="30">
        <f t="shared" si="94"/>
        <v>3.0777341807948592E+16</v>
      </c>
      <c r="Q459" s="30">
        <f t="shared" si="95"/>
        <v>4.752019025609524E+16</v>
      </c>
      <c r="R459" s="30">
        <f t="shared" si="96"/>
        <v>4.744689422516336E+16</v>
      </c>
      <c r="S459" s="53">
        <f t="shared" si="97"/>
        <v>0.95317233538602719</v>
      </c>
      <c r="T459" s="54">
        <v>0.95317200000000002</v>
      </c>
      <c r="U459" s="55">
        <f t="shared" si="98"/>
        <v>3.353860271726461E-7</v>
      </c>
      <c r="V459" s="53">
        <f t="shared" si="99"/>
        <v>1.294812907897835</v>
      </c>
      <c r="W459" s="53">
        <f t="shared" si="100"/>
        <v>1.292571285408427</v>
      </c>
      <c r="X459" s="54">
        <v>1.2925709999999999</v>
      </c>
      <c r="Y459" s="55">
        <f t="shared" si="101"/>
        <v>2.8540842711421988E-7</v>
      </c>
      <c r="Z459" s="29">
        <f t="shared" si="102"/>
        <v>-185002.18020896343</v>
      </c>
      <c r="AA459" s="23">
        <f t="shared" si="103"/>
        <v>28195760.464205548</v>
      </c>
    </row>
    <row r="460" spans="1:27" x14ac:dyDescent="0.2">
      <c r="A460" s="27" t="s">
        <v>285</v>
      </c>
      <c r="B460" s="27" t="s">
        <v>157</v>
      </c>
      <c r="C460" s="27" t="s">
        <v>57</v>
      </c>
      <c r="D460" s="51">
        <v>26119425044</v>
      </c>
      <c r="F460" s="45">
        <v>3991333</v>
      </c>
      <c r="G460" s="27" t="s">
        <v>284</v>
      </c>
      <c r="H460" s="51">
        <v>29378013855</v>
      </c>
      <c r="J460" s="45">
        <v>4015493</v>
      </c>
      <c r="K460" s="27" t="s">
        <v>281</v>
      </c>
      <c r="L460" s="45">
        <v>8253048008</v>
      </c>
      <c r="M460" s="27" t="str">
        <f t="shared" si="91"/>
        <v>2026-04|FGP tercera parte (10%)</v>
      </c>
      <c r="N460" s="52">
        <f t="shared" si="92"/>
        <v>26119425044</v>
      </c>
      <c r="O460" s="52">
        <f t="shared" si="93"/>
        <v>29378013855</v>
      </c>
      <c r="P460" s="30">
        <f t="shared" si="94"/>
        <v>1.0425132311914365E+17</v>
      </c>
      <c r="Q460" s="30">
        <f t="shared" si="95"/>
        <v>1.1725743617391872E+17</v>
      </c>
      <c r="R460" s="30">
        <f t="shared" si="96"/>
        <v>1.1796720898865552E+17</v>
      </c>
      <c r="S460" s="53">
        <f t="shared" si="97"/>
        <v>3.2286569043105016</v>
      </c>
      <c r="T460" s="54">
        <v>3.2286570000000001</v>
      </c>
      <c r="U460" s="55">
        <f t="shared" si="98"/>
        <v>-9.5689498547102403E-8</v>
      </c>
      <c r="V460" s="53">
        <f t="shared" si="99"/>
        <v>3.194988090047099</v>
      </c>
      <c r="W460" s="53">
        <f t="shared" si="100"/>
        <v>3.2137198745801787</v>
      </c>
      <c r="X460" s="54">
        <v>3.2137199999999999</v>
      </c>
      <c r="Y460" s="55">
        <f t="shared" si="101"/>
        <v>-1.2541982119529393E-7</v>
      </c>
      <c r="Z460" s="29">
        <f t="shared" si="102"/>
        <v>1545943.1702701834</v>
      </c>
      <c r="AA460" s="23">
        <f t="shared" si="103"/>
        <v>-2778703.404882961</v>
      </c>
    </row>
    <row r="461" spans="1:27" x14ac:dyDescent="0.2">
      <c r="A461" s="27" t="s">
        <v>285</v>
      </c>
      <c r="B461" s="27" t="s">
        <v>157</v>
      </c>
      <c r="C461" s="27" t="s">
        <v>58</v>
      </c>
      <c r="D461" s="51">
        <v>83248412524</v>
      </c>
      <c r="F461" s="45">
        <v>9319955</v>
      </c>
      <c r="G461" s="27" t="s">
        <v>284</v>
      </c>
      <c r="H461" s="51">
        <v>103599810122</v>
      </c>
      <c r="J461" s="45">
        <v>9336468</v>
      </c>
      <c r="K461" s="27" t="s">
        <v>281</v>
      </c>
      <c r="L461" s="45">
        <v>8253048008</v>
      </c>
      <c r="M461" s="27" t="str">
        <f t="shared" si="91"/>
        <v>2026-04|FGP tercera parte (10%)</v>
      </c>
      <c r="N461" s="52">
        <f t="shared" si="92"/>
        <v>83248412524</v>
      </c>
      <c r="O461" s="52">
        <f t="shared" si="93"/>
        <v>103599810122</v>
      </c>
      <c r="P461" s="30">
        <f t="shared" si="94"/>
        <v>7.7587145854511642E+17</v>
      </c>
      <c r="Q461" s="30">
        <f t="shared" si="95"/>
        <v>9.6554556834558451E+17</v>
      </c>
      <c r="R461" s="30">
        <f t="shared" si="96"/>
        <v>9.6725631201012915E+17</v>
      </c>
      <c r="S461" s="53">
        <f t="shared" si="97"/>
        <v>24.028690155100318</v>
      </c>
      <c r="T461" s="54">
        <v>24.028690000000001</v>
      </c>
      <c r="U461" s="55">
        <f t="shared" si="98"/>
        <v>1.5510031659005108E-7</v>
      </c>
      <c r="V461" s="53">
        <f t="shared" si="99"/>
        <v>26.308835430158144</v>
      </c>
      <c r="W461" s="53">
        <f t="shared" si="100"/>
        <v>26.350465187482826</v>
      </c>
      <c r="X461" s="54">
        <v>26.350465</v>
      </c>
      <c r="Y461" s="55">
        <f t="shared" si="101"/>
        <v>1.8748282570868469E-7</v>
      </c>
      <c r="Z461" s="29">
        <f t="shared" si="102"/>
        <v>3435723.8576198649</v>
      </c>
      <c r="AA461" s="23">
        <f t="shared" si="103"/>
        <v>188181484.20266604</v>
      </c>
    </row>
    <row r="462" spans="1:27" x14ac:dyDescent="0.2">
      <c r="A462" s="27" t="s">
        <v>285</v>
      </c>
      <c r="B462" s="27" t="s">
        <v>157</v>
      </c>
      <c r="C462" s="27" t="s">
        <v>59</v>
      </c>
      <c r="D462" s="51">
        <v>5165207847</v>
      </c>
      <c r="F462" s="45">
        <v>1954301</v>
      </c>
      <c r="G462" s="27" t="s">
        <v>284</v>
      </c>
      <c r="H462" s="51">
        <v>5695831479</v>
      </c>
      <c r="J462" s="45">
        <v>1968132</v>
      </c>
      <c r="K462" s="27" t="s">
        <v>281</v>
      </c>
      <c r="L462" s="45">
        <v>8253048008</v>
      </c>
      <c r="M462" s="27" t="str">
        <f t="shared" si="91"/>
        <v>2026-04|FGP tercera parte (10%)</v>
      </c>
      <c r="N462" s="52">
        <f t="shared" si="92"/>
        <v>5165207847</v>
      </c>
      <c r="O462" s="52">
        <f t="shared" si="93"/>
        <v>5695831479</v>
      </c>
      <c r="P462" s="30">
        <f t="shared" si="94"/>
        <v>1.0094370860599948E+16</v>
      </c>
      <c r="Q462" s="30">
        <f t="shared" si="95"/>
        <v>1.113136915524118E+16</v>
      </c>
      <c r="R462" s="30">
        <f t="shared" si="96"/>
        <v>1.1210148200427228E+16</v>
      </c>
      <c r="S462" s="53">
        <f t="shared" si="97"/>
        <v>0.31262202913722092</v>
      </c>
      <c r="T462" s="54">
        <v>0.31262200000000001</v>
      </c>
      <c r="U462" s="55">
        <f t="shared" si="98"/>
        <v>2.9137220913799666E-8</v>
      </c>
      <c r="V462" s="53">
        <f t="shared" si="99"/>
        <v>0.30330350924749072</v>
      </c>
      <c r="W462" s="53">
        <f t="shared" si="100"/>
        <v>0.30539228975203375</v>
      </c>
      <c r="X462" s="54">
        <v>0.305392</v>
      </c>
      <c r="Y462" s="55">
        <f t="shared" si="101"/>
        <v>2.8975203375525282E-7</v>
      </c>
      <c r="Z462" s="29">
        <f t="shared" si="102"/>
        <v>172388.05782168094</v>
      </c>
      <c r="AA462" s="23">
        <f t="shared" si="103"/>
        <v>-769061.92013446242</v>
      </c>
    </row>
    <row r="463" spans="1:27" x14ac:dyDescent="0.2">
      <c r="A463" s="27" t="s">
        <v>285</v>
      </c>
      <c r="B463" s="27" t="s">
        <v>157</v>
      </c>
      <c r="C463" s="27" t="s">
        <v>60</v>
      </c>
      <c r="D463" s="51">
        <v>20655474078</v>
      </c>
      <c r="F463" s="45">
        <v>6376710</v>
      </c>
      <c r="G463" s="27" t="s">
        <v>284</v>
      </c>
      <c r="H463" s="51">
        <v>22628728014</v>
      </c>
      <c r="J463" s="45">
        <v>6402249</v>
      </c>
      <c r="K463" s="27" t="s">
        <v>281</v>
      </c>
      <c r="L463" s="45">
        <v>8253048008</v>
      </c>
      <c r="M463" s="27" t="str">
        <f t="shared" si="91"/>
        <v>2026-04|FGP tercera parte (10%)</v>
      </c>
      <c r="N463" s="52">
        <f t="shared" si="92"/>
        <v>20655474078</v>
      </c>
      <c r="O463" s="52">
        <f t="shared" si="93"/>
        <v>22628728014</v>
      </c>
      <c r="P463" s="30">
        <f t="shared" si="94"/>
        <v>1.3171396810792338E+17</v>
      </c>
      <c r="Q463" s="30">
        <f t="shared" si="95"/>
        <v>1.4429683621415395E+17</v>
      </c>
      <c r="R463" s="30">
        <f t="shared" si="96"/>
        <v>1.4487475129890349E+17</v>
      </c>
      <c r="S463" s="53">
        <f t="shared" si="97"/>
        <v>4.0791732881871674</v>
      </c>
      <c r="T463" s="54">
        <v>4.0791729999999999</v>
      </c>
      <c r="U463" s="55">
        <f t="shared" si="98"/>
        <v>2.8818716746314976E-7</v>
      </c>
      <c r="V463" s="53">
        <f t="shared" si="99"/>
        <v>3.9317478547961282</v>
      </c>
      <c r="W463" s="53">
        <f t="shared" si="100"/>
        <v>3.9467481816825938</v>
      </c>
      <c r="X463" s="54">
        <v>3.9467479999999999</v>
      </c>
      <c r="Y463" s="55">
        <f t="shared" si="101"/>
        <v>1.816825938583122E-7</v>
      </c>
      <c r="Z463" s="29">
        <f t="shared" si="102"/>
        <v>1237984.1792969357</v>
      </c>
      <c r="AA463" s="23">
        <f t="shared" si="103"/>
        <v>-12167091.793764526</v>
      </c>
    </row>
    <row r="464" spans="1:27" x14ac:dyDescent="0.2">
      <c r="A464" s="27" t="s">
        <v>285</v>
      </c>
      <c r="B464" s="27" t="s">
        <v>157</v>
      </c>
      <c r="C464" s="27" t="s">
        <v>61</v>
      </c>
      <c r="D464" s="51">
        <v>4116571342</v>
      </c>
      <c r="F464" s="45">
        <v>3578620</v>
      </c>
      <c r="G464" s="27" t="s">
        <v>284</v>
      </c>
      <c r="H464" s="51">
        <v>5343602918</v>
      </c>
      <c r="J464" s="45">
        <v>3569633</v>
      </c>
      <c r="K464" s="27" t="s">
        <v>281</v>
      </c>
      <c r="L464" s="45">
        <v>8253048008</v>
      </c>
      <c r="M464" s="27" t="str">
        <f t="shared" si="91"/>
        <v>2026-04|FGP tercera parte (10%)</v>
      </c>
      <c r="N464" s="52">
        <f t="shared" si="92"/>
        <v>4116571342</v>
      </c>
      <c r="O464" s="52">
        <f t="shared" si="93"/>
        <v>5343602918</v>
      </c>
      <c r="P464" s="30">
        <f t="shared" si="94"/>
        <v>1.473164453590804E+16</v>
      </c>
      <c r="Q464" s="30">
        <f t="shared" si="95"/>
        <v>1.912272427441316E+16</v>
      </c>
      <c r="R464" s="30">
        <f t="shared" si="96"/>
        <v>1.9074701314989096E+16</v>
      </c>
      <c r="S464" s="53">
        <f t="shared" si="97"/>
        <v>0.45623810249726704</v>
      </c>
      <c r="T464" s="54">
        <v>0.45623799999999998</v>
      </c>
      <c r="U464" s="55">
        <f t="shared" si="98"/>
        <v>1.0249726706268447E-7</v>
      </c>
      <c r="V464" s="53">
        <f t="shared" si="99"/>
        <v>0.52104905496470533</v>
      </c>
      <c r="W464" s="53">
        <f t="shared" si="100"/>
        <v>0.51964225688815091</v>
      </c>
      <c r="X464" s="54">
        <v>0.51964200000000005</v>
      </c>
      <c r="Y464" s="55">
        <f t="shared" si="101"/>
        <v>2.5688815086244432E-7</v>
      </c>
      <c r="Z464" s="29">
        <f t="shared" si="102"/>
        <v>-116103.72063365657</v>
      </c>
      <c r="AA464" s="23">
        <f t="shared" si="103"/>
        <v>5348879.0215797424</v>
      </c>
    </row>
    <row r="465" spans="1:27" x14ac:dyDescent="0.2">
      <c r="A465" s="27" t="s">
        <v>285</v>
      </c>
      <c r="B465" s="27" t="s">
        <v>157</v>
      </c>
      <c r="C465" s="27" t="s">
        <v>62</v>
      </c>
      <c r="D465" s="51">
        <v>5795807597</v>
      </c>
      <c r="F465" s="45">
        <v>3228160</v>
      </c>
      <c r="G465" s="27" t="s">
        <v>284</v>
      </c>
      <c r="H465" s="51">
        <v>6359045350</v>
      </c>
      <c r="J465" s="45">
        <v>3215821</v>
      </c>
      <c r="K465" s="27" t="s">
        <v>281</v>
      </c>
      <c r="L465" s="45">
        <v>8253048008</v>
      </c>
      <c r="M465" s="27" t="str">
        <f t="shared" si="91"/>
        <v>2026-04|FGP tercera parte (10%)</v>
      </c>
      <c r="N465" s="52">
        <f t="shared" si="92"/>
        <v>5795807597</v>
      </c>
      <c r="O465" s="52">
        <f t="shared" si="93"/>
        <v>6359045350</v>
      </c>
      <c r="P465" s="30">
        <f t="shared" si="94"/>
        <v>1.870979425233152E+16</v>
      </c>
      <c r="Q465" s="30">
        <f t="shared" si="95"/>
        <v>2.0528015837056E+16</v>
      </c>
      <c r="R465" s="30">
        <f t="shared" si="96"/>
        <v>2.0449551576482352E+16</v>
      </c>
      <c r="S465" s="53">
        <f t="shared" si="97"/>
        <v>0.57944114840616812</v>
      </c>
      <c r="T465" s="54">
        <v>0.57944099999999998</v>
      </c>
      <c r="U465" s="55">
        <f t="shared" si="98"/>
        <v>1.484061681322757E-7</v>
      </c>
      <c r="V465" s="53">
        <f t="shared" si="99"/>
        <v>0.55933992974579849</v>
      </c>
      <c r="W465" s="53">
        <f t="shared" si="100"/>
        <v>0.55709659396886924</v>
      </c>
      <c r="X465" s="54">
        <v>0.55709699999999995</v>
      </c>
      <c r="Y465" s="55">
        <f t="shared" si="101"/>
        <v>-4.0603113071746577E-7</v>
      </c>
      <c r="Z465" s="29">
        <f t="shared" si="102"/>
        <v>-185143.57865061131</v>
      </c>
      <c r="AA465" s="23">
        <f t="shared" si="103"/>
        <v>-1658963.2262333594</v>
      </c>
    </row>
    <row r="466" spans="1:27" x14ac:dyDescent="0.2">
      <c r="A466" s="27" t="s">
        <v>285</v>
      </c>
      <c r="B466" s="27" t="s">
        <v>157</v>
      </c>
      <c r="C466" s="27" t="s">
        <v>63</v>
      </c>
      <c r="D466" s="51">
        <v>32342104929</v>
      </c>
      <c r="F466" s="45">
        <v>8761130</v>
      </c>
      <c r="G466" s="27" t="s">
        <v>284</v>
      </c>
      <c r="H466" s="51">
        <v>37400090365</v>
      </c>
      <c r="J466" s="45">
        <v>8750952</v>
      </c>
      <c r="K466" s="27" t="s">
        <v>281</v>
      </c>
      <c r="L466" s="45">
        <v>8253048008</v>
      </c>
      <c r="M466" s="27" t="str">
        <f t="shared" si="91"/>
        <v>2026-04|FGP tercera parte (10%)</v>
      </c>
      <c r="N466" s="52">
        <f t="shared" si="92"/>
        <v>32342104929</v>
      </c>
      <c r="O466" s="52">
        <f t="shared" si="93"/>
        <v>37400090365</v>
      </c>
      <c r="P466" s="30">
        <f t="shared" si="94"/>
        <v>2.8335338575660976E+17</v>
      </c>
      <c r="Q466" s="30">
        <f t="shared" si="95"/>
        <v>3.2766705369951245E+17</v>
      </c>
      <c r="R466" s="30">
        <f t="shared" si="96"/>
        <v>3.2728639557977747E+17</v>
      </c>
      <c r="S466" s="53">
        <f t="shared" si="97"/>
        <v>8.7754364924203152</v>
      </c>
      <c r="T466" s="54">
        <v>8.7754359999999991</v>
      </c>
      <c r="U466" s="55">
        <f t="shared" si="98"/>
        <v>4.9242031607832359E-7</v>
      </c>
      <c r="V466" s="53">
        <f t="shared" si="99"/>
        <v>8.9281530300389012</v>
      </c>
      <c r="W466" s="53">
        <f t="shared" si="100"/>
        <v>8.9160945924862034</v>
      </c>
      <c r="X466" s="54">
        <v>8.9160950000000003</v>
      </c>
      <c r="Y466" s="55">
        <f t="shared" si="101"/>
        <v>-4.0751379692949286E-7</v>
      </c>
      <c r="Z466" s="29">
        <f t="shared" si="102"/>
        <v>-995188.64023884595</v>
      </c>
      <c r="AA466" s="23">
        <f t="shared" si="103"/>
        <v>12603769.165817278</v>
      </c>
    </row>
    <row r="467" spans="1:27" x14ac:dyDescent="0.2">
      <c r="A467" s="27" t="s">
        <v>285</v>
      </c>
      <c r="B467" s="27" t="s">
        <v>157</v>
      </c>
      <c r="C467" s="27" t="s">
        <v>64</v>
      </c>
      <c r="D467" s="51">
        <v>50154698531</v>
      </c>
      <c r="F467" s="45">
        <v>17789139</v>
      </c>
      <c r="G467" s="27" t="s">
        <v>284</v>
      </c>
      <c r="H467" s="51">
        <v>53147294196</v>
      </c>
      <c r="J467" s="45">
        <v>17753727</v>
      </c>
      <c r="K467" s="27" t="s">
        <v>281</v>
      </c>
      <c r="L467" s="45">
        <v>8253048008</v>
      </c>
      <c r="M467" s="27" t="str">
        <f t="shared" si="91"/>
        <v>2026-04|FGP tercera parte (10%)</v>
      </c>
      <c r="N467" s="52">
        <f t="shared" si="92"/>
        <v>50154698531</v>
      </c>
      <c r="O467" s="52">
        <f t="shared" si="93"/>
        <v>53147294196</v>
      </c>
      <c r="P467" s="30">
        <f t="shared" si="94"/>
        <v>8.9220890367105485E+17</v>
      </c>
      <c r="Q467" s="30">
        <f t="shared" si="95"/>
        <v>9.4544460392653722E+17</v>
      </c>
      <c r="R467" s="30">
        <f t="shared" si="96"/>
        <v>9.4356255194446848E+17</v>
      </c>
      <c r="S467" s="53">
        <f t="shared" si="97"/>
        <v>27.631653495972596</v>
      </c>
      <c r="T467" s="54">
        <v>27.631653</v>
      </c>
      <c r="U467" s="55">
        <f t="shared" si="98"/>
        <v>4.9597259632605528E-7</v>
      </c>
      <c r="V467" s="53">
        <f t="shared" si="99"/>
        <v>25.76113164255306</v>
      </c>
      <c r="W467" s="53">
        <f t="shared" si="100"/>
        <v>25.70498829369728</v>
      </c>
      <c r="X467" s="54">
        <v>25.704988</v>
      </c>
      <c r="Y467" s="55">
        <f t="shared" si="101"/>
        <v>2.9369727982953009E-7</v>
      </c>
      <c r="Z467" s="29">
        <f t="shared" si="102"/>
        <v>-4633537.5343664689</v>
      </c>
      <c r="AA467" s="23">
        <f t="shared" si="103"/>
        <v>-154375066.56284571</v>
      </c>
    </row>
    <row r="468" spans="1:27" x14ac:dyDescent="0.2">
      <c r="A468" s="27" t="s">
        <v>285</v>
      </c>
      <c r="B468" s="27" t="s">
        <v>157</v>
      </c>
      <c r="C468" s="27" t="s">
        <v>65</v>
      </c>
      <c r="D468" s="51">
        <v>9111204420</v>
      </c>
      <c r="F468" s="45">
        <v>4940153</v>
      </c>
      <c r="G468" s="27" t="s">
        <v>284</v>
      </c>
      <c r="H468" s="51">
        <v>9995352838</v>
      </c>
      <c r="J468" s="45">
        <v>4945881</v>
      </c>
      <c r="K468" s="27" t="s">
        <v>281</v>
      </c>
      <c r="L468" s="45">
        <v>8253048008</v>
      </c>
      <c r="M468" s="27" t="str">
        <f t="shared" si="91"/>
        <v>2026-04|FGP tercera parte (10%)</v>
      </c>
      <c r="N468" s="52">
        <f t="shared" si="92"/>
        <v>9111204420</v>
      </c>
      <c r="O468" s="52">
        <f t="shared" si="93"/>
        <v>9995352838</v>
      </c>
      <c r="P468" s="30">
        <f t="shared" si="94"/>
        <v>4.5010743849076256E+16</v>
      </c>
      <c r="Q468" s="30">
        <f t="shared" si="95"/>
        <v>4.9378572308704216E+16</v>
      </c>
      <c r="R468" s="30">
        <f t="shared" si="96"/>
        <v>4.943582568976028E+16</v>
      </c>
      <c r="S468" s="53">
        <f t="shared" si="97"/>
        <v>1.393979899232431</v>
      </c>
      <c r="T468" s="54">
        <v>1.39398</v>
      </c>
      <c r="U468" s="55">
        <f t="shared" si="98"/>
        <v>-1.0076756895571748E-7</v>
      </c>
      <c r="V468" s="53">
        <f t="shared" si="99"/>
        <v>1.3454494280076243</v>
      </c>
      <c r="W468" s="53">
        <f t="shared" si="100"/>
        <v>1.3467547202099375</v>
      </c>
      <c r="X468" s="54">
        <v>1.3467549999999999</v>
      </c>
      <c r="Y468" s="55">
        <f t="shared" si="101"/>
        <v>-2.7979006245182347E-7</v>
      </c>
      <c r="Z468" s="29">
        <f t="shared" si="102"/>
        <v>107726.39210158262</v>
      </c>
      <c r="AA468" s="23">
        <f t="shared" si="103"/>
        <v>-4005243.0886919219</v>
      </c>
    </row>
    <row r="469" spans="1:27" x14ac:dyDescent="0.2">
      <c r="A469" s="27" t="s">
        <v>285</v>
      </c>
      <c r="B469" s="27" t="s">
        <v>157</v>
      </c>
      <c r="C469" s="27" t="s">
        <v>66</v>
      </c>
      <c r="D469" s="51">
        <v>4622484543</v>
      </c>
      <c r="F469" s="45">
        <v>1984462</v>
      </c>
      <c r="G469" s="27" t="s">
        <v>284</v>
      </c>
      <c r="H469" s="51">
        <v>5098806088</v>
      </c>
      <c r="J469" s="45">
        <v>1988503</v>
      </c>
      <c r="K469" s="27" t="s">
        <v>281</v>
      </c>
      <c r="L469" s="45">
        <v>8253048008</v>
      </c>
      <c r="M469" s="27" t="str">
        <f t="shared" si="91"/>
        <v>2026-04|FGP tercera parte (10%)</v>
      </c>
      <c r="N469" s="52">
        <f t="shared" si="92"/>
        <v>4622484543</v>
      </c>
      <c r="O469" s="52">
        <f t="shared" si="93"/>
        <v>5098806088</v>
      </c>
      <c r="P469" s="30">
        <f t="shared" si="94"/>
        <v>9173144921170866</v>
      </c>
      <c r="Q469" s="30">
        <f t="shared" si="95"/>
        <v>1.0118386927004656E+16</v>
      </c>
      <c r="R469" s="30">
        <f t="shared" si="96"/>
        <v>1.0138991202406264E+16</v>
      </c>
      <c r="S469" s="53">
        <f t="shared" si="97"/>
        <v>0.28409171987324711</v>
      </c>
      <c r="T469" s="54">
        <v>0.28409200000000001</v>
      </c>
      <c r="U469" s="55">
        <f t="shared" si="98"/>
        <v>-2.8012675290511879E-7</v>
      </c>
      <c r="V469" s="53">
        <f t="shared" si="99"/>
        <v>0.27570213691452694</v>
      </c>
      <c r="W469" s="53">
        <f t="shared" si="100"/>
        <v>0.27621131172561747</v>
      </c>
      <c r="X469" s="54">
        <v>0.27621099999999998</v>
      </c>
      <c r="Y469" s="55">
        <f t="shared" si="101"/>
        <v>3.1172561748560312E-7</v>
      </c>
      <c r="Z469" s="29">
        <f t="shared" si="102"/>
        <v>42022.441603944681</v>
      </c>
      <c r="AA469" s="23">
        <f t="shared" si="103"/>
        <v>-692396.30925416201</v>
      </c>
    </row>
    <row r="470" spans="1:27" x14ac:dyDescent="0.2">
      <c r="A470" s="27" t="s">
        <v>285</v>
      </c>
      <c r="B470" s="27" t="s">
        <v>157</v>
      </c>
      <c r="C470" s="27" t="s">
        <v>67</v>
      </c>
      <c r="D470" s="51">
        <v>3580532424</v>
      </c>
      <c r="F470" s="45">
        <v>1257616</v>
      </c>
      <c r="G470" s="27" t="s">
        <v>284</v>
      </c>
      <c r="H470" s="51">
        <v>4160780168</v>
      </c>
      <c r="J470" s="45">
        <v>1279298</v>
      </c>
      <c r="K470" s="27" t="s">
        <v>281</v>
      </c>
      <c r="L470" s="45">
        <v>8253048008</v>
      </c>
      <c r="M470" s="27" t="str">
        <f t="shared" si="91"/>
        <v>2026-04|FGP tercera parte (10%)</v>
      </c>
      <c r="N470" s="52">
        <f t="shared" si="92"/>
        <v>3580532424</v>
      </c>
      <c r="O470" s="52">
        <f t="shared" si="93"/>
        <v>4160780168</v>
      </c>
      <c r="P470" s="30">
        <f t="shared" si="94"/>
        <v>4502934864941184</v>
      </c>
      <c r="Q470" s="30">
        <f t="shared" si="95"/>
        <v>5232663711759488</v>
      </c>
      <c r="R470" s="30">
        <f t="shared" si="96"/>
        <v>5322877747362064</v>
      </c>
      <c r="S470" s="53">
        <f t="shared" si="97"/>
        <v>0.13945560887258551</v>
      </c>
      <c r="T470" s="54">
        <v>0.139456</v>
      </c>
      <c r="U470" s="55">
        <f t="shared" si="98"/>
        <v>-3.9112741448410482E-7</v>
      </c>
      <c r="V470" s="53">
        <f t="shared" si="99"/>
        <v>0.1425777228618258</v>
      </c>
      <c r="W470" s="53">
        <f t="shared" si="100"/>
        <v>0.1450084150783213</v>
      </c>
      <c r="X470" s="54">
        <v>0.145008</v>
      </c>
      <c r="Y470" s="55">
        <f t="shared" si="101"/>
        <v>4.1507832129750177E-7</v>
      </c>
      <c r="Z470" s="29">
        <f t="shared" si="102"/>
        <v>200606.19555409293</v>
      </c>
      <c r="AA470" s="23">
        <f t="shared" si="103"/>
        <v>257669.5663964845</v>
      </c>
    </row>
    <row r="471" spans="1:27" x14ac:dyDescent="0.2">
      <c r="A471" s="27" t="s">
        <v>285</v>
      </c>
      <c r="B471" s="27" t="s">
        <v>157</v>
      </c>
      <c r="C471" s="27" t="s">
        <v>68</v>
      </c>
      <c r="D471" s="51">
        <v>40632791075</v>
      </c>
      <c r="F471" s="45">
        <v>6310265</v>
      </c>
      <c r="G471" s="27" t="s">
        <v>284</v>
      </c>
      <c r="H471" s="51">
        <v>44971267966</v>
      </c>
      <c r="J471" s="45">
        <v>6234433</v>
      </c>
      <c r="K471" s="27" t="s">
        <v>281</v>
      </c>
      <c r="L471" s="45">
        <v>8253048008</v>
      </c>
      <c r="M471" s="27" t="str">
        <f t="shared" si="91"/>
        <v>2026-04|FGP tercera parte (10%)</v>
      </c>
      <c r="N471" s="52">
        <f t="shared" si="92"/>
        <v>40632791075</v>
      </c>
      <c r="O471" s="52">
        <f t="shared" si="93"/>
        <v>44971267966</v>
      </c>
      <c r="P471" s="30">
        <f t="shared" si="94"/>
        <v>2.5640367937288486E+17</v>
      </c>
      <c r="Q471" s="30">
        <f t="shared" si="95"/>
        <v>2.8378061825147098E+17</v>
      </c>
      <c r="R471" s="30">
        <f t="shared" si="96"/>
        <v>2.8037035705907328E+17</v>
      </c>
      <c r="S471" s="53">
        <f t="shared" si="97"/>
        <v>7.9408057848031746</v>
      </c>
      <c r="T471" s="54">
        <v>7.9408060000000003</v>
      </c>
      <c r="U471" s="55">
        <f t="shared" si="98"/>
        <v>-2.1519682569248744E-7</v>
      </c>
      <c r="V471" s="53">
        <f t="shared" si="99"/>
        <v>7.732351355140084</v>
      </c>
      <c r="W471" s="53">
        <f t="shared" si="100"/>
        <v>7.6379851354331336</v>
      </c>
      <c r="X471" s="54">
        <v>7.6379849999999996</v>
      </c>
      <c r="Y471" s="55">
        <f t="shared" si="101"/>
        <v>1.3543313404085211E-7</v>
      </c>
      <c r="Z471" s="29">
        <f t="shared" si="102"/>
        <v>-7788089.4157493701</v>
      </c>
      <c r="AA471" s="23">
        <f t="shared" si="103"/>
        <v>-17203844.154897459</v>
      </c>
    </row>
    <row r="472" spans="1:27" x14ac:dyDescent="0.2">
      <c r="A472" s="27" t="s">
        <v>285</v>
      </c>
      <c r="B472" s="27" t="s">
        <v>157</v>
      </c>
      <c r="C472" s="27" t="s">
        <v>69</v>
      </c>
      <c r="D472" s="51">
        <v>5023050899</v>
      </c>
      <c r="F472" s="45">
        <v>4190375</v>
      </c>
      <c r="G472" s="27" t="s">
        <v>284</v>
      </c>
      <c r="H472" s="51">
        <v>5676564891</v>
      </c>
      <c r="J472" s="45">
        <v>4178688</v>
      </c>
      <c r="K472" s="27" t="s">
        <v>281</v>
      </c>
      <c r="L472" s="45">
        <v>8253048008</v>
      </c>
      <c r="M472" s="27" t="str">
        <f t="shared" si="91"/>
        <v>2026-04|FGP tercera parte (10%)</v>
      </c>
      <c r="N472" s="52">
        <f t="shared" si="92"/>
        <v>5023050899</v>
      </c>
      <c r="O472" s="52">
        <f t="shared" si="93"/>
        <v>5676564891</v>
      </c>
      <c r="P472" s="30">
        <f t="shared" si="94"/>
        <v>2.1048466910897124E+16</v>
      </c>
      <c r="Q472" s="30">
        <f t="shared" si="95"/>
        <v>2.3786935605124124E+16</v>
      </c>
      <c r="R472" s="30">
        <f t="shared" si="96"/>
        <v>2.3720593591243008E+16</v>
      </c>
      <c r="S472" s="53">
        <f t="shared" si="97"/>
        <v>0.65186969319663213</v>
      </c>
      <c r="T472" s="54">
        <v>0.65186999999999995</v>
      </c>
      <c r="U472" s="55">
        <f t="shared" si="98"/>
        <v>-3.0680336782218376E-7</v>
      </c>
      <c r="V472" s="53">
        <f t="shared" si="99"/>
        <v>0.64813779353290291</v>
      </c>
      <c r="W472" s="53">
        <f t="shared" si="100"/>
        <v>0.64620790569307918</v>
      </c>
      <c r="X472" s="54">
        <v>0.646208</v>
      </c>
      <c r="Y472" s="55">
        <f t="shared" si="101"/>
        <v>-9.4306920828124419E-8</v>
      </c>
      <c r="Z472" s="29">
        <f t="shared" si="102"/>
        <v>-159274.56992120654</v>
      </c>
      <c r="AA472" s="23">
        <f t="shared" si="103"/>
        <v>-307995.47085796314</v>
      </c>
    </row>
    <row r="473" spans="1:27" x14ac:dyDescent="0.2">
      <c r="A473" s="27" t="s">
        <v>285</v>
      </c>
      <c r="B473" s="27" t="s">
        <v>157</v>
      </c>
      <c r="C473" s="27" t="s">
        <v>70</v>
      </c>
      <c r="D473" s="51">
        <v>11122445539</v>
      </c>
      <c r="F473" s="45">
        <v>6624540</v>
      </c>
      <c r="G473" s="27" t="s">
        <v>284</v>
      </c>
      <c r="H473" s="51">
        <v>12070661710</v>
      </c>
      <c r="J473" s="45">
        <v>6638706</v>
      </c>
      <c r="K473" s="27" t="s">
        <v>281</v>
      </c>
      <c r="L473" s="45">
        <v>8253048008</v>
      </c>
      <c r="M473" s="27" t="str">
        <f t="shared" si="91"/>
        <v>2026-04|FGP tercera parte (10%)</v>
      </c>
      <c r="N473" s="52">
        <f t="shared" si="92"/>
        <v>11122445539</v>
      </c>
      <c r="O473" s="52">
        <f t="shared" si="93"/>
        <v>12070661710</v>
      </c>
      <c r="P473" s="30">
        <f t="shared" si="94"/>
        <v>7.3681085370927056E+16</v>
      </c>
      <c r="Q473" s="30">
        <f t="shared" si="95"/>
        <v>7.9962581324363392E+16</v>
      </c>
      <c r="R473" s="30">
        <f t="shared" si="96"/>
        <v>8.0133574318147264E+16</v>
      </c>
      <c r="S473" s="53">
        <f t="shared" si="97"/>
        <v>2.2818985685971716</v>
      </c>
      <c r="T473" s="54">
        <v>2.2818990000000001</v>
      </c>
      <c r="U473" s="55">
        <f t="shared" si="98"/>
        <v>-4.314028285712368E-7</v>
      </c>
      <c r="V473" s="53">
        <f t="shared" si="99"/>
        <v>2.1787914124425423</v>
      </c>
      <c r="W473" s="53">
        <f t="shared" si="100"/>
        <v>2.1830376645779852</v>
      </c>
      <c r="X473" s="54">
        <v>2.1830379999999998</v>
      </c>
      <c r="Y473" s="55">
        <f t="shared" si="101"/>
        <v>-3.3542201460790011E-7</v>
      </c>
      <c r="Z473" s="29">
        <f t="shared" si="102"/>
        <v>350445.22727883107</v>
      </c>
      <c r="AA473" s="23">
        <f t="shared" si="103"/>
        <v>-8509483.0971250813</v>
      </c>
    </row>
    <row r="474" spans="1:27" x14ac:dyDescent="0.2">
      <c r="A474" s="27" t="s">
        <v>285</v>
      </c>
      <c r="B474" s="27" t="s">
        <v>157</v>
      </c>
      <c r="C474" s="27" t="s">
        <v>71</v>
      </c>
      <c r="D474" s="51">
        <v>15221679435</v>
      </c>
      <c r="F474" s="45">
        <v>2498744</v>
      </c>
      <c r="G474" s="27" t="s">
        <v>284</v>
      </c>
      <c r="H474" s="51">
        <v>16610144570</v>
      </c>
      <c r="J474" s="45">
        <v>2535155</v>
      </c>
      <c r="K474" s="27" t="s">
        <v>281</v>
      </c>
      <c r="L474" s="45">
        <v>8253048008</v>
      </c>
      <c r="M474" s="27" t="str">
        <f t="shared" si="91"/>
        <v>2026-04|FGP tercera parte (10%)</v>
      </c>
      <c r="N474" s="52">
        <f t="shared" si="92"/>
        <v>15221679435</v>
      </c>
      <c r="O474" s="52">
        <f t="shared" si="93"/>
        <v>16610144570</v>
      </c>
      <c r="P474" s="30">
        <f t="shared" si="94"/>
        <v>3.803508015812964E+16</v>
      </c>
      <c r="Q474" s="30">
        <f t="shared" si="95"/>
        <v>4.150449908342008E+16</v>
      </c>
      <c r="R474" s="30">
        <f t="shared" si="96"/>
        <v>4.2109291057358352E+16</v>
      </c>
      <c r="S474" s="53">
        <f t="shared" si="97"/>
        <v>1.1779440345155532</v>
      </c>
      <c r="T474" s="54">
        <v>1.1779440000000001</v>
      </c>
      <c r="U474" s="55">
        <f t="shared" si="98"/>
        <v>3.4515553082314909E-8</v>
      </c>
      <c r="V474" s="53">
        <f t="shared" si="99"/>
        <v>1.1308995367953747</v>
      </c>
      <c r="W474" s="53">
        <f t="shared" si="100"/>
        <v>1.1471617132904102</v>
      </c>
      <c r="X474" s="54">
        <v>1.147162</v>
      </c>
      <c r="Y474" s="55">
        <f t="shared" si="101"/>
        <v>-2.8670958984733375E-7</v>
      </c>
      <c r="Z474" s="29">
        <f t="shared" si="102"/>
        <v>1342125.2332809693</v>
      </c>
      <c r="AA474" s="23">
        <f t="shared" si="103"/>
        <v>-3882604.9819687963</v>
      </c>
    </row>
    <row r="475" spans="1:27" x14ac:dyDescent="0.2">
      <c r="A475" s="27" t="s">
        <v>285</v>
      </c>
      <c r="B475" s="27" t="s">
        <v>157</v>
      </c>
      <c r="C475" s="27" t="s">
        <v>72</v>
      </c>
      <c r="D475" s="51">
        <v>18124327099</v>
      </c>
      <c r="F475" s="45">
        <v>1920249</v>
      </c>
      <c r="G475" s="27" t="s">
        <v>284</v>
      </c>
      <c r="H475" s="51">
        <v>19369943128</v>
      </c>
      <c r="J475" s="45">
        <v>1975372</v>
      </c>
      <c r="K475" s="27" t="s">
        <v>281</v>
      </c>
      <c r="L475" s="45">
        <v>8253048008</v>
      </c>
      <c r="M475" s="27" t="str">
        <f t="shared" si="91"/>
        <v>2026-04|FGP tercera parte (10%)</v>
      </c>
      <c r="N475" s="52">
        <f t="shared" si="92"/>
        <v>18124327099</v>
      </c>
      <c r="O475" s="52">
        <f t="shared" si="93"/>
        <v>19369943128</v>
      </c>
      <c r="P475" s="30">
        <f t="shared" si="94"/>
        <v>3.4803220987527652E+16</v>
      </c>
      <c r="Q475" s="30">
        <f t="shared" si="95"/>
        <v>3.7195113921598872E+16</v>
      </c>
      <c r="R475" s="30">
        <f t="shared" si="96"/>
        <v>3.8262843296643616E+16</v>
      </c>
      <c r="S475" s="53">
        <f t="shared" si="97"/>
        <v>1.0778535597596772</v>
      </c>
      <c r="T475" s="54">
        <v>1.0778540000000001</v>
      </c>
      <c r="U475" s="55">
        <f t="shared" si="98"/>
        <v>-4.4024032286316128E-7</v>
      </c>
      <c r="V475" s="53">
        <f t="shared" si="99"/>
        <v>1.0134789729769504</v>
      </c>
      <c r="W475" s="53">
        <f t="shared" si="100"/>
        <v>1.0423749193913348</v>
      </c>
      <c r="X475" s="54">
        <v>1.0423750000000001</v>
      </c>
      <c r="Y475" s="55">
        <f t="shared" si="101"/>
        <v>-8.0608665298242954E-8</v>
      </c>
      <c r="Z475" s="29">
        <f t="shared" si="102"/>
        <v>2384796.3299450916</v>
      </c>
      <c r="AA475" s="23">
        <f t="shared" si="103"/>
        <v>-5312865.552130064</v>
      </c>
    </row>
    <row r="476" spans="1:27" x14ac:dyDescent="0.2">
      <c r="A476" s="27" t="s">
        <v>285</v>
      </c>
      <c r="B476" s="27" t="s">
        <v>157</v>
      </c>
      <c r="C476" s="27" t="s">
        <v>73</v>
      </c>
      <c r="D476" s="51">
        <v>7487153499</v>
      </c>
      <c r="F476" s="45">
        <v>2924773</v>
      </c>
      <c r="G476" s="27" t="s">
        <v>284</v>
      </c>
      <c r="H476" s="51">
        <v>8859478216</v>
      </c>
      <c r="J476" s="45">
        <v>2951151</v>
      </c>
      <c r="K476" s="27" t="s">
        <v>281</v>
      </c>
      <c r="L476" s="45">
        <v>8253048008</v>
      </c>
      <c r="M476" s="27" t="str">
        <f t="shared" si="91"/>
        <v>2026-04|FGP tercera parte (10%)</v>
      </c>
      <c r="N476" s="52">
        <f t="shared" si="92"/>
        <v>7487153499</v>
      </c>
      <c r="O476" s="52">
        <f t="shared" si="93"/>
        <v>8859478216</v>
      </c>
      <c r="P476" s="30">
        <f t="shared" si="94"/>
        <v>2.1898224400730728E+16</v>
      </c>
      <c r="Q476" s="30">
        <f t="shared" si="95"/>
        <v>2.5911962680244968E+16</v>
      </c>
      <c r="R476" s="30">
        <f t="shared" si="96"/>
        <v>2.6145657996626616E+16</v>
      </c>
      <c r="S476" s="53">
        <f t="shared" si="97"/>
        <v>0.67818662908247529</v>
      </c>
      <c r="T476" s="54">
        <v>0.67818699999999998</v>
      </c>
      <c r="U476" s="55">
        <f t="shared" si="98"/>
        <v>-3.7091752469464723E-7</v>
      </c>
      <c r="V476" s="53">
        <f t="shared" si="99"/>
        <v>0.70603976050042616</v>
      </c>
      <c r="W476" s="53">
        <f t="shared" si="100"/>
        <v>0.71227268541900912</v>
      </c>
      <c r="X476" s="54">
        <v>0.71227300000000004</v>
      </c>
      <c r="Y476" s="55">
        <f t="shared" si="101"/>
        <v>-3.1458099092329661E-7</v>
      </c>
      <c r="Z476" s="29">
        <f t="shared" si="102"/>
        <v>514406.28583324666</v>
      </c>
      <c r="AA476" s="23">
        <f t="shared" si="103"/>
        <v>2298732.3076548167</v>
      </c>
    </row>
    <row r="477" spans="1:27" x14ac:dyDescent="0.2">
      <c r="A477" s="27" t="s">
        <v>285</v>
      </c>
      <c r="B477" s="27" t="s">
        <v>157</v>
      </c>
      <c r="C477" s="27" t="s">
        <v>74</v>
      </c>
      <c r="D477" s="51">
        <v>12537579490</v>
      </c>
      <c r="F477" s="45">
        <v>3135869</v>
      </c>
      <c r="G477" s="27" t="s">
        <v>284</v>
      </c>
      <c r="H477" s="51">
        <v>13161541989</v>
      </c>
      <c r="J477" s="45">
        <v>3085699</v>
      </c>
      <c r="K477" s="27" t="s">
        <v>281</v>
      </c>
      <c r="L477" s="45">
        <v>8253048008</v>
      </c>
      <c r="M477" s="27" t="str">
        <f t="shared" si="91"/>
        <v>2026-04|FGP tercera parte (10%)</v>
      </c>
      <c r="N477" s="52">
        <f t="shared" si="92"/>
        <v>12537579490</v>
      </c>
      <c r="O477" s="52">
        <f t="shared" si="93"/>
        <v>13161541989</v>
      </c>
      <c r="P477" s="30">
        <f t="shared" si="94"/>
        <v>3.9316206857726808E+16</v>
      </c>
      <c r="Q477" s="30">
        <f t="shared" si="95"/>
        <v>4.127287151550344E+16</v>
      </c>
      <c r="R477" s="30">
        <f t="shared" si="96"/>
        <v>4.0612556953915312E+16</v>
      </c>
      <c r="S477" s="53">
        <f t="shared" si="97"/>
        <v>1.2176204476314205</v>
      </c>
      <c r="T477" s="54">
        <v>1.2176199999999999</v>
      </c>
      <c r="U477" s="55">
        <f t="shared" si="98"/>
        <v>4.4763142059700556E-7</v>
      </c>
      <c r="V477" s="53">
        <f t="shared" si="99"/>
        <v>1.1245882328391583</v>
      </c>
      <c r="W477" s="53">
        <f t="shared" si="100"/>
        <v>1.1063869575219709</v>
      </c>
      <c r="X477" s="54">
        <v>1.106387</v>
      </c>
      <c r="Y477" s="55">
        <f t="shared" si="101"/>
        <v>-4.2478029094183967E-8</v>
      </c>
      <c r="Z477" s="29">
        <f t="shared" si="102"/>
        <v>-1502159.9899957308</v>
      </c>
      <c r="AA477" s="23">
        <f t="shared" si="103"/>
        <v>-7677993.3497110764</v>
      </c>
    </row>
    <row r="478" spans="1:27" x14ac:dyDescent="0.2">
      <c r="A478" s="27" t="s">
        <v>285</v>
      </c>
      <c r="B478" s="27" t="s">
        <v>157</v>
      </c>
      <c r="C478" s="27" t="s">
        <v>75</v>
      </c>
      <c r="D478" s="51">
        <v>13680442636</v>
      </c>
      <c r="F478" s="45">
        <v>3032476</v>
      </c>
      <c r="G478" s="27" t="s">
        <v>284</v>
      </c>
      <c r="H478" s="51">
        <v>16407372864</v>
      </c>
      <c r="J478" s="45">
        <v>3035624</v>
      </c>
      <c r="K478" s="27" t="s">
        <v>281</v>
      </c>
      <c r="L478" s="45">
        <v>8253048008</v>
      </c>
      <c r="M478" s="27" t="str">
        <f t="shared" si="91"/>
        <v>2026-04|FGP tercera parte (10%)</v>
      </c>
      <c r="N478" s="52">
        <f t="shared" si="92"/>
        <v>13680442636</v>
      </c>
      <c r="O478" s="52">
        <f t="shared" si="93"/>
        <v>16407372864</v>
      </c>
      <c r="P478" s="30">
        <f t="shared" si="94"/>
        <v>4.1485613963046736E+16</v>
      </c>
      <c r="Q478" s="30">
        <f t="shared" si="95"/>
        <v>4.9754964433131264E+16</v>
      </c>
      <c r="R478" s="30">
        <f t="shared" si="96"/>
        <v>4.9806614842907136E+16</v>
      </c>
      <c r="S478" s="53">
        <f t="shared" si="97"/>
        <v>1.2848068489094802</v>
      </c>
      <c r="T478" s="54">
        <v>1.284807</v>
      </c>
      <c r="U478" s="55">
        <f t="shared" si="98"/>
        <v>-1.5109051987316491E-7</v>
      </c>
      <c r="V478" s="53">
        <f t="shared" si="99"/>
        <v>1.355705224091621</v>
      </c>
      <c r="W478" s="53">
        <f t="shared" si="100"/>
        <v>1.3568559380056504</v>
      </c>
      <c r="X478" s="54">
        <v>1.3568560000000001</v>
      </c>
      <c r="Y478" s="55">
        <f t="shared" si="101"/>
        <v>-6.1994349653815561E-8</v>
      </c>
      <c r="Z478" s="29">
        <f t="shared" si="102"/>
        <v>94968.971759584965</v>
      </c>
      <c r="AA478" s="23">
        <f t="shared" si="103"/>
        <v>5851276.9406740386</v>
      </c>
    </row>
    <row r="479" spans="1:27" x14ac:dyDescent="0.2">
      <c r="A479" s="27" t="s">
        <v>285</v>
      </c>
      <c r="B479" s="27" t="s">
        <v>157</v>
      </c>
      <c r="C479" s="27" t="s">
        <v>76</v>
      </c>
      <c r="D479" s="51">
        <v>4346228391</v>
      </c>
      <c r="F479" s="45">
        <v>2567516</v>
      </c>
      <c r="G479" s="27" t="s">
        <v>284</v>
      </c>
      <c r="H479" s="51">
        <v>4819016505</v>
      </c>
      <c r="J479" s="45">
        <v>2578825</v>
      </c>
      <c r="K479" s="27" t="s">
        <v>281</v>
      </c>
      <c r="L479" s="45">
        <v>8253048008</v>
      </c>
      <c r="M479" s="27" t="str">
        <f t="shared" si="91"/>
        <v>2026-04|FGP tercera parte (10%)</v>
      </c>
      <c r="N479" s="52">
        <f t="shared" si="92"/>
        <v>4346228391</v>
      </c>
      <c r="O479" s="52">
        <f t="shared" si="93"/>
        <v>4819016505</v>
      </c>
      <c r="P479" s="30">
        <f t="shared" si="94"/>
        <v>1.1159010933546756E+16</v>
      </c>
      <c r="Q479" s="30">
        <f t="shared" si="95"/>
        <v>1.237290198085158E+16</v>
      </c>
      <c r="R479" s="30">
        <f t="shared" si="96"/>
        <v>1.2427400238506624E+16</v>
      </c>
      <c r="S479" s="53">
        <f t="shared" si="97"/>
        <v>0.3455938650744681</v>
      </c>
      <c r="T479" s="54">
        <v>0.34559400000000001</v>
      </c>
      <c r="U479" s="55">
        <f t="shared" si="98"/>
        <v>-1.3492553191385426E-7</v>
      </c>
      <c r="V479" s="53">
        <f t="shared" si="99"/>
        <v>0.33713234535937947</v>
      </c>
      <c r="W479" s="53">
        <f t="shared" si="100"/>
        <v>0.3385532596578758</v>
      </c>
      <c r="X479" s="54">
        <v>0.33855299999999999</v>
      </c>
      <c r="Y479" s="55">
        <f t="shared" si="101"/>
        <v>2.5965787581183619E-7</v>
      </c>
      <c r="Z479" s="29">
        <f t="shared" si="102"/>
        <v>117268.73920743888</v>
      </c>
      <c r="AA479" s="23">
        <f t="shared" si="103"/>
        <v>-698333.28429264924</v>
      </c>
    </row>
    <row r="480" spans="1:27" x14ac:dyDescent="0.2">
      <c r="A480" s="27" t="s">
        <v>285</v>
      </c>
      <c r="B480" s="27" t="s">
        <v>157</v>
      </c>
      <c r="C480" s="27" t="s">
        <v>77</v>
      </c>
      <c r="D480" s="51">
        <v>13854166845</v>
      </c>
      <c r="F480" s="45">
        <v>3597414</v>
      </c>
      <c r="G480" s="27" t="s">
        <v>284</v>
      </c>
      <c r="H480" s="51">
        <v>15297439759</v>
      </c>
      <c r="J480" s="45">
        <v>3602540</v>
      </c>
      <c r="K480" s="27" t="s">
        <v>281</v>
      </c>
      <c r="L480" s="45">
        <v>8253048008</v>
      </c>
      <c r="M480" s="27" t="str">
        <f t="shared" si="91"/>
        <v>2026-04|FGP tercera parte (10%)</v>
      </c>
      <c r="N480" s="52">
        <f t="shared" si="92"/>
        <v>13854166845</v>
      </c>
      <c r="O480" s="52">
        <f t="shared" si="93"/>
        <v>15297439759</v>
      </c>
      <c r="P480" s="30">
        <f t="shared" si="94"/>
        <v>4.9839173766538832E+16</v>
      </c>
      <c r="Q480" s="30">
        <f t="shared" si="95"/>
        <v>5.5031223953183224E+16</v>
      </c>
      <c r="R480" s="30">
        <f t="shared" si="96"/>
        <v>5.5109638629387856E+16</v>
      </c>
      <c r="S480" s="53">
        <f t="shared" si="97"/>
        <v>1.5435160693602543</v>
      </c>
      <c r="T480" s="54">
        <v>1.5435160000000001</v>
      </c>
      <c r="U480" s="55">
        <f t="shared" si="98"/>
        <v>6.9360254206785044E-8</v>
      </c>
      <c r="V480" s="53">
        <f t="shared" si="99"/>
        <v>1.4994708297250248</v>
      </c>
      <c r="W480" s="53">
        <f t="shared" si="100"/>
        <v>1.5013234818603451</v>
      </c>
      <c r="X480" s="54">
        <v>1.501323</v>
      </c>
      <c r="Y480" s="55">
        <f t="shared" si="101"/>
        <v>4.8186034518060694E-7</v>
      </c>
      <c r="Z480" s="29">
        <f t="shared" si="102"/>
        <v>152900.27014922776</v>
      </c>
      <c r="AA480" s="23">
        <f t="shared" si="103"/>
        <v>-3635074.7723341384</v>
      </c>
    </row>
    <row r="481" spans="1:27" x14ac:dyDescent="0.2">
      <c r="A481" s="27" t="s">
        <v>285</v>
      </c>
      <c r="B481" s="27" t="s">
        <v>157</v>
      </c>
      <c r="C481" s="27" t="s">
        <v>78</v>
      </c>
      <c r="D481" s="51">
        <v>2013001528</v>
      </c>
      <c r="F481" s="45">
        <v>1449354</v>
      </c>
      <c r="G481" s="27" t="s">
        <v>284</v>
      </c>
      <c r="H481" s="51">
        <v>2196216088</v>
      </c>
      <c r="J481" s="45">
        <v>1426175</v>
      </c>
      <c r="K481" s="27" t="s">
        <v>281</v>
      </c>
      <c r="L481" s="45">
        <v>8253048008</v>
      </c>
      <c r="M481" s="27" t="str">
        <f t="shared" si="91"/>
        <v>2026-04|FGP tercera parte (10%)</v>
      </c>
      <c r="N481" s="52">
        <f t="shared" si="92"/>
        <v>2013001528</v>
      </c>
      <c r="O481" s="52">
        <f t="shared" si="93"/>
        <v>2196216088</v>
      </c>
      <c r="P481" s="30">
        <f t="shared" si="94"/>
        <v>2917551816612912</v>
      </c>
      <c r="Q481" s="30">
        <f t="shared" si="95"/>
        <v>3183094572007152</v>
      </c>
      <c r="R481" s="30">
        <f t="shared" si="96"/>
        <v>3132188479303400</v>
      </c>
      <c r="S481" s="53">
        <f t="shared" si="97"/>
        <v>9.0356395818838031E-2</v>
      </c>
      <c r="T481" s="54">
        <v>9.0356000000000006E-2</v>
      </c>
      <c r="U481" s="55">
        <f t="shared" si="98"/>
        <v>3.9581883802541906E-7</v>
      </c>
      <c r="V481" s="53">
        <f t="shared" si="99"/>
        <v>8.6731806347634402E-2</v>
      </c>
      <c r="W481" s="53">
        <f t="shared" si="100"/>
        <v>8.5328596422387284E-2</v>
      </c>
      <c r="X481" s="54">
        <v>8.5329000000000002E-2</v>
      </c>
      <c r="Y481" s="55">
        <f t="shared" si="101"/>
        <v>-4.0357761271758719E-7</v>
      </c>
      <c r="Z481" s="29">
        <f t="shared" si="102"/>
        <v>-115807.58878366552</v>
      </c>
      <c r="AA481" s="23">
        <f t="shared" si="103"/>
        <v>-299139.10915134888</v>
      </c>
    </row>
    <row r="482" spans="1:27" x14ac:dyDescent="0.2">
      <c r="A482" s="27" t="s">
        <v>285</v>
      </c>
      <c r="B482" s="27" t="s">
        <v>157</v>
      </c>
      <c r="C482" s="27" t="s">
        <v>79</v>
      </c>
      <c r="D482" s="51">
        <v>14058779342</v>
      </c>
      <c r="F482" s="45">
        <v>8068202</v>
      </c>
      <c r="G482" s="27" t="s">
        <v>284</v>
      </c>
      <c r="H482" s="51">
        <v>15085123820</v>
      </c>
      <c r="J482" s="45">
        <v>8066173</v>
      </c>
      <c r="K482" s="27" t="s">
        <v>281</v>
      </c>
      <c r="L482" s="45">
        <v>8253048008</v>
      </c>
      <c r="M482" s="27" t="str">
        <f t="shared" si="91"/>
        <v>2026-04|FGP tercera parte (10%)</v>
      </c>
      <c r="N482" s="52">
        <f t="shared" si="92"/>
        <v>14058779342</v>
      </c>
      <c r="O482" s="52">
        <f t="shared" si="93"/>
        <v>15085123820</v>
      </c>
      <c r="P482" s="30">
        <f t="shared" si="94"/>
        <v>1.1342907160468309E+17</v>
      </c>
      <c r="Q482" s="30">
        <f t="shared" si="95"/>
        <v>1.2170982617477165E+17</v>
      </c>
      <c r="R482" s="30">
        <f t="shared" si="96"/>
        <v>1.2167921845854086E+17</v>
      </c>
      <c r="S482" s="53">
        <f t="shared" si="97"/>
        <v>3.5128911962820046</v>
      </c>
      <c r="T482" s="54">
        <v>3.5128910000000002</v>
      </c>
      <c r="U482" s="55">
        <f t="shared" si="98"/>
        <v>1.9628200442767252E-7</v>
      </c>
      <c r="V482" s="53">
        <f t="shared" si="99"/>
        <v>3.3163051978497169</v>
      </c>
      <c r="W482" s="53">
        <f t="shared" si="100"/>
        <v>3.314844235411226</v>
      </c>
      <c r="X482" s="54">
        <v>3.3148439999999999</v>
      </c>
      <c r="Y482" s="55">
        <f t="shared" si="101"/>
        <v>2.354112260682939E-7</v>
      </c>
      <c r="Z482" s="29">
        <f t="shared" si="102"/>
        <v>-120573.93142750314</v>
      </c>
      <c r="AA482" s="23">
        <f t="shared" si="103"/>
        <v>-16224336.827622835</v>
      </c>
    </row>
    <row r="483" spans="1:27" x14ac:dyDescent="0.2">
      <c r="A483" s="27" t="s">
        <v>285</v>
      </c>
      <c r="B483" s="27" t="s">
        <v>157</v>
      </c>
      <c r="C483" s="27" t="s">
        <v>80</v>
      </c>
      <c r="D483" s="51">
        <v>7530932633</v>
      </c>
      <c r="F483" s="45">
        <v>2432221</v>
      </c>
      <c r="G483" s="27" t="s">
        <v>284</v>
      </c>
      <c r="H483" s="51">
        <v>8921829182</v>
      </c>
      <c r="J483" s="45">
        <v>2456821</v>
      </c>
      <c r="K483" s="27" t="s">
        <v>281</v>
      </c>
      <c r="L483" s="45">
        <v>8253048008</v>
      </c>
      <c r="M483" s="27" t="str">
        <f t="shared" si="91"/>
        <v>2026-04|FGP tercera parte (10%)</v>
      </c>
      <c r="N483" s="52">
        <f t="shared" si="92"/>
        <v>7530932633</v>
      </c>
      <c r="O483" s="52">
        <f t="shared" si="93"/>
        <v>8921829182</v>
      </c>
      <c r="P483" s="30">
        <f t="shared" si="94"/>
        <v>1.8316892499567892E+16</v>
      </c>
      <c r="Q483" s="30">
        <f t="shared" si="95"/>
        <v>2.1699860294873224E+16</v>
      </c>
      <c r="R483" s="30">
        <f t="shared" si="96"/>
        <v>2.1919337292750424E+16</v>
      </c>
      <c r="S483" s="53">
        <f t="shared" si="97"/>
        <v>0.56727300589419027</v>
      </c>
      <c r="T483" s="54">
        <v>0.56727300000000003</v>
      </c>
      <c r="U483" s="55">
        <f t="shared" si="98"/>
        <v>5.8941902469911156E-9</v>
      </c>
      <c r="V483" s="53">
        <f t="shared" si="99"/>
        <v>0.59126992248894961</v>
      </c>
      <c r="W483" s="53">
        <f t="shared" si="100"/>
        <v>0.59713720871460763</v>
      </c>
      <c r="X483" s="54">
        <v>0.59713700000000003</v>
      </c>
      <c r="Y483" s="55">
        <f t="shared" si="101"/>
        <v>2.0871460759686045E-7</v>
      </c>
      <c r="Z483" s="29">
        <f t="shared" si="102"/>
        <v>484229.94897032756</v>
      </c>
      <c r="AA483" s="23">
        <f t="shared" si="103"/>
        <v>1980477.0470052066</v>
      </c>
    </row>
    <row r="484" spans="1:27" x14ac:dyDescent="0.2">
      <c r="A484" s="27" t="s">
        <v>285</v>
      </c>
      <c r="B484" s="27" t="s">
        <v>157</v>
      </c>
      <c r="C484" s="27" t="s">
        <v>81</v>
      </c>
      <c r="D484" s="51">
        <v>4819410776</v>
      </c>
      <c r="F484" s="45">
        <v>1703991</v>
      </c>
      <c r="G484" s="27" t="s">
        <v>284</v>
      </c>
      <c r="H484" s="51">
        <v>5425831297</v>
      </c>
      <c r="J484" s="45">
        <v>1689186</v>
      </c>
      <c r="K484" s="27" t="s">
        <v>281</v>
      </c>
      <c r="L484" s="45">
        <v>8253048008</v>
      </c>
      <c r="M484" s="27" t="str">
        <f t="shared" si="91"/>
        <v>2026-04|FGP tercera parte (10%)</v>
      </c>
      <c r="N484" s="52">
        <f t="shared" si="92"/>
        <v>4819410776</v>
      </c>
      <c r="O484" s="52">
        <f t="shared" si="93"/>
        <v>5425831297</v>
      </c>
      <c r="P484" s="30">
        <f t="shared" si="94"/>
        <v>8212232587607016</v>
      </c>
      <c r="Q484" s="30">
        <f t="shared" si="95"/>
        <v>9245567697606328</v>
      </c>
      <c r="R484" s="30">
        <f t="shared" si="96"/>
        <v>9165238265254242</v>
      </c>
      <c r="S484" s="53">
        <f t="shared" si="97"/>
        <v>0.25433232548501095</v>
      </c>
      <c r="T484" s="54">
        <v>0.254332</v>
      </c>
      <c r="U484" s="55">
        <f t="shared" si="98"/>
        <v>3.254850109435381E-7</v>
      </c>
      <c r="V484" s="53">
        <f t="shared" si="99"/>
        <v>0.25191987513493658</v>
      </c>
      <c r="W484" s="53">
        <f t="shared" si="100"/>
        <v>0.24968386232773254</v>
      </c>
      <c r="X484" s="54">
        <v>0.24968399999999999</v>
      </c>
      <c r="Y484" s="55">
        <f t="shared" si="101"/>
        <v>-1.3767226744731964E-7</v>
      </c>
      <c r="Z484" s="29">
        <f t="shared" si="102"/>
        <v>-184539.2104435775</v>
      </c>
      <c r="AA484" s="23">
        <f t="shared" si="103"/>
        <v>-199100.68556080171</v>
      </c>
    </row>
    <row r="485" spans="1:27" x14ac:dyDescent="0.2">
      <c r="A485" s="27" t="s">
        <v>285</v>
      </c>
      <c r="B485" s="27" t="s">
        <v>44</v>
      </c>
      <c r="C485" s="27" t="s">
        <v>50</v>
      </c>
      <c r="D485" s="51">
        <v>2207122394</v>
      </c>
      <c r="E485" s="51">
        <v>2325992855</v>
      </c>
      <c r="F485" s="45">
        <v>1519678</v>
      </c>
      <c r="G485" s="27" t="s">
        <v>284</v>
      </c>
      <c r="H485" s="51">
        <v>2325992855</v>
      </c>
      <c r="I485" s="51">
        <v>2685180317</v>
      </c>
      <c r="J485" s="45">
        <v>1531396</v>
      </c>
      <c r="K485" s="27" t="s">
        <v>281</v>
      </c>
      <c r="L485" s="45">
        <v>2419093816</v>
      </c>
      <c r="M485" s="27" t="str">
        <f t="shared" si="91"/>
        <v>2026-04|FFM 70%</v>
      </c>
      <c r="N485" s="52">
        <f t="shared" si="92"/>
        <v>1.0538576661281431</v>
      </c>
      <c r="O485" s="52">
        <f t="shared" si="93"/>
        <v>1.1544232869107416</v>
      </c>
      <c r="P485" s="30">
        <f t="shared" si="94"/>
        <v>1601524.3103462844</v>
      </c>
      <c r="Q485" s="30">
        <f t="shared" si="95"/>
        <v>1754351.671805942</v>
      </c>
      <c r="R485" s="30">
        <f t="shared" si="96"/>
        <v>1767879.203881962</v>
      </c>
      <c r="S485" s="53">
        <f t="shared" si="97"/>
        <v>1.1530954237788402</v>
      </c>
      <c r="T485" s="54">
        <v>1.153095</v>
      </c>
      <c r="U485" s="55">
        <f t="shared" si="98"/>
        <v>4.2377884024169532E-7</v>
      </c>
      <c r="V485" s="53">
        <f t="shared" si="99"/>
        <v>1.2098092190070879</v>
      </c>
      <c r="W485" s="53">
        <f t="shared" si="100"/>
        <v>1.2177254192393179</v>
      </c>
      <c r="X485" s="54">
        <v>1.2177249999999999</v>
      </c>
      <c r="Y485" s="55">
        <f t="shared" si="101"/>
        <v>4.1923931792808844E-7</v>
      </c>
      <c r="Z485" s="29">
        <f t="shared" si="102"/>
        <v>191500.31028005216</v>
      </c>
      <c r="AA485" s="23">
        <f t="shared" si="103"/>
        <v>1371959.9131854433</v>
      </c>
    </row>
    <row r="486" spans="1:27" x14ac:dyDescent="0.2">
      <c r="A486" s="27" t="s">
        <v>285</v>
      </c>
      <c r="B486" s="27" t="s">
        <v>44</v>
      </c>
      <c r="C486" s="27" t="s">
        <v>51</v>
      </c>
      <c r="D486" s="51">
        <v>12057564919</v>
      </c>
      <c r="E486" s="51">
        <v>13420132605</v>
      </c>
      <c r="F486" s="45">
        <v>3790412</v>
      </c>
      <c r="G486" s="27" t="s">
        <v>284</v>
      </c>
      <c r="H486" s="51">
        <v>13420132605</v>
      </c>
      <c r="I486" s="51">
        <v>15205577447</v>
      </c>
      <c r="J486" s="45">
        <v>3830329</v>
      </c>
      <c r="K486" s="27" t="s">
        <v>281</v>
      </c>
      <c r="L486" s="45">
        <v>2419093816</v>
      </c>
      <c r="M486" s="27" t="str">
        <f t="shared" si="91"/>
        <v>2026-04|FFM 70%</v>
      </c>
      <c r="N486" s="52">
        <f t="shared" si="92"/>
        <v>1.1130052125079501</v>
      </c>
      <c r="O486" s="52">
        <f t="shared" si="93"/>
        <v>1.1330422652705225</v>
      </c>
      <c r="P486" s="30">
        <f t="shared" si="94"/>
        <v>4218748.3135526842</v>
      </c>
      <c r="Q486" s="30">
        <f t="shared" si="95"/>
        <v>4294696.9987885719</v>
      </c>
      <c r="R486" s="30">
        <f t="shared" si="96"/>
        <v>4339924.6468913751</v>
      </c>
      <c r="S486" s="53">
        <f t="shared" si="97"/>
        <v>3.0374933074730928</v>
      </c>
      <c r="T486" s="54">
        <v>3.037493</v>
      </c>
      <c r="U486" s="55">
        <f t="shared" si="98"/>
        <v>3.0747309276435431E-7</v>
      </c>
      <c r="V486" s="53">
        <f t="shared" si="99"/>
        <v>2.9616433839789553</v>
      </c>
      <c r="W486" s="53">
        <f t="shared" si="100"/>
        <v>2.9893651944647841</v>
      </c>
      <c r="X486" s="54">
        <v>2.9893649999999998</v>
      </c>
      <c r="Y486" s="55">
        <f t="shared" si="101"/>
        <v>1.944647842755387E-7</v>
      </c>
      <c r="Z486" s="29">
        <f t="shared" si="102"/>
        <v>670616.60314592347</v>
      </c>
      <c r="AA486" s="23">
        <f t="shared" si="103"/>
        <v>-1834880.8086874099</v>
      </c>
    </row>
    <row r="487" spans="1:27" x14ac:dyDescent="0.2">
      <c r="A487" s="27" t="s">
        <v>285</v>
      </c>
      <c r="B487" s="27" t="s">
        <v>44</v>
      </c>
      <c r="C487" s="27" t="s">
        <v>52</v>
      </c>
      <c r="D487" s="51">
        <v>2462231484</v>
      </c>
      <c r="E487" s="51">
        <v>2519870154</v>
      </c>
      <c r="F487" s="45">
        <v>906940</v>
      </c>
      <c r="G487" s="27" t="s">
        <v>284</v>
      </c>
      <c r="H487" s="51">
        <v>2519870154</v>
      </c>
      <c r="I487" s="51">
        <v>2654174283</v>
      </c>
      <c r="J487" s="45">
        <v>928591</v>
      </c>
      <c r="K487" s="27" t="s">
        <v>281</v>
      </c>
      <c r="L487" s="45">
        <v>2419093816</v>
      </c>
      <c r="M487" s="27" t="str">
        <f t="shared" si="91"/>
        <v>2026-04|FFM 70%</v>
      </c>
      <c r="N487" s="52">
        <f t="shared" si="92"/>
        <v>1.0234091190753372</v>
      </c>
      <c r="O487" s="52">
        <f t="shared" si="93"/>
        <v>1.0532980355304451</v>
      </c>
      <c r="P487" s="30">
        <f t="shared" si="94"/>
        <v>928170.66645418631</v>
      </c>
      <c r="Q487" s="30">
        <f t="shared" si="95"/>
        <v>955278.12034398189</v>
      </c>
      <c r="R487" s="30">
        <f t="shared" si="96"/>
        <v>978083.07611125149</v>
      </c>
      <c r="S487" s="53">
        <f t="shared" si="97"/>
        <v>0.66828167456456711</v>
      </c>
      <c r="T487" s="54">
        <v>0.66828200000000004</v>
      </c>
      <c r="U487" s="55">
        <f t="shared" si="98"/>
        <v>-3.2543543293517274E-7</v>
      </c>
      <c r="V487" s="53">
        <f t="shared" si="99"/>
        <v>0.65876431463608531</v>
      </c>
      <c r="W487" s="53">
        <f t="shared" si="100"/>
        <v>0.6737092790577216</v>
      </c>
      <c r="X487" s="54">
        <v>0.673709</v>
      </c>
      <c r="Y487" s="55">
        <f t="shared" si="101"/>
        <v>2.7905772159719788E-7</v>
      </c>
      <c r="Z487" s="29">
        <f t="shared" si="102"/>
        <v>361532.71012720355</v>
      </c>
      <c r="AA487" s="23">
        <f t="shared" si="103"/>
        <v>-230233.86547636511</v>
      </c>
    </row>
    <row r="488" spans="1:27" x14ac:dyDescent="0.2">
      <c r="A488" s="27" t="s">
        <v>285</v>
      </c>
      <c r="B488" s="27" t="s">
        <v>44</v>
      </c>
      <c r="C488" s="27" t="s">
        <v>53</v>
      </c>
      <c r="D488" s="51">
        <v>521998784</v>
      </c>
      <c r="E488" s="51">
        <v>517415843</v>
      </c>
      <c r="F488" s="45">
        <v>918817</v>
      </c>
      <c r="G488" s="27" t="s">
        <v>284</v>
      </c>
      <c r="H488" s="51">
        <v>517415843</v>
      </c>
      <c r="I488" s="51">
        <v>550844550</v>
      </c>
      <c r="J488" s="45">
        <v>935371</v>
      </c>
      <c r="K488" s="27" t="s">
        <v>281</v>
      </c>
      <c r="L488" s="45">
        <v>2419093816</v>
      </c>
      <c r="M488" s="27" t="str">
        <f t="shared" si="91"/>
        <v>2026-04|FFM 70%</v>
      </c>
      <c r="N488" s="52">
        <f t="shared" si="92"/>
        <v>0.99122039908813275</v>
      </c>
      <c r="O488" s="52">
        <f t="shared" si="93"/>
        <v>1.0646070418064102</v>
      </c>
      <c r="P488" s="30">
        <f t="shared" si="94"/>
        <v>910750.15342896082</v>
      </c>
      <c r="Q488" s="30">
        <f t="shared" si="95"/>
        <v>978179.04833144043</v>
      </c>
      <c r="R488" s="30">
        <f t="shared" si="96"/>
        <v>995802.55330150377</v>
      </c>
      <c r="S488" s="53">
        <f t="shared" si="97"/>
        <v>0.65573892780793264</v>
      </c>
      <c r="T488" s="54">
        <v>0.65573899999999996</v>
      </c>
      <c r="U488" s="55">
        <f t="shared" si="98"/>
        <v>-7.2192067324117204E-8</v>
      </c>
      <c r="V488" s="53">
        <f t="shared" si="99"/>
        <v>0.6745569030026608</v>
      </c>
      <c r="W488" s="53">
        <f t="shared" si="100"/>
        <v>0.68591455741770291</v>
      </c>
      <c r="X488" s="54">
        <v>0.68591500000000005</v>
      </c>
      <c r="Y488" s="55">
        <f t="shared" si="101"/>
        <v>-4.4258229714433384E-7</v>
      </c>
      <c r="Z488" s="29">
        <f t="shared" si="102"/>
        <v>274752.31559693458</v>
      </c>
      <c r="AA488" s="23">
        <f t="shared" si="103"/>
        <v>455224.47423208295</v>
      </c>
    </row>
    <row r="489" spans="1:27" x14ac:dyDescent="0.2">
      <c r="A489" s="27" t="s">
        <v>285</v>
      </c>
      <c r="B489" s="27" t="s">
        <v>44</v>
      </c>
      <c r="C489" s="27" t="s">
        <v>54</v>
      </c>
      <c r="D489" s="51">
        <v>4352564104</v>
      </c>
      <c r="E489" s="51">
        <v>4784874505</v>
      </c>
      <c r="F489" s="45">
        <v>3582441</v>
      </c>
      <c r="G489" s="27" t="s">
        <v>284</v>
      </c>
      <c r="H489" s="51">
        <v>4784874505</v>
      </c>
      <c r="I489" s="51">
        <v>5238424574</v>
      </c>
      <c r="J489" s="45">
        <v>3590747</v>
      </c>
      <c r="K489" s="27" t="s">
        <v>281</v>
      </c>
      <c r="L489" s="45">
        <v>2419093816</v>
      </c>
      <c r="M489" s="27" t="str">
        <f t="shared" si="91"/>
        <v>2026-04|FFM 70%</v>
      </c>
      <c r="N489" s="52">
        <f t="shared" si="92"/>
        <v>1.09932315542526</v>
      </c>
      <c r="O489" s="52">
        <f t="shared" si="93"/>
        <v>1.0947882893325747</v>
      </c>
      <c r="P489" s="30">
        <f t="shared" si="94"/>
        <v>3938260.3442448238</v>
      </c>
      <c r="Q489" s="30">
        <f t="shared" si="95"/>
        <v>3922014.4540248783</v>
      </c>
      <c r="R489" s="30">
        <f t="shared" si="96"/>
        <v>3931107.7655560747</v>
      </c>
      <c r="S489" s="53">
        <f t="shared" si="97"/>
        <v>2.8355423338010284</v>
      </c>
      <c r="T489" s="54">
        <v>2.8355419999999998</v>
      </c>
      <c r="U489" s="55">
        <f t="shared" si="98"/>
        <v>3.3380102859581484E-7</v>
      </c>
      <c r="V489" s="53">
        <f t="shared" si="99"/>
        <v>2.7046397366121733</v>
      </c>
      <c r="W489" s="53">
        <f t="shared" si="100"/>
        <v>2.7077697624222572</v>
      </c>
      <c r="X489" s="54">
        <v>2.70777</v>
      </c>
      <c r="Y489" s="55">
        <f t="shared" si="101"/>
        <v>-2.3757774281207844E-7</v>
      </c>
      <c r="Z489" s="29">
        <f t="shared" si="102"/>
        <v>75718.260810944135</v>
      </c>
      <c r="AA489" s="23">
        <f t="shared" si="103"/>
        <v>-3166656.6335789836</v>
      </c>
    </row>
    <row r="490" spans="1:27" x14ac:dyDescent="0.2">
      <c r="A490" s="27" t="s">
        <v>285</v>
      </c>
      <c r="B490" s="27" t="s">
        <v>44</v>
      </c>
      <c r="C490" s="27" t="s">
        <v>55</v>
      </c>
      <c r="D490" s="51">
        <v>1484931675</v>
      </c>
      <c r="E490" s="51">
        <v>1573298254</v>
      </c>
      <c r="F490" s="45">
        <v>745394</v>
      </c>
      <c r="G490" s="27" t="s">
        <v>284</v>
      </c>
      <c r="H490" s="51">
        <v>1573298254</v>
      </c>
      <c r="I490" s="51">
        <v>1761626340</v>
      </c>
      <c r="J490" s="45">
        <v>762355</v>
      </c>
      <c r="K490" s="27" t="s">
        <v>281</v>
      </c>
      <c r="L490" s="45">
        <v>2419093816</v>
      </c>
      <c r="M490" s="27" t="str">
        <f t="shared" si="91"/>
        <v>2026-04|FFM 70%</v>
      </c>
      <c r="N490" s="52">
        <f t="shared" si="92"/>
        <v>1.0595088518129967</v>
      </c>
      <c r="O490" s="52">
        <f t="shared" si="93"/>
        <v>1.1197027235752592</v>
      </c>
      <c r="P490" s="30">
        <f t="shared" si="94"/>
        <v>789751.54108829692</v>
      </c>
      <c r="Q490" s="30">
        <f t="shared" si="95"/>
        <v>834619.69193665683</v>
      </c>
      <c r="R490" s="30">
        <f t="shared" si="96"/>
        <v>853610.96983121673</v>
      </c>
      <c r="S490" s="53">
        <f t="shared" si="97"/>
        <v>0.56862008404624065</v>
      </c>
      <c r="T490" s="54">
        <v>0.56862000000000001</v>
      </c>
      <c r="U490" s="55">
        <f t="shared" si="98"/>
        <v>8.4046240633739444E-8</v>
      </c>
      <c r="V490" s="53">
        <f t="shared" si="99"/>
        <v>0.57555769113862976</v>
      </c>
      <c r="W490" s="53">
        <f t="shared" si="100"/>
        <v>0.58797217243266031</v>
      </c>
      <c r="X490" s="54">
        <v>0.58797200000000005</v>
      </c>
      <c r="Y490" s="55">
        <f t="shared" si="101"/>
        <v>1.7243266026145676E-7</v>
      </c>
      <c r="Z490" s="29">
        <f t="shared" si="102"/>
        <v>300317.94927236991</v>
      </c>
      <c r="AA490" s="23">
        <f t="shared" si="103"/>
        <v>167827.22415036234</v>
      </c>
    </row>
    <row r="491" spans="1:27" x14ac:dyDescent="0.2">
      <c r="A491" s="27" t="s">
        <v>285</v>
      </c>
      <c r="B491" s="27" t="s">
        <v>44</v>
      </c>
      <c r="C491" s="27" t="s">
        <v>56</v>
      </c>
      <c r="D491" s="51">
        <v>1744005137</v>
      </c>
      <c r="E491" s="51">
        <v>1815319906</v>
      </c>
      <c r="F491" s="45">
        <v>5900473</v>
      </c>
      <c r="G491" s="27" t="s">
        <v>284</v>
      </c>
      <c r="H491" s="51">
        <v>1815319906</v>
      </c>
      <c r="I491" s="51">
        <v>2015743275</v>
      </c>
      <c r="J491" s="45">
        <v>5891372</v>
      </c>
      <c r="K491" s="27" t="s">
        <v>281</v>
      </c>
      <c r="L491" s="45">
        <v>2419093816</v>
      </c>
      <c r="M491" s="27" t="str">
        <f t="shared" si="91"/>
        <v>2026-04|FFM 70%</v>
      </c>
      <c r="N491" s="52">
        <f t="shared" si="92"/>
        <v>1.0408913755395663</v>
      </c>
      <c r="O491" s="52">
        <f t="shared" si="93"/>
        <v>1.1104066387073486</v>
      </c>
      <c r="P491" s="30">
        <f t="shared" si="94"/>
        <v>6141751.4573040716</v>
      </c>
      <c r="Q491" s="30">
        <f t="shared" si="95"/>
        <v>6551924.3907134654</v>
      </c>
      <c r="R491" s="30">
        <f t="shared" si="96"/>
        <v>6541818.5798945893</v>
      </c>
      <c r="S491" s="53">
        <f t="shared" si="97"/>
        <v>4.4220530738450412</v>
      </c>
      <c r="T491" s="54">
        <v>4.422053</v>
      </c>
      <c r="U491" s="55">
        <f t="shared" si="98"/>
        <v>7.3845041193010275E-8</v>
      </c>
      <c r="V491" s="53">
        <f t="shared" si="99"/>
        <v>4.5182380804886586</v>
      </c>
      <c r="W491" s="53">
        <f t="shared" si="100"/>
        <v>4.5060424690201755</v>
      </c>
      <c r="X491" s="54">
        <v>4.5060419999999999</v>
      </c>
      <c r="Y491" s="55">
        <f t="shared" si="101"/>
        <v>4.6902017558636544E-7</v>
      </c>
      <c r="Z491" s="29">
        <f t="shared" si="102"/>
        <v>-295023.2828574623</v>
      </c>
      <c r="AA491" s="23">
        <f t="shared" si="103"/>
        <v>2326805.5476349378</v>
      </c>
    </row>
    <row r="492" spans="1:27" x14ac:dyDescent="0.2">
      <c r="A492" s="27" t="s">
        <v>285</v>
      </c>
      <c r="B492" s="27" t="s">
        <v>44</v>
      </c>
      <c r="C492" s="27" t="s">
        <v>57</v>
      </c>
      <c r="D492" s="51">
        <v>8865227370</v>
      </c>
      <c r="E492" s="51">
        <v>9521809148</v>
      </c>
      <c r="F492" s="45">
        <v>3991333</v>
      </c>
      <c r="G492" s="27" t="s">
        <v>284</v>
      </c>
      <c r="H492" s="51">
        <v>9521809148</v>
      </c>
      <c r="I492" s="51">
        <v>10593672612</v>
      </c>
      <c r="J492" s="45">
        <v>4015493</v>
      </c>
      <c r="K492" s="27" t="s">
        <v>281</v>
      </c>
      <c r="L492" s="45">
        <v>2419093816</v>
      </c>
      <c r="M492" s="27" t="str">
        <f t="shared" si="91"/>
        <v>2026-04|FFM 70%</v>
      </c>
      <c r="N492" s="52">
        <f t="shared" si="92"/>
        <v>1.0740625988028099</v>
      </c>
      <c r="O492" s="52">
        <f t="shared" si="93"/>
        <v>1.1125693077166054</v>
      </c>
      <c r="P492" s="30">
        <f t="shared" si="94"/>
        <v>4286941.4946674155</v>
      </c>
      <c r="Q492" s="30">
        <f t="shared" si="95"/>
        <v>4440634.5926764421</v>
      </c>
      <c r="R492" s="30">
        <f t="shared" si="96"/>
        <v>4467514.2671508752</v>
      </c>
      <c r="S492" s="53">
        <f t="shared" si="97"/>
        <v>3.0865923093229721</v>
      </c>
      <c r="T492" s="54">
        <v>3.086592</v>
      </c>
      <c r="U492" s="55">
        <f t="shared" si="98"/>
        <v>3.0932297212515891E-7</v>
      </c>
      <c r="V492" s="53">
        <f t="shared" si="99"/>
        <v>3.0622826396781897</v>
      </c>
      <c r="W492" s="53">
        <f t="shared" si="100"/>
        <v>3.0772496627474135</v>
      </c>
      <c r="X492" s="54">
        <v>3.0772499999999998</v>
      </c>
      <c r="Y492" s="55">
        <f t="shared" si="101"/>
        <v>-3.3725258630212807E-7</v>
      </c>
      <c r="Z492" s="29">
        <f t="shared" si="102"/>
        <v>362066.32950688677</v>
      </c>
      <c r="AA492" s="23">
        <f t="shared" si="103"/>
        <v>-588073.7150669609</v>
      </c>
    </row>
    <row r="493" spans="1:27" x14ac:dyDescent="0.2">
      <c r="A493" s="27" t="s">
        <v>285</v>
      </c>
      <c r="B493" s="27" t="s">
        <v>44</v>
      </c>
      <c r="C493" s="27" t="s">
        <v>58</v>
      </c>
      <c r="D493" s="51">
        <v>31486327492</v>
      </c>
      <c r="E493" s="51">
        <v>33493698824</v>
      </c>
      <c r="F493" s="45">
        <v>9319955</v>
      </c>
      <c r="G493" s="27" t="s">
        <v>284</v>
      </c>
      <c r="H493" s="51">
        <v>33493698824</v>
      </c>
      <c r="I493" s="51">
        <v>38907672159</v>
      </c>
      <c r="J493" s="45">
        <v>9336468</v>
      </c>
      <c r="K493" s="27" t="s">
        <v>281</v>
      </c>
      <c r="L493" s="45">
        <v>2419093816</v>
      </c>
      <c r="M493" s="27" t="str">
        <f t="shared" si="91"/>
        <v>2026-04|FFM 70%</v>
      </c>
      <c r="N493" s="52">
        <f t="shared" si="92"/>
        <v>1.0637537462096851</v>
      </c>
      <c r="O493" s="52">
        <f t="shared" si="93"/>
        <v>1.1616415482640157</v>
      </c>
      <c r="P493" s="30">
        <f t="shared" si="94"/>
        <v>9914137.0457556862</v>
      </c>
      <c r="Q493" s="30">
        <f t="shared" si="95"/>
        <v>10826446.955950955</v>
      </c>
      <c r="R493" s="30">
        <f t="shared" si="96"/>
        <v>10845629.142837439</v>
      </c>
      <c r="S493" s="53">
        <f t="shared" si="97"/>
        <v>7.1381657988727722</v>
      </c>
      <c r="T493" s="54">
        <v>7.138166</v>
      </c>
      <c r="U493" s="55">
        <f t="shared" si="98"/>
        <v>-2.0112722776133296E-7</v>
      </c>
      <c r="V493" s="53">
        <f t="shared" si="99"/>
        <v>7.4659690795731866</v>
      </c>
      <c r="W493" s="53">
        <f t="shared" si="100"/>
        <v>7.4705320736142848</v>
      </c>
      <c r="X493" s="54">
        <v>7.4705320000000004</v>
      </c>
      <c r="Y493" s="55">
        <f t="shared" si="101"/>
        <v>7.3614284445966405E-8</v>
      </c>
      <c r="Z493" s="29">
        <f t="shared" si="102"/>
        <v>110383.10667265694</v>
      </c>
      <c r="AA493" s="23">
        <f t="shared" si="103"/>
        <v>7929868.8920688434</v>
      </c>
    </row>
    <row r="494" spans="1:27" x14ac:dyDescent="0.2">
      <c r="A494" s="27" t="s">
        <v>285</v>
      </c>
      <c r="B494" s="27" t="s">
        <v>44</v>
      </c>
      <c r="C494" s="27" t="s">
        <v>59</v>
      </c>
      <c r="D494" s="51">
        <v>1334905929</v>
      </c>
      <c r="E494" s="51">
        <v>1513863761</v>
      </c>
      <c r="F494" s="45">
        <v>1954301</v>
      </c>
      <c r="G494" s="27" t="s">
        <v>284</v>
      </c>
      <c r="H494" s="51">
        <v>1513863761</v>
      </c>
      <c r="I494" s="51">
        <v>1682810165</v>
      </c>
      <c r="J494" s="45">
        <v>1968132</v>
      </c>
      <c r="K494" s="27" t="s">
        <v>281</v>
      </c>
      <c r="L494" s="45">
        <v>2419093816</v>
      </c>
      <c r="M494" s="27" t="str">
        <f t="shared" si="91"/>
        <v>2026-04|FFM 70%</v>
      </c>
      <c r="N494" s="52">
        <f t="shared" si="92"/>
        <v>1.1340602570654998</v>
      </c>
      <c r="O494" s="52">
        <f t="shared" si="93"/>
        <v>1.1115994770152899</v>
      </c>
      <c r="P494" s="30">
        <f t="shared" si="94"/>
        <v>2216295.0944433636</v>
      </c>
      <c r="Q494" s="30">
        <f t="shared" si="95"/>
        <v>2172399.9695304581</v>
      </c>
      <c r="R494" s="30">
        <f t="shared" si="96"/>
        <v>2187774.5018970566</v>
      </c>
      <c r="S494" s="53">
        <f t="shared" si="97"/>
        <v>1.5957295900138779</v>
      </c>
      <c r="T494" s="54">
        <v>1.5957300000000001</v>
      </c>
      <c r="U494" s="55">
        <f t="shared" si="98"/>
        <v>-4.0998612216291974E-7</v>
      </c>
      <c r="V494" s="53">
        <f t="shared" si="99"/>
        <v>1.4980973044037338</v>
      </c>
      <c r="W494" s="53">
        <f t="shared" si="100"/>
        <v>1.5069517287571197</v>
      </c>
      <c r="X494" s="54">
        <v>1.5069520000000001</v>
      </c>
      <c r="Y494" s="55">
        <f t="shared" si="101"/>
        <v>-2.7124288037860822E-7</v>
      </c>
      <c r="Z494" s="29">
        <f t="shared" si="102"/>
        <v>214196.83197515638</v>
      </c>
      <c r="AA494" s="23">
        <f t="shared" si="103"/>
        <v>-2361816.5836144546</v>
      </c>
    </row>
    <row r="495" spans="1:27" x14ac:dyDescent="0.2">
      <c r="A495" s="27" t="s">
        <v>285</v>
      </c>
      <c r="B495" s="27" t="s">
        <v>44</v>
      </c>
      <c r="C495" s="27" t="s">
        <v>60</v>
      </c>
      <c r="D495" s="51">
        <v>8541908458</v>
      </c>
      <c r="E495" s="51">
        <v>8649635331</v>
      </c>
      <c r="F495" s="45">
        <v>6376710</v>
      </c>
      <c r="G495" s="27" t="s">
        <v>284</v>
      </c>
      <c r="H495" s="51">
        <v>8649635331</v>
      </c>
      <c r="I495" s="51">
        <v>9505316553</v>
      </c>
      <c r="J495" s="45">
        <v>6402249</v>
      </c>
      <c r="K495" s="27" t="s">
        <v>281</v>
      </c>
      <c r="L495" s="45">
        <v>2419093816</v>
      </c>
      <c r="M495" s="27" t="str">
        <f t="shared" si="91"/>
        <v>2026-04|FFM 70%</v>
      </c>
      <c r="N495" s="52">
        <f t="shared" si="92"/>
        <v>1.0126115695959148</v>
      </c>
      <c r="O495" s="52">
        <f t="shared" si="93"/>
        <v>1.0989268552089435</v>
      </c>
      <c r="P495" s="30">
        <f t="shared" si="94"/>
        <v>6457130.3219579663</v>
      </c>
      <c r="Q495" s="30">
        <f t="shared" si="95"/>
        <v>7007537.8668794222</v>
      </c>
      <c r="R495" s="30">
        <f t="shared" si="96"/>
        <v>7035603.359834603</v>
      </c>
      <c r="S495" s="53">
        <f t="shared" si="97"/>
        <v>4.6491254468584371</v>
      </c>
      <c r="T495" s="54">
        <v>4.6491249999999997</v>
      </c>
      <c r="U495" s="55">
        <f t="shared" si="98"/>
        <v>4.468584373640283E-7</v>
      </c>
      <c r="V495" s="53">
        <f t="shared" si="99"/>
        <v>4.8324312907941085</v>
      </c>
      <c r="W495" s="53">
        <f t="shared" si="100"/>
        <v>4.846164280989063</v>
      </c>
      <c r="X495" s="54">
        <v>4.8461639999999999</v>
      </c>
      <c r="Y495" s="55">
        <f t="shared" si="101"/>
        <v>2.8098906312834515E-7</v>
      </c>
      <c r="Z495" s="29">
        <f t="shared" si="102"/>
        <v>332213.91655803198</v>
      </c>
      <c r="AA495" s="23">
        <f t="shared" si="103"/>
        <v>4434340.3350144383</v>
      </c>
    </row>
    <row r="496" spans="1:27" x14ac:dyDescent="0.2">
      <c r="A496" s="27" t="s">
        <v>285</v>
      </c>
      <c r="B496" s="27" t="s">
        <v>44</v>
      </c>
      <c r="C496" s="27" t="s">
        <v>61</v>
      </c>
      <c r="D496" s="51">
        <v>1948086444</v>
      </c>
      <c r="E496" s="51">
        <v>1892957129</v>
      </c>
      <c r="F496" s="45">
        <v>3578620</v>
      </c>
      <c r="G496" s="27" t="s">
        <v>284</v>
      </c>
      <c r="H496" s="51">
        <v>1892957129</v>
      </c>
      <c r="I496" s="51">
        <v>2078450286</v>
      </c>
      <c r="J496" s="45">
        <v>3569633</v>
      </c>
      <c r="K496" s="27" t="s">
        <v>281</v>
      </c>
      <c r="L496" s="45">
        <v>2419093816</v>
      </c>
      <c r="M496" s="27" t="str">
        <f t="shared" si="91"/>
        <v>2026-04|FFM 70%</v>
      </c>
      <c r="N496" s="52">
        <f t="shared" si="92"/>
        <v>0.97170078608688271</v>
      </c>
      <c r="O496" s="52">
        <f t="shared" si="93"/>
        <v>1.0979912086535162</v>
      </c>
      <c r="P496" s="30">
        <f t="shared" si="94"/>
        <v>3477347.8671062402</v>
      </c>
      <c r="Q496" s="30">
        <f t="shared" si="95"/>
        <v>3929293.2991116461</v>
      </c>
      <c r="R496" s="30">
        <f t="shared" si="96"/>
        <v>3919425.6521194768</v>
      </c>
      <c r="S496" s="53">
        <f t="shared" si="97"/>
        <v>2.5036859487823375</v>
      </c>
      <c r="T496" s="54">
        <v>2.5036860000000001</v>
      </c>
      <c r="U496" s="55">
        <f t="shared" si="98"/>
        <v>-5.1217662555558263E-8</v>
      </c>
      <c r="V496" s="53">
        <f t="shared" si="99"/>
        <v>2.7096592626463298</v>
      </c>
      <c r="W496" s="53">
        <f t="shared" si="100"/>
        <v>2.6997230551297311</v>
      </c>
      <c r="X496" s="54">
        <v>2.6997230000000001</v>
      </c>
      <c r="Y496" s="55">
        <f t="shared" si="101"/>
        <v>5.5129731002523386E-8</v>
      </c>
      <c r="Z496" s="29">
        <f t="shared" si="102"/>
        <v>-240366.18157896725</v>
      </c>
      <c r="AA496" s="23">
        <f t="shared" si="103"/>
        <v>4982687.6982941087</v>
      </c>
    </row>
    <row r="497" spans="1:27" x14ac:dyDescent="0.2">
      <c r="A497" s="27" t="s">
        <v>285</v>
      </c>
      <c r="B497" s="27" t="s">
        <v>44</v>
      </c>
      <c r="C497" s="27" t="s">
        <v>62</v>
      </c>
      <c r="D497" s="51">
        <v>2273811624</v>
      </c>
      <c r="E497" s="51">
        <v>2561806971</v>
      </c>
      <c r="F497" s="45">
        <v>3228160</v>
      </c>
      <c r="G497" s="27" t="s">
        <v>284</v>
      </c>
      <c r="H497" s="51">
        <v>2561806971</v>
      </c>
      <c r="I497" s="51">
        <v>2753891044</v>
      </c>
      <c r="J497" s="45">
        <v>3215821</v>
      </c>
      <c r="K497" s="27" t="s">
        <v>281</v>
      </c>
      <c r="L497" s="45">
        <v>2419093816</v>
      </c>
      <c r="M497" s="27" t="str">
        <f t="shared" si="91"/>
        <v>2026-04|FFM 70%</v>
      </c>
      <c r="N497" s="52">
        <f t="shared" si="92"/>
        <v>1.1266575225318665</v>
      </c>
      <c r="O497" s="52">
        <f t="shared" si="93"/>
        <v>1.0749799165879466</v>
      </c>
      <c r="P497" s="30">
        <f t="shared" si="94"/>
        <v>3637030.74793647</v>
      </c>
      <c r="Q497" s="30">
        <f t="shared" si="95"/>
        <v>3470207.1675325455</v>
      </c>
      <c r="R497" s="30">
        <f t="shared" si="96"/>
        <v>3456942.9903417667</v>
      </c>
      <c r="S497" s="53">
        <f t="shared" si="97"/>
        <v>2.618657415622792</v>
      </c>
      <c r="T497" s="54">
        <v>2.6186569999999998</v>
      </c>
      <c r="U497" s="55">
        <f t="shared" si="98"/>
        <v>4.1562279218254616E-7</v>
      </c>
      <c r="V497" s="53">
        <f t="shared" si="99"/>
        <v>2.3930712927263893</v>
      </c>
      <c r="W497" s="53">
        <f t="shared" si="100"/>
        <v>2.3811623231704786</v>
      </c>
      <c r="X497" s="54">
        <v>2.3811619999999998</v>
      </c>
      <c r="Y497" s="55">
        <f t="shared" si="101"/>
        <v>3.2317047882202132E-7</v>
      </c>
      <c r="Z497" s="29">
        <f t="shared" si="102"/>
        <v>-288089.14607635833</v>
      </c>
      <c r="AA497" s="23">
        <f t="shared" si="103"/>
        <v>-5457139.9487410365</v>
      </c>
    </row>
    <row r="498" spans="1:27" x14ac:dyDescent="0.2">
      <c r="A498" s="27" t="s">
        <v>285</v>
      </c>
      <c r="B498" s="27" t="s">
        <v>44</v>
      </c>
      <c r="C498" s="27" t="s">
        <v>63</v>
      </c>
      <c r="D498" s="51">
        <v>11989654420</v>
      </c>
      <c r="E498" s="51">
        <v>12962869372</v>
      </c>
      <c r="F498" s="45">
        <v>8761130</v>
      </c>
      <c r="G498" s="27" t="s">
        <v>284</v>
      </c>
      <c r="H498" s="51">
        <v>12962869372</v>
      </c>
      <c r="I498" s="51">
        <v>14385676589</v>
      </c>
      <c r="J498" s="45">
        <v>8750952</v>
      </c>
      <c r="K498" s="27" t="s">
        <v>281</v>
      </c>
      <c r="L498" s="45">
        <v>2419093816</v>
      </c>
      <c r="M498" s="27" t="str">
        <f t="shared" si="91"/>
        <v>2026-04|FFM 70%</v>
      </c>
      <c r="N498" s="52">
        <f t="shared" si="92"/>
        <v>1.081171226284602</v>
      </c>
      <c r="O498" s="52">
        <f t="shared" si="93"/>
        <v>1.1097602063377485</v>
      </c>
      <c r="P498" s="30">
        <f t="shared" si="94"/>
        <v>9472281.6657388154</v>
      </c>
      <c r="Q498" s="30">
        <f t="shared" si="95"/>
        <v>9722753.4365518391</v>
      </c>
      <c r="R498" s="30">
        <f t="shared" si="96"/>
        <v>9711458.2971717324</v>
      </c>
      <c r="S498" s="53">
        <f t="shared" si="97"/>
        <v>6.8200304990349885</v>
      </c>
      <c r="T498" s="54">
        <v>6.82003</v>
      </c>
      <c r="U498" s="55">
        <f t="shared" si="98"/>
        <v>4.9903498844372507E-7</v>
      </c>
      <c r="V498" s="53">
        <f t="shared" si="99"/>
        <v>6.704856803063139</v>
      </c>
      <c r="W498" s="53">
        <f t="shared" si="100"/>
        <v>6.6893086362354168</v>
      </c>
      <c r="X498" s="54">
        <v>6.6893089999999997</v>
      </c>
      <c r="Y498" s="55">
        <f t="shared" si="101"/>
        <v>-3.6376458290021674E-7</v>
      </c>
      <c r="Z498" s="29">
        <f t="shared" si="102"/>
        <v>-376124.74223079107</v>
      </c>
      <c r="AA498" s="23">
        <f t="shared" si="103"/>
        <v>-2786159.7569136512</v>
      </c>
    </row>
    <row r="499" spans="1:27" x14ac:dyDescent="0.2">
      <c r="A499" s="27" t="s">
        <v>285</v>
      </c>
      <c r="B499" s="27" t="s">
        <v>44</v>
      </c>
      <c r="C499" s="27" t="s">
        <v>64</v>
      </c>
      <c r="D499" s="51">
        <v>15655134223</v>
      </c>
      <c r="E499" s="51">
        <v>16658474505</v>
      </c>
      <c r="F499" s="45">
        <v>17789139</v>
      </c>
      <c r="G499" s="27" t="s">
        <v>284</v>
      </c>
      <c r="H499" s="51">
        <v>16658474505</v>
      </c>
      <c r="I499" s="51">
        <v>17892416722</v>
      </c>
      <c r="J499" s="45">
        <v>17753727</v>
      </c>
      <c r="K499" s="27" t="s">
        <v>281</v>
      </c>
      <c r="L499" s="45">
        <v>2419093816</v>
      </c>
      <c r="M499" s="27" t="str">
        <f t="shared" si="91"/>
        <v>2026-04|FFM 70%</v>
      </c>
      <c r="N499" s="52">
        <f t="shared" si="92"/>
        <v>1.0640901743611961</v>
      </c>
      <c r="O499" s="52">
        <f t="shared" si="93"/>
        <v>1.0740729420709942</v>
      </c>
      <c r="P499" s="30">
        <f t="shared" si="94"/>
        <v>18929248.020245556</v>
      </c>
      <c r="Q499" s="30">
        <f t="shared" si="95"/>
        <v>19106832.862639863</v>
      </c>
      <c r="R499" s="30">
        <f t="shared" si="96"/>
        <v>19068797.791615248</v>
      </c>
      <c r="S499" s="53">
        <f t="shared" si="97"/>
        <v>13.629033993870687</v>
      </c>
      <c r="T499" s="54">
        <v>13.629034000000001</v>
      </c>
      <c r="U499" s="55">
        <f t="shared" si="98"/>
        <v>-6.129313945280046E-9</v>
      </c>
      <c r="V499" s="53">
        <f t="shared" si="99"/>
        <v>13.176162405029041</v>
      </c>
      <c r="W499" s="53">
        <f t="shared" si="100"/>
        <v>13.134698193290614</v>
      </c>
      <c r="X499" s="54">
        <v>13.134698</v>
      </c>
      <c r="Y499" s="55">
        <f t="shared" si="101"/>
        <v>1.9329061373696277E-7</v>
      </c>
      <c r="Z499" s="29">
        <f t="shared" si="102"/>
        <v>-1003058.182017438</v>
      </c>
      <c r="AA499" s="23">
        <f t="shared" si="103"/>
        <v>-10955388.600089196</v>
      </c>
    </row>
    <row r="500" spans="1:27" x14ac:dyDescent="0.2">
      <c r="A500" s="27" t="s">
        <v>285</v>
      </c>
      <c r="B500" s="27" t="s">
        <v>44</v>
      </c>
      <c r="C500" s="27" t="s">
        <v>65</v>
      </c>
      <c r="D500" s="51">
        <v>3360450841</v>
      </c>
      <c r="E500" s="51">
        <v>3596469228</v>
      </c>
      <c r="F500" s="45">
        <v>4940153</v>
      </c>
      <c r="G500" s="27" t="s">
        <v>284</v>
      </c>
      <c r="H500" s="51">
        <v>3596469228</v>
      </c>
      <c r="I500" s="51">
        <v>4081188314</v>
      </c>
      <c r="J500" s="45">
        <v>4945881</v>
      </c>
      <c r="K500" s="27" t="s">
        <v>281</v>
      </c>
      <c r="L500" s="45">
        <v>2419093816</v>
      </c>
      <c r="M500" s="27" t="str">
        <f t="shared" si="91"/>
        <v>2026-04|FFM 70%</v>
      </c>
      <c r="N500" s="52">
        <f t="shared" si="92"/>
        <v>1.0702341436215641</v>
      </c>
      <c r="O500" s="52">
        <f t="shared" si="93"/>
        <v>1.1347763751810418</v>
      </c>
      <c r="P500" s="30">
        <f t="shared" si="94"/>
        <v>5287120.4153145012</v>
      </c>
      <c r="Q500" s="30">
        <f t="shared" si="95"/>
        <v>5605968.9141797489</v>
      </c>
      <c r="R500" s="30">
        <f t="shared" si="96"/>
        <v>5612468.9132567858</v>
      </c>
      <c r="S500" s="53">
        <f t="shared" si="97"/>
        <v>3.8067198333996091</v>
      </c>
      <c r="T500" s="54">
        <v>3.8067199999999999</v>
      </c>
      <c r="U500" s="55">
        <f t="shared" si="98"/>
        <v>-1.6660039081628497E-7</v>
      </c>
      <c r="V500" s="53">
        <f t="shared" si="99"/>
        <v>3.8659027051629962</v>
      </c>
      <c r="W500" s="53">
        <f t="shared" si="100"/>
        <v>3.8659010442319688</v>
      </c>
      <c r="X500" s="54">
        <v>3.865901</v>
      </c>
      <c r="Y500" s="55">
        <f t="shared" si="101"/>
        <v>4.4231968754360196E-8</v>
      </c>
      <c r="Z500" s="29">
        <f t="shared" si="102"/>
        <v>-40.179479771392771</v>
      </c>
      <c r="AA500" s="23">
        <f t="shared" si="103"/>
        <v>1431689.1909593076</v>
      </c>
    </row>
    <row r="501" spans="1:27" x14ac:dyDescent="0.2">
      <c r="A501" s="27" t="s">
        <v>285</v>
      </c>
      <c r="B501" s="27" t="s">
        <v>44</v>
      </c>
      <c r="C501" s="27" t="s">
        <v>66</v>
      </c>
      <c r="D501" s="51">
        <v>1992262825</v>
      </c>
      <c r="E501" s="51">
        <v>2040265749</v>
      </c>
      <c r="F501" s="45">
        <v>1984462</v>
      </c>
      <c r="G501" s="27" t="s">
        <v>284</v>
      </c>
      <c r="H501" s="51">
        <v>2040265749</v>
      </c>
      <c r="I501" s="51">
        <v>2177978663</v>
      </c>
      <c r="J501" s="45">
        <v>1988503</v>
      </c>
      <c r="K501" s="27" t="s">
        <v>281</v>
      </c>
      <c r="L501" s="45">
        <v>2419093816</v>
      </c>
      <c r="M501" s="27" t="str">
        <f t="shared" si="91"/>
        <v>2026-04|FFM 70%</v>
      </c>
      <c r="N501" s="52">
        <f t="shared" si="92"/>
        <v>1.0240946743560304</v>
      </c>
      <c r="O501" s="52">
        <f t="shared" si="93"/>
        <v>1.0674975375474971</v>
      </c>
      <c r="P501" s="30">
        <f t="shared" si="94"/>
        <v>2032276.9656619169</v>
      </c>
      <c r="Q501" s="30">
        <f t="shared" si="95"/>
        <v>2118408.298356581</v>
      </c>
      <c r="R501" s="30">
        <f t="shared" si="96"/>
        <v>2122722.0559058106</v>
      </c>
      <c r="S501" s="53">
        <f t="shared" si="97"/>
        <v>1.4632367762492517</v>
      </c>
      <c r="T501" s="54">
        <v>1.4632369999999999</v>
      </c>
      <c r="U501" s="55">
        <f t="shared" si="98"/>
        <v>-2.2375074815172979E-7</v>
      </c>
      <c r="V501" s="53">
        <f t="shared" si="99"/>
        <v>1.4608643923339917</v>
      </c>
      <c r="W501" s="53">
        <f t="shared" si="100"/>
        <v>1.4621432277615267</v>
      </c>
      <c r="X501" s="54">
        <v>1.462143</v>
      </c>
      <c r="Y501" s="55">
        <f t="shared" si="101"/>
        <v>2.2776152674985894E-7</v>
      </c>
      <c r="Z501" s="29">
        <f t="shared" si="102"/>
        <v>30936.228744317341</v>
      </c>
      <c r="AA501" s="23">
        <f t="shared" si="103"/>
        <v>-57390.192585834979</v>
      </c>
    </row>
    <row r="502" spans="1:27" x14ac:dyDescent="0.2">
      <c r="A502" s="27" t="s">
        <v>285</v>
      </c>
      <c r="B502" s="27" t="s">
        <v>44</v>
      </c>
      <c r="C502" s="27" t="s">
        <v>67</v>
      </c>
      <c r="D502" s="51">
        <v>933018792</v>
      </c>
      <c r="E502" s="51">
        <v>1039445326</v>
      </c>
      <c r="F502" s="45">
        <v>1257616</v>
      </c>
      <c r="G502" s="27" t="s">
        <v>284</v>
      </c>
      <c r="H502" s="51">
        <v>1039445326</v>
      </c>
      <c r="I502" s="51">
        <v>1264832168</v>
      </c>
      <c r="J502" s="45">
        <v>1279298</v>
      </c>
      <c r="K502" s="27" t="s">
        <v>281</v>
      </c>
      <c r="L502" s="45">
        <v>2419093816</v>
      </c>
      <c r="M502" s="27" t="str">
        <f t="shared" si="91"/>
        <v>2026-04|FFM 70%</v>
      </c>
      <c r="N502" s="52">
        <f t="shared" si="92"/>
        <v>1.1140668707988894</v>
      </c>
      <c r="O502" s="52">
        <f t="shared" si="93"/>
        <v>1.2168337635105206</v>
      </c>
      <c r="P502" s="30">
        <f t="shared" si="94"/>
        <v>1401068.3217866162</v>
      </c>
      <c r="Q502" s="30">
        <f t="shared" si="95"/>
        <v>1530309.6103310469</v>
      </c>
      <c r="R502" s="30">
        <f t="shared" si="96"/>
        <v>1556692.9999914821</v>
      </c>
      <c r="S502" s="53">
        <f t="shared" si="97"/>
        <v>1.0087673723193913</v>
      </c>
      <c r="T502" s="54">
        <v>1.008767</v>
      </c>
      <c r="U502" s="55">
        <f t="shared" si="98"/>
        <v>3.7231939131743275E-7</v>
      </c>
      <c r="V502" s="53">
        <f t="shared" si="99"/>
        <v>1.0553087526674847</v>
      </c>
      <c r="W502" s="53">
        <f t="shared" si="100"/>
        <v>1.0722591407145181</v>
      </c>
      <c r="X502" s="54">
        <v>1.0722590000000001</v>
      </c>
      <c r="Y502" s="55">
        <f t="shared" si="101"/>
        <v>1.4071451803765456E-7</v>
      </c>
      <c r="Z502" s="29">
        <f t="shared" si="102"/>
        <v>410045.78903378855</v>
      </c>
      <c r="AA502" s="23">
        <f t="shared" si="103"/>
        <v>1125879.6538817671</v>
      </c>
    </row>
    <row r="503" spans="1:27" x14ac:dyDescent="0.2">
      <c r="A503" s="27" t="s">
        <v>285</v>
      </c>
      <c r="B503" s="27" t="s">
        <v>44</v>
      </c>
      <c r="C503" s="27" t="s">
        <v>68</v>
      </c>
      <c r="D503" s="51">
        <v>13238060362</v>
      </c>
      <c r="E503" s="51">
        <v>14903709928</v>
      </c>
      <c r="F503" s="45">
        <v>6310265</v>
      </c>
      <c r="G503" s="27" t="s">
        <v>284</v>
      </c>
      <c r="H503" s="51">
        <v>14903709928</v>
      </c>
      <c r="I503" s="51">
        <v>16472101478</v>
      </c>
      <c r="J503" s="45">
        <v>6234433</v>
      </c>
      <c r="K503" s="27" t="s">
        <v>281</v>
      </c>
      <c r="L503" s="45">
        <v>2419093816</v>
      </c>
      <c r="M503" s="27" t="str">
        <f t="shared" si="91"/>
        <v>2026-04|FFM 70%</v>
      </c>
      <c r="N503" s="52">
        <f t="shared" si="92"/>
        <v>1.1258227807134997</v>
      </c>
      <c r="O503" s="52">
        <f t="shared" si="93"/>
        <v>1.105234975558228</v>
      </c>
      <c r="P503" s="30">
        <f t="shared" si="94"/>
        <v>7104240.0893390728</v>
      </c>
      <c r="Q503" s="30">
        <f t="shared" si="95"/>
        <v>6974325.5830409415</v>
      </c>
      <c r="R503" s="30">
        <f t="shared" si="96"/>
        <v>6890513.4043744104</v>
      </c>
      <c r="S503" s="53">
        <f t="shared" si="97"/>
        <v>5.1150436390639635</v>
      </c>
      <c r="T503" s="54">
        <v>5.1150440000000001</v>
      </c>
      <c r="U503" s="55">
        <f t="shared" si="98"/>
        <v>-3.6093603661413454E-7</v>
      </c>
      <c r="V503" s="53">
        <f t="shared" si="99"/>
        <v>4.8095279426126618</v>
      </c>
      <c r="W503" s="53">
        <f t="shared" si="100"/>
        <v>4.7462254806161539</v>
      </c>
      <c r="X503" s="54">
        <v>4.7462249999999999</v>
      </c>
      <c r="Y503" s="55">
        <f t="shared" si="101"/>
        <v>4.8061615398609092E-7</v>
      </c>
      <c r="Z503" s="29">
        <f t="shared" si="102"/>
        <v>-1531345.9435332729</v>
      </c>
      <c r="AA503" s="23">
        <f t="shared" si="103"/>
        <v>-7390711.319762771</v>
      </c>
    </row>
    <row r="504" spans="1:27" x14ac:dyDescent="0.2">
      <c r="A504" s="27" t="s">
        <v>285</v>
      </c>
      <c r="B504" s="27" t="s">
        <v>44</v>
      </c>
      <c r="C504" s="27" t="s">
        <v>69</v>
      </c>
      <c r="D504" s="51">
        <v>785553577</v>
      </c>
      <c r="E504" s="51">
        <v>780859947</v>
      </c>
      <c r="F504" s="45">
        <v>4190375</v>
      </c>
      <c r="G504" s="27" t="s">
        <v>284</v>
      </c>
      <c r="H504" s="51">
        <v>780859947</v>
      </c>
      <c r="I504" s="51">
        <v>959523539</v>
      </c>
      <c r="J504" s="45">
        <v>4178688</v>
      </c>
      <c r="K504" s="27" t="s">
        <v>281</v>
      </c>
      <c r="L504" s="45">
        <v>2419093816</v>
      </c>
      <c r="M504" s="27" t="str">
        <f t="shared" si="91"/>
        <v>2026-04|FFM 70%</v>
      </c>
      <c r="N504" s="52">
        <f t="shared" si="92"/>
        <v>0.99402506698788795</v>
      </c>
      <c r="O504" s="52">
        <f t="shared" si="93"/>
        <v>1.2288036320551603</v>
      </c>
      <c r="P504" s="30">
        <f t="shared" si="94"/>
        <v>4165337.7900793711</v>
      </c>
      <c r="Q504" s="30">
        <f t="shared" si="95"/>
        <v>5149148.0196731426</v>
      </c>
      <c r="R504" s="30">
        <f t="shared" si="96"/>
        <v>5134786.9916253136</v>
      </c>
      <c r="S504" s="53">
        <f t="shared" si="97"/>
        <v>2.9990377999289124</v>
      </c>
      <c r="T504" s="54">
        <v>2.9990380000000001</v>
      </c>
      <c r="U504" s="55">
        <f t="shared" si="98"/>
        <v>-2.0007108769704018E-7</v>
      </c>
      <c r="V504" s="53">
        <f t="shared" si="99"/>
        <v>3.5508768534532082</v>
      </c>
      <c r="W504" s="53">
        <f t="shared" si="100"/>
        <v>3.5368709741884699</v>
      </c>
      <c r="X504" s="54">
        <v>3.5368710000000001</v>
      </c>
      <c r="Y504" s="55">
        <f t="shared" si="101"/>
        <v>-2.581153024650007E-8</v>
      </c>
      <c r="Z504" s="29">
        <f t="shared" si="102"/>
        <v>-338815.35916971281</v>
      </c>
      <c r="AA504" s="23">
        <f t="shared" si="103"/>
        <v>13349504.418079169</v>
      </c>
    </row>
    <row r="505" spans="1:27" x14ac:dyDescent="0.2">
      <c r="A505" s="27" t="s">
        <v>285</v>
      </c>
      <c r="B505" s="27" t="s">
        <v>44</v>
      </c>
      <c r="C505" s="27" t="s">
        <v>70</v>
      </c>
      <c r="D505" s="51">
        <v>3663252126</v>
      </c>
      <c r="E505" s="51">
        <v>3842817237</v>
      </c>
      <c r="F505" s="45">
        <v>6624540</v>
      </c>
      <c r="G505" s="27" t="s">
        <v>284</v>
      </c>
      <c r="H505" s="51">
        <v>3842817237</v>
      </c>
      <c r="I505" s="51">
        <v>4275370590</v>
      </c>
      <c r="J505" s="45">
        <v>6638706</v>
      </c>
      <c r="K505" s="27" t="s">
        <v>281</v>
      </c>
      <c r="L505" s="45">
        <v>2419093816</v>
      </c>
      <c r="M505" s="27" t="str">
        <f t="shared" si="91"/>
        <v>2026-04|FFM 70%</v>
      </c>
      <c r="N505" s="52">
        <f t="shared" si="92"/>
        <v>1.0490179503959156</v>
      </c>
      <c r="O505" s="52">
        <f t="shared" si="93"/>
        <v>1.1125615209683208</v>
      </c>
      <c r="P505" s="30">
        <f t="shared" si="94"/>
        <v>6949261.3731157584</v>
      </c>
      <c r="Q505" s="30">
        <f t="shared" si="95"/>
        <v>7370208.2981154798</v>
      </c>
      <c r="R505" s="30">
        <f t="shared" si="96"/>
        <v>7385968.8446215177</v>
      </c>
      <c r="S505" s="53">
        <f t="shared" si="97"/>
        <v>5.0034591646318631</v>
      </c>
      <c r="T505" s="54">
        <v>5.0034590000000003</v>
      </c>
      <c r="U505" s="55">
        <f t="shared" si="98"/>
        <v>1.6463186280901709E-7</v>
      </c>
      <c r="V505" s="53">
        <f t="shared" si="99"/>
        <v>5.0825305372690144</v>
      </c>
      <c r="W505" s="53">
        <f t="shared" si="100"/>
        <v>5.0874980530659588</v>
      </c>
      <c r="X505" s="54">
        <v>5.0874980000000001</v>
      </c>
      <c r="Y505" s="55">
        <f t="shared" si="101"/>
        <v>5.3065958738329755E-8</v>
      </c>
      <c r="Z505" s="29">
        <f t="shared" si="102"/>
        <v>120168.86745270589</v>
      </c>
      <c r="AA505" s="23">
        <f t="shared" si="103"/>
        <v>1912810.6856916419</v>
      </c>
    </row>
    <row r="506" spans="1:27" x14ac:dyDescent="0.2">
      <c r="A506" s="27" t="s">
        <v>285</v>
      </c>
      <c r="B506" s="27" t="s">
        <v>44</v>
      </c>
      <c r="C506" s="27" t="s">
        <v>71</v>
      </c>
      <c r="D506" s="51">
        <v>6089114278</v>
      </c>
      <c r="E506" s="51">
        <v>6342492623</v>
      </c>
      <c r="F506" s="45">
        <v>2498744</v>
      </c>
      <c r="G506" s="27" t="s">
        <v>284</v>
      </c>
      <c r="H506" s="51">
        <v>6342492623</v>
      </c>
      <c r="I506" s="51">
        <v>6951984946</v>
      </c>
      <c r="J506" s="45">
        <v>2535155</v>
      </c>
      <c r="K506" s="27" t="s">
        <v>281</v>
      </c>
      <c r="L506" s="45">
        <v>2419093816</v>
      </c>
      <c r="M506" s="27" t="str">
        <f t="shared" si="91"/>
        <v>2026-04|FFM 70%</v>
      </c>
      <c r="N506" s="52">
        <f t="shared" si="92"/>
        <v>1.0416116915255569</v>
      </c>
      <c r="O506" s="52">
        <f t="shared" si="93"/>
        <v>1.0960966546164794</v>
      </c>
      <c r="P506" s="30">
        <f t="shared" si="94"/>
        <v>2602720.964529336</v>
      </c>
      <c r="Q506" s="30">
        <f t="shared" si="95"/>
        <v>2738864.9391430002</v>
      </c>
      <c r="R506" s="30">
        <f t="shared" si="96"/>
        <v>2778774.9144342411</v>
      </c>
      <c r="S506" s="53">
        <f t="shared" si="97"/>
        <v>1.8739557146797881</v>
      </c>
      <c r="T506" s="54">
        <v>1.873956</v>
      </c>
      <c r="U506" s="55">
        <f t="shared" si="98"/>
        <v>-2.8532021190130763E-7</v>
      </c>
      <c r="V506" s="53">
        <f t="shared" si="99"/>
        <v>1.8887342294259306</v>
      </c>
      <c r="W506" s="53">
        <f t="shared" si="100"/>
        <v>1.9140362306547416</v>
      </c>
      <c r="X506" s="54">
        <v>1.9140360000000001</v>
      </c>
      <c r="Y506" s="55">
        <f t="shared" si="101"/>
        <v>2.3065474152872412E-7</v>
      </c>
      <c r="Z506" s="29">
        <f t="shared" si="102"/>
        <v>612079.14705041063</v>
      </c>
      <c r="AA506" s="23">
        <f t="shared" si="103"/>
        <v>357506.13632058271</v>
      </c>
    </row>
    <row r="507" spans="1:27" x14ac:dyDescent="0.2">
      <c r="A507" s="27" t="s">
        <v>285</v>
      </c>
      <c r="B507" s="27" t="s">
        <v>44</v>
      </c>
      <c r="C507" s="27" t="s">
        <v>72</v>
      </c>
      <c r="D507" s="51">
        <v>5916680527</v>
      </c>
      <c r="E507" s="51">
        <v>6088161317</v>
      </c>
      <c r="F507" s="45">
        <v>1920249</v>
      </c>
      <c r="G507" s="27" t="s">
        <v>284</v>
      </c>
      <c r="H507" s="51">
        <v>6088161317</v>
      </c>
      <c r="I507" s="51">
        <v>6371125057</v>
      </c>
      <c r="J507" s="45">
        <v>1975372</v>
      </c>
      <c r="K507" s="27" t="s">
        <v>281</v>
      </c>
      <c r="L507" s="45">
        <v>2419093816</v>
      </c>
      <c r="M507" s="27" t="str">
        <f t="shared" si="91"/>
        <v>2026-04|FFM 70%</v>
      </c>
      <c r="N507" s="52">
        <f t="shared" si="92"/>
        <v>1.0289826008379985</v>
      </c>
      <c r="O507" s="52">
        <f t="shared" si="93"/>
        <v>1.0464777007813311</v>
      </c>
      <c r="P507" s="30">
        <f t="shared" si="94"/>
        <v>1975902.8102765658</v>
      </c>
      <c r="Q507" s="30">
        <f t="shared" si="95"/>
        <v>2009497.7584476501</v>
      </c>
      <c r="R507" s="30">
        <f t="shared" si="96"/>
        <v>2067182.7487478196</v>
      </c>
      <c r="S507" s="53">
        <f t="shared" si="97"/>
        <v>1.4226474575768489</v>
      </c>
      <c r="T507" s="54">
        <v>1.422647</v>
      </c>
      <c r="U507" s="55">
        <f t="shared" si="98"/>
        <v>4.5757684885572303E-7</v>
      </c>
      <c r="V507" s="53">
        <f t="shared" si="99"/>
        <v>1.3857591683664228</v>
      </c>
      <c r="W507" s="53">
        <f t="shared" si="100"/>
        <v>1.4238874318085464</v>
      </c>
      <c r="X507" s="54">
        <v>1.4238869999999999</v>
      </c>
      <c r="Y507" s="55">
        <f t="shared" si="101"/>
        <v>4.3180854647495437E-7</v>
      </c>
      <c r="Z507" s="29">
        <f t="shared" si="102"/>
        <v>922358.46307660104</v>
      </c>
      <c r="AA507" s="23">
        <f t="shared" si="103"/>
        <v>-892362.32311761263</v>
      </c>
    </row>
    <row r="508" spans="1:27" x14ac:dyDescent="0.2">
      <c r="A508" s="27" t="s">
        <v>285</v>
      </c>
      <c r="B508" s="27" t="s">
        <v>44</v>
      </c>
      <c r="C508" s="27" t="s">
        <v>73</v>
      </c>
      <c r="D508" s="51">
        <v>2449054350</v>
      </c>
      <c r="E508" s="51">
        <v>2527538116</v>
      </c>
      <c r="F508" s="45">
        <v>2924773</v>
      </c>
      <c r="G508" s="27" t="s">
        <v>284</v>
      </c>
      <c r="H508" s="51">
        <v>2527538116</v>
      </c>
      <c r="I508" s="51">
        <v>2740573920</v>
      </c>
      <c r="J508" s="45">
        <v>2951151</v>
      </c>
      <c r="K508" s="27" t="s">
        <v>281</v>
      </c>
      <c r="L508" s="45">
        <v>2419093816</v>
      </c>
      <c r="M508" s="27" t="str">
        <f t="shared" si="91"/>
        <v>2026-04|FFM 70%</v>
      </c>
      <c r="N508" s="52">
        <f t="shared" si="92"/>
        <v>1.0320465595220458</v>
      </c>
      <c r="O508" s="52">
        <f t="shared" si="93"/>
        <v>1.0842858917345009</v>
      </c>
      <c r="P508" s="30">
        <f t="shared" si="94"/>
        <v>3018501.9120329726</v>
      </c>
      <c r="Q508" s="30">
        <f t="shared" si="95"/>
        <v>3171290.1004259912</v>
      </c>
      <c r="R508" s="30">
        <f t="shared" si="96"/>
        <v>3199891.3936781641</v>
      </c>
      <c r="S508" s="53">
        <f t="shared" si="97"/>
        <v>2.1733174569671778</v>
      </c>
      <c r="T508" s="54">
        <v>2.1733169999999999</v>
      </c>
      <c r="U508" s="55">
        <f t="shared" si="98"/>
        <v>4.569671778753559E-7</v>
      </c>
      <c r="V508" s="53">
        <f t="shared" si="99"/>
        <v>2.1869366680010041</v>
      </c>
      <c r="W508" s="53">
        <f t="shared" si="100"/>
        <v>2.2041036968650238</v>
      </c>
      <c r="X508" s="54">
        <v>2.2041040000000001</v>
      </c>
      <c r="Y508" s="55">
        <f t="shared" si="101"/>
        <v>-3.0313497623168928E-7</v>
      </c>
      <c r="Z508" s="29">
        <f t="shared" si="102"/>
        <v>415286.53364043735</v>
      </c>
      <c r="AA508" s="23">
        <f t="shared" si="103"/>
        <v>329461.49190728023</v>
      </c>
    </row>
    <row r="509" spans="1:27" x14ac:dyDescent="0.2">
      <c r="A509" s="27" t="s">
        <v>285</v>
      </c>
      <c r="B509" s="27" t="s">
        <v>44</v>
      </c>
      <c r="C509" s="27" t="s">
        <v>74</v>
      </c>
      <c r="D509" s="51">
        <v>5127365283</v>
      </c>
      <c r="E509" s="51">
        <v>5096208896</v>
      </c>
      <c r="F509" s="45">
        <v>3135869</v>
      </c>
      <c r="G509" s="27" t="s">
        <v>284</v>
      </c>
      <c r="H509" s="51">
        <v>5096208896</v>
      </c>
      <c r="I509" s="51">
        <v>5225519381</v>
      </c>
      <c r="J509" s="45">
        <v>3085699</v>
      </c>
      <c r="K509" s="27" t="s">
        <v>281</v>
      </c>
      <c r="L509" s="45">
        <v>2419093816</v>
      </c>
      <c r="M509" s="27" t="str">
        <f t="shared" si="91"/>
        <v>2026-04|FFM 70%</v>
      </c>
      <c r="N509" s="52">
        <f t="shared" si="92"/>
        <v>0.99392350938925678</v>
      </c>
      <c r="O509" s="52">
        <f t="shared" si="93"/>
        <v>1.0253738588113011</v>
      </c>
      <c r="P509" s="30">
        <f t="shared" si="94"/>
        <v>3116813.9214649792</v>
      </c>
      <c r="Q509" s="30">
        <f t="shared" si="95"/>
        <v>3215438.0972567359</v>
      </c>
      <c r="R509" s="30">
        <f t="shared" si="96"/>
        <v>3163995.0907601728</v>
      </c>
      <c r="S509" s="53">
        <f t="shared" si="97"/>
        <v>2.2441019760944818</v>
      </c>
      <c r="T509" s="54">
        <v>2.2441019999999998</v>
      </c>
      <c r="U509" s="55">
        <f t="shared" si="98"/>
        <v>-2.3905518009570415E-8</v>
      </c>
      <c r="V509" s="53">
        <f t="shared" si="99"/>
        <v>2.2173813356379952</v>
      </c>
      <c r="W509" s="53">
        <f t="shared" si="100"/>
        <v>2.1793781158276042</v>
      </c>
      <c r="X509" s="54">
        <v>2.1793779999999998</v>
      </c>
      <c r="Y509" s="55">
        <f t="shared" si="101"/>
        <v>1.1582760439665662E-7</v>
      </c>
      <c r="Z509" s="29">
        <f t="shared" si="102"/>
        <v>-919333.54031405586</v>
      </c>
      <c r="AA509" s="23">
        <f t="shared" si="103"/>
        <v>-646397.36087846127</v>
      </c>
    </row>
    <row r="510" spans="1:27" x14ac:dyDescent="0.2">
      <c r="A510" s="27" t="s">
        <v>285</v>
      </c>
      <c r="B510" s="27" t="s">
        <v>44</v>
      </c>
      <c r="C510" s="27" t="s">
        <v>75</v>
      </c>
      <c r="D510" s="51">
        <v>4498545546</v>
      </c>
      <c r="E510" s="51">
        <v>5072399122</v>
      </c>
      <c r="F510" s="45">
        <v>3032476</v>
      </c>
      <c r="G510" s="27" t="s">
        <v>284</v>
      </c>
      <c r="H510" s="51">
        <v>5072399122</v>
      </c>
      <c r="I510" s="51">
        <v>5527852624</v>
      </c>
      <c r="J510" s="45">
        <v>3035624</v>
      </c>
      <c r="K510" s="27" t="s">
        <v>281</v>
      </c>
      <c r="L510" s="45">
        <v>2419093816</v>
      </c>
      <c r="M510" s="27" t="str">
        <f t="shared" si="91"/>
        <v>2026-04|FFM 70%</v>
      </c>
      <c r="N510" s="52">
        <f t="shared" si="92"/>
        <v>1.1275642471843499</v>
      </c>
      <c r="O510" s="52">
        <f t="shared" si="93"/>
        <v>1.0897905490174478</v>
      </c>
      <c r="P510" s="30">
        <f t="shared" si="94"/>
        <v>3419311.5180446086</v>
      </c>
      <c r="Q510" s="30">
        <f t="shared" si="95"/>
        <v>3304763.6849222337</v>
      </c>
      <c r="R510" s="30">
        <f t="shared" si="96"/>
        <v>3308194.345570541</v>
      </c>
      <c r="S510" s="53">
        <f t="shared" si="97"/>
        <v>2.4618998528214657</v>
      </c>
      <c r="T510" s="54">
        <v>2.4619</v>
      </c>
      <c r="U510" s="55">
        <f t="shared" si="98"/>
        <v>-1.4717853424883742E-7</v>
      </c>
      <c r="V510" s="53">
        <f t="shared" si="99"/>
        <v>2.278980683811842</v>
      </c>
      <c r="W510" s="53">
        <f t="shared" si="100"/>
        <v>2.2787033964420127</v>
      </c>
      <c r="X510" s="54">
        <v>2.2787030000000001</v>
      </c>
      <c r="Y510" s="55">
        <f t="shared" si="101"/>
        <v>3.9644201255129019E-7</v>
      </c>
      <c r="Z510" s="29">
        <f t="shared" si="102"/>
        <v>-6707.8416160908255</v>
      </c>
      <c r="AA510" s="23">
        <f t="shared" si="103"/>
        <v>-4424986.3057903955</v>
      </c>
    </row>
    <row r="511" spans="1:27" x14ac:dyDescent="0.2">
      <c r="A511" s="27" t="s">
        <v>285</v>
      </c>
      <c r="B511" s="27" t="s">
        <v>44</v>
      </c>
      <c r="C511" s="27" t="s">
        <v>76</v>
      </c>
      <c r="D511" s="51">
        <v>584669981</v>
      </c>
      <c r="E511" s="51">
        <v>567303935</v>
      </c>
      <c r="F511" s="45">
        <v>2567516</v>
      </c>
      <c r="G511" s="27" t="s">
        <v>284</v>
      </c>
      <c r="H511" s="51">
        <v>567303935</v>
      </c>
      <c r="I511" s="51">
        <v>665596908</v>
      </c>
      <c r="J511" s="45">
        <v>2578825</v>
      </c>
      <c r="K511" s="27" t="s">
        <v>281</v>
      </c>
      <c r="L511" s="45">
        <v>2419093816</v>
      </c>
      <c r="M511" s="27" t="str">
        <f t="shared" si="91"/>
        <v>2026-04|FFM 70%</v>
      </c>
      <c r="N511" s="52">
        <f t="shared" si="92"/>
        <v>0.97029769517104725</v>
      </c>
      <c r="O511" s="52">
        <f t="shared" si="93"/>
        <v>1.1732633372268078</v>
      </c>
      <c r="P511" s="30">
        <f t="shared" si="94"/>
        <v>2491254.8571147867</v>
      </c>
      <c r="Q511" s="30">
        <f t="shared" si="95"/>
        <v>3012372.3905432248</v>
      </c>
      <c r="R511" s="30">
        <f t="shared" si="96"/>
        <v>3025640.8256239225</v>
      </c>
      <c r="S511" s="53">
        <f t="shared" si="97"/>
        <v>1.7937002620863982</v>
      </c>
      <c r="T511" s="54">
        <v>1.7937000000000001</v>
      </c>
      <c r="U511" s="55">
        <f t="shared" si="98"/>
        <v>2.6208639813951606E-7</v>
      </c>
      <c r="V511" s="53">
        <f t="shared" si="99"/>
        <v>2.0773462628562078</v>
      </c>
      <c r="W511" s="53">
        <f t="shared" si="100"/>
        <v>2.0840788979021712</v>
      </c>
      <c r="X511" s="54">
        <v>2.084079</v>
      </c>
      <c r="Y511" s="55">
        <f t="shared" si="101"/>
        <v>-1.0209782885794993E-7</v>
      </c>
      <c r="Z511" s="29">
        <f t="shared" si="102"/>
        <v>162868.75805074768</v>
      </c>
      <c r="AA511" s="23">
        <f t="shared" si="103"/>
        <v>6861662.8639537776</v>
      </c>
    </row>
    <row r="512" spans="1:27" x14ac:dyDescent="0.2">
      <c r="A512" s="27" t="s">
        <v>285</v>
      </c>
      <c r="B512" s="27" t="s">
        <v>44</v>
      </c>
      <c r="C512" s="27" t="s">
        <v>77</v>
      </c>
      <c r="D512" s="51">
        <v>4561458079</v>
      </c>
      <c r="E512" s="51">
        <v>5005541870</v>
      </c>
      <c r="F512" s="45">
        <v>3597414</v>
      </c>
      <c r="G512" s="27" t="s">
        <v>284</v>
      </c>
      <c r="H512" s="51">
        <v>5005541870</v>
      </c>
      <c r="I512" s="51">
        <v>5440571346</v>
      </c>
      <c r="J512" s="45">
        <v>3602540</v>
      </c>
      <c r="K512" s="27" t="s">
        <v>281</v>
      </c>
      <c r="L512" s="45">
        <v>2419093816</v>
      </c>
      <c r="M512" s="27" t="str">
        <f t="shared" si="91"/>
        <v>2026-04|FFM 70%</v>
      </c>
      <c r="N512" s="52">
        <f t="shared" si="92"/>
        <v>1.0973556663919524</v>
      </c>
      <c r="O512" s="52">
        <f t="shared" si="93"/>
        <v>1.0869095668957016</v>
      </c>
      <c r="P512" s="30">
        <f t="shared" si="94"/>
        <v>3947642.637257739</v>
      </c>
      <c r="Q512" s="30">
        <f t="shared" si="95"/>
        <v>3910063.6926845335</v>
      </c>
      <c r="R512" s="30">
        <f t="shared" si="96"/>
        <v>3915635.1911244411</v>
      </c>
      <c r="S512" s="53">
        <f t="shared" si="97"/>
        <v>2.8422975725868858</v>
      </c>
      <c r="T512" s="54">
        <v>2.842298</v>
      </c>
      <c r="U512" s="55">
        <f t="shared" si="98"/>
        <v>-4.2741311423455386E-7</v>
      </c>
      <c r="V512" s="53">
        <f t="shared" si="99"/>
        <v>2.6963984350099586</v>
      </c>
      <c r="W512" s="53">
        <f t="shared" si="100"/>
        <v>2.6971121636762003</v>
      </c>
      <c r="X512" s="54">
        <v>2.6971120000000002</v>
      </c>
      <c r="Y512" s="55">
        <f t="shared" si="101"/>
        <v>1.6367620014889894E-7</v>
      </c>
      <c r="Z512" s="29">
        <f t="shared" si="102"/>
        <v>17265.766028073525</v>
      </c>
      <c r="AA512" s="23">
        <f t="shared" si="103"/>
        <v>-3529437.0147207775</v>
      </c>
    </row>
    <row r="513" spans="1:27" x14ac:dyDescent="0.2">
      <c r="A513" s="27" t="s">
        <v>285</v>
      </c>
      <c r="B513" s="27" t="s">
        <v>44</v>
      </c>
      <c r="C513" s="27" t="s">
        <v>78</v>
      </c>
      <c r="D513" s="51">
        <v>451672513</v>
      </c>
      <c r="E513" s="51">
        <v>461261777</v>
      </c>
      <c r="F513" s="45">
        <v>1449354</v>
      </c>
      <c r="G513" s="27" t="s">
        <v>284</v>
      </c>
      <c r="H513" s="51">
        <v>461261777</v>
      </c>
      <c r="I513" s="51">
        <v>558824590</v>
      </c>
      <c r="J513" s="45">
        <v>1426175</v>
      </c>
      <c r="K513" s="27" t="s">
        <v>281</v>
      </c>
      <c r="L513" s="45">
        <v>2419093816</v>
      </c>
      <c r="M513" s="27" t="str">
        <f t="shared" si="91"/>
        <v>2026-04|FFM 70%</v>
      </c>
      <c r="N513" s="52">
        <f t="shared" si="92"/>
        <v>1.0212305679978362</v>
      </c>
      <c r="O513" s="52">
        <f t="shared" si="93"/>
        <v>1.2115128932523711</v>
      </c>
      <c r="P513" s="30">
        <f t="shared" si="94"/>
        <v>1480124.6086499358</v>
      </c>
      <c r="Q513" s="30">
        <f t="shared" si="95"/>
        <v>1755911.0578868971</v>
      </c>
      <c r="R513" s="30">
        <f t="shared" si="96"/>
        <v>1727829.4005342002</v>
      </c>
      <c r="S513" s="53">
        <f t="shared" si="97"/>
        <v>1.0656877962018925</v>
      </c>
      <c r="T513" s="54">
        <v>1.065688</v>
      </c>
      <c r="U513" s="55">
        <f t="shared" si="98"/>
        <v>-2.0379810750092986E-7</v>
      </c>
      <c r="V513" s="53">
        <f t="shared" si="99"/>
        <v>1.210884579031563</v>
      </c>
      <c r="W513" s="53">
        <f t="shared" si="100"/>
        <v>1.1901388830862734</v>
      </c>
      <c r="X513" s="54">
        <v>1.1901390000000001</v>
      </c>
      <c r="Y513" s="55">
        <f t="shared" si="101"/>
        <v>-1.1691372669986322E-7</v>
      </c>
      <c r="Z513" s="29">
        <f t="shared" si="102"/>
        <v>-501857.84769866423</v>
      </c>
      <c r="AA513" s="23">
        <f t="shared" si="103"/>
        <v>3512446.3944635098</v>
      </c>
    </row>
    <row r="514" spans="1:27" x14ac:dyDescent="0.2">
      <c r="A514" s="27" t="s">
        <v>285</v>
      </c>
      <c r="B514" s="27" t="s">
        <v>44</v>
      </c>
      <c r="C514" s="27" t="s">
        <v>79</v>
      </c>
      <c r="D514" s="51">
        <v>4628462870</v>
      </c>
      <c r="E514" s="51">
        <v>4968141044</v>
      </c>
      <c r="F514" s="45">
        <v>8068202</v>
      </c>
      <c r="G514" s="27" t="s">
        <v>284</v>
      </c>
      <c r="H514" s="51">
        <v>4968141044</v>
      </c>
      <c r="I514" s="51">
        <v>5256423850</v>
      </c>
      <c r="J514" s="45">
        <v>8066173</v>
      </c>
      <c r="K514" s="27" t="s">
        <v>281</v>
      </c>
      <c r="L514" s="45">
        <v>2419093816</v>
      </c>
      <c r="M514" s="27" t="str">
        <f t="shared" si="91"/>
        <v>2026-04|FFM 70%</v>
      </c>
      <c r="N514" s="52">
        <f t="shared" si="92"/>
        <v>1.0733889810808832</v>
      </c>
      <c r="O514" s="52">
        <f t="shared" si="93"/>
        <v>1.0580262926206891</v>
      </c>
      <c r="P514" s="30">
        <f t="shared" si="94"/>
        <v>8660319.1239347439</v>
      </c>
      <c r="Q514" s="30">
        <f t="shared" si="95"/>
        <v>8536369.8501748294</v>
      </c>
      <c r="R514" s="30">
        <f t="shared" si="96"/>
        <v>8534223.1148271021</v>
      </c>
      <c r="S514" s="53">
        <f t="shared" si="97"/>
        <v>6.2354185233156398</v>
      </c>
      <c r="T514" s="54">
        <v>6.2354190000000003</v>
      </c>
      <c r="U514" s="55">
        <f t="shared" si="98"/>
        <v>-4.7668436042869189E-7</v>
      </c>
      <c r="V514" s="53">
        <f t="shared" si="99"/>
        <v>5.8867210648618631</v>
      </c>
      <c r="W514" s="53">
        <f t="shared" si="100"/>
        <v>5.8784222347120201</v>
      </c>
      <c r="X514" s="54">
        <v>5.8784219999999996</v>
      </c>
      <c r="Y514" s="55">
        <f t="shared" si="101"/>
        <v>2.3471202048597206E-7</v>
      </c>
      <c r="Z514" s="29">
        <f t="shared" si="102"/>
        <v>-200756.48695519569</v>
      </c>
      <c r="AA514" s="23">
        <f t="shared" si="103"/>
        <v>-8435318.6540044826</v>
      </c>
    </row>
    <row r="515" spans="1:27" x14ac:dyDescent="0.2">
      <c r="A515" s="27" t="s">
        <v>285</v>
      </c>
      <c r="B515" s="27" t="s">
        <v>44</v>
      </c>
      <c r="C515" s="27" t="s">
        <v>80</v>
      </c>
      <c r="D515" s="51">
        <v>1925506884</v>
      </c>
      <c r="E515" s="51">
        <v>1981620237</v>
      </c>
      <c r="F515" s="45">
        <v>2432221</v>
      </c>
      <c r="G515" s="27" t="s">
        <v>284</v>
      </c>
      <c r="H515" s="51">
        <v>1981620237</v>
      </c>
      <c r="I515" s="51">
        <v>2285077031</v>
      </c>
      <c r="J515" s="45">
        <v>2456821</v>
      </c>
      <c r="K515" s="27" t="s">
        <v>281</v>
      </c>
      <c r="L515" s="45">
        <v>2419093816</v>
      </c>
      <c r="M515" s="27" t="str">
        <f t="shared" si="91"/>
        <v>2026-04|FFM 70%</v>
      </c>
      <c r="N515" s="52">
        <f t="shared" si="92"/>
        <v>1.0291421201691222</v>
      </c>
      <c r="O515" s="52">
        <f t="shared" si="93"/>
        <v>1.1531356958987293</v>
      </c>
      <c r="P515" s="30">
        <f t="shared" si="94"/>
        <v>2503101.0766598624</v>
      </c>
      <c r="Q515" s="30">
        <f t="shared" si="95"/>
        <v>2804680.8554145033</v>
      </c>
      <c r="R515" s="30">
        <f t="shared" si="96"/>
        <v>2833047.9935336122</v>
      </c>
      <c r="S515" s="53">
        <f t="shared" si="97"/>
        <v>1.8022295247758624</v>
      </c>
      <c r="T515" s="54">
        <v>1.80223</v>
      </c>
      <c r="U515" s="55">
        <f t="shared" si="98"/>
        <v>-4.7522413759715221E-7</v>
      </c>
      <c r="V515" s="53">
        <f t="shared" si="99"/>
        <v>1.9341211968979068</v>
      </c>
      <c r="W515" s="53">
        <f t="shared" si="100"/>
        <v>1.9514198413983763</v>
      </c>
      <c r="X515" s="54">
        <v>1.9514199999999999</v>
      </c>
      <c r="Y515" s="55">
        <f t="shared" si="101"/>
        <v>-1.5860162361214236E-7</v>
      </c>
      <c r="Z515" s="29">
        <f t="shared" si="102"/>
        <v>418470.43936268112</v>
      </c>
      <c r="AA515" s="23">
        <f t="shared" si="103"/>
        <v>3190583.2841233732</v>
      </c>
    </row>
    <row r="516" spans="1:27" x14ac:dyDescent="0.2">
      <c r="A516" s="27" t="s">
        <v>285</v>
      </c>
      <c r="B516" s="27" t="s">
        <v>44</v>
      </c>
      <c r="C516" s="27" t="s">
        <v>81</v>
      </c>
      <c r="D516" s="51">
        <v>1412961700</v>
      </c>
      <c r="E516" s="51">
        <v>1504822070</v>
      </c>
      <c r="F516" s="45">
        <v>1703991</v>
      </c>
      <c r="G516" s="27" t="s">
        <v>284</v>
      </c>
      <c r="H516" s="51">
        <v>1504822070</v>
      </c>
      <c r="I516" s="51">
        <v>1621236790</v>
      </c>
      <c r="J516" s="45">
        <v>1689186</v>
      </c>
      <c r="K516" s="27" t="s">
        <v>281</v>
      </c>
      <c r="L516" s="45">
        <v>2419093816</v>
      </c>
      <c r="M516" s="27" t="str">
        <f t="shared" si="91"/>
        <v>2026-04|FFM 70%</v>
      </c>
      <c r="N516" s="52">
        <f t="shared" si="92"/>
        <v>1.065012639762281</v>
      </c>
      <c r="O516" s="52">
        <f t="shared" si="93"/>
        <v>1.0773611195109598</v>
      </c>
      <c r="P516" s="30">
        <f t="shared" si="94"/>
        <v>1814771.9530411689</v>
      </c>
      <c r="Q516" s="30">
        <f t="shared" si="95"/>
        <v>1835813.6513965998</v>
      </c>
      <c r="R516" s="30">
        <f t="shared" si="96"/>
        <v>1819863.32002224</v>
      </c>
      <c r="S516" s="53">
        <f t="shared" si="97"/>
        <v>1.3066334496049536</v>
      </c>
      <c r="T516" s="54">
        <v>1.3066329999999999</v>
      </c>
      <c r="U516" s="55">
        <f t="shared" si="98"/>
        <v>4.4960495371171305E-7</v>
      </c>
      <c r="V516" s="53">
        <f t="shared" si="99"/>
        <v>1.265985785821593</v>
      </c>
      <c r="W516" s="53">
        <f t="shared" si="100"/>
        <v>1.2535323790597086</v>
      </c>
      <c r="X516" s="54">
        <v>1.2535320000000001</v>
      </c>
      <c r="Y516" s="55">
        <f t="shared" si="101"/>
        <v>3.7905970851070947E-7</v>
      </c>
      <c r="Z516" s="29">
        <f t="shared" si="102"/>
        <v>-301259.59285807249</v>
      </c>
      <c r="AA516" s="23">
        <f t="shared" si="103"/>
        <v>-983305.12093174784</v>
      </c>
    </row>
  </sheetData>
  <autoFilter ref="A4:AA516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Escenario ENOE 4T-2025</vt:lpstr>
      <vt:lpstr>Escenario ENOE 1T-2026</vt:lpstr>
      <vt:lpstr>Rango entre trimestres</vt:lpstr>
      <vt:lpstr>Evidencia ajuste 2026</vt:lpstr>
      <vt:lpstr>Fondos 2027</vt:lpstr>
      <vt:lpstr>Base 2027</vt:lpstr>
      <vt:lpstr>Población</vt:lpstr>
      <vt:lpstr>Cálculo FGP-FFM-FOFIR</vt:lpstr>
      <vt:lpstr>Cálculo FoCo</vt:lpstr>
      <vt:lpstr>Fuentes y notas</vt:lpstr>
      <vt:lpstr>Cálculo ajuste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ALFONSO MONTOYA AVILA</cp:lastModifiedBy>
  <cp:revision>1</cp:revision>
  <dcterms:created xsi:type="dcterms:W3CDTF">2026-10-02T18:48:46Z</dcterms:created>
  <dcterms:modified xsi:type="dcterms:W3CDTF">2026-10-02T19:04:03Z</dcterms:modified>
  <dc:language>en-US</dc:language>
</cp:coreProperties>
</file>