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dor" sheetId="1" state="visible" r:id="rId3"/>
    <sheet name="Supuestos" sheetId="2" state="visible" r:id="rId4"/>
    <sheet name="Resumen estatal" sheetId="3" state="visible" r:id="rId5"/>
  </sheets>
  <definedNames>
    <definedName function="false" hidden="true" localSheetId="0" name="_xlnm._FilterDatabase" vbProcedure="false">Indicador!$A$12:$Q$1704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Capítulo 'Impuestos' de los ingresos municipales en la EFIPEM. 2024 = cifras definitivas.</t>
        </r>
      </text>
    </comment>
    <comment ref="G12" authorId="0">
      <text>
        <r>
          <rPr>
            <sz val="10"/>
            <rFont val="Arial"/>
            <family val="2"/>
          </rPr>
          <t xml:space="preserve">Capítulo 'Impuestos' de los ingresos municipales en la EFIPEM. 2025 = cifras preliminares.</t>
        </r>
      </text>
    </comment>
    <comment ref="H12" authorId="0">
      <text>
        <r>
          <rPr>
            <sz val="10"/>
            <rFont val="Arial"/>
            <family val="2"/>
          </rPr>
          <t xml:space="preserve">Ocupantes en viviendas particulares habitadas (ITER 2020). Vacío en municipios creados después de 2020.</t>
        </r>
      </text>
    </comment>
    <comment ref="I12" authorId="0">
      <text>
        <r>
          <rPr>
            <sz val="10"/>
            <rFont val="Arial"/>
            <family val="2"/>
          </rPr>
          <t xml:space="preserve">Población en viviendas particulares habitadas, total municipal, Encuesta Intercensal 2025.</t>
        </r>
      </text>
    </comment>
    <comment ref="J26" authorId="0">
      <text>
        <r>
          <rPr>
            <sz val="10"/>
            <rFont val="Arial"/>
            <family val="2"/>
          </rPr>
          <t xml:space="preserve">San Felipe (02007) se separó de Mexicali después de 2020. Factor = (población EIC 2025 del/los municipio(s) de origen + la del nuevo) ÷ población Censo 2020 de origen.</t>
        </r>
      </text>
    </comment>
    <comment ref="J31" authorId="0">
      <text>
        <r>
          <rPr>
            <sz val="10"/>
            <rFont val="Arial"/>
            <family val="2"/>
          </rPr>
          <t xml:space="preserve">Municipio creado después de 2020: no tiene dato en el Censo 2020. Usa el factor de su municipio de origen, Mexicali (fila 26).</t>
        </r>
      </text>
    </comment>
    <comment ref="J37" authorId="0">
      <text>
        <r>
          <rPr>
            <sz val="10"/>
            <rFont val="Arial"/>
            <family val="2"/>
          </rPr>
          <t xml:space="preserve">Dzitbalché (04013) se separó de Calkiní después de 2020. Factor = (población EIC 2025 del/los municipio(s) de origen + la del nuevo) ÷ población Censo 2020 de origen.</t>
        </r>
      </text>
    </comment>
    <comment ref="J49" authorId="0">
      <text>
        <r>
          <rPr>
            <sz val="10"/>
            <rFont val="Arial"/>
            <family val="2"/>
          </rPr>
          <t xml:space="preserve">Municipio creado después de 2020: no tiene dato en el Censo 2020. Usa el factor de su municipio de origen, Calkiní (fila 37).</t>
        </r>
      </text>
    </comment>
    <comment ref="J1425" authorId="0">
      <text>
        <r>
          <rPr>
            <sz val="10"/>
            <rFont val="Arial"/>
            <family val="2"/>
          </rPr>
          <t xml:space="preserve">Villa de Pozos (24059) se separó de San Luis Potosí después de 2020. Factor = (población EIC 2025 del/los municipio(s) de origen + la del nuevo) ÷ población Censo 2020 de origen. 170,650 es la población EIC 2025 de Villa de Pozos (24059), que no está en la tabla porque no reporta a la EFIPEM en ambos años.</t>
        </r>
      </text>
    </comment>
    <comment ref="J1429" authorId="0">
      <text>
        <r>
          <rPr>
            <sz val="10"/>
            <rFont val="Arial"/>
            <family val="2"/>
          </rPr>
          <t xml:space="preserve">Usa el mismo factor que Guasave (fila 1439): ambos perdieron territorio por la creación de Juan José Ríos.</t>
        </r>
      </text>
    </comment>
    <comment ref="J1434" authorId="0">
      <text>
        <r>
          <rPr>
            <sz val="10"/>
            <rFont val="Arial"/>
            <family val="2"/>
          </rPr>
          <t xml:space="preserve">Eldorado (25019) se separó de Culiacán después de 2020. Factor = (población EIC 2025 del/los municipio(s) de origen + la del nuevo) ÷ población Censo 2020 de origen. 37,266 es la población EIC 2025 de Eldorado (25019), que no está en la tabla porque no reporta a la EFIPEM en ambos años.</t>
        </r>
      </text>
    </comment>
    <comment ref="J1439" authorId="0">
      <text>
        <r>
          <rPr>
            <sz val="10"/>
            <rFont val="Arial"/>
            <family val="2"/>
          </rPr>
          <t xml:space="preserve">Juan José Ríos (25020) se separó de Guasave, Ahome después de 2020. Factor = (población EIC 2025 del/los municipio(s) de origen + la del nuevo) ÷ población Censo 2020 de origen. 41,229 es la población EIC 2025 de Juan José Ríos (25020), que no está en la tabla porque no reporta a la EFIPEM en ambos años.</t>
        </r>
      </text>
    </comment>
    <comment ref="K12" authorId="0">
      <text>
        <r>
          <rPr>
            <sz val="10"/>
            <rFont val="Arial"/>
            <family val="2"/>
          </rPr>
          <t xml:space="preserve">Interpolación geométrica entre el Censo 2020 y la EIC 2025: se 'regresa' la población EIC desde el 15-oct-2025 hasta el 1-jul-2024 con el mismo ritmo de crecimiento anual compuesto. Equivale a H × J^F8 cuando hay dato censal.</t>
        </r>
      </text>
    </comment>
    <comment ref="M12" authorId="0">
      <text>
        <r>
          <rPr>
            <sz val="10"/>
            <rFont val="Arial"/>
            <family val="2"/>
          </rPr>
          <t xml:space="preserve">Pasa los pesos de 2025 a pesos de 2024 multiplicando por el deflactor (F7 = INPC prom. 2024 ÷ INPC prom. 2025). Los impuestos 2024 ya están en pesos de 2024.</t>
        </r>
      </text>
    </comment>
    <comment ref="Q13" authorId="0">
      <text>
        <r>
          <rPr>
            <sz val="10"/>
            <rFont val="Arial"/>
            <family val="2"/>
          </rPr>
          <t xml:space="preserve">'n.a.' cuando el municipio recaudó 0 en 2024 (no se puede calcular una variación).</t>
        </r>
      </text>
    </comment>
  </commentList>
</comments>
</file>

<file path=xl/sharedStrings.xml><?xml version="1.0" encoding="utf-8"?>
<sst xmlns="http://schemas.openxmlformats.org/spreadsheetml/2006/main" count="8623" uniqueCount="4005">
  <si>
    <t xml:space="preserve">Impuestos municipales per cápita, 2024 y 2025</t>
  </si>
  <si>
    <t xml:space="preserve">Fuente: INEGI, EFIPEM municipal (2024 definitivas, 2025 preliminares), Censo 2020 y Encuesta Intercensal 2025. Azul = dato de INEGI; negro = fórmula; verde = vínculo a Supuestos. La fila gris bajo los encabezados dice cómo se calcula cada columna.</t>
  </si>
  <si>
    <t xml:space="preserve">Parámetros</t>
  </si>
  <si>
    <t xml:space="preserve">INPC promedio anual 2024</t>
  </si>
  <si>
    <t xml:space="preserve">INPC promedio anual 2025</t>
  </si>
  <si>
    <t xml:space="preserve">Deflactor: pesos de 2025 → pesos de 2024  = INPC 2024 ÷ INPC 2025  (F5 ÷ F6)</t>
  </si>
  <si>
    <t xml:space="preserve">Fracción del periodo Censo 2020 → EIC 2025 transcurrida al 1-jul-2024</t>
  </si>
  <si>
    <t xml:space="preserve">Fracción del periodo Censo 2020 → EIC 2025 transcurrida al 1-jul-2025</t>
  </si>
  <si>
    <t xml:space="preserve">Identificación</t>
  </si>
  <si>
    <t xml:space="preserve">Insumos EFIPEM</t>
  </si>
  <si>
    <t xml:space="preserve">Población</t>
  </si>
  <si>
    <t xml:space="preserve">A pesos reales</t>
  </si>
  <si>
    <t xml:space="preserve">Indicador</t>
  </si>
  <si>
    <t xml:space="preserve">Clave INEGI</t>
  </si>
  <si>
    <t xml:space="preserve">Clave entidad</t>
  </si>
  <si>
    <t xml:space="preserve">Entidad</t>
  </si>
  <si>
    <t xml:space="preserve">Clave municipio</t>
  </si>
  <si>
    <t xml:space="preserve">Municipio</t>
  </si>
  <si>
    <t xml:space="preserve">Impuestos 2024 (pesos corrientes)</t>
  </si>
  <si>
    <t xml:space="preserve">Impuestos 2025 (pesos corrientes)</t>
  </si>
  <si>
    <t xml:space="preserve">Población Censo 2020 (15-mar-2020)</t>
  </si>
  <si>
    <t xml:space="preserve">Población EIC 2025 (15-oct-2025)</t>
  </si>
  <si>
    <t xml:space="preserve">Factor de crecimiento 2020–2025</t>
  </si>
  <si>
    <t xml:space="preserve">Población 2024 (1-jul-2024)</t>
  </si>
  <si>
    <t xml:space="preserve">Población 2025 (1-jul-2025)</t>
  </si>
  <si>
    <t xml:space="preserve">Impuestos 2025 en pesos de 2024</t>
  </si>
  <si>
    <t xml:space="preserve">Impuestos per cápita 2024 ($)</t>
  </si>
  <si>
    <t xml:space="preserve">Impuestos per cápita 2025 (pesos corrientes)</t>
  </si>
  <si>
    <t xml:space="preserve">Impuestos per cápita 2025 (pesos de 2024)</t>
  </si>
  <si>
    <t xml:space="preserve">Variación real per cápita 2025 vs 2024</t>
  </si>
  <si>
    <t xml:space="preserve">Catálogo INEGI</t>
  </si>
  <si>
    <t xml:space="preserve">Dato EFIPEM 2024</t>
  </si>
  <si>
    <t xml:space="preserve">Dato EFIPEM 2025</t>
  </si>
  <si>
    <t xml:space="preserve">Dato Censo 2020</t>
  </si>
  <si>
    <t xml:space="preserve">Dato EIC 2025</t>
  </si>
  <si>
    <t xml:space="preserve">= I ÷ H</t>
  </si>
  <si>
    <t xml:space="preserve">= I × J ^ (F8 − 1)</t>
  </si>
  <si>
    <t xml:space="preserve">= I × J ^ (F9 − 1)</t>
  </si>
  <si>
    <t xml:space="preserve">= G × F7</t>
  </si>
  <si>
    <t xml:space="preserve">= F ÷ K</t>
  </si>
  <si>
    <t xml:space="preserve">= G ÷ L</t>
  </si>
  <si>
    <t xml:space="preserve">= M ÷ L</t>
  </si>
  <si>
    <t xml:space="preserve">= P ÷ N − 1</t>
  </si>
  <si>
    <t xml:space="preserve">01001</t>
  </si>
  <si>
    <t xml:space="preserve">01</t>
  </si>
  <si>
    <t xml:space="preserve">Aguascalientes</t>
  </si>
  <si>
    <t xml:space="preserve">001</t>
  </si>
  <si>
    <t xml:space="preserve">01002</t>
  </si>
  <si>
    <t xml:space="preserve">002</t>
  </si>
  <si>
    <t xml:space="preserve">Asientos</t>
  </si>
  <si>
    <t xml:space="preserve">01003</t>
  </si>
  <si>
    <t xml:space="preserve">003</t>
  </si>
  <si>
    <t xml:space="preserve">Calvillo</t>
  </si>
  <si>
    <t xml:space="preserve">01004</t>
  </si>
  <si>
    <t xml:space="preserve">004</t>
  </si>
  <si>
    <t xml:space="preserve">Cosío</t>
  </si>
  <si>
    <t xml:space="preserve">01005</t>
  </si>
  <si>
    <t xml:space="preserve">005</t>
  </si>
  <si>
    <t xml:space="preserve">Jesús María</t>
  </si>
  <si>
    <t xml:space="preserve">01006</t>
  </si>
  <si>
    <t xml:space="preserve">006</t>
  </si>
  <si>
    <t xml:space="preserve">Pabellón de Arteaga</t>
  </si>
  <si>
    <t xml:space="preserve">01007</t>
  </si>
  <si>
    <t xml:space="preserve">007</t>
  </si>
  <si>
    <t xml:space="preserve">Rincón de Romos</t>
  </si>
  <si>
    <t xml:space="preserve">01008</t>
  </si>
  <si>
    <t xml:space="preserve">008</t>
  </si>
  <si>
    <t xml:space="preserve">San José de Gracia</t>
  </si>
  <si>
    <t xml:space="preserve">01009</t>
  </si>
  <si>
    <t xml:space="preserve">009</t>
  </si>
  <si>
    <t xml:space="preserve">Tepezalá</t>
  </si>
  <si>
    <t xml:space="preserve">01010</t>
  </si>
  <si>
    <t xml:space="preserve">010</t>
  </si>
  <si>
    <t xml:space="preserve">El Llano</t>
  </si>
  <si>
    <t xml:space="preserve">01011</t>
  </si>
  <si>
    <t xml:space="preserve">011</t>
  </si>
  <si>
    <t xml:space="preserve">San Francisco de los Romo</t>
  </si>
  <si>
    <t xml:space="preserve">02001</t>
  </si>
  <si>
    <t xml:space="preserve">02</t>
  </si>
  <si>
    <t xml:space="preserve">Baja California</t>
  </si>
  <si>
    <t xml:space="preserve">Ensenada</t>
  </si>
  <si>
    <t xml:space="preserve">02002</t>
  </si>
  <si>
    <t xml:space="preserve">Mexicali</t>
  </si>
  <si>
    <t xml:space="preserve">02003</t>
  </si>
  <si>
    <t xml:space="preserve">Tecate</t>
  </si>
  <si>
    <t xml:space="preserve">02004</t>
  </si>
  <si>
    <t xml:space="preserve">Tijuana</t>
  </si>
  <si>
    <t xml:space="preserve">02005</t>
  </si>
  <si>
    <t xml:space="preserve">Playas de Rosarito</t>
  </si>
  <si>
    <t xml:space="preserve">02006</t>
  </si>
  <si>
    <t xml:space="preserve">San Quintín</t>
  </si>
  <si>
    <t xml:space="preserve">02007</t>
  </si>
  <si>
    <t xml:space="preserve">San Felipe</t>
  </si>
  <si>
    <t xml:space="preserve">03001</t>
  </si>
  <si>
    <t xml:space="preserve">03</t>
  </si>
  <si>
    <t xml:space="preserve">Baja California Sur</t>
  </si>
  <si>
    <t xml:space="preserve">Comondú</t>
  </si>
  <si>
    <t xml:space="preserve">03002</t>
  </si>
  <si>
    <t xml:space="preserve">Mulegé</t>
  </si>
  <si>
    <t xml:space="preserve">03003</t>
  </si>
  <si>
    <t xml:space="preserve">La Paz</t>
  </si>
  <si>
    <t xml:space="preserve">03008</t>
  </si>
  <si>
    <t xml:space="preserve">Los Cabos</t>
  </si>
  <si>
    <t xml:space="preserve">03009</t>
  </si>
  <si>
    <t xml:space="preserve">Loreto</t>
  </si>
  <si>
    <t xml:space="preserve">04001</t>
  </si>
  <si>
    <t xml:space="preserve">04</t>
  </si>
  <si>
    <t xml:space="preserve">Campeche</t>
  </si>
  <si>
    <t xml:space="preserve">Calkiní</t>
  </si>
  <si>
    <t xml:space="preserve">04002</t>
  </si>
  <si>
    <t xml:space="preserve">04003</t>
  </si>
  <si>
    <t xml:space="preserve">Carmen</t>
  </si>
  <si>
    <t xml:space="preserve">04004</t>
  </si>
  <si>
    <t xml:space="preserve">Champotón</t>
  </si>
  <si>
    <t xml:space="preserve">04005</t>
  </si>
  <si>
    <t xml:space="preserve">Hecelchakán</t>
  </si>
  <si>
    <t xml:space="preserve">04006</t>
  </si>
  <si>
    <t xml:space="preserve">Hopelchén</t>
  </si>
  <si>
    <t xml:space="preserve">04007</t>
  </si>
  <si>
    <t xml:space="preserve">Palizada</t>
  </si>
  <si>
    <t xml:space="preserve">04008</t>
  </si>
  <si>
    <t xml:space="preserve">Tenabo</t>
  </si>
  <si>
    <t xml:space="preserve">04009</t>
  </si>
  <si>
    <t xml:space="preserve">Escárcega</t>
  </si>
  <si>
    <t xml:space="preserve">04010</t>
  </si>
  <si>
    <t xml:space="preserve">Calakmul</t>
  </si>
  <si>
    <t xml:space="preserve">04011</t>
  </si>
  <si>
    <t xml:space="preserve">Candelaria</t>
  </si>
  <si>
    <t xml:space="preserve">04012</t>
  </si>
  <si>
    <t xml:space="preserve">012</t>
  </si>
  <si>
    <t xml:space="preserve">Seybaplaya</t>
  </si>
  <si>
    <t xml:space="preserve">04013</t>
  </si>
  <si>
    <t xml:space="preserve">013</t>
  </si>
  <si>
    <t xml:space="preserve">Dzitbalché</t>
  </si>
  <si>
    <t xml:space="preserve">05001</t>
  </si>
  <si>
    <t xml:space="preserve">05</t>
  </si>
  <si>
    <t xml:space="preserve">Coahuila de Zaragoza</t>
  </si>
  <si>
    <t xml:space="preserve">Abasolo</t>
  </si>
  <si>
    <t xml:space="preserve">05002</t>
  </si>
  <si>
    <t xml:space="preserve">Acuña</t>
  </si>
  <si>
    <t xml:space="preserve">05003</t>
  </si>
  <si>
    <t xml:space="preserve">Allende</t>
  </si>
  <si>
    <t xml:space="preserve">05004</t>
  </si>
  <si>
    <t xml:space="preserve">Arteaga</t>
  </si>
  <si>
    <t xml:space="preserve">05005</t>
  </si>
  <si>
    <t xml:space="preserve">Candela</t>
  </si>
  <si>
    <t xml:space="preserve">05006</t>
  </si>
  <si>
    <t xml:space="preserve">Castaños</t>
  </si>
  <si>
    <t xml:space="preserve">05007</t>
  </si>
  <si>
    <t xml:space="preserve">Cuatro Ciénegas</t>
  </si>
  <si>
    <t xml:space="preserve">05008</t>
  </si>
  <si>
    <t xml:space="preserve">Escobedo</t>
  </si>
  <si>
    <t xml:space="preserve">05009</t>
  </si>
  <si>
    <t xml:space="preserve">Francisco I. Madero</t>
  </si>
  <si>
    <t xml:space="preserve">05010</t>
  </si>
  <si>
    <t xml:space="preserve">Frontera</t>
  </si>
  <si>
    <t xml:space="preserve">05011</t>
  </si>
  <si>
    <t xml:space="preserve">General Cepeda</t>
  </si>
  <si>
    <t xml:space="preserve">05012</t>
  </si>
  <si>
    <t xml:space="preserve">Guerrero</t>
  </si>
  <si>
    <t xml:space="preserve">05013</t>
  </si>
  <si>
    <t xml:space="preserve">Hidalgo</t>
  </si>
  <si>
    <t xml:space="preserve">05014</t>
  </si>
  <si>
    <t xml:space="preserve">014</t>
  </si>
  <si>
    <t xml:space="preserve">Jiménez</t>
  </si>
  <si>
    <t xml:space="preserve">05015</t>
  </si>
  <si>
    <t xml:space="preserve">015</t>
  </si>
  <si>
    <t xml:space="preserve">Juárez</t>
  </si>
  <si>
    <t xml:space="preserve">05016</t>
  </si>
  <si>
    <t xml:space="preserve">016</t>
  </si>
  <si>
    <t xml:space="preserve">Lamadrid</t>
  </si>
  <si>
    <t xml:space="preserve">05017</t>
  </si>
  <si>
    <t xml:space="preserve">017</t>
  </si>
  <si>
    <t xml:space="preserve">Matamoros</t>
  </si>
  <si>
    <t xml:space="preserve">05018</t>
  </si>
  <si>
    <t xml:space="preserve">018</t>
  </si>
  <si>
    <t xml:space="preserve">Monclova</t>
  </si>
  <si>
    <t xml:space="preserve">05019</t>
  </si>
  <si>
    <t xml:space="preserve">019</t>
  </si>
  <si>
    <t xml:space="preserve">Morelos</t>
  </si>
  <si>
    <t xml:space="preserve">05020</t>
  </si>
  <si>
    <t xml:space="preserve">020</t>
  </si>
  <si>
    <t xml:space="preserve">Múzquiz</t>
  </si>
  <si>
    <t xml:space="preserve">05021</t>
  </si>
  <si>
    <t xml:space="preserve">021</t>
  </si>
  <si>
    <t xml:space="preserve">Nadadores</t>
  </si>
  <si>
    <t xml:space="preserve">05022</t>
  </si>
  <si>
    <t xml:space="preserve">022</t>
  </si>
  <si>
    <t xml:space="preserve">Nava</t>
  </si>
  <si>
    <t xml:space="preserve">05023</t>
  </si>
  <si>
    <t xml:space="preserve">023</t>
  </si>
  <si>
    <t xml:space="preserve">Ocampo</t>
  </si>
  <si>
    <t xml:space="preserve">05024</t>
  </si>
  <si>
    <t xml:space="preserve">024</t>
  </si>
  <si>
    <t xml:space="preserve">Parras</t>
  </si>
  <si>
    <t xml:space="preserve">05025</t>
  </si>
  <si>
    <t xml:space="preserve">025</t>
  </si>
  <si>
    <t xml:space="preserve">Piedras Negras</t>
  </si>
  <si>
    <t xml:space="preserve">05026</t>
  </si>
  <si>
    <t xml:space="preserve">026</t>
  </si>
  <si>
    <t xml:space="preserve">Progreso</t>
  </si>
  <si>
    <t xml:space="preserve">05027</t>
  </si>
  <si>
    <t xml:space="preserve">027</t>
  </si>
  <si>
    <t xml:space="preserve">Ramos Arizpe</t>
  </si>
  <si>
    <t xml:space="preserve">05028</t>
  </si>
  <si>
    <t xml:space="preserve">028</t>
  </si>
  <si>
    <t xml:space="preserve">Sabinas</t>
  </si>
  <si>
    <t xml:space="preserve">05029</t>
  </si>
  <si>
    <t xml:space="preserve">029</t>
  </si>
  <si>
    <t xml:space="preserve">Sacramento</t>
  </si>
  <si>
    <t xml:space="preserve">05030</t>
  </si>
  <si>
    <t xml:space="preserve">030</t>
  </si>
  <si>
    <t xml:space="preserve">Saltillo</t>
  </si>
  <si>
    <t xml:space="preserve">05031</t>
  </si>
  <si>
    <t xml:space="preserve">031</t>
  </si>
  <si>
    <t xml:space="preserve">San Buenaventura</t>
  </si>
  <si>
    <t xml:space="preserve">05032</t>
  </si>
  <si>
    <t xml:space="preserve">032</t>
  </si>
  <si>
    <t xml:space="preserve">San Juan de Sabinas</t>
  </si>
  <si>
    <t xml:space="preserve">05033</t>
  </si>
  <si>
    <t xml:space="preserve">033</t>
  </si>
  <si>
    <t xml:space="preserve">San Pedro</t>
  </si>
  <si>
    <t xml:space="preserve">05034</t>
  </si>
  <si>
    <t xml:space="preserve">034</t>
  </si>
  <si>
    <t xml:space="preserve">Sierra Mojada</t>
  </si>
  <si>
    <t xml:space="preserve">05035</t>
  </si>
  <si>
    <t xml:space="preserve">035</t>
  </si>
  <si>
    <t xml:space="preserve">Torreón</t>
  </si>
  <si>
    <t xml:space="preserve">05036</t>
  </si>
  <si>
    <t xml:space="preserve">036</t>
  </si>
  <si>
    <t xml:space="preserve">Viesca</t>
  </si>
  <si>
    <t xml:space="preserve">05037</t>
  </si>
  <si>
    <t xml:space="preserve">037</t>
  </si>
  <si>
    <t xml:space="preserve">Villa Unión</t>
  </si>
  <si>
    <t xml:space="preserve">05038</t>
  </si>
  <si>
    <t xml:space="preserve">038</t>
  </si>
  <si>
    <t xml:space="preserve">Zaragoza</t>
  </si>
  <si>
    <t xml:space="preserve">06001</t>
  </si>
  <si>
    <t xml:space="preserve">06</t>
  </si>
  <si>
    <t xml:space="preserve">Colima</t>
  </si>
  <si>
    <t xml:space="preserve">Armería</t>
  </si>
  <si>
    <t xml:space="preserve">06002</t>
  </si>
  <si>
    <t xml:space="preserve">06003</t>
  </si>
  <si>
    <t xml:space="preserve">Comala</t>
  </si>
  <si>
    <t xml:space="preserve">06004</t>
  </si>
  <si>
    <t xml:space="preserve">Coquimatlán</t>
  </si>
  <si>
    <t xml:space="preserve">06005</t>
  </si>
  <si>
    <t xml:space="preserve">Cuauhtémoc</t>
  </si>
  <si>
    <t xml:space="preserve">06006</t>
  </si>
  <si>
    <t xml:space="preserve">Ixtlahuacán</t>
  </si>
  <si>
    <t xml:space="preserve">06007</t>
  </si>
  <si>
    <t xml:space="preserve">Manzanillo</t>
  </si>
  <si>
    <t xml:space="preserve">06008</t>
  </si>
  <si>
    <t xml:space="preserve">Minatitlán</t>
  </si>
  <si>
    <t xml:space="preserve">06009</t>
  </si>
  <si>
    <t xml:space="preserve">Tecomán</t>
  </si>
  <si>
    <t xml:space="preserve">06010</t>
  </si>
  <si>
    <t xml:space="preserve">Villa de Álvarez</t>
  </si>
  <si>
    <t xml:space="preserve">07001</t>
  </si>
  <si>
    <t xml:space="preserve">07</t>
  </si>
  <si>
    <t xml:space="preserve">Chiapas</t>
  </si>
  <si>
    <t xml:space="preserve">Acacoyagua</t>
  </si>
  <si>
    <t xml:space="preserve">07002</t>
  </si>
  <si>
    <t xml:space="preserve">Acala</t>
  </si>
  <si>
    <t xml:space="preserve">07003</t>
  </si>
  <si>
    <t xml:space="preserve">Acapetahua</t>
  </si>
  <si>
    <t xml:space="preserve">07004</t>
  </si>
  <si>
    <t xml:space="preserve">Altamirano</t>
  </si>
  <si>
    <t xml:space="preserve">07005</t>
  </si>
  <si>
    <t xml:space="preserve">Amatán</t>
  </si>
  <si>
    <t xml:space="preserve">07006</t>
  </si>
  <si>
    <t xml:space="preserve">Amatenango de la Frontera</t>
  </si>
  <si>
    <t xml:space="preserve">07010</t>
  </si>
  <si>
    <t xml:space="preserve">Bejucal de Ocampo</t>
  </si>
  <si>
    <t xml:space="preserve">07011</t>
  </si>
  <si>
    <t xml:space="preserve">Bella Vista</t>
  </si>
  <si>
    <t xml:space="preserve">07012</t>
  </si>
  <si>
    <t xml:space="preserve">Berriozábal</t>
  </si>
  <si>
    <t xml:space="preserve">07015</t>
  </si>
  <si>
    <t xml:space="preserve">Cacahoatán</t>
  </si>
  <si>
    <t xml:space="preserve">07016</t>
  </si>
  <si>
    <t xml:space="preserve">Catazajá</t>
  </si>
  <si>
    <t xml:space="preserve">07017</t>
  </si>
  <si>
    <t xml:space="preserve">Cintalapa de Figueroa</t>
  </si>
  <si>
    <t xml:space="preserve">07018</t>
  </si>
  <si>
    <t xml:space="preserve">Coapilla</t>
  </si>
  <si>
    <t xml:space="preserve">07019</t>
  </si>
  <si>
    <t xml:space="preserve">Comitán de Domínguez</t>
  </si>
  <si>
    <t xml:space="preserve">07022</t>
  </si>
  <si>
    <t xml:space="preserve">Chalchihuitán</t>
  </si>
  <si>
    <t xml:space="preserve">07023</t>
  </si>
  <si>
    <t xml:space="preserve">Chamula</t>
  </si>
  <si>
    <t xml:space="preserve">07024</t>
  </si>
  <si>
    <t xml:space="preserve">Chanal</t>
  </si>
  <si>
    <t xml:space="preserve">07025</t>
  </si>
  <si>
    <t xml:space="preserve">Chapultenango</t>
  </si>
  <si>
    <t xml:space="preserve">07026</t>
  </si>
  <si>
    <t xml:space="preserve">Chenalhó</t>
  </si>
  <si>
    <t xml:space="preserve">07027</t>
  </si>
  <si>
    <t xml:space="preserve">Chiapa de Corzo</t>
  </si>
  <si>
    <t xml:space="preserve">07029</t>
  </si>
  <si>
    <t xml:space="preserve">Chicoasén</t>
  </si>
  <si>
    <t xml:space="preserve">07030</t>
  </si>
  <si>
    <t xml:space="preserve">Chicomuselo</t>
  </si>
  <si>
    <t xml:space="preserve">07031</t>
  </si>
  <si>
    <t xml:space="preserve">Chilón</t>
  </si>
  <si>
    <t xml:space="preserve">07032</t>
  </si>
  <si>
    <t xml:space="preserve">Escuintla</t>
  </si>
  <si>
    <t xml:space="preserve">07033</t>
  </si>
  <si>
    <t xml:space="preserve">Francisco León</t>
  </si>
  <si>
    <t xml:space="preserve">07035</t>
  </si>
  <si>
    <t xml:space="preserve">Frontera Hidalgo</t>
  </si>
  <si>
    <t xml:space="preserve">07036</t>
  </si>
  <si>
    <t xml:space="preserve">La Grandeza</t>
  </si>
  <si>
    <t xml:space="preserve">07037</t>
  </si>
  <si>
    <t xml:space="preserve">Huehuetán</t>
  </si>
  <si>
    <t xml:space="preserve">07039</t>
  </si>
  <si>
    <t xml:space="preserve">039</t>
  </si>
  <si>
    <t xml:space="preserve">Huitiupán</t>
  </si>
  <si>
    <t xml:space="preserve">07040</t>
  </si>
  <si>
    <t xml:space="preserve">040</t>
  </si>
  <si>
    <t xml:space="preserve">Huixtla</t>
  </si>
  <si>
    <t xml:space="preserve">07041</t>
  </si>
  <si>
    <t xml:space="preserve">041</t>
  </si>
  <si>
    <t xml:space="preserve">La Independencia</t>
  </si>
  <si>
    <t xml:space="preserve">07042</t>
  </si>
  <si>
    <t xml:space="preserve">042</t>
  </si>
  <si>
    <t xml:space="preserve">Ixhuatán</t>
  </si>
  <si>
    <t xml:space="preserve">07044</t>
  </si>
  <si>
    <t xml:space="preserve">044</t>
  </si>
  <si>
    <t xml:space="preserve">Ixtapa</t>
  </si>
  <si>
    <t xml:space="preserve">07045</t>
  </si>
  <si>
    <t xml:space="preserve">045</t>
  </si>
  <si>
    <t xml:space="preserve">Ixtapangajoya</t>
  </si>
  <si>
    <t xml:space="preserve">07046</t>
  </si>
  <si>
    <t xml:space="preserve">046</t>
  </si>
  <si>
    <t xml:space="preserve">Jiquipilas</t>
  </si>
  <si>
    <t xml:space="preserve">07048</t>
  </si>
  <si>
    <t xml:space="preserve">048</t>
  </si>
  <si>
    <t xml:space="preserve">07050</t>
  </si>
  <si>
    <t xml:space="preserve">050</t>
  </si>
  <si>
    <t xml:space="preserve">La Libertad</t>
  </si>
  <si>
    <t xml:space="preserve">07051</t>
  </si>
  <si>
    <t xml:space="preserve">051</t>
  </si>
  <si>
    <t xml:space="preserve">Mapastepec</t>
  </si>
  <si>
    <t xml:space="preserve">07052</t>
  </si>
  <si>
    <t xml:space="preserve">052</t>
  </si>
  <si>
    <t xml:space="preserve">Las Margaritas</t>
  </si>
  <si>
    <t xml:space="preserve">07053</t>
  </si>
  <si>
    <t xml:space="preserve">053</t>
  </si>
  <si>
    <t xml:space="preserve">Mazapa de Madero</t>
  </si>
  <si>
    <t xml:space="preserve">07054</t>
  </si>
  <si>
    <t xml:space="preserve">054</t>
  </si>
  <si>
    <t xml:space="preserve">Mazatán</t>
  </si>
  <si>
    <t xml:space="preserve">07055</t>
  </si>
  <si>
    <t xml:space="preserve">055</t>
  </si>
  <si>
    <t xml:space="preserve">Metapa</t>
  </si>
  <si>
    <t xml:space="preserve">07056</t>
  </si>
  <si>
    <t xml:space="preserve">056</t>
  </si>
  <si>
    <t xml:space="preserve">Mitontic</t>
  </si>
  <si>
    <t xml:space="preserve">07057</t>
  </si>
  <si>
    <t xml:space="preserve">057</t>
  </si>
  <si>
    <t xml:space="preserve">Motozintla</t>
  </si>
  <si>
    <t xml:space="preserve">07058</t>
  </si>
  <si>
    <t xml:space="preserve">058</t>
  </si>
  <si>
    <t xml:space="preserve">Nicolás Ruíz</t>
  </si>
  <si>
    <t xml:space="preserve">07059</t>
  </si>
  <si>
    <t xml:space="preserve">059</t>
  </si>
  <si>
    <t xml:space="preserve">Ocosingo</t>
  </si>
  <si>
    <t xml:space="preserve">07060</t>
  </si>
  <si>
    <t xml:space="preserve">060</t>
  </si>
  <si>
    <t xml:space="preserve">Ocotepec</t>
  </si>
  <si>
    <t xml:space="preserve">07061</t>
  </si>
  <si>
    <t xml:space="preserve">061</t>
  </si>
  <si>
    <t xml:space="preserve">Ocozocoautla de Espinosa</t>
  </si>
  <si>
    <t xml:space="preserve">07062</t>
  </si>
  <si>
    <t xml:space="preserve">062</t>
  </si>
  <si>
    <t xml:space="preserve">Ostuacán</t>
  </si>
  <si>
    <t xml:space="preserve">07063</t>
  </si>
  <si>
    <t xml:space="preserve">063</t>
  </si>
  <si>
    <t xml:space="preserve">Osumacinta</t>
  </si>
  <si>
    <t xml:space="preserve">07064</t>
  </si>
  <si>
    <t xml:space="preserve">064</t>
  </si>
  <si>
    <t xml:space="preserve">Oxchuc</t>
  </si>
  <si>
    <t xml:space="preserve">07065</t>
  </si>
  <si>
    <t xml:space="preserve">065</t>
  </si>
  <si>
    <t xml:space="preserve">Palenque</t>
  </si>
  <si>
    <t xml:space="preserve">07067</t>
  </si>
  <si>
    <t xml:space="preserve">067</t>
  </si>
  <si>
    <t xml:space="preserve">Pantepec</t>
  </si>
  <si>
    <t xml:space="preserve">07068</t>
  </si>
  <si>
    <t xml:space="preserve">068</t>
  </si>
  <si>
    <t xml:space="preserve">Pichucalco</t>
  </si>
  <si>
    <t xml:space="preserve">07070</t>
  </si>
  <si>
    <t xml:space="preserve">070</t>
  </si>
  <si>
    <t xml:space="preserve">El Porvenir</t>
  </si>
  <si>
    <t xml:space="preserve">07072</t>
  </si>
  <si>
    <t xml:space="preserve">072</t>
  </si>
  <si>
    <t xml:space="preserve">Pueblo Nuevo Solistahuacán</t>
  </si>
  <si>
    <t xml:space="preserve">07073</t>
  </si>
  <si>
    <t xml:space="preserve">073</t>
  </si>
  <si>
    <t xml:space="preserve">Rayón</t>
  </si>
  <si>
    <t xml:space="preserve">07074</t>
  </si>
  <si>
    <t xml:space="preserve">074</t>
  </si>
  <si>
    <t xml:space="preserve">Reforma</t>
  </si>
  <si>
    <t xml:space="preserve">07075</t>
  </si>
  <si>
    <t xml:space="preserve">075</t>
  </si>
  <si>
    <t xml:space="preserve">Las Rosas</t>
  </si>
  <si>
    <t xml:space="preserve">07077</t>
  </si>
  <si>
    <t xml:space="preserve">077</t>
  </si>
  <si>
    <t xml:space="preserve">Salto de Agua</t>
  </si>
  <si>
    <t xml:space="preserve">07078</t>
  </si>
  <si>
    <t xml:space="preserve">078</t>
  </si>
  <si>
    <t xml:space="preserve">San Cristóbal de las Casas</t>
  </si>
  <si>
    <t xml:space="preserve">07079</t>
  </si>
  <si>
    <t xml:space="preserve">079</t>
  </si>
  <si>
    <t xml:space="preserve">San Fernando</t>
  </si>
  <si>
    <t xml:space="preserve">07083</t>
  </si>
  <si>
    <t xml:space="preserve">083</t>
  </si>
  <si>
    <t xml:space="preserve">Socoltenango</t>
  </si>
  <si>
    <t xml:space="preserve">07084</t>
  </si>
  <si>
    <t xml:space="preserve">084</t>
  </si>
  <si>
    <t xml:space="preserve">Solosuchiapa</t>
  </si>
  <si>
    <t xml:space="preserve">07085</t>
  </si>
  <si>
    <t xml:space="preserve">085</t>
  </si>
  <si>
    <t xml:space="preserve">Soyaló</t>
  </si>
  <si>
    <t xml:space="preserve">07086</t>
  </si>
  <si>
    <t xml:space="preserve">086</t>
  </si>
  <si>
    <t xml:space="preserve">Suchiapa</t>
  </si>
  <si>
    <t xml:space="preserve">07087</t>
  </si>
  <si>
    <t xml:space="preserve">087</t>
  </si>
  <si>
    <t xml:space="preserve">Suchiate</t>
  </si>
  <si>
    <t xml:space="preserve">07088</t>
  </si>
  <si>
    <t xml:space="preserve">088</t>
  </si>
  <si>
    <t xml:space="preserve">Sunuapa</t>
  </si>
  <si>
    <t xml:space="preserve">07089</t>
  </si>
  <si>
    <t xml:space="preserve">089</t>
  </si>
  <si>
    <t xml:space="preserve">Tapachula</t>
  </si>
  <si>
    <t xml:space="preserve">07090</t>
  </si>
  <si>
    <t xml:space="preserve">090</t>
  </si>
  <si>
    <t xml:space="preserve">Tapalapa</t>
  </si>
  <si>
    <t xml:space="preserve">07091</t>
  </si>
  <si>
    <t xml:space="preserve">091</t>
  </si>
  <si>
    <t xml:space="preserve">Tapilula</t>
  </si>
  <si>
    <t xml:space="preserve">07092</t>
  </si>
  <si>
    <t xml:space="preserve">092</t>
  </si>
  <si>
    <t xml:space="preserve">Tecpatán</t>
  </si>
  <si>
    <t xml:space="preserve">07093</t>
  </si>
  <si>
    <t xml:space="preserve">093</t>
  </si>
  <si>
    <t xml:space="preserve">Tenejapa</t>
  </si>
  <si>
    <t xml:space="preserve">07096</t>
  </si>
  <si>
    <t xml:space="preserve">096</t>
  </si>
  <si>
    <t xml:space="preserve">Tila</t>
  </si>
  <si>
    <t xml:space="preserve">07097</t>
  </si>
  <si>
    <t xml:space="preserve">097</t>
  </si>
  <si>
    <t xml:space="preserve">Tonalá</t>
  </si>
  <si>
    <t xml:space="preserve">07098</t>
  </si>
  <si>
    <t xml:space="preserve">098</t>
  </si>
  <si>
    <t xml:space="preserve">Totolapa</t>
  </si>
  <si>
    <t xml:space="preserve">07099</t>
  </si>
  <si>
    <t xml:space="preserve">099</t>
  </si>
  <si>
    <t xml:space="preserve">La Trinitaria</t>
  </si>
  <si>
    <t xml:space="preserve">07100</t>
  </si>
  <si>
    <t xml:space="preserve">100</t>
  </si>
  <si>
    <t xml:space="preserve">Tumbalá</t>
  </si>
  <si>
    <t xml:space="preserve">07101</t>
  </si>
  <si>
    <t xml:space="preserve">101</t>
  </si>
  <si>
    <t xml:space="preserve">Tuxtla Gutiérrez</t>
  </si>
  <si>
    <t xml:space="preserve">07102</t>
  </si>
  <si>
    <t xml:space="preserve">102</t>
  </si>
  <si>
    <t xml:space="preserve">Tuxtla Chico</t>
  </si>
  <si>
    <t xml:space="preserve">07103</t>
  </si>
  <si>
    <t xml:space="preserve">103</t>
  </si>
  <si>
    <t xml:space="preserve">Tuzantán</t>
  </si>
  <si>
    <t xml:space="preserve">07104</t>
  </si>
  <si>
    <t xml:space="preserve">104</t>
  </si>
  <si>
    <t xml:space="preserve">Tzimol</t>
  </si>
  <si>
    <t xml:space="preserve">07105</t>
  </si>
  <si>
    <t xml:space="preserve">105</t>
  </si>
  <si>
    <t xml:space="preserve">Unión Juárez</t>
  </si>
  <si>
    <t xml:space="preserve">07106</t>
  </si>
  <si>
    <t xml:space="preserve">106</t>
  </si>
  <si>
    <t xml:space="preserve">Venustiano Carranza</t>
  </si>
  <si>
    <t xml:space="preserve">07107</t>
  </si>
  <si>
    <t xml:space="preserve">107</t>
  </si>
  <si>
    <t xml:space="preserve">Villa Corzo</t>
  </si>
  <si>
    <t xml:space="preserve">07109</t>
  </si>
  <si>
    <t xml:space="preserve">109</t>
  </si>
  <si>
    <t xml:space="preserve">Yajalón</t>
  </si>
  <si>
    <t xml:space="preserve">07110</t>
  </si>
  <si>
    <t xml:space="preserve">110</t>
  </si>
  <si>
    <t xml:space="preserve">San Lucas</t>
  </si>
  <si>
    <t xml:space="preserve">07111</t>
  </si>
  <si>
    <t xml:space="preserve">111</t>
  </si>
  <si>
    <t xml:space="preserve">Zinacantán</t>
  </si>
  <si>
    <t xml:space="preserve">07112</t>
  </si>
  <si>
    <t xml:space="preserve">112</t>
  </si>
  <si>
    <t xml:space="preserve">San Juan Cancuc</t>
  </si>
  <si>
    <t xml:space="preserve">07114</t>
  </si>
  <si>
    <t xml:space="preserve">114</t>
  </si>
  <si>
    <t xml:space="preserve">Benemérito de las Américas</t>
  </si>
  <si>
    <t xml:space="preserve">07115</t>
  </si>
  <si>
    <t xml:space="preserve">115</t>
  </si>
  <si>
    <t xml:space="preserve">Maravilla Tenejapa</t>
  </si>
  <si>
    <t xml:space="preserve">07117</t>
  </si>
  <si>
    <t xml:space="preserve">117</t>
  </si>
  <si>
    <t xml:space="preserve">Montecristo de Guerrero</t>
  </si>
  <si>
    <t xml:space="preserve">07118</t>
  </si>
  <si>
    <t xml:space="preserve">118</t>
  </si>
  <si>
    <t xml:space="preserve">San Andrés Duraznal</t>
  </si>
  <si>
    <t xml:space="preserve">07120</t>
  </si>
  <si>
    <t xml:space="preserve">120</t>
  </si>
  <si>
    <t xml:space="preserve">Capitán Luis Ángel Vidal</t>
  </si>
  <si>
    <t xml:space="preserve">07121</t>
  </si>
  <si>
    <t xml:space="preserve">121</t>
  </si>
  <si>
    <t xml:space="preserve">Rincón Chamula San Pedro</t>
  </si>
  <si>
    <t xml:space="preserve">07122</t>
  </si>
  <si>
    <t xml:space="preserve">122</t>
  </si>
  <si>
    <t xml:space="preserve">El Parral</t>
  </si>
  <si>
    <t xml:space="preserve">07123</t>
  </si>
  <si>
    <t xml:space="preserve">123</t>
  </si>
  <si>
    <t xml:space="preserve">Emiliano Zapata</t>
  </si>
  <si>
    <t xml:space="preserve">07125</t>
  </si>
  <si>
    <t xml:space="preserve">125</t>
  </si>
  <si>
    <t xml:space="preserve">Honduras de la Sierra</t>
  </si>
  <si>
    <t xml:space="preserve">08001</t>
  </si>
  <si>
    <t xml:space="preserve">08</t>
  </si>
  <si>
    <t xml:space="preserve">Chihuahua</t>
  </si>
  <si>
    <t xml:space="preserve">Ahumada</t>
  </si>
  <si>
    <t xml:space="preserve">08002</t>
  </si>
  <si>
    <t xml:space="preserve">Aldama</t>
  </si>
  <si>
    <t xml:space="preserve">08003</t>
  </si>
  <si>
    <t xml:space="preserve">08004</t>
  </si>
  <si>
    <t xml:space="preserve">Aquiles Serdán</t>
  </si>
  <si>
    <t xml:space="preserve">08005</t>
  </si>
  <si>
    <t xml:space="preserve">Ascensión</t>
  </si>
  <si>
    <t xml:space="preserve">08006</t>
  </si>
  <si>
    <t xml:space="preserve">Bachíniva</t>
  </si>
  <si>
    <t xml:space="preserve">08007</t>
  </si>
  <si>
    <t xml:space="preserve">Balleza</t>
  </si>
  <si>
    <t xml:space="preserve">08008</t>
  </si>
  <si>
    <t xml:space="preserve">Batopilas de Manuel Gómez Morín</t>
  </si>
  <si>
    <t xml:space="preserve">08009</t>
  </si>
  <si>
    <t xml:space="preserve">Bocoyna</t>
  </si>
  <si>
    <t xml:space="preserve">08010</t>
  </si>
  <si>
    <t xml:space="preserve">Buenaventura</t>
  </si>
  <si>
    <t xml:space="preserve">08011</t>
  </si>
  <si>
    <t xml:space="preserve">Camargo</t>
  </si>
  <si>
    <t xml:space="preserve">08012</t>
  </si>
  <si>
    <t xml:space="preserve">Carichí</t>
  </si>
  <si>
    <t xml:space="preserve">08013</t>
  </si>
  <si>
    <t xml:space="preserve">Casas Grandes</t>
  </si>
  <si>
    <t xml:space="preserve">08014</t>
  </si>
  <si>
    <t xml:space="preserve">Coronado</t>
  </si>
  <si>
    <t xml:space="preserve">08015</t>
  </si>
  <si>
    <t xml:space="preserve">Coyame del Sotol</t>
  </si>
  <si>
    <t xml:space="preserve">08016</t>
  </si>
  <si>
    <t xml:space="preserve">La Cruz</t>
  </si>
  <si>
    <t xml:space="preserve">08017</t>
  </si>
  <si>
    <t xml:space="preserve">08018</t>
  </si>
  <si>
    <t xml:space="preserve">Cusihuiriachi</t>
  </si>
  <si>
    <t xml:space="preserve">08019</t>
  </si>
  <si>
    <t xml:space="preserve">08021</t>
  </si>
  <si>
    <t xml:space="preserve">Delicias</t>
  </si>
  <si>
    <t xml:space="preserve">08022</t>
  </si>
  <si>
    <t xml:space="preserve">Dr. Belisario Domínguez</t>
  </si>
  <si>
    <t xml:space="preserve">08023</t>
  </si>
  <si>
    <t xml:space="preserve">Galeana</t>
  </si>
  <si>
    <t xml:space="preserve">08024</t>
  </si>
  <si>
    <t xml:space="preserve">Santa Isabel</t>
  </si>
  <si>
    <t xml:space="preserve">08025</t>
  </si>
  <si>
    <t xml:space="preserve">Gómez Farías</t>
  </si>
  <si>
    <t xml:space="preserve">08026</t>
  </si>
  <si>
    <t xml:space="preserve">Gran Morelos</t>
  </si>
  <si>
    <t xml:space="preserve">08027</t>
  </si>
  <si>
    <t xml:space="preserve">Guachochi</t>
  </si>
  <si>
    <t xml:space="preserve">08028</t>
  </si>
  <si>
    <t xml:space="preserve">Guadalupe</t>
  </si>
  <si>
    <t xml:space="preserve">08030</t>
  </si>
  <si>
    <t xml:space="preserve">Guazapares</t>
  </si>
  <si>
    <t xml:space="preserve">08031</t>
  </si>
  <si>
    <t xml:space="preserve">08032</t>
  </si>
  <si>
    <t xml:space="preserve">Hidalgo del Parral</t>
  </si>
  <si>
    <t xml:space="preserve">08033</t>
  </si>
  <si>
    <t xml:space="preserve">Huejotitán</t>
  </si>
  <si>
    <t xml:space="preserve">08035</t>
  </si>
  <si>
    <t xml:space="preserve">Janos</t>
  </si>
  <si>
    <t xml:space="preserve">08036</t>
  </si>
  <si>
    <t xml:space="preserve">08037</t>
  </si>
  <si>
    <t xml:space="preserve">08038</t>
  </si>
  <si>
    <t xml:space="preserve">Julimes</t>
  </si>
  <si>
    <t xml:space="preserve">08039</t>
  </si>
  <si>
    <t xml:space="preserve">López</t>
  </si>
  <si>
    <t xml:space="preserve">08040</t>
  </si>
  <si>
    <t xml:space="preserve">Madera</t>
  </si>
  <si>
    <t xml:space="preserve">08041</t>
  </si>
  <si>
    <t xml:space="preserve">Maguarichi</t>
  </si>
  <si>
    <t xml:space="preserve">08042</t>
  </si>
  <si>
    <t xml:space="preserve">Manuel Benavides</t>
  </si>
  <si>
    <t xml:space="preserve">08043</t>
  </si>
  <si>
    <t xml:space="preserve">043</t>
  </si>
  <si>
    <t xml:space="preserve">Matachí</t>
  </si>
  <si>
    <t xml:space="preserve">08044</t>
  </si>
  <si>
    <t xml:space="preserve">08045</t>
  </si>
  <si>
    <t xml:space="preserve">Meoqui</t>
  </si>
  <si>
    <t xml:space="preserve">08046</t>
  </si>
  <si>
    <t xml:space="preserve">08047</t>
  </si>
  <si>
    <t xml:space="preserve">047</t>
  </si>
  <si>
    <t xml:space="preserve">Moris</t>
  </si>
  <si>
    <t xml:space="preserve">08048</t>
  </si>
  <si>
    <t xml:space="preserve">Namiquipa</t>
  </si>
  <si>
    <t xml:space="preserve">08049</t>
  </si>
  <si>
    <t xml:space="preserve">049</t>
  </si>
  <si>
    <t xml:space="preserve">Nonoava</t>
  </si>
  <si>
    <t xml:space="preserve">08050</t>
  </si>
  <si>
    <t xml:space="preserve">Nuevo Casas Grandes</t>
  </si>
  <si>
    <t xml:space="preserve">08051</t>
  </si>
  <si>
    <t xml:space="preserve">08052</t>
  </si>
  <si>
    <t xml:space="preserve">Ojinaga</t>
  </si>
  <si>
    <t xml:space="preserve">08053</t>
  </si>
  <si>
    <t xml:space="preserve">Praxedis G. Guerrero</t>
  </si>
  <si>
    <t xml:space="preserve">08054</t>
  </si>
  <si>
    <t xml:space="preserve">Riva Palacio</t>
  </si>
  <si>
    <t xml:space="preserve">08055</t>
  </si>
  <si>
    <t xml:space="preserve">Rosales</t>
  </si>
  <si>
    <t xml:space="preserve">08056</t>
  </si>
  <si>
    <t xml:space="preserve">Valle del Rosario</t>
  </si>
  <si>
    <t xml:space="preserve">08057</t>
  </si>
  <si>
    <t xml:space="preserve">San Francisco de Borja</t>
  </si>
  <si>
    <t xml:space="preserve">08058</t>
  </si>
  <si>
    <t xml:space="preserve">San Francisco de Conchos</t>
  </si>
  <si>
    <t xml:space="preserve">08059</t>
  </si>
  <si>
    <t xml:space="preserve">San Francisco del Oro</t>
  </si>
  <si>
    <t xml:space="preserve">08060</t>
  </si>
  <si>
    <t xml:space="preserve">Santa Bárbara</t>
  </si>
  <si>
    <t xml:space="preserve">08061</t>
  </si>
  <si>
    <t xml:space="preserve">Satevó</t>
  </si>
  <si>
    <t xml:space="preserve">08062</t>
  </si>
  <si>
    <t xml:space="preserve">Saucillo</t>
  </si>
  <si>
    <t xml:space="preserve">08063</t>
  </si>
  <si>
    <t xml:space="preserve">Temósachic</t>
  </si>
  <si>
    <t xml:space="preserve">08064</t>
  </si>
  <si>
    <t xml:space="preserve">El Tule</t>
  </si>
  <si>
    <t xml:space="preserve">08065</t>
  </si>
  <si>
    <t xml:space="preserve">Urique</t>
  </si>
  <si>
    <t xml:space="preserve">08066</t>
  </si>
  <si>
    <t xml:space="preserve">066</t>
  </si>
  <si>
    <t xml:space="preserve">Uruachi</t>
  </si>
  <si>
    <t xml:space="preserve">08067</t>
  </si>
  <si>
    <t xml:space="preserve">Valle de Zaragoza</t>
  </si>
  <si>
    <t xml:space="preserve">10005</t>
  </si>
  <si>
    <t xml:space="preserve">10</t>
  </si>
  <si>
    <t xml:space="preserve">Durango</t>
  </si>
  <si>
    <t xml:space="preserve">10007</t>
  </si>
  <si>
    <t xml:space="preserve">Gómez Palacio</t>
  </si>
  <si>
    <t xml:space="preserve">10012</t>
  </si>
  <si>
    <t xml:space="preserve">Lerdo</t>
  </si>
  <si>
    <t xml:space="preserve">11001</t>
  </si>
  <si>
    <t xml:space="preserve">11</t>
  </si>
  <si>
    <t xml:space="preserve">Guanajuato</t>
  </si>
  <si>
    <t xml:space="preserve">11002</t>
  </si>
  <si>
    <t xml:space="preserve">Acámbaro</t>
  </si>
  <si>
    <t xml:space="preserve">11003</t>
  </si>
  <si>
    <t xml:space="preserve">San Miguel de Allende</t>
  </si>
  <si>
    <t xml:space="preserve">11004</t>
  </si>
  <si>
    <t xml:space="preserve">Apaseo el Alto</t>
  </si>
  <si>
    <t xml:space="preserve">11005</t>
  </si>
  <si>
    <t xml:space="preserve">Apaseo el Grande</t>
  </si>
  <si>
    <t xml:space="preserve">11006</t>
  </si>
  <si>
    <t xml:space="preserve">Atarjea</t>
  </si>
  <si>
    <t xml:space="preserve">11007</t>
  </si>
  <si>
    <t xml:space="preserve">Celaya</t>
  </si>
  <si>
    <t xml:space="preserve">11008</t>
  </si>
  <si>
    <t xml:space="preserve">Manuel Doblado</t>
  </si>
  <si>
    <t xml:space="preserve">11009</t>
  </si>
  <si>
    <t xml:space="preserve">Comonfort</t>
  </si>
  <si>
    <t xml:space="preserve">11013</t>
  </si>
  <si>
    <t xml:space="preserve">Doctor Mora</t>
  </si>
  <si>
    <t xml:space="preserve">11014</t>
  </si>
  <si>
    <t xml:space="preserve">Dolores Hidalgo Cuna de la Independencia Nacional</t>
  </si>
  <si>
    <t xml:space="preserve">11015</t>
  </si>
  <si>
    <t xml:space="preserve">11016</t>
  </si>
  <si>
    <t xml:space="preserve">Huanímaro</t>
  </si>
  <si>
    <t xml:space="preserve">11017</t>
  </si>
  <si>
    <t xml:space="preserve">Irapuato</t>
  </si>
  <si>
    <t xml:space="preserve">11019</t>
  </si>
  <si>
    <t xml:space="preserve">Jerécuaro</t>
  </si>
  <si>
    <t xml:space="preserve">11020</t>
  </si>
  <si>
    <t xml:space="preserve">León</t>
  </si>
  <si>
    <t xml:space="preserve">11021</t>
  </si>
  <si>
    <t xml:space="preserve">Moroleón</t>
  </si>
  <si>
    <t xml:space="preserve">11022</t>
  </si>
  <si>
    <t xml:space="preserve">11023</t>
  </si>
  <si>
    <t xml:space="preserve">Pénjamo</t>
  </si>
  <si>
    <t xml:space="preserve">11027</t>
  </si>
  <si>
    <t xml:space="preserve">Salamanca</t>
  </si>
  <si>
    <t xml:space="preserve">11029</t>
  </si>
  <si>
    <t xml:space="preserve">San Diego de la Unión</t>
  </si>
  <si>
    <t xml:space="preserve">11030</t>
  </si>
  <si>
    <t xml:space="preserve">11032</t>
  </si>
  <si>
    <t xml:space="preserve">San José de Iturbide</t>
  </si>
  <si>
    <t xml:space="preserve">11033</t>
  </si>
  <si>
    <t xml:space="preserve">San Luis de la Paz</t>
  </si>
  <si>
    <t xml:space="preserve">11034</t>
  </si>
  <si>
    <t xml:space="preserve">Santa Catarina</t>
  </si>
  <si>
    <t xml:space="preserve">11035</t>
  </si>
  <si>
    <t xml:space="preserve">Santa Cruz de Juventino Rosas</t>
  </si>
  <si>
    <t xml:space="preserve">11037</t>
  </si>
  <si>
    <t xml:space="preserve">Silao de la Victoria</t>
  </si>
  <si>
    <t xml:space="preserve">11039</t>
  </si>
  <si>
    <t xml:space="preserve">Tarimoro</t>
  </si>
  <si>
    <t xml:space="preserve">11040</t>
  </si>
  <si>
    <t xml:space="preserve">Tierra Blanca</t>
  </si>
  <si>
    <t xml:space="preserve">11041</t>
  </si>
  <si>
    <t xml:space="preserve">Uriangato</t>
  </si>
  <si>
    <t xml:space="preserve">11042</t>
  </si>
  <si>
    <t xml:space="preserve">Valle de Santiago</t>
  </si>
  <si>
    <t xml:space="preserve">11043</t>
  </si>
  <si>
    <t xml:space="preserve">Victoria</t>
  </si>
  <si>
    <t xml:space="preserve">11045</t>
  </si>
  <si>
    <t xml:space="preserve">Xichú</t>
  </si>
  <si>
    <t xml:space="preserve">11046</t>
  </si>
  <si>
    <t xml:space="preserve">Yuriria</t>
  </si>
  <si>
    <t xml:space="preserve">12001</t>
  </si>
  <si>
    <t xml:space="preserve">12</t>
  </si>
  <si>
    <t xml:space="preserve">Acapulco de Juárez</t>
  </si>
  <si>
    <t xml:space="preserve">12011</t>
  </si>
  <si>
    <t xml:space="preserve">Atoyac de Álvarez</t>
  </si>
  <si>
    <t xml:space="preserve">12021</t>
  </si>
  <si>
    <t xml:space="preserve">Coyuca de Benítez</t>
  </si>
  <si>
    <t xml:space="preserve">12028</t>
  </si>
  <si>
    <t xml:space="preserve">Chilapa de Álvarez</t>
  </si>
  <si>
    <t xml:space="preserve">12029</t>
  </si>
  <si>
    <t xml:space="preserve">Chilpancingo de los Bravo</t>
  </si>
  <si>
    <t xml:space="preserve">12035</t>
  </si>
  <si>
    <t xml:space="preserve">Iguala de la Independencia</t>
  </si>
  <si>
    <t xml:space="preserve">12038</t>
  </si>
  <si>
    <t xml:space="preserve">Zihuatanejo de Azueta</t>
  </si>
  <si>
    <t xml:space="preserve">12046</t>
  </si>
  <si>
    <t xml:space="preserve">Ometepec</t>
  </si>
  <si>
    <t xml:space="preserve">13028</t>
  </si>
  <si>
    <t xml:space="preserve">13</t>
  </si>
  <si>
    <t xml:space="preserve">Huejutla de Reyes</t>
  </si>
  <si>
    <t xml:space="preserve">13048</t>
  </si>
  <si>
    <t xml:space="preserve">Pachuca de Soto</t>
  </si>
  <si>
    <t xml:space="preserve">13063</t>
  </si>
  <si>
    <t xml:space="preserve">Tepeji del Río de Ocampo</t>
  </si>
  <si>
    <t xml:space="preserve">13076</t>
  </si>
  <si>
    <t xml:space="preserve">076</t>
  </si>
  <si>
    <t xml:space="preserve">Tula de Allende</t>
  </si>
  <si>
    <t xml:space="preserve">13077</t>
  </si>
  <si>
    <t xml:space="preserve">Tulancingo de Bravo</t>
  </si>
  <si>
    <t xml:space="preserve">14006</t>
  </si>
  <si>
    <t xml:space="preserve">14</t>
  </si>
  <si>
    <t xml:space="preserve">Jalisco</t>
  </si>
  <si>
    <t xml:space="preserve">Ameca</t>
  </si>
  <si>
    <t xml:space="preserve">14007</t>
  </si>
  <si>
    <t xml:space="preserve">San Juanito de Escobedo</t>
  </si>
  <si>
    <t xml:space="preserve">14008</t>
  </si>
  <si>
    <t xml:space="preserve">Arandas</t>
  </si>
  <si>
    <t xml:space="preserve">14009</t>
  </si>
  <si>
    <t xml:space="preserve">El Arenal</t>
  </si>
  <si>
    <t xml:space="preserve">14011</t>
  </si>
  <si>
    <t xml:space="preserve">Atengo</t>
  </si>
  <si>
    <t xml:space="preserve">14013</t>
  </si>
  <si>
    <t xml:space="preserve">Atotonilco el Alto</t>
  </si>
  <si>
    <t xml:space="preserve">14015</t>
  </si>
  <si>
    <t xml:space="preserve">Autlán de Navarro</t>
  </si>
  <si>
    <t xml:space="preserve">14018</t>
  </si>
  <si>
    <t xml:space="preserve">La Barca</t>
  </si>
  <si>
    <t xml:space="preserve">14023</t>
  </si>
  <si>
    <t xml:space="preserve">Zapotlán el Grande</t>
  </si>
  <si>
    <t xml:space="preserve">14025</t>
  </si>
  <si>
    <t xml:space="preserve">Colotlán</t>
  </si>
  <si>
    <t xml:space="preserve">14030</t>
  </si>
  <si>
    <t xml:space="preserve">Chapala</t>
  </si>
  <si>
    <t xml:space="preserve">14038</t>
  </si>
  <si>
    <t xml:space="preserve">Guachinango</t>
  </si>
  <si>
    <t xml:space="preserve">14039</t>
  </si>
  <si>
    <t xml:space="preserve">Guadalajara</t>
  </si>
  <si>
    <t xml:space="preserve">14041</t>
  </si>
  <si>
    <t xml:space="preserve">Huejúcar</t>
  </si>
  <si>
    <t xml:space="preserve">14048</t>
  </si>
  <si>
    <t xml:space="preserve">14050</t>
  </si>
  <si>
    <t xml:space="preserve">Jocotepec</t>
  </si>
  <si>
    <t xml:space="preserve">14053</t>
  </si>
  <si>
    <t xml:space="preserve">Lagos de Moreno</t>
  </si>
  <si>
    <t xml:space="preserve">14054</t>
  </si>
  <si>
    <t xml:space="preserve">El Limón</t>
  </si>
  <si>
    <t xml:space="preserve">14065</t>
  </si>
  <si>
    <t xml:space="preserve">Pihuamo</t>
  </si>
  <si>
    <t xml:space="preserve">14067</t>
  </si>
  <si>
    <t xml:space="preserve">Puerto Vallarta</t>
  </si>
  <si>
    <t xml:space="preserve">14068</t>
  </si>
  <si>
    <t xml:space="preserve">Villa Purificación</t>
  </si>
  <si>
    <t xml:space="preserve">14073</t>
  </si>
  <si>
    <t xml:space="preserve">San Juan de los Lagos</t>
  </si>
  <si>
    <t xml:space="preserve">14081</t>
  </si>
  <si>
    <t xml:space="preserve">081</t>
  </si>
  <si>
    <t xml:space="preserve">Santa María de los Ángeles</t>
  </si>
  <si>
    <t xml:space="preserve">14085</t>
  </si>
  <si>
    <t xml:space="preserve">Tamazula de Gordiano</t>
  </si>
  <si>
    <t xml:space="preserve">14087</t>
  </si>
  <si>
    <t xml:space="preserve">Tecalitlán</t>
  </si>
  <si>
    <t xml:space="preserve">14090</t>
  </si>
  <si>
    <t xml:space="preserve">Tenamaxtlán</t>
  </si>
  <si>
    <t xml:space="preserve">14093</t>
  </si>
  <si>
    <t xml:space="preserve">Tepatitlán de Morelos</t>
  </si>
  <si>
    <t xml:space="preserve">14095</t>
  </si>
  <si>
    <t xml:space="preserve">095</t>
  </si>
  <si>
    <t xml:space="preserve">Teuchitlán</t>
  </si>
  <si>
    <t xml:space="preserve">14099</t>
  </si>
  <si>
    <t xml:space="preserve">Tolimán</t>
  </si>
  <si>
    <t xml:space="preserve">14100</t>
  </si>
  <si>
    <t xml:space="preserve">Tomatlán</t>
  </si>
  <si>
    <t xml:space="preserve">14101</t>
  </si>
  <si>
    <t xml:space="preserve">14108</t>
  </si>
  <si>
    <t xml:space="preserve">108</t>
  </si>
  <si>
    <t xml:space="preserve">Tuxpan</t>
  </si>
  <si>
    <t xml:space="preserve">14110</t>
  </si>
  <si>
    <t xml:space="preserve">Unión de Tula</t>
  </si>
  <si>
    <t xml:space="preserve">14114</t>
  </si>
  <si>
    <t xml:space="preserve">Villa Corona</t>
  </si>
  <si>
    <t xml:space="preserve">14115</t>
  </si>
  <si>
    <t xml:space="preserve">Villa Guerrero</t>
  </si>
  <si>
    <t xml:space="preserve">14117</t>
  </si>
  <si>
    <t xml:space="preserve">Cañadas de Obregón</t>
  </si>
  <si>
    <t xml:space="preserve">14120</t>
  </si>
  <si>
    <t xml:space="preserve">Zapopan</t>
  </si>
  <si>
    <t xml:space="preserve">14124</t>
  </si>
  <si>
    <t xml:space="preserve">124</t>
  </si>
  <si>
    <t xml:space="preserve">Zapotlanejo</t>
  </si>
  <si>
    <t xml:space="preserve">14125</t>
  </si>
  <si>
    <t xml:space="preserve">San Ignacio Cerro Gordo</t>
  </si>
  <si>
    <t xml:space="preserve">15001</t>
  </si>
  <si>
    <t xml:space="preserve">15</t>
  </si>
  <si>
    <t xml:space="preserve">México</t>
  </si>
  <si>
    <t xml:space="preserve">Acambay de Ruíz Castañeda</t>
  </si>
  <si>
    <t xml:space="preserve">15002</t>
  </si>
  <si>
    <t xml:space="preserve">Acolman</t>
  </si>
  <si>
    <t xml:space="preserve">15003</t>
  </si>
  <si>
    <t xml:space="preserve">Aculco</t>
  </si>
  <si>
    <t xml:space="preserve">15004</t>
  </si>
  <si>
    <t xml:space="preserve">Almoloya de Alquisiras</t>
  </si>
  <si>
    <t xml:space="preserve">15005</t>
  </si>
  <si>
    <t xml:space="preserve">Almoloya de Juárez</t>
  </si>
  <si>
    <t xml:space="preserve">15006</t>
  </si>
  <si>
    <t xml:space="preserve">Almoloya del Río</t>
  </si>
  <si>
    <t xml:space="preserve">15007</t>
  </si>
  <si>
    <t xml:space="preserve">Amanalco</t>
  </si>
  <si>
    <t xml:space="preserve">15008</t>
  </si>
  <si>
    <t xml:space="preserve">Amatepec</t>
  </si>
  <si>
    <t xml:space="preserve">15009</t>
  </si>
  <si>
    <t xml:space="preserve">Amecameca</t>
  </si>
  <si>
    <t xml:space="preserve">15010</t>
  </si>
  <si>
    <t xml:space="preserve">Apaxco</t>
  </si>
  <si>
    <t xml:space="preserve">15011</t>
  </si>
  <si>
    <t xml:space="preserve">Atenco</t>
  </si>
  <si>
    <t xml:space="preserve">15012</t>
  </si>
  <si>
    <t xml:space="preserve">Atizapán</t>
  </si>
  <si>
    <t xml:space="preserve">15013</t>
  </si>
  <si>
    <t xml:space="preserve">Atizapán de Zaragoza</t>
  </si>
  <si>
    <t xml:space="preserve">15014</t>
  </si>
  <si>
    <t xml:space="preserve">Atlacomulco</t>
  </si>
  <si>
    <t xml:space="preserve">15015</t>
  </si>
  <si>
    <t xml:space="preserve">Atlautla</t>
  </si>
  <si>
    <t xml:space="preserve">15016</t>
  </si>
  <si>
    <t xml:space="preserve">Axapusco</t>
  </si>
  <si>
    <t xml:space="preserve">15017</t>
  </si>
  <si>
    <t xml:space="preserve">Ayapango</t>
  </si>
  <si>
    <t xml:space="preserve">15018</t>
  </si>
  <si>
    <t xml:space="preserve">Calimaya</t>
  </si>
  <si>
    <t xml:space="preserve">15019</t>
  </si>
  <si>
    <t xml:space="preserve">Capulhuac</t>
  </si>
  <si>
    <t xml:space="preserve">15020</t>
  </si>
  <si>
    <t xml:space="preserve">Coacalco de Berriozábal</t>
  </si>
  <si>
    <t xml:space="preserve">15021</t>
  </si>
  <si>
    <t xml:space="preserve">Coatepec Harinas</t>
  </si>
  <si>
    <t xml:space="preserve">15022</t>
  </si>
  <si>
    <t xml:space="preserve">Cocotitlán</t>
  </si>
  <si>
    <t xml:space="preserve">15023</t>
  </si>
  <si>
    <t xml:space="preserve">Coyotepec</t>
  </si>
  <si>
    <t xml:space="preserve">15024</t>
  </si>
  <si>
    <t xml:space="preserve">Cuautitlán</t>
  </si>
  <si>
    <t xml:space="preserve">15025</t>
  </si>
  <si>
    <t xml:space="preserve">Chalco</t>
  </si>
  <si>
    <t xml:space="preserve">15026</t>
  </si>
  <si>
    <t xml:space="preserve">Chapa de Mota</t>
  </si>
  <si>
    <t xml:space="preserve">15027</t>
  </si>
  <si>
    <t xml:space="preserve">Chapultepec</t>
  </si>
  <si>
    <t xml:space="preserve">15028</t>
  </si>
  <si>
    <t xml:space="preserve">Chiautla</t>
  </si>
  <si>
    <t xml:space="preserve">15029</t>
  </si>
  <si>
    <t xml:space="preserve">Chicoloapan</t>
  </si>
  <si>
    <t xml:space="preserve">15030</t>
  </si>
  <si>
    <t xml:space="preserve">Chiconcuac</t>
  </si>
  <si>
    <t xml:space="preserve">15031</t>
  </si>
  <si>
    <t xml:space="preserve">Chimalhuacán</t>
  </si>
  <si>
    <t xml:space="preserve">15032</t>
  </si>
  <si>
    <t xml:space="preserve">Donato Guerra</t>
  </si>
  <si>
    <t xml:space="preserve">15033</t>
  </si>
  <si>
    <t xml:space="preserve">Ecatepec de Morelos</t>
  </si>
  <si>
    <t xml:space="preserve">15034</t>
  </si>
  <si>
    <t xml:space="preserve">Ecatzingo</t>
  </si>
  <si>
    <t xml:space="preserve">15035</t>
  </si>
  <si>
    <t xml:space="preserve">Huehuetoca</t>
  </si>
  <si>
    <t xml:space="preserve">15036</t>
  </si>
  <si>
    <t xml:space="preserve">Hueypoxtla</t>
  </si>
  <si>
    <t xml:space="preserve">15037</t>
  </si>
  <si>
    <t xml:space="preserve">Huixquilucan</t>
  </si>
  <si>
    <t xml:space="preserve">15038</t>
  </si>
  <si>
    <t xml:space="preserve">Isidro Fabela</t>
  </si>
  <si>
    <t xml:space="preserve">15039</t>
  </si>
  <si>
    <t xml:space="preserve">Ixtapaluca</t>
  </si>
  <si>
    <t xml:space="preserve">15040</t>
  </si>
  <si>
    <t xml:space="preserve">Ixtapan de la Sal</t>
  </si>
  <si>
    <t xml:space="preserve">15041</t>
  </si>
  <si>
    <t xml:space="preserve">Ixtapan del Oro</t>
  </si>
  <si>
    <t xml:space="preserve">15042</t>
  </si>
  <si>
    <t xml:space="preserve">Ixtlahuaca</t>
  </si>
  <si>
    <t xml:space="preserve">15043</t>
  </si>
  <si>
    <t xml:space="preserve">Xalatlaco</t>
  </si>
  <si>
    <t xml:space="preserve">15044</t>
  </si>
  <si>
    <t xml:space="preserve">Jaltenco</t>
  </si>
  <si>
    <t xml:space="preserve">15045</t>
  </si>
  <si>
    <t xml:space="preserve">Jilotepec</t>
  </si>
  <si>
    <t xml:space="preserve">15046</t>
  </si>
  <si>
    <t xml:space="preserve">Jilotzingo</t>
  </si>
  <si>
    <t xml:space="preserve">15047</t>
  </si>
  <si>
    <t xml:space="preserve">Jiquipilco</t>
  </si>
  <si>
    <t xml:space="preserve">15048</t>
  </si>
  <si>
    <t xml:space="preserve">Jocotitlán</t>
  </si>
  <si>
    <t xml:space="preserve">15049</t>
  </si>
  <si>
    <t xml:space="preserve">Joquicingo</t>
  </si>
  <si>
    <t xml:space="preserve">15050</t>
  </si>
  <si>
    <t xml:space="preserve">Juchitepec</t>
  </si>
  <si>
    <t xml:space="preserve">15051</t>
  </si>
  <si>
    <t xml:space="preserve">Lerma</t>
  </si>
  <si>
    <t xml:space="preserve">15052</t>
  </si>
  <si>
    <t xml:space="preserve">Malinalco</t>
  </si>
  <si>
    <t xml:space="preserve">15053</t>
  </si>
  <si>
    <t xml:space="preserve">Melchor Ocampo</t>
  </si>
  <si>
    <t xml:space="preserve">15054</t>
  </si>
  <si>
    <t xml:space="preserve">Metepec</t>
  </si>
  <si>
    <t xml:space="preserve">15055</t>
  </si>
  <si>
    <t xml:space="preserve">Mexicaltzingo</t>
  </si>
  <si>
    <t xml:space="preserve">15056</t>
  </si>
  <si>
    <t xml:space="preserve">15057</t>
  </si>
  <si>
    <t xml:space="preserve">Naucalpan de Juárez</t>
  </si>
  <si>
    <t xml:space="preserve">15058</t>
  </si>
  <si>
    <t xml:space="preserve">Nezahualcóyotl</t>
  </si>
  <si>
    <t xml:space="preserve">15059</t>
  </si>
  <si>
    <t xml:space="preserve">Nextlalpan</t>
  </si>
  <si>
    <t xml:space="preserve">15060</t>
  </si>
  <si>
    <t xml:space="preserve">Nicolás Romero</t>
  </si>
  <si>
    <t xml:space="preserve">15061</t>
  </si>
  <si>
    <t xml:space="preserve">Nopaltepec</t>
  </si>
  <si>
    <t xml:space="preserve">15062</t>
  </si>
  <si>
    <t xml:space="preserve">Ocoyoacac</t>
  </si>
  <si>
    <t xml:space="preserve">15063</t>
  </si>
  <si>
    <t xml:space="preserve">Ocuilan</t>
  </si>
  <si>
    <t xml:space="preserve">15064</t>
  </si>
  <si>
    <t xml:space="preserve">El Oro</t>
  </si>
  <si>
    <t xml:space="preserve">15065</t>
  </si>
  <si>
    <t xml:space="preserve">Otumba</t>
  </si>
  <si>
    <t xml:space="preserve">15066</t>
  </si>
  <si>
    <t xml:space="preserve">Otzoloapan</t>
  </si>
  <si>
    <t xml:space="preserve">15067</t>
  </si>
  <si>
    <t xml:space="preserve">Otzolotepec</t>
  </si>
  <si>
    <t xml:space="preserve">15068</t>
  </si>
  <si>
    <t xml:space="preserve">Ozumba</t>
  </si>
  <si>
    <t xml:space="preserve">15069</t>
  </si>
  <si>
    <t xml:space="preserve">069</t>
  </si>
  <si>
    <t xml:space="preserve">Papalotla</t>
  </si>
  <si>
    <t xml:space="preserve">15070</t>
  </si>
  <si>
    <t xml:space="preserve">15071</t>
  </si>
  <si>
    <t xml:space="preserve">071</t>
  </si>
  <si>
    <t xml:space="preserve">Polotitlán</t>
  </si>
  <si>
    <t xml:space="preserve">15072</t>
  </si>
  <si>
    <t xml:space="preserve">15073</t>
  </si>
  <si>
    <t xml:space="preserve">San Antonio la Isla</t>
  </si>
  <si>
    <t xml:space="preserve">15074</t>
  </si>
  <si>
    <t xml:space="preserve">San Felipe del Progreso</t>
  </si>
  <si>
    <t xml:space="preserve">15075</t>
  </si>
  <si>
    <t xml:space="preserve">San Martín de las Pirámides</t>
  </si>
  <si>
    <t xml:space="preserve">15076</t>
  </si>
  <si>
    <t xml:space="preserve">San Mateo Atenco</t>
  </si>
  <si>
    <t xml:space="preserve">15077</t>
  </si>
  <si>
    <t xml:space="preserve">San Simón de Guerrero</t>
  </si>
  <si>
    <t xml:space="preserve">15078</t>
  </si>
  <si>
    <t xml:space="preserve">Santo Tomás</t>
  </si>
  <si>
    <t xml:space="preserve">15079</t>
  </si>
  <si>
    <t xml:space="preserve">Soyaniquilpan de Juárez</t>
  </si>
  <si>
    <t xml:space="preserve">15080</t>
  </si>
  <si>
    <t xml:space="preserve">080</t>
  </si>
  <si>
    <t xml:space="preserve">Sultepec</t>
  </si>
  <si>
    <t xml:space="preserve">15081</t>
  </si>
  <si>
    <t xml:space="preserve">Tecámac</t>
  </si>
  <si>
    <t xml:space="preserve">15082</t>
  </si>
  <si>
    <t xml:space="preserve">082</t>
  </si>
  <si>
    <t xml:space="preserve">Tejupilco</t>
  </si>
  <si>
    <t xml:space="preserve">15083</t>
  </si>
  <si>
    <t xml:space="preserve">Temamatla</t>
  </si>
  <si>
    <t xml:space="preserve">15084</t>
  </si>
  <si>
    <t xml:space="preserve">Temascalapa</t>
  </si>
  <si>
    <t xml:space="preserve">15085</t>
  </si>
  <si>
    <t xml:space="preserve">Temascalcingo</t>
  </si>
  <si>
    <t xml:space="preserve">15086</t>
  </si>
  <si>
    <t xml:space="preserve">Temascaltepec</t>
  </si>
  <si>
    <t xml:space="preserve">15087</t>
  </si>
  <si>
    <t xml:space="preserve">Temoaya</t>
  </si>
  <si>
    <t xml:space="preserve">15088</t>
  </si>
  <si>
    <t xml:space="preserve">Tenancingo</t>
  </si>
  <si>
    <t xml:space="preserve">15089</t>
  </si>
  <si>
    <t xml:space="preserve">Tenango del Aire</t>
  </si>
  <si>
    <t xml:space="preserve">15090</t>
  </si>
  <si>
    <t xml:space="preserve">Tenango del Valle</t>
  </si>
  <si>
    <t xml:space="preserve">15091</t>
  </si>
  <si>
    <t xml:space="preserve">Teoloyucan</t>
  </si>
  <si>
    <t xml:space="preserve">15092</t>
  </si>
  <si>
    <t xml:space="preserve">Teotihuacán</t>
  </si>
  <si>
    <t xml:space="preserve">15093</t>
  </si>
  <si>
    <t xml:space="preserve">Tepetlaoxtoc</t>
  </si>
  <si>
    <t xml:space="preserve">15094</t>
  </si>
  <si>
    <t xml:space="preserve">094</t>
  </si>
  <si>
    <t xml:space="preserve">Tepetlixpa</t>
  </si>
  <si>
    <t xml:space="preserve">15095</t>
  </si>
  <si>
    <t xml:space="preserve">Tepotzotlán</t>
  </si>
  <si>
    <t xml:space="preserve">15096</t>
  </si>
  <si>
    <t xml:space="preserve">Tequixquiac</t>
  </si>
  <si>
    <t xml:space="preserve">15097</t>
  </si>
  <si>
    <t xml:space="preserve">Texcaltitlán</t>
  </si>
  <si>
    <t xml:space="preserve">15098</t>
  </si>
  <si>
    <t xml:space="preserve">Texcalyacac</t>
  </si>
  <si>
    <t xml:space="preserve">15099</t>
  </si>
  <si>
    <t xml:space="preserve">Texcoco</t>
  </si>
  <si>
    <t xml:space="preserve">15100</t>
  </si>
  <si>
    <t xml:space="preserve">Tezoyuca</t>
  </si>
  <si>
    <t xml:space="preserve">15101</t>
  </si>
  <si>
    <t xml:space="preserve">Tianguistenco</t>
  </si>
  <si>
    <t xml:space="preserve">15102</t>
  </si>
  <si>
    <t xml:space="preserve">Timilpan</t>
  </si>
  <si>
    <t xml:space="preserve">15103</t>
  </si>
  <si>
    <t xml:space="preserve">Tlalmanalco</t>
  </si>
  <si>
    <t xml:space="preserve">15104</t>
  </si>
  <si>
    <t xml:space="preserve">Tlalnepantla de Baz</t>
  </si>
  <si>
    <t xml:space="preserve">15105</t>
  </si>
  <si>
    <t xml:space="preserve">Tlatlaya</t>
  </si>
  <si>
    <t xml:space="preserve">15106</t>
  </si>
  <si>
    <t xml:space="preserve">Toluca</t>
  </si>
  <si>
    <t xml:space="preserve">15107</t>
  </si>
  <si>
    <t xml:space="preserve">Tonatico</t>
  </si>
  <si>
    <t xml:space="preserve">15108</t>
  </si>
  <si>
    <t xml:space="preserve">Tultepec</t>
  </si>
  <si>
    <t xml:space="preserve">15109</t>
  </si>
  <si>
    <t xml:space="preserve">Tultitlán</t>
  </si>
  <si>
    <t xml:space="preserve">15110</t>
  </si>
  <si>
    <t xml:space="preserve">Valle de Bravo</t>
  </si>
  <si>
    <t xml:space="preserve">15111</t>
  </si>
  <si>
    <t xml:space="preserve">Villa de Allende</t>
  </si>
  <si>
    <t xml:space="preserve">15112</t>
  </si>
  <si>
    <t xml:space="preserve">Villa del Carbón</t>
  </si>
  <si>
    <t xml:space="preserve">15113</t>
  </si>
  <si>
    <t xml:space="preserve">113</t>
  </si>
  <si>
    <t xml:space="preserve">15114</t>
  </si>
  <si>
    <t xml:space="preserve">Villa Victoria</t>
  </si>
  <si>
    <t xml:space="preserve">15115</t>
  </si>
  <si>
    <t xml:space="preserve">Xonacatlán</t>
  </si>
  <si>
    <t xml:space="preserve">15116</t>
  </si>
  <si>
    <t xml:space="preserve">116</t>
  </si>
  <si>
    <t xml:space="preserve">Zacazonapan</t>
  </si>
  <si>
    <t xml:space="preserve">15117</t>
  </si>
  <si>
    <t xml:space="preserve">Zacualpan</t>
  </si>
  <si>
    <t xml:space="preserve">15118</t>
  </si>
  <si>
    <t xml:space="preserve">Zinacantepec</t>
  </si>
  <si>
    <t xml:space="preserve">15119</t>
  </si>
  <si>
    <t xml:space="preserve">119</t>
  </si>
  <si>
    <t xml:space="preserve">Zumpahuacán</t>
  </si>
  <si>
    <t xml:space="preserve">15120</t>
  </si>
  <si>
    <t xml:space="preserve">Zumpango</t>
  </si>
  <si>
    <t xml:space="preserve">15121</t>
  </si>
  <si>
    <t xml:space="preserve">Cuautitlán Izcalli</t>
  </si>
  <si>
    <t xml:space="preserve">15122</t>
  </si>
  <si>
    <t xml:space="preserve">Valle de Chalco Solidaridad</t>
  </si>
  <si>
    <t xml:space="preserve">15123</t>
  </si>
  <si>
    <t xml:space="preserve">Luvianos</t>
  </si>
  <si>
    <t xml:space="preserve">15124</t>
  </si>
  <si>
    <t xml:space="preserve">San José del Rincón</t>
  </si>
  <si>
    <t xml:space="preserve">15125</t>
  </si>
  <si>
    <t xml:space="preserve">Tonanitla</t>
  </si>
  <si>
    <t xml:space="preserve">16001</t>
  </si>
  <si>
    <t xml:space="preserve">16</t>
  </si>
  <si>
    <t xml:space="preserve">Michoacán de Ocampo</t>
  </si>
  <si>
    <t xml:space="preserve">Acuitzio</t>
  </si>
  <si>
    <t xml:space="preserve">16002</t>
  </si>
  <si>
    <t xml:space="preserve">Aguililla</t>
  </si>
  <si>
    <t xml:space="preserve">16003</t>
  </si>
  <si>
    <t xml:space="preserve">Álvaro Obregón</t>
  </si>
  <si>
    <t xml:space="preserve">16004</t>
  </si>
  <si>
    <t xml:space="preserve">Angamacutiro</t>
  </si>
  <si>
    <t xml:space="preserve">16005</t>
  </si>
  <si>
    <t xml:space="preserve">Angangueo</t>
  </si>
  <si>
    <t xml:space="preserve">16006</t>
  </si>
  <si>
    <t xml:space="preserve">Apatzingán</t>
  </si>
  <si>
    <t xml:space="preserve">16007</t>
  </si>
  <si>
    <t xml:space="preserve">Aporo</t>
  </si>
  <si>
    <t xml:space="preserve">16008</t>
  </si>
  <si>
    <t xml:space="preserve">Aquila</t>
  </si>
  <si>
    <t xml:space="preserve">16009</t>
  </si>
  <si>
    <t xml:space="preserve">Ario</t>
  </si>
  <si>
    <t xml:space="preserve">16010</t>
  </si>
  <si>
    <t xml:space="preserve">16011</t>
  </si>
  <si>
    <t xml:space="preserve">Briseñas</t>
  </si>
  <si>
    <t xml:space="preserve">16012</t>
  </si>
  <si>
    <t xml:space="preserve">Buenavista</t>
  </si>
  <si>
    <t xml:space="preserve">16013</t>
  </si>
  <si>
    <t xml:space="preserve">Carácuaro</t>
  </si>
  <si>
    <t xml:space="preserve">16014</t>
  </si>
  <si>
    <t xml:space="preserve">Coahuayana</t>
  </si>
  <si>
    <t xml:space="preserve">16015</t>
  </si>
  <si>
    <t xml:space="preserve">Coalcomán de Vázquez Pallares</t>
  </si>
  <si>
    <t xml:space="preserve">16016</t>
  </si>
  <si>
    <t xml:space="preserve">Coeneo</t>
  </si>
  <si>
    <t xml:space="preserve">16017</t>
  </si>
  <si>
    <t xml:space="preserve">Contepec</t>
  </si>
  <si>
    <t xml:space="preserve">16018</t>
  </si>
  <si>
    <t xml:space="preserve">Copándaro</t>
  </si>
  <si>
    <t xml:space="preserve">16019</t>
  </si>
  <si>
    <t xml:space="preserve">Cotija</t>
  </si>
  <si>
    <t xml:space="preserve">16020</t>
  </si>
  <si>
    <t xml:space="preserve">Cuitzeo</t>
  </si>
  <si>
    <t xml:space="preserve">16021</t>
  </si>
  <si>
    <t xml:space="preserve">Charapan</t>
  </si>
  <si>
    <t xml:space="preserve">16022</t>
  </si>
  <si>
    <t xml:space="preserve">Charo</t>
  </si>
  <si>
    <t xml:space="preserve">16023</t>
  </si>
  <si>
    <t xml:space="preserve">Chavinda</t>
  </si>
  <si>
    <t xml:space="preserve">16024</t>
  </si>
  <si>
    <t xml:space="preserve">Cherán</t>
  </si>
  <si>
    <t xml:space="preserve">16025</t>
  </si>
  <si>
    <t xml:space="preserve">Chilchota</t>
  </si>
  <si>
    <t xml:space="preserve">16026</t>
  </si>
  <si>
    <t xml:space="preserve">Chinicuila</t>
  </si>
  <si>
    <t xml:space="preserve">16027</t>
  </si>
  <si>
    <t xml:space="preserve">Chucándiro</t>
  </si>
  <si>
    <t xml:space="preserve">16028</t>
  </si>
  <si>
    <t xml:space="preserve">Churintzio</t>
  </si>
  <si>
    <t xml:space="preserve">16029</t>
  </si>
  <si>
    <t xml:space="preserve">Churumuco</t>
  </si>
  <si>
    <t xml:space="preserve">16030</t>
  </si>
  <si>
    <t xml:space="preserve">Ecuandureo</t>
  </si>
  <si>
    <t xml:space="preserve">16031</t>
  </si>
  <si>
    <t xml:space="preserve">Epitacio Huerta</t>
  </si>
  <si>
    <t xml:space="preserve">16032</t>
  </si>
  <si>
    <t xml:space="preserve">Erongarícuaro</t>
  </si>
  <si>
    <t xml:space="preserve">16033</t>
  </si>
  <si>
    <t xml:space="preserve">Gabriel Zamora</t>
  </si>
  <si>
    <t xml:space="preserve">16034</t>
  </si>
  <si>
    <t xml:space="preserve">16035</t>
  </si>
  <si>
    <t xml:space="preserve">La Huacana</t>
  </si>
  <si>
    <t xml:space="preserve">16036</t>
  </si>
  <si>
    <t xml:space="preserve">Huandacareo</t>
  </si>
  <si>
    <t xml:space="preserve">16037</t>
  </si>
  <si>
    <t xml:space="preserve">Huaniqueo</t>
  </si>
  <si>
    <t xml:space="preserve">16038</t>
  </si>
  <si>
    <t xml:space="preserve">Huetamo</t>
  </si>
  <si>
    <t xml:space="preserve">16039</t>
  </si>
  <si>
    <t xml:space="preserve">Huiramba</t>
  </si>
  <si>
    <t xml:space="preserve">16040</t>
  </si>
  <si>
    <t xml:space="preserve">Indaparapeo</t>
  </si>
  <si>
    <t xml:space="preserve">16041</t>
  </si>
  <si>
    <t xml:space="preserve">Irimbo</t>
  </si>
  <si>
    <t xml:space="preserve">16042</t>
  </si>
  <si>
    <t xml:space="preserve">Ixtlán</t>
  </si>
  <si>
    <t xml:space="preserve">16043</t>
  </si>
  <si>
    <t xml:space="preserve">Jacona</t>
  </si>
  <si>
    <t xml:space="preserve">16044</t>
  </si>
  <si>
    <t xml:space="preserve">16045</t>
  </si>
  <si>
    <t xml:space="preserve">Jiquilpan</t>
  </si>
  <si>
    <t xml:space="preserve">16046</t>
  </si>
  <si>
    <t xml:space="preserve">16047</t>
  </si>
  <si>
    <t xml:space="preserve">Jungapeo</t>
  </si>
  <si>
    <t xml:space="preserve">16048</t>
  </si>
  <si>
    <t xml:space="preserve">Lagunillas</t>
  </si>
  <si>
    <t xml:space="preserve">16049</t>
  </si>
  <si>
    <t xml:space="preserve">Madero</t>
  </si>
  <si>
    <t xml:space="preserve">16050</t>
  </si>
  <si>
    <t xml:space="preserve">Maravatío</t>
  </si>
  <si>
    <t xml:space="preserve">16051</t>
  </si>
  <si>
    <t xml:space="preserve">Marcos Castellanos</t>
  </si>
  <si>
    <t xml:space="preserve">16052</t>
  </si>
  <si>
    <t xml:space="preserve">Lázaro Cárdenas</t>
  </si>
  <si>
    <t xml:space="preserve">16053</t>
  </si>
  <si>
    <t xml:space="preserve">Morelia</t>
  </si>
  <si>
    <t xml:space="preserve">16055</t>
  </si>
  <si>
    <t xml:space="preserve">Múgica</t>
  </si>
  <si>
    <t xml:space="preserve">16057</t>
  </si>
  <si>
    <t xml:space="preserve">Nocupétaro</t>
  </si>
  <si>
    <t xml:space="preserve">16058</t>
  </si>
  <si>
    <t xml:space="preserve">Nuevo Parangaricutiro</t>
  </si>
  <si>
    <t xml:space="preserve">16059</t>
  </si>
  <si>
    <t xml:space="preserve">Nuevo Urecho</t>
  </si>
  <si>
    <t xml:space="preserve">16060</t>
  </si>
  <si>
    <t xml:space="preserve">Numarán</t>
  </si>
  <si>
    <t xml:space="preserve">16061</t>
  </si>
  <si>
    <t xml:space="preserve">16062</t>
  </si>
  <si>
    <t xml:space="preserve">Pajacuarán</t>
  </si>
  <si>
    <t xml:space="preserve">16063</t>
  </si>
  <si>
    <t xml:space="preserve">Panindícuaro</t>
  </si>
  <si>
    <t xml:space="preserve">16064</t>
  </si>
  <si>
    <t xml:space="preserve">Parácuaro</t>
  </si>
  <si>
    <t xml:space="preserve">16065</t>
  </si>
  <si>
    <t xml:space="preserve">Paracho</t>
  </si>
  <si>
    <t xml:space="preserve">16066</t>
  </si>
  <si>
    <t xml:space="preserve">Pátzcuaro</t>
  </si>
  <si>
    <t xml:space="preserve">16067</t>
  </si>
  <si>
    <t xml:space="preserve">Penjamillo</t>
  </si>
  <si>
    <t xml:space="preserve">16068</t>
  </si>
  <si>
    <t xml:space="preserve">Peribán</t>
  </si>
  <si>
    <t xml:space="preserve">16069</t>
  </si>
  <si>
    <t xml:space="preserve">La Piedad</t>
  </si>
  <si>
    <t xml:space="preserve">16070</t>
  </si>
  <si>
    <t xml:space="preserve">Purépero</t>
  </si>
  <si>
    <t xml:space="preserve">16071</t>
  </si>
  <si>
    <t xml:space="preserve">Puruándiro</t>
  </si>
  <si>
    <t xml:space="preserve">16072</t>
  </si>
  <si>
    <t xml:space="preserve">Queréndaro</t>
  </si>
  <si>
    <t xml:space="preserve">16073</t>
  </si>
  <si>
    <t xml:space="preserve">Quiroga</t>
  </si>
  <si>
    <t xml:space="preserve">16074</t>
  </si>
  <si>
    <t xml:space="preserve">Cojumatlán de Régules</t>
  </si>
  <si>
    <t xml:space="preserve">16075</t>
  </si>
  <si>
    <t xml:space="preserve">Los Reyes</t>
  </si>
  <si>
    <t xml:space="preserve">16076</t>
  </si>
  <si>
    <t xml:space="preserve">Sahuayo</t>
  </si>
  <si>
    <t xml:space="preserve">16078</t>
  </si>
  <si>
    <t xml:space="preserve">Santa Ana Maya</t>
  </si>
  <si>
    <t xml:space="preserve">16079</t>
  </si>
  <si>
    <t xml:space="preserve">Salvador Escalante</t>
  </si>
  <si>
    <t xml:space="preserve">16080</t>
  </si>
  <si>
    <t xml:space="preserve">Senguio</t>
  </si>
  <si>
    <t xml:space="preserve">16081</t>
  </si>
  <si>
    <t xml:space="preserve">Susupuato</t>
  </si>
  <si>
    <t xml:space="preserve">16082</t>
  </si>
  <si>
    <t xml:space="preserve">Tacámbaro</t>
  </si>
  <si>
    <t xml:space="preserve">16083</t>
  </si>
  <si>
    <t xml:space="preserve">Tancítaro</t>
  </si>
  <si>
    <t xml:space="preserve">16084</t>
  </si>
  <si>
    <t xml:space="preserve">Tangamandapio</t>
  </si>
  <si>
    <t xml:space="preserve">16085</t>
  </si>
  <si>
    <t xml:space="preserve">Tangancícuaro</t>
  </si>
  <si>
    <t xml:space="preserve">16086</t>
  </si>
  <si>
    <t xml:space="preserve">Tanhuato</t>
  </si>
  <si>
    <t xml:space="preserve">16087</t>
  </si>
  <si>
    <t xml:space="preserve">Taretan</t>
  </si>
  <si>
    <t xml:space="preserve">16088</t>
  </si>
  <si>
    <t xml:space="preserve">Tarímbaro</t>
  </si>
  <si>
    <t xml:space="preserve">16089</t>
  </si>
  <si>
    <t xml:space="preserve">Tepalcatepec</t>
  </si>
  <si>
    <t xml:space="preserve">16090</t>
  </si>
  <si>
    <t xml:space="preserve">Tingambato</t>
  </si>
  <si>
    <t xml:space="preserve">16091</t>
  </si>
  <si>
    <t xml:space="preserve">Tingüindín</t>
  </si>
  <si>
    <t xml:space="preserve">16092</t>
  </si>
  <si>
    <t xml:space="preserve">Tiquicheo de Nicolás Romero</t>
  </si>
  <si>
    <t xml:space="preserve">16093</t>
  </si>
  <si>
    <t xml:space="preserve">Tlalpujahua</t>
  </si>
  <si>
    <t xml:space="preserve">16095</t>
  </si>
  <si>
    <t xml:space="preserve">Tocumbo</t>
  </si>
  <si>
    <t xml:space="preserve">16096</t>
  </si>
  <si>
    <t xml:space="preserve">Tumbiscatío</t>
  </si>
  <si>
    <t xml:space="preserve">16097</t>
  </si>
  <si>
    <t xml:space="preserve">Turicato</t>
  </si>
  <si>
    <t xml:space="preserve">16098</t>
  </si>
  <si>
    <t xml:space="preserve">16099</t>
  </si>
  <si>
    <t xml:space="preserve">Tuzantla</t>
  </si>
  <si>
    <t xml:space="preserve">16100</t>
  </si>
  <si>
    <t xml:space="preserve">Tzintzuntzan</t>
  </si>
  <si>
    <t xml:space="preserve">16101</t>
  </si>
  <si>
    <t xml:space="preserve">Tzitzio</t>
  </si>
  <si>
    <t xml:space="preserve">16102</t>
  </si>
  <si>
    <t xml:space="preserve">Uruapan</t>
  </si>
  <si>
    <t xml:space="preserve">16103</t>
  </si>
  <si>
    <t xml:space="preserve">16104</t>
  </si>
  <si>
    <t xml:space="preserve">Villamar</t>
  </si>
  <si>
    <t xml:space="preserve">16105</t>
  </si>
  <si>
    <t xml:space="preserve">Vista Hermosa</t>
  </si>
  <si>
    <t xml:space="preserve">16106</t>
  </si>
  <si>
    <t xml:space="preserve">Yurécuaro</t>
  </si>
  <si>
    <t xml:space="preserve">16107</t>
  </si>
  <si>
    <t xml:space="preserve">Zacapu</t>
  </si>
  <si>
    <t xml:space="preserve">16108</t>
  </si>
  <si>
    <t xml:space="preserve">Zamora</t>
  </si>
  <si>
    <t xml:space="preserve">16110</t>
  </si>
  <si>
    <t xml:space="preserve">Zinapécuaro</t>
  </si>
  <si>
    <t xml:space="preserve">16111</t>
  </si>
  <si>
    <t xml:space="preserve">Ziracuaretiro</t>
  </si>
  <si>
    <t xml:space="preserve">16112</t>
  </si>
  <si>
    <t xml:space="preserve">Zitácuaro</t>
  </si>
  <si>
    <t xml:space="preserve">16113</t>
  </si>
  <si>
    <t xml:space="preserve">José Sixto Verduzco</t>
  </si>
  <si>
    <t xml:space="preserve">17002</t>
  </si>
  <si>
    <t xml:space="preserve">17</t>
  </si>
  <si>
    <t xml:space="preserve">Atlatlahucan</t>
  </si>
  <si>
    <t xml:space="preserve">17004</t>
  </si>
  <si>
    <t xml:space="preserve">Ayala</t>
  </si>
  <si>
    <t xml:space="preserve">17005</t>
  </si>
  <si>
    <t xml:space="preserve">Coatlán del Río</t>
  </si>
  <si>
    <t xml:space="preserve">17006</t>
  </si>
  <si>
    <t xml:space="preserve">Cuautla</t>
  </si>
  <si>
    <t xml:space="preserve">17007</t>
  </si>
  <si>
    <t xml:space="preserve">Cuernavaca</t>
  </si>
  <si>
    <t xml:space="preserve">17008</t>
  </si>
  <si>
    <t xml:space="preserve">17011</t>
  </si>
  <si>
    <t xml:space="preserve">Jiutepec</t>
  </si>
  <si>
    <t xml:space="preserve">17012</t>
  </si>
  <si>
    <t xml:space="preserve">Jojutla</t>
  </si>
  <si>
    <t xml:space="preserve">17013</t>
  </si>
  <si>
    <t xml:space="preserve">Jonacatepec de Leandro Valle</t>
  </si>
  <si>
    <t xml:space="preserve">17014</t>
  </si>
  <si>
    <t xml:space="preserve">Mazatepec</t>
  </si>
  <si>
    <t xml:space="preserve">17015</t>
  </si>
  <si>
    <t xml:space="preserve">Miacatlán</t>
  </si>
  <si>
    <t xml:space="preserve">17016</t>
  </si>
  <si>
    <t xml:space="preserve">Ocuituco</t>
  </si>
  <si>
    <t xml:space="preserve">17017</t>
  </si>
  <si>
    <t xml:space="preserve">Puente de Ixtla</t>
  </si>
  <si>
    <t xml:space="preserve">17018</t>
  </si>
  <si>
    <t xml:space="preserve">Temixco</t>
  </si>
  <si>
    <t xml:space="preserve">17021</t>
  </si>
  <si>
    <t xml:space="preserve">Tetecala</t>
  </si>
  <si>
    <t xml:space="preserve">17022</t>
  </si>
  <si>
    <t xml:space="preserve">Tetela del Volcán</t>
  </si>
  <si>
    <t xml:space="preserve">17023</t>
  </si>
  <si>
    <t xml:space="preserve">Tlalnepantla</t>
  </si>
  <si>
    <t xml:space="preserve">17024</t>
  </si>
  <si>
    <t xml:space="preserve">Tlaltizapán de Zapata</t>
  </si>
  <si>
    <t xml:space="preserve">17026</t>
  </si>
  <si>
    <t xml:space="preserve">Tlayacapan</t>
  </si>
  <si>
    <t xml:space="preserve">17027</t>
  </si>
  <si>
    <t xml:space="preserve">Totolapan</t>
  </si>
  <si>
    <t xml:space="preserve">17028</t>
  </si>
  <si>
    <t xml:space="preserve">Xochitepec</t>
  </si>
  <si>
    <t xml:space="preserve">17029</t>
  </si>
  <si>
    <t xml:space="preserve">Yautepec</t>
  </si>
  <si>
    <t xml:space="preserve">17030</t>
  </si>
  <si>
    <t xml:space="preserve">Yecapixtla</t>
  </si>
  <si>
    <t xml:space="preserve">17031</t>
  </si>
  <si>
    <t xml:space="preserve">Zacatepec</t>
  </si>
  <si>
    <t xml:space="preserve">17033</t>
  </si>
  <si>
    <t xml:space="preserve">Temoac</t>
  </si>
  <si>
    <t xml:space="preserve">17034</t>
  </si>
  <si>
    <t xml:space="preserve">Coatetelco</t>
  </si>
  <si>
    <t xml:space="preserve">17036</t>
  </si>
  <si>
    <t xml:space="preserve">Hueyapan</t>
  </si>
  <si>
    <t xml:space="preserve">18001</t>
  </si>
  <si>
    <t xml:space="preserve">18</t>
  </si>
  <si>
    <t xml:space="preserve">Nayarit</t>
  </si>
  <si>
    <t xml:space="preserve">Acaponeta</t>
  </si>
  <si>
    <t xml:space="preserve">18002</t>
  </si>
  <si>
    <t xml:space="preserve">Ahuacatlán</t>
  </si>
  <si>
    <t xml:space="preserve">18003</t>
  </si>
  <si>
    <t xml:space="preserve">Amatlán de Cañas</t>
  </si>
  <si>
    <t xml:space="preserve">18004</t>
  </si>
  <si>
    <t xml:space="preserve">Compostela</t>
  </si>
  <si>
    <t xml:space="preserve">18005</t>
  </si>
  <si>
    <t xml:space="preserve">Huajicori</t>
  </si>
  <si>
    <t xml:space="preserve">18006</t>
  </si>
  <si>
    <t xml:space="preserve">Ixtlán del Río</t>
  </si>
  <si>
    <t xml:space="preserve">18007</t>
  </si>
  <si>
    <t xml:space="preserve">Jala</t>
  </si>
  <si>
    <t xml:space="preserve">18008</t>
  </si>
  <si>
    <t xml:space="preserve">Xalisco</t>
  </si>
  <si>
    <t xml:space="preserve">18009</t>
  </si>
  <si>
    <t xml:space="preserve">Del Nayar</t>
  </si>
  <si>
    <t xml:space="preserve">18010</t>
  </si>
  <si>
    <t xml:space="preserve">Rosamorada</t>
  </si>
  <si>
    <t xml:space="preserve">18011</t>
  </si>
  <si>
    <t xml:space="preserve">Ruiz</t>
  </si>
  <si>
    <t xml:space="preserve">18012</t>
  </si>
  <si>
    <t xml:space="preserve">San Blas</t>
  </si>
  <si>
    <t xml:space="preserve">18013</t>
  </si>
  <si>
    <t xml:space="preserve">San Pedro Lagunillas</t>
  </si>
  <si>
    <t xml:space="preserve">18014</t>
  </si>
  <si>
    <t xml:space="preserve">Santa María del Oro</t>
  </si>
  <si>
    <t xml:space="preserve">18015</t>
  </si>
  <si>
    <t xml:space="preserve">Santiago Ixcuintla</t>
  </si>
  <si>
    <t xml:space="preserve">18016</t>
  </si>
  <si>
    <t xml:space="preserve">Tecuala</t>
  </si>
  <si>
    <t xml:space="preserve">18017</t>
  </si>
  <si>
    <t xml:space="preserve">Tepic</t>
  </si>
  <si>
    <t xml:space="preserve">18018</t>
  </si>
  <si>
    <t xml:space="preserve">18020</t>
  </si>
  <si>
    <t xml:space="preserve">Bahía de Banderas</t>
  </si>
  <si>
    <t xml:space="preserve">19001</t>
  </si>
  <si>
    <t xml:space="preserve">19</t>
  </si>
  <si>
    <t xml:space="preserve">Nuevo León</t>
  </si>
  <si>
    <t xml:space="preserve">19005</t>
  </si>
  <si>
    <t xml:space="preserve">Anáhuac</t>
  </si>
  <si>
    <t xml:space="preserve">19006</t>
  </si>
  <si>
    <t xml:space="preserve">Apodaca</t>
  </si>
  <si>
    <t xml:space="preserve">19007</t>
  </si>
  <si>
    <t xml:space="preserve">Aramberri</t>
  </si>
  <si>
    <t xml:space="preserve">19009</t>
  </si>
  <si>
    <t xml:space="preserve">Cadereyta Jiménez</t>
  </si>
  <si>
    <t xml:space="preserve">19013</t>
  </si>
  <si>
    <t xml:space="preserve">China</t>
  </si>
  <si>
    <t xml:space="preserve">19014</t>
  </si>
  <si>
    <t xml:space="preserve">Doctor Arroyo</t>
  </si>
  <si>
    <t xml:space="preserve">19017</t>
  </si>
  <si>
    <t xml:space="preserve">19018</t>
  </si>
  <si>
    <t xml:space="preserve">García</t>
  </si>
  <si>
    <t xml:space="preserve">19019</t>
  </si>
  <si>
    <t xml:space="preserve">San Pedro Garza García</t>
  </si>
  <si>
    <t xml:space="preserve">19020</t>
  </si>
  <si>
    <t xml:space="preserve">General Bravo</t>
  </si>
  <si>
    <t xml:space="preserve">19021</t>
  </si>
  <si>
    <t xml:space="preserve">General Escobedo</t>
  </si>
  <si>
    <t xml:space="preserve">19024</t>
  </si>
  <si>
    <t xml:space="preserve">General Zaragoza</t>
  </si>
  <si>
    <t xml:space="preserve">19025</t>
  </si>
  <si>
    <t xml:space="preserve">General Zuazua</t>
  </si>
  <si>
    <t xml:space="preserve">19026</t>
  </si>
  <si>
    <t xml:space="preserve">19029</t>
  </si>
  <si>
    <t xml:space="preserve">Hualahuises</t>
  </si>
  <si>
    <t xml:space="preserve">19031</t>
  </si>
  <si>
    <t xml:space="preserve">19032</t>
  </si>
  <si>
    <t xml:space="preserve">Lampazos de Naranjo</t>
  </si>
  <si>
    <t xml:space="preserve">19033</t>
  </si>
  <si>
    <t xml:space="preserve">Linares</t>
  </si>
  <si>
    <t xml:space="preserve">19037</t>
  </si>
  <si>
    <t xml:space="preserve">Mina</t>
  </si>
  <si>
    <t xml:space="preserve">19038</t>
  </si>
  <si>
    <t xml:space="preserve">Montemorelos</t>
  </si>
  <si>
    <t xml:space="preserve">19039</t>
  </si>
  <si>
    <t xml:space="preserve">Monterrey</t>
  </si>
  <si>
    <t xml:space="preserve">19041</t>
  </si>
  <si>
    <t xml:space="preserve">Pesquería</t>
  </si>
  <si>
    <t xml:space="preserve">19044</t>
  </si>
  <si>
    <t xml:space="preserve">Sabinas Hidalgo</t>
  </si>
  <si>
    <t xml:space="preserve">19045</t>
  </si>
  <si>
    <t xml:space="preserve">Salinas Victoria</t>
  </si>
  <si>
    <t xml:space="preserve">19046</t>
  </si>
  <si>
    <t xml:space="preserve">San Nicolás de los Garza</t>
  </si>
  <si>
    <t xml:space="preserve">19047</t>
  </si>
  <si>
    <t xml:space="preserve">19048</t>
  </si>
  <si>
    <t xml:space="preserve">19049</t>
  </si>
  <si>
    <t xml:space="preserve">Santiago</t>
  </si>
  <si>
    <t xml:space="preserve">19051</t>
  </si>
  <si>
    <t xml:space="preserve">Villaldama</t>
  </si>
  <si>
    <t xml:space="preserve">20001</t>
  </si>
  <si>
    <t xml:space="preserve">20</t>
  </si>
  <si>
    <t xml:space="preserve">Oaxaca</t>
  </si>
  <si>
    <t xml:space="preserve">Abejones</t>
  </si>
  <si>
    <t xml:space="preserve">20002</t>
  </si>
  <si>
    <t xml:space="preserve">Acatlán de Pérez Figueroa</t>
  </si>
  <si>
    <t xml:space="preserve">20003</t>
  </si>
  <si>
    <t xml:space="preserve">Asunción Cacalotepec</t>
  </si>
  <si>
    <t xml:space="preserve">20004</t>
  </si>
  <si>
    <t xml:space="preserve">Asunción Cuyotepeji</t>
  </si>
  <si>
    <t xml:space="preserve">20005</t>
  </si>
  <si>
    <t xml:space="preserve">Asunción Ixtaltepec</t>
  </si>
  <si>
    <t xml:space="preserve">20006</t>
  </si>
  <si>
    <t xml:space="preserve">Asunción Nochixtlán</t>
  </si>
  <si>
    <t xml:space="preserve">20008</t>
  </si>
  <si>
    <t xml:space="preserve">Asunción Tlacolulita</t>
  </si>
  <si>
    <t xml:space="preserve">20010</t>
  </si>
  <si>
    <t xml:space="preserve">El Barrio de la Soledad</t>
  </si>
  <si>
    <t xml:space="preserve">20011</t>
  </si>
  <si>
    <t xml:space="preserve">Calihualá</t>
  </si>
  <si>
    <t xml:space="preserve">20012</t>
  </si>
  <si>
    <t xml:space="preserve">Candelaria Loxicha</t>
  </si>
  <si>
    <t xml:space="preserve">20013</t>
  </si>
  <si>
    <t xml:space="preserve">Ciénega de Zimatlán</t>
  </si>
  <si>
    <t xml:space="preserve">20014</t>
  </si>
  <si>
    <t xml:space="preserve">Ciudad Ixtepec</t>
  </si>
  <si>
    <t xml:space="preserve">20015</t>
  </si>
  <si>
    <t xml:space="preserve">Coatecas Altas</t>
  </si>
  <si>
    <t xml:space="preserve">20016</t>
  </si>
  <si>
    <t xml:space="preserve">Coicoyán de las Flores</t>
  </si>
  <si>
    <t xml:space="preserve">20017</t>
  </si>
  <si>
    <t xml:space="preserve">La Compañía</t>
  </si>
  <si>
    <t xml:space="preserve">20018</t>
  </si>
  <si>
    <t xml:space="preserve">Concepción Buenavista</t>
  </si>
  <si>
    <t xml:space="preserve">20019</t>
  </si>
  <si>
    <t xml:space="preserve">Concepción Pápalo</t>
  </si>
  <si>
    <t xml:space="preserve">20020</t>
  </si>
  <si>
    <t xml:space="preserve">Constancia del Rosario</t>
  </si>
  <si>
    <t xml:space="preserve">20021</t>
  </si>
  <si>
    <t xml:space="preserve">Cosolapa</t>
  </si>
  <si>
    <t xml:space="preserve">20022</t>
  </si>
  <si>
    <t xml:space="preserve">Cosoltepec</t>
  </si>
  <si>
    <t xml:space="preserve">20023</t>
  </si>
  <si>
    <t xml:space="preserve">Cuilápam de Guerrero</t>
  </si>
  <si>
    <t xml:space="preserve">20024</t>
  </si>
  <si>
    <t xml:space="preserve">Cuyamecalco Villa de Zaragoza</t>
  </si>
  <si>
    <t xml:space="preserve">20025</t>
  </si>
  <si>
    <t xml:space="preserve">Chahuites</t>
  </si>
  <si>
    <t xml:space="preserve">20026</t>
  </si>
  <si>
    <t xml:space="preserve">Chalcatongo de Hidalgo</t>
  </si>
  <si>
    <t xml:space="preserve">20027</t>
  </si>
  <si>
    <t xml:space="preserve">Chiquihuitlán de Benito Juárez</t>
  </si>
  <si>
    <t xml:space="preserve">20028</t>
  </si>
  <si>
    <t xml:space="preserve">Heroica Ciudad de Ejutla de Crespo</t>
  </si>
  <si>
    <t xml:space="preserve">20029</t>
  </si>
  <si>
    <t xml:space="preserve">Eloxochitlán de Flores Magón</t>
  </si>
  <si>
    <t xml:space="preserve">20030</t>
  </si>
  <si>
    <t xml:space="preserve">El Espinal</t>
  </si>
  <si>
    <t xml:space="preserve">20031</t>
  </si>
  <si>
    <t xml:space="preserve">Tamazulápam del Espíritu Santo</t>
  </si>
  <si>
    <t xml:space="preserve">20032</t>
  </si>
  <si>
    <t xml:space="preserve">Fresnillo de Trujano</t>
  </si>
  <si>
    <t xml:space="preserve">20033</t>
  </si>
  <si>
    <t xml:space="preserve">Guadalupe Etla</t>
  </si>
  <si>
    <t xml:space="preserve">20034</t>
  </si>
  <si>
    <t xml:space="preserve">Guadalupe de Ramírez</t>
  </si>
  <si>
    <t xml:space="preserve">20035</t>
  </si>
  <si>
    <t xml:space="preserve">Guelatao de Juárez</t>
  </si>
  <si>
    <t xml:space="preserve">20036</t>
  </si>
  <si>
    <t xml:space="preserve">Guevea de Humboldt</t>
  </si>
  <si>
    <t xml:space="preserve">20037</t>
  </si>
  <si>
    <t xml:space="preserve">Mesones Hidalgo</t>
  </si>
  <si>
    <t xml:space="preserve">20038</t>
  </si>
  <si>
    <t xml:space="preserve">Villa Hidalgo Yalálag</t>
  </si>
  <si>
    <t xml:space="preserve">20039</t>
  </si>
  <si>
    <t xml:space="preserve">Heroica Ciudad de Huajuapan de León</t>
  </si>
  <si>
    <t xml:space="preserve">20040</t>
  </si>
  <si>
    <t xml:space="preserve">Huautepec</t>
  </si>
  <si>
    <t xml:space="preserve">20041</t>
  </si>
  <si>
    <t xml:space="preserve">Huautla de Jiménez</t>
  </si>
  <si>
    <t xml:space="preserve">20042</t>
  </si>
  <si>
    <t xml:space="preserve">Ixtlán de Juárez</t>
  </si>
  <si>
    <t xml:space="preserve">20044</t>
  </si>
  <si>
    <t xml:space="preserve">Loma Bonita</t>
  </si>
  <si>
    <t xml:space="preserve">20045</t>
  </si>
  <si>
    <t xml:space="preserve">Magdalena Apazco</t>
  </si>
  <si>
    <t xml:space="preserve">20046</t>
  </si>
  <si>
    <t xml:space="preserve">Magdalena Jaltepec</t>
  </si>
  <si>
    <t xml:space="preserve">20047</t>
  </si>
  <si>
    <t xml:space="preserve">Santa Magdalena Jicotlán</t>
  </si>
  <si>
    <t xml:space="preserve">20048</t>
  </si>
  <si>
    <t xml:space="preserve">Magdalena Mixtepec</t>
  </si>
  <si>
    <t xml:space="preserve">20049</t>
  </si>
  <si>
    <t xml:space="preserve">Magdalena Ocotlán</t>
  </si>
  <si>
    <t xml:space="preserve">20050</t>
  </si>
  <si>
    <t xml:space="preserve">Magdalena Peñasco</t>
  </si>
  <si>
    <t xml:space="preserve">20051</t>
  </si>
  <si>
    <t xml:space="preserve">Magdalena Teitipac</t>
  </si>
  <si>
    <t xml:space="preserve">20052</t>
  </si>
  <si>
    <t xml:space="preserve">Magdalena Tequisistlán</t>
  </si>
  <si>
    <t xml:space="preserve">20053</t>
  </si>
  <si>
    <t xml:space="preserve">Magdalena Tlacotepec</t>
  </si>
  <si>
    <t xml:space="preserve">20054</t>
  </si>
  <si>
    <t xml:space="preserve">Magdalena Zahuatlán</t>
  </si>
  <si>
    <t xml:space="preserve">20055</t>
  </si>
  <si>
    <t xml:space="preserve">Mariscala de Juárez</t>
  </si>
  <si>
    <t xml:space="preserve">20057</t>
  </si>
  <si>
    <t xml:space="preserve">Matías Romero Avendaño</t>
  </si>
  <si>
    <t xml:space="preserve">20058</t>
  </si>
  <si>
    <t xml:space="preserve">Mazatlán Villa de Flores</t>
  </si>
  <si>
    <t xml:space="preserve">20059</t>
  </si>
  <si>
    <t xml:space="preserve">Heroica Ciudad de Miahuatlán de Porfirio Díaz</t>
  </si>
  <si>
    <t xml:space="preserve">20060</t>
  </si>
  <si>
    <t xml:space="preserve">Mixistlán de la Reforma</t>
  </si>
  <si>
    <t xml:space="preserve">20061</t>
  </si>
  <si>
    <t xml:space="preserve">Monjas</t>
  </si>
  <si>
    <t xml:space="preserve">20062</t>
  </si>
  <si>
    <t xml:space="preserve">Natividad</t>
  </si>
  <si>
    <t xml:space="preserve">20063</t>
  </si>
  <si>
    <t xml:space="preserve">Nazareno Etla</t>
  </si>
  <si>
    <t xml:space="preserve">20064</t>
  </si>
  <si>
    <t xml:space="preserve">Nejapa de Madero</t>
  </si>
  <si>
    <t xml:space="preserve">20065</t>
  </si>
  <si>
    <t xml:space="preserve">Ixpantepec Nieves</t>
  </si>
  <si>
    <t xml:space="preserve">20066</t>
  </si>
  <si>
    <t xml:space="preserve">Santiago Niltepec</t>
  </si>
  <si>
    <t xml:space="preserve">20067</t>
  </si>
  <si>
    <t xml:space="preserve">Oaxaca de Juárez</t>
  </si>
  <si>
    <t xml:space="preserve">20068</t>
  </si>
  <si>
    <t xml:space="preserve">Ocotlán de Morelos</t>
  </si>
  <si>
    <t xml:space="preserve">20069</t>
  </si>
  <si>
    <t xml:space="preserve">La Pe</t>
  </si>
  <si>
    <t xml:space="preserve">20070</t>
  </si>
  <si>
    <t xml:space="preserve">Pinotepa de Don Luis</t>
  </si>
  <si>
    <t xml:space="preserve">20071</t>
  </si>
  <si>
    <t xml:space="preserve">Pluma Hidalgo</t>
  </si>
  <si>
    <t xml:space="preserve">20072</t>
  </si>
  <si>
    <t xml:space="preserve">San José del Progreso</t>
  </si>
  <si>
    <t xml:space="preserve">20073</t>
  </si>
  <si>
    <t xml:space="preserve">Putla Villa de Guerrero</t>
  </si>
  <si>
    <t xml:space="preserve">20074</t>
  </si>
  <si>
    <t xml:space="preserve">Santa Catarina Quioquitani</t>
  </si>
  <si>
    <t xml:space="preserve">20075</t>
  </si>
  <si>
    <t xml:space="preserve">Reforma de Pineda</t>
  </si>
  <si>
    <t xml:space="preserve">20076</t>
  </si>
  <si>
    <t xml:space="preserve">La Reforma</t>
  </si>
  <si>
    <t xml:space="preserve">20077</t>
  </si>
  <si>
    <t xml:space="preserve">Reyes Etla</t>
  </si>
  <si>
    <t xml:space="preserve">20078</t>
  </si>
  <si>
    <t xml:space="preserve">Rojas de Cuauhtémoc</t>
  </si>
  <si>
    <t xml:space="preserve">20079</t>
  </si>
  <si>
    <t xml:space="preserve">Salina Cruz</t>
  </si>
  <si>
    <t xml:space="preserve">20080</t>
  </si>
  <si>
    <t xml:space="preserve">San Agustín Amatengo</t>
  </si>
  <si>
    <t xml:space="preserve">20081</t>
  </si>
  <si>
    <t xml:space="preserve">San Agustín Atenango</t>
  </si>
  <si>
    <t xml:space="preserve">20082</t>
  </si>
  <si>
    <t xml:space="preserve">San Agustín Chayuco</t>
  </si>
  <si>
    <t xml:space="preserve">20083</t>
  </si>
  <si>
    <t xml:space="preserve">San Agustín de las Juntas</t>
  </si>
  <si>
    <t xml:space="preserve">20084</t>
  </si>
  <si>
    <t xml:space="preserve">San Agustín Etla</t>
  </si>
  <si>
    <t xml:space="preserve">20085</t>
  </si>
  <si>
    <t xml:space="preserve">San Agustín Loxicha</t>
  </si>
  <si>
    <t xml:space="preserve">20086</t>
  </si>
  <si>
    <t xml:space="preserve">San Agustín Tlacotepec</t>
  </si>
  <si>
    <t xml:space="preserve">20087</t>
  </si>
  <si>
    <t xml:space="preserve">San Agustín Yatareni</t>
  </si>
  <si>
    <t xml:space="preserve">20088</t>
  </si>
  <si>
    <t xml:space="preserve">San Andrés Cabecera Nueva</t>
  </si>
  <si>
    <t xml:space="preserve">20089</t>
  </si>
  <si>
    <t xml:space="preserve">San Andrés Dinicuiti</t>
  </si>
  <si>
    <t xml:space="preserve">20090</t>
  </si>
  <si>
    <t xml:space="preserve">San Andrés Huaxpaltepec</t>
  </si>
  <si>
    <t xml:space="preserve">20091</t>
  </si>
  <si>
    <t xml:space="preserve">San Andrés Huayápam</t>
  </si>
  <si>
    <t xml:space="preserve">20092</t>
  </si>
  <si>
    <t xml:space="preserve">San Andrés Ixtlahuaca</t>
  </si>
  <si>
    <t xml:space="preserve">20094</t>
  </si>
  <si>
    <t xml:space="preserve">San Andrés Nuxiño</t>
  </si>
  <si>
    <t xml:space="preserve">20095</t>
  </si>
  <si>
    <t xml:space="preserve">San Andrés Paxtlán</t>
  </si>
  <si>
    <t xml:space="preserve">20096</t>
  </si>
  <si>
    <t xml:space="preserve">San Andrés Sinaxtla</t>
  </si>
  <si>
    <t xml:space="preserve">20097</t>
  </si>
  <si>
    <t xml:space="preserve">San Andrés Solaga</t>
  </si>
  <si>
    <t xml:space="preserve">20098</t>
  </si>
  <si>
    <t xml:space="preserve">San Andrés Teotilálpam</t>
  </si>
  <si>
    <t xml:space="preserve">20099</t>
  </si>
  <si>
    <t xml:space="preserve">San Andrés Tepetlapa</t>
  </si>
  <si>
    <t xml:space="preserve">20100</t>
  </si>
  <si>
    <t xml:space="preserve">San Andrés Yaá</t>
  </si>
  <si>
    <t xml:space="preserve">20101</t>
  </si>
  <si>
    <t xml:space="preserve">San Andrés Zabache</t>
  </si>
  <si>
    <t xml:space="preserve">20102</t>
  </si>
  <si>
    <t xml:space="preserve">San Andrés Zautla</t>
  </si>
  <si>
    <t xml:space="preserve">20103</t>
  </si>
  <si>
    <t xml:space="preserve">San Antonino Castillo Velasco</t>
  </si>
  <si>
    <t xml:space="preserve">20104</t>
  </si>
  <si>
    <t xml:space="preserve">San Antonino el Alto</t>
  </si>
  <si>
    <t xml:space="preserve">20105</t>
  </si>
  <si>
    <t xml:space="preserve">San Antonino Monte Verde</t>
  </si>
  <si>
    <t xml:space="preserve">20106</t>
  </si>
  <si>
    <t xml:space="preserve">San Antonio Acutla</t>
  </si>
  <si>
    <t xml:space="preserve">20107</t>
  </si>
  <si>
    <t xml:space="preserve">San Antonio de la Cal</t>
  </si>
  <si>
    <t xml:space="preserve">20108</t>
  </si>
  <si>
    <t xml:space="preserve">San Antonio Huitepec</t>
  </si>
  <si>
    <t xml:space="preserve">20109</t>
  </si>
  <si>
    <t xml:space="preserve">San Antonio Nanahuatípam</t>
  </si>
  <si>
    <t xml:space="preserve">20110</t>
  </si>
  <si>
    <t xml:space="preserve">San Antonio Sinicahua</t>
  </si>
  <si>
    <t xml:space="preserve">20111</t>
  </si>
  <si>
    <t xml:space="preserve">San Antonio Tepetlapa</t>
  </si>
  <si>
    <t xml:space="preserve">20112</t>
  </si>
  <si>
    <t xml:space="preserve">San Baltazar Chichicápam</t>
  </si>
  <si>
    <t xml:space="preserve">20113</t>
  </si>
  <si>
    <t xml:space="preserve">San Baltazar Loxicha</t>
  </si>
  <si>
    <t xml:space="preserve">20114</t>
  </si>
  <si>
    <t xml:space="preserve">San Baltazar Yatzachi el Bajo</t>
  </si>
  <si>
    <t xml:space="preserve">20115</t>
  </si>
  <si>
    <t xml:space="preserve">San Bartolo Coyotepec</t>
  </si>
  <si>
    <t xml:space="preserve">20116</t>
  </si>
  <si>
    <t xml:space="preserve">San Bartolomé Ayautla</t>
  </si>
  <si>
    <t xml:space="preserve">20117</t>
  </si>
  <si>
    <t xml:space="preserve">San Bartolomé Loxicha</t>
  </si>
  <si>
    <t xml:space="preserve">20118</t>
  </si>
  <si>
    <t xml:space="preserve">San Bartolomé Quialana</t>
  </si>
  <si>
    <t xml:space="preserve">20119</t>
  </si>
  <si>
    <t xml:space="preserve">San Bartolomé Yucuañe</t>
  </si>
  <si>
    <t xml:space="preserve">20120</t>
  </si>
  <si>
    <t xml:space="preserve">San Bartolomé Zoogocho</t>
  </si>
  <si>
    <t xml:space="preserve">20121</t>
  </si>
  <si>
    <t xml:space="preserve">San Bartolo Soyaltepec</t>
  </si>
  <si>
    <t xml:space="preserve">20122</t>
  </si>
  <si>
    <t xml:space="preserve">San Bartolo Yautepec</t>
  </si>
  <si>
    <t xml:space="preserve">20123</t>
  </si>
  <si>
    <t xml:space="preserve">San Bernardo Mixtepec</t>
  </si>
  <si>
    <t xml:space="preserve">20124</t>
  </si>
  <si>
    <t xml:space="preserve">Heroica Villa de San Blas Atempa</t>
  </si>
  <si>
    <t xml:space="preserve">20125</t>
  </si>
  <si>
    <t xml:space="preserve">San Carlos Yautepec</t>
  </si>
  <si>
    <t xml:space="preserve">20127</t>
  </si>
  <si>
    <t xml:space="preserve">127</t>
  </si>
  <si>
    <t xml:space="preserve">San Cristóbal Amoltepec</t>
  </si>
  <si>
    <t xml:space="preserve">20128</t>
  </si>
  <si>
    <t xml:space="preserve">128</t>
  </si>
  <si>
    <t xml:space="preserve">San Cristóbal Lachirioag</t>
  </si>
  <si>
    <t xml:space="preserve">20129</t>
  </si>
  <si>
    <t xml:space="preserve">129</t>
  </si>
  <si>
    <t xml:space="preserve">San Cristóbal Suchixtlahuaca</t>
  </si>
  <si>
    <t xml:space="preserve">20130</t>
  </si>
  <si>
    <t xml:space="preserve">130</t>
  </si>
  <si>
    <t xml:space="preserve">San Dionisio del Mar</t>
  </si>
  <si>
    <t xml:space="preserve">20131</t>
  </si>
  <si>
    <t xml:space="preserve">131</t>
  </si>
  <si>
    <t xml:space="preserve">San Dionisio Ocotepec</t>
  </si>
  <si>
    <t xml:space="preserve">20132</t>
  </si>
  <si>
    <t xml:space="preserve">132</t>
  </si>
  <si>
    <t xml:space="preserve">San Dionisio Ocotlán</t>
  </si>
  <si>
    <t xml:space="preserve">20133</t>
  </si>
  <si>
    <t xml:space="preserve">133</t>
  </si>
  <si>
    <t xml:space="preserve">San Esteban Atatlahuca</t>
  </si>
  <si>
    <t xml:space="preserve">20134</t>
  </si>
  <si>
    <t xml:space="preserve">134</t>
  </si>
  <si>
    <t xml:space="preserve">San Felipe Jalapa de Díaz</t>
  </si>
  <si>
    <t xml:space="preserve">20135</t>
  </si>
  <si>
    <t xml:space="preserve">135</t>
  </si>
  <si>
    <t xml:space="preserve">San Felipe Tejalápam</t>
  </si>
  <si>
    <t xml:space="preserve">20136</t>
  </si>
  <si>
    <t xml:space="preserve">136</t>
  </si>
  <si>
    <t xml:space="preserve">San Felipe Usila</t>
  </si>
  <si>
    <t xml:space="preserve">20137</t>
  </si>
  <si>
    <t xml:space="preserve">137</t>
  </si>
  <si>
    <t xml:space="preserve">San Francisco Cahuacuá</t>
  </si>
  <si>
    <t xml:space="preserve">20138</t>
  </si>
  <si>
    <t xml:space="preserve">138</t>
  </si>
  <si>
    <t xml:space="preserve">San Francisco Cajonos</t>
  </si>
  <si>
    <t xml:space="preserve">20139</t>
  </si>
  <si>
    <t xml:space="preserve">139</t>
  </si>
  <si>
    <t xml:space="preserve">San Francisco Chapulapa</t>
  </si>
  <si>
    <t xml:space="preserve">20140</t>
  </si>
  <si>
    <t xml:space="preserve">140</t>
  </si>
  <si>
    <t xml:space="preserve">San Francisco Chindúa</t>
  </si>
  <si>
    <t xml:space="preserve">20141</t>
  </si>
  <si>
    <t xml:space="preserve">141</t>
  </si>
  <si>
    <t xml:space="preserve">San Francisco del Mar</t>
  </si>
  <si>
    <t xml:space="preserve">20142</t>
  </si>
  <si>
    <t xml:space="preserve">142</t>
  </si>
  <si>
    <t xml:space="preserve">San Francisco Huehuetlán</t>
  </si>
  <si>
    <t xml:space="preserve">20143</t>
  </si>
  <si>
    <t xml:space="preserve">143</t>
  </si>
  <si>
    <t xml:space="preserve">San Francisco Ixhuatán</t>
  </si>
  <si>
    <t xml:space="preserve">20144</t>
  </si>
  <si>
    <t xml:space="preserve">144</t>
  </si>
  <si>
    <t xml:space="preserve">San Francisco Jaltepetongo</t>
  </si>
  <si>
    <t xml:space="preserve">20145</t>
  </si>
  <si>
    <t xml:space="preserve">145</t>
  </si>
  <si>
    <t xml:space="preserve">San Francisco Lachigoló</t>
  </si>
  <si>
    <t xml:space="preserve">20146</t>
  </si>
  <si>
    <t xml:space="preserve">146</t>
  </si>
  <si>
    <t xml:space="preserve">San Francisco Logueche</t>
  </si>
  <si>
    <t xml:space="preserve">20147</t>
  </si>
  <si>
    <t xml:space="preserve">147</t>
  </si>
  <si>
    <t xml:space="preserve">San Francisco Nuxaño</t>
  </si>
  <si>
    <t xml:space="preserve">20148</t>
  </si>
  <si>
    <t xml:space="preserve">148</t>
  </si>
  <si>
    <t xml:space="preserve">San Francisco Ozolotepec</t>
  </si>
  <si>
    <t xml:space="preserve">20149</t>
  </si>
  <si>
    <t xml:space="preserve">149</t>
  </si>
  <si>
    <t xml:space="preserve">San Francisco Sola</t>
  </si>
  <si>
    <t xml:space="preserve">20150</t>
  </si>
  <si>
    <t xml:space="preserve">150</t>
  </si>
  <si>
    <t xml:space="preserve">San Francisco Telixtlahuaca</t>
  </si>
  <si>
    <t xml:space="preserve">20151</t>
  </si>
  <si>
    <t xml:space="preserve">151</t>
  </si>
  <si>
    <t xml:space="preserve">San Francisco Teopan</t>
  </si>
  <si>
    <t xml:space="preserve">20152</t>
  </si>
  <si>
    <t xml:space="preserve">152</t>
  </si>
  <si>
    <t xml:space="preserve">San Francisco Tlapancingo</t>
  </si>
  <si>
    <t xml:space="preserve">20153</t>
  </si>
  <si>
    <t xml:space="preserve">153</t>
  </si>
  <si>
    <t xml:space="preserve">San Gabriel Mixtepec</t>
  </si>
  <si>
    <t xml:space="preserve">20154</t>
  </si>
  <si>
    <t xml:space="preserve">154</t>
  </si>
  <si>
    <t xml:space="preserve">San Ildefonso Amatlán</t>
  </si>
  <si>
    <t xml:space="preserve">20155</t>
  </si>
  <si>
    <t xml:space="preserve">155</t>
  </si>
  <si>
    <t xml:space="preserve">San Ildefonso Sola</t>
  </si>
  <si>
    <t xml:space="preserve">20156</t>
  </si>
  <si>
    <t xml:space="preserve">156</t>
  </si>
  <si>
    <t xml:space="preserve">San Ildefonso Villa Alta</t>
  </si>
  <si>
    <t xml:space="preserve">20157</t>
  </si>
  <si>
    <t xml:space="preserve">157</t>
  </si>
  <si>
    <t xml:space="preserve">San Jacinto Amilpas</t>
  </si>
  <si>
    <t xml:space="preserve">20158</t>
  </si>
  <si>
    <t xml:space="preserve">158</t>
  </si>
  <si>
    <t xml:space="preserve">San Jacinto Tlacotepec</t>
  </si>
  <si>
    <t xml:space="preserve">20159</t>
  </si>
  <si>
    <t xml:space="preserve">159</t>
  </si>
  <si>
    <t xml:space="preserve">San Jerónimo Coatlán</t>
  </si>
  <si>
    <t xml:space="preserve">20160</t>
  </si>
  <si>
    <t xml:space="preserve">160</t>
  </si>
  <si>
    <t xml:space="preserve">San Jerónimo Silacayoapilla</t>
  </si>
  <si>
    <t xml:space="preserve">20161</t>
  </si>
  <si>
    <t xml:space="preserve">161</t>
  </si>
  <si>
    <t xml:space="preserve">San Jerónimo Sosola</t>
  </si>
  <si>
    <t xml:space="preserve">20162</t>
  </si>
  <si>
    <t xml:space="preserve">162</t>
  </si>
  <si>
    <t xml:space="preserve">San Jerónimo Taviche</t>
  </si>
  <si>
    <t xml:space="preserve">20163</t>
  </si>
  <si>
    <t xml:space="preserve">163</t>
  </si>
  <si>
    <t xml:space="preserve">San Jerónimo Tecóatl</t>
  </si>
  <si>
    <t xml:space="preserve">20164</t>
  </si>
  <si>
    <t xml:space="preserve">164</t>
  </si>
  <si>
    <t xml:space="preserve">San Jorge Nuchita</t>
  </si>
  <si>
    <t xml:space="preserve">20165</t>
  </si>
  <si>
    <t xml:space="preserve">165</t>
  </si>
  <si>
    <t xml:space="preserve">San José Ayuquila</t>
  </si>
  <si>
    <t xml:space="preserve">20166</t>
  </si>
  <si>
    <t xml:space="preserve">166</t>
  </si>
  <si>
    <t xml:space="preserve">San José Chiltepec</t>
  </si>
  <si>
    <t xml:space="preserve">20167</t>
  </si>
  <si>
    <t xml:space="preserve">167</t>
  </si>
  <si>
    <t xml:space="preserve">San José del Peñasco</t>
  </si>
  <si>
    <t xml:space="preserve">20169</t>
  </si>
  <si>
    <t xml:space="preserve">169</t>
  </si>
  <si>
    <t xml:space="preserve">San José Independencia</t>
  </si>
  <si>
    <t xml:space="preserve">20170</t>
  </si>
  <si>
    <t xml:space="preserve">170</t>
  </si>
  <si>
    <t xml:space="preserve">San José Lachiguiri</t>
  </si>
  <si>
    <t xml:space="preserve">20171</t>
  </si>
  <si>
    <t xml:space="preserve">171</t>
  </si>
  <si>
    <t xml:space="preserve">San José Tenango</t>
  </si>
  <si>
    <t xml:space="preserve">20172</t>
  </si>
  <si>
    <t xml:space="preserve">172</t>
  </si>
  <si>
    <t xml:space="preserve">San Juan Achiutla</t>
  </si>
  <si>
    <t xml:space="preserve">20173</t>
  </si>
  <si>
    <t xml:space="preserve">173</t>
  </si>
  <si>
    <t xml:space="preserve">San Juan Atepec</t>
  </si>
  <si>
    <t xml:space="preserve">20175</t>
  </si>
  <si>
    <t xml:space="preserve">175</t>
  </si>
  <si>
    <t xml:space="preserve">San Juan Bautista Atatlahuca</t>
  </si>
  <si>
    <t xml:space="preserve">20177</t>
  </si>
  <si>
    <t xml:space="preserve">177</t>
  </si>
  <si>
    <t xml:space="preserve">San Juan Bautista Cuicatlán</t>
  </si>
  <si>
    <t xml:space="preserve">20178</t>
  </si>
  <si>
    <t xml:space="preserve">178</t>
  </si>
  <si>
    <t xml:space="preserve">San Juan Bautista Guelache</t>
  </si>
  <si>
    <t xml:space="preserve">20179</t>
  </si>
  <si>
    <t xml:space="preserve">179</t>
  </si>
  <si>
    <t xml:space="preserve">San Juan Bautista Jayacatlán</t>
  </si>
  <si>
    <t xml:space="preserve">20180</t>
  </si>
  <si>
    <t xml:space="preserve">180</t>
  </si>
  <si>
    <t xml:space="preserve">San Juan Bautista Lo de Soto</t>
  </si>
  <si>
    <t xml:space="preserve">20181</t>
  </si>
  <si>
    <t xml:space="preserve">181</t>
  </si>
  <si>
    <t xml:space="preserve">San Juan Bautista Suchitepec</t>
  </si>
  <si>
    <t xml:space="preserve">20182</t>
  </si>
  <si>
    <t xml:space="preserve">182</t>
  </si>
  <si>
    <t xml:space="preserve">San Juan Bautista Tlacoatzintepec</t>
  </si>
  <si>
    <t xml:space="preserve">20183</t>
  </si>
  <si>
    <t xml:space="preserve">183</t>
  </si>
  <si>
    <t xml:space="preserve">San Juan Bautista Tlachichilco</t>
  </si>
  <si>
    <t xml:space="preserve">20184</t>
  </si>
  <si>
    <t xml:space="preserve">184</t>
  </si>
  <si>
    <t xml:space="preserve">San Juan Bautista Tuxtepec</t>
  </si>
  <si>
    <t xml:space="preserve">20185</t>
  </si>
  <si>
    <t xml:space="preserve">185</t>
  </si>
  <si>
    <t xml:space="preserve">San Juan Cacahuatepec</t>
  </si>
  <si>
    <t xml:space="preserve">20186</t>
  </si>
  <si>
    <t xml:space="preserve">186</t>
  </si>
  <si>
    <t xml:space="preserve">San Juan Cieneguilla</t>
  </si>
  <si>
    <t xml:space="preserve">20187</t>
  </si>
  <si>
    <t xml:space="preserve">187</t>
  </si>
  <si>
    <t xml:space="preserve">San Juan Coatzóspam</t>
  </si>
  <si>
    <t xml:space="preserve">20188</t>
  </si>
  <si>
    <t xml:space="preserve">188</t>
  </si>
  <si>
    <t xml:space="preserve">San Juan Colorado</t>
  </si>
  <si>
    <t xml:space="preserve">20189</t>
  </si>
  <si>
    <t xml:space="preserve">189</t>
  </si>
  <si>
    <t xml:space="preserve">San Juan Comaltepec</t>
  </si>
  <si>
    <t xml:space="preserve">20190</t>
  </si>
  <si>
    <t xml:space="preserve">190</t>
  </si>
  <si>
    <t xml:space="preserve">San Juan Cotzocón</t>
  </si>
  <si>
    <t xml:space="preserve">20191</t>
  </si>
  <si>
    <t xml:space="preserve">191</t>
  </si>
  <si>
    <t xml:space="preserve">San Juan Chicomezúchil</t>
  </si>
  <si>
    <t xml:space="preserve">20192</t>
  </si>
  <si>
    <t xml:space="preserve">192</t>
  </si>
  <si>
    <t xml:space="preserve">San Juan Chilateca</t>
  </si>
  <si>
    <t xml:space="preserve">20193</t>
  </si>
  <si>
    <t xml:space="preserve">193</t>
  </si>
  <si>
    <t xml:space="preserve">San Juan del Estado</t>
  </si>
  <si>
    <t xml:space="preserve">20194</t>
  </si>
  <si>
    <t xml:space="preserve">194</t>
  </si>
  <si>
    <t xml:space="preserve">San Juan del Río</t>
  </si>
  <si>
    <t xml:space="preserve">20195</t>
  </si>
  <si>
    <t xml:space="preserve">195</t>
  </si>
  <si>
    <t xml:space="preserve">San Juan Diuxi</t>
  </si>
  <si>
    <t xml:space="preserve">20196</t>
  </si>
  <si>
    <t xml:space="preserve">196</t>
  </si>
  <si>
    <t xml:space="preserve">San Juan Evangelista Analco</t>
  </si>
  <si>
    <t xml:space="preserve">20197</t>
  </si>
  <si>
    <t xml:space="preserve">197</t>
  </si>
  <si>
    <t xml:space="preserve">San Juan Guelavía</t>
  </si>
  <si>
    <t xml:space="preserve">20198</t>
  </si>
  <si>
    <t xml:space="preserve">198</t>
  </si>
  <si>
    <t xml:space="preserve">San Juan Guichicovi</t>
  </si>
  <si>
    <t xml:space="preserve">20199</t>
  </si>
  <si>
    <t xml:space="preserve">199</t>
  </si>
  <si>
    <t xml:space="preserve">San Juan Ihualtepec</t>
  </si>
  <si>
    <t xml:space="preserve">20201</t>
  </si>
  <si>
    <t xml:space="preserve">201</t>
  </si>
  <si>
    <t xml:space="preserve">San Juan Juquila Vijanos</t>
  </si>
  <si>
    <t xml:space="preserve">20202</t>
  </si>
  <si>
    <t xml:space="preserve">202</t>
  </si>
  <si>
    <t xml:space="preserve">San Juan Lachao</t>
  </si>
  <si>
    <t xml:space="preserve">20204</t>
  </si>
  <si>
    <t xml:space="preserve">204</t>
  </si>
  <si>
    <t xml:space="preserve">San Juan Lajarcia</t>
  </si>
  <si>
    <t xml:space="preserve">20205</t>
  </si>
  <si>
    <t xml:space="preserve">205</t>
  </si>
  <si>
    <t xml:space="preserve">San Juan Lalana</t>
  </si>
  <si>
    <t xml:space="preserve">20206</t>
  </si>
  <si>
    <t xml:space="preserve">206</t>
  </si>
  <si>
    <t xml:space="preserve">San Juan de los Cués</t>
  </si>
  <si>
    <t xml:space="preserve">20208</t>
  </si>
  <si>
    <t xml:space="preserve">208</t>
  </si>
  <si>
    <t xml:space="preserve">San Juan Mixtepec</t>
  </si>
  <si>
    <t xml:space="preserve">20209</t>
  </si>
  <si>
    <t xml:space="preserve">209</t>
  </si>
  <si>
    <t xml:space="preserve">20210</t>
  </si>
  <si>
    <t xml:space="preserve">210</t>
  </si>
  <si>
    <t xml:space="preserve">San Juan Ñumí</t>
  </si>
  <si>
    <t xml:space="preserve">20211</t>
  </si>
  <si>
    <t xml:space="preserve">211</t>
  </si>
  <si>
    <t xml:space="preserve">San Juan Ozolotepec</t>
  </si>
  <si>
    <t xml:space="preserve">20212</t>
  </si>
  <si>
    <t xml:space="preserve">212</t>
  </si>
  <si>
    <t xml:space="preserve">San Juan Petlapa</t>
  </si>
  <si>
    <t xml:space="preserve">20213</t>
  </si>
  <si>
    <t xml:space="preserve">213</t>
  </si>
  <si>
    <t xml:space="preserve">San Juan Quiahije</t>
  </si>
  <si>
    <t xml:space="preserve">20214</t>
  </si>
  <si>
    <t xml:space="preserve">214</t>
  </si>
  <si>
    <t xml:space="preserve">San Juan Quiotepec</t>
  </si>
  <si>
    <t xml:space="preserve">20215</t>
  </si>
  <si>
    <t xml:space="preserve">215</t>
  </si>
  <si>
    <t xml:space="preserve">San Juan Sayultepec</t>
  </si>
  <si>
    <t xml:space="preserve">20216</t>
  </si>
  <si>
    <t xml:space="preserve">216</t>
  </si>
  <si>
    <t xml:space="preserve">San Juan Tabaá</t>
  </si>
  <si>
    <t xml:space="preserve">20217</t>
  </si>
  <si>
    <t xml:space="preserve">217</t>
  </si>
  <si>
    <t xml:space="preserve">San Juan Tamazola</t>
  </si>
  <si>
    <t xml:space="preserve">20218</t>
  </si>
  <si>
    <t xml:space="preserve">218</t>
  </si>
  <si>
    <t xml:space="preserve">San Juan Teita</t>
  </si>
  <si>
    <t xml:space="preserve">20219</t>
  </si>
  <si>
    <t xml:space="preserve">219</t>
  </si>
  <si>
    <t xml:space="preserve">San Juan Teitipac</t>
  </si>
  <si>
    <t xml:space="preserve">20220</t>
  </si>
  <si>
    <t xml:space="preserve">220</t>
  </si>
  <si>
    <t xml:space="preserve">San Juan Tepeuxila</t>
  </si>
  <si>
    <t xml:space="preserve">20221</t>
  </si>
  <si>
    <t xml:space="preserve">221</t>
  </si>
  <si>
    <t xml:space="preserve">San Juan Teposcolula</t>
  </si>
  <si>
    <t xml:space="preserve">20222</t>
  </si>
  <si>
    <t xml:space="preserve">222</t>
  </si>
  <si>
    <t xml:space="preserve">San Juan Yaeé</t>
  </si>
  <si>
    <t xml:space="preserve">20223</t>
  </si>
  <si>
    <t xml:space="preserve">223</t>
  </si>
  <si>
    <t xml:space="preserve">San Juan Yatzona</t>
  </si>
  <si>
    <t xml:space="preserve">20224</t>
  </si>
  <si>
    <t xml:space="preserve">224</t>
  </si>
  <si>
    <t xml:space="preserve">San Juan Yucuita</t>
  </si>
  <si>
    <t xml:space="preserve">20226</t>
  </si>
  <si>
    <t xml:space="preserve">226</t>
  </si>
  <si>
    <t xml:space="preserve">San Lorenzo Albarradas</t>
  </si>
  <si>
    <t xml:space="preserve">20227</t>
  </si>
  <si>
    <t xml:space="preserve">227</t>
  </si>
  <si>
    <t xml:space="preserve">San Lorenzo Cacaotepec</t>
  </si>
  <si>
    <t xml:space="preserve">20228</t>
  </si>
  <si>
    <t xml:space="preserve">228</t>
  </si>
  <si>
    <t xml:space="preserve">San Lorenzo Cuaunecuiltitla</t>
  </si>
  <si>
    <t xml:space="preserve">20229</t>
  </si>
  <si>
    <t xml:space="preserve">229</t>
  </si>
  <si>
    <t xml:space="preserve">San Lorenzo Texmelúcan</t>
  </si>
  <si>
    <t xml:space="preserve">20230</t>
  </si>
  <si>
    <t xml:space="preserve">230</t>
  </si>
  <si>
    <t xml:space="preserve">San Lorenzo Victoria</t>
  </si>
  <si>
    <t xml:space="preserve">20231</t>
  </si>
  <si>
    <t xml:space="preserve">231</t>
  </si>
  <si>
    <t xml:space="preserve">San Lucas Camotlán</t>
  </si>
  <si>
    <t xml:space="preserve">20232</t>
  </si>
  <si>
    <t xml:space="preserve">232</t>
  </si>
  <si>
    <t xml:space="preserve">San Lucas Ojitlán</t>
  </si>
  <si>
    <t xml:space="preserve">20233</t>
  </si>
  <si>
    <t xml:space="preserve">233</t>
  </si>
  <si>
    <t xml:space="preserve">San Lucas Quiaviní</t>
  </si>
  <si>
    <t xml:space="preserve">20234</t>
  </si>
  <si>
    <t xml:space="preserve">234</t>
  </si>
  <si>
    <t xml:space="preserve">San Lucas Zoquiápam</t>
  </si>
  <si>
    <t xml:space="preserve">20235</t>
  </si>
  <si>
    <t xml:space="preserve">235</t>
  </si>
  <si>
    <t xml:space="preserve">San Luis Amatlán</t>
  </si>
  <si>
    <t xml:space="preserve">20236</t>
  </si>
  <si>
    <t xml:space="preserve">236</t>
  </si>
  <si>
    <t xml:space="preserve">San Marcial Ozolotepec</t>
  </si>
  <si>
    <t xml:space="preserve">20238</t>
  </si>
  <si>
    <t xml:space="preserve">238</t>
  </si>
  <si>
    <t xml:space="preserve">Heroico San Martín de los Cansecos</t>
  </si>
  <si>
    <t xml:space="preserve">20239</t>
  </si>
  <si>
    <t xml:space="preserve">239</t>
  </si>
  <si>
    <t xml:space="preserve">San Martín Huamelúlpam</t>
  </si>
  <si>
    <t xml:space="preserve">20240</t>
  </si>
  <si>
    <t xml:space="preserve">240</t>
  </si>
  <si>
    <t xml:space="preserve">San Martín Itunyoso</t>
  </si>
  <si>
    <t xml:space="preserve">20241</t>
  </si>
  <si>
    <t xml:space="preserve">241</t>
  </si>
  <si>
    <t xml:space="preserve">San Martín Lachilá</t>
  </si>
  <si>
    <t xml:space="preserve">20242</t>
  </si>
  <si>
    <t xml:space="preserve">242</t>
  </si>
  <si>
    <t xml:space="preserve">San Martín Peras</t>
  </si>
  <si>
    <t xml:space="preserve">20243</t>
  </si>
  <si>
    <t xml:space="preserve">243</t>
  </si>
  <si>
    <t xml:space="preserve">San Martín Tilcajete</t>
  </si>
  <si>
    <t xml:space="preserve">20244</t>
  </si>
  <si>
    <t xml:space="preserve">244</t>
  </si>
  <si>
    <t xml:space="preserve">San Martín Toxpalan</t>
  </si>
  <si>
    <t xml:space="preserve">20245</t>
  </si>
  <si>
    <t xml:space="preserve">245</t>
  </si>
  <si>
    <t xml:space="preserve">San Martín Zacatepec</t>
  </si>
  <si>
    <t xml:space="preserve">20246</t>
  </si>
  <si>
    <t xml:space="preserve">246</t>
  </si>
  <si>
    <t xml:space="preserve">San Mateo Cajonos</t>
  </si>
  <si>
    <t xml:space="preserve">20247</t>
  </si>
  <si>
    <t xml:space="preserve">247</t>
  </si>
  <si>
    <t xml:space="preserve">Capulálpam de Méndez</t>
  </si>
  <si>
    <t xml:space="preserve">20248</t>
  </si>
  <si>
    <t xml:space="preserve">248</t>
  </si>
  <si>
    <t xml:space="preserve">San Mateo del Mar</t>
  </si>
  <si>
    <t xml:space="preserve">20249</t>
  </si>
  <si>
    <t xml:space="preserve">249</t>
  </si>
  <si>
    <t xml:space="preserve">San Mateo Yoloxochitlán</t>
  </si>
  <si>
    <t xml:space="preserve">20250</t>
  </si>
  <si>
    <t xml:space="preserve">250</t>
  </si>
  <si>
    <t xml:space="preserve">San Mateo Etlatongo</t>
  </si>
  <si>
    <t xml:space="preserve">20251</t>
  </si>
  <si>
    <t xml:space="preserve">251</t>
  </si>
  <si>
    <t xml:space="preserve">San Mateo Nejápam</t>
  </si>
  <si>
    <t xml:space="preserve">20252</t>
  </si>
  <si>
    <t xml:space="preserve">252</t>
  </si>
  <si>
    <t xml:space="preserve">San Mateo Peñasco</t>
  </si>
  <si>
    <t xml:space="preserve">20253</t>
  </si>
  <si>
    <t xml:space="preserve">253</t>
  </si>
  <si>
    <t xml:space="preserve">San Mateo Piñas</t>
  </si>
  <si>
    <t xml:space="preserve">20254</t>
  </si>
  <si>
    <t xml:space="preserve">254</t>
  </si>
  <si>
    <t xml:space="preserve">San Mateo Río Hondo</t>
  </si>
  <si>
    <t xml:space="preserve">20255</t>
  </si>
  <si>
    <t xml:space="preserve">255</t>
  </si>
  <si>
    <t xml:space="preserve">San Mateo Sindihui</t>
  </si>
  <si>
    <t xml:space="preserve">20256</t>
  </si>
  <si>
    <t xml:space="preserve">256</t>
  </si>
  <si>
    <t xml:space="preserve">San Mateo Tlapiltepec</t>
  </si>
  <si>
    <t xml:space="preserve">20257</t>
  </si>
  <si>
    <t xml:space="preserve">257</t>
  </si>
  <si>
    <t xml:space="preserve">San Melchor Betaza</t>
  </si>
  <si>
    <t xml:space="preserve">20258</t>
  </si>
  <si>
    <t xml:space="preserve">258</t>
  </si>
  <si>
    <t xml:space="preserve">San Miguel Achiutla</t>
  </si>
  <si>
    <t xml:space="preserve">20260</t>
  </si>
  <si>
    <t xml:space="preserve">260</t>
  </si>
  <si>
    <t xml:space="preserve">San Miguel Aloápam</t>
  </si>
  <si>
    <t xml:space="preserve">20261</t>
  </si>
  <si>
    <t xml:space="preserve">261</t>
  </si>
  <si>
    <t xml:space="preserve">San Miguel Amatitlán</t>
  </si>
  <si>
    <t xml:space="preserve">20262</t>
  </si>
  <si>
    <t xml:space="preserve">262</t>
  </si>
  <si>
    <t xml:space="preserve">San Miguel Amatlán</t>
  </si>
  <si>
    <t xml:space="preserve">20263</t>
  </si>
  <si>
    <t xml:space="preserve">263</t>
  </si>
  <si>
    <t xml:space="preserve">San Miguel Coatlán</t>
  </si>
  <si>
    <t xml:space="preserve">20264</t>
  </si>
  <si>
    <t xml:space="preserve">264</t>
  </si>
  <si>
    <t xml:space="preserve">San Miguel Chicahua</t>
  </si>
  <si>
    <t xml:space="preserve">20265</t>
  </si>
  <si>
    <t xml:space="preserve">265</t>
  </si>
  <si>
    <t xml:space="preserve">San Miguel Chimalapa</t>
  </si>
  <si>
    <t xml:space="preserve">20266</t>
  </si>
  <si>
    <t xml:space="preserve">266</t>
  </si>
  <si>
    <t xml:space="preserve">San Miguel del Puerto</t>
  </si>
  <si>
    <t xml:space="preserve">20267</t>
  </si>
  <si>
    <t xml:space="preserve">267</t>
  </si>
  <si>
    <t xml:space="preserve">San Miguel del Río</t>
  </si>
  <si>
    <t xml:space="preserve">20268</t>
  </si>
  <si>
    <t xml:space="preserve">268</t>
  </si>
  <si>
    <t xml:space="preserve">San Miguel Ejutla</t>
  </si>
  <si>
    <t xml:space="preserve">20269</t>
  </si>
  <si>
    <t xml:space="preserve">269</t>
  </si>
  <si>
    <t xml:space="preserve">San Miguel el Grande</t>
  </si>
  <si>
    <t xml:space="preserve">20270</t>
  </si>
  <si>
    <t xml:space="preserve">270</t>
  </si>
  <si>
    <t xml:space="preserve">San Miguel Huautla</t>
  </si>
  <si>
    <t xml:space="preserve">20271</t>
  </si>
  <si>
    <t xml:space="preserve">271</t>
  </si>
  <si>
    <t xml:space="preserve">San Miguel Mixtepec</t>
  </si>
  <si>
    <t xml:space="preserve">20272</t>
  </si>
  <si>
    <t xml:space="preserve">272</t>
  </si>
  <si>
    <t xml:space="preserve">San Miguel Panixtlahuaca</t>
  </si>
  <si>
    <t xml:space="preserve">20273</t>
  </si>
  <si>
    <t xml:space="preserve">273</t>
  </si>
  <si>
    <t xml:space="preserve">San Miguel Peras</t>
  </si>
  <si>
    <t xml:space="preserve">20274</t>
  </si>
  <si>
    <t xml:space="preserve">274</t>
  </si>
  <si>
    <t xml:space="preserve">San Miguel Piedras</t>
  </si>
  <si>
    <t xml:space="preserve">20275</t>
  </si>
  <si>
    <t xml:space="preserve">275</t>
  </si>
  <si>
    <t xml:space="preserve">San Miguel Quetzaltepec</t>
  </si>
  <si>
    <t xml:space="preserve">20276</t>
  </si>
  <si>
    <t xml:space="preserve">276</t>
  </si>
  <si>
    <t xml:space="preserve">San Miguel Santa Flor</t>
  </si>
  <si>
    <t xml:space="preserve">20277</t>
  </si>
  <si>
    <t xml:space="preserve">277</t>
  </si>
  <si>
    <t xml:space="preserve">Villa Sola de Vega</t>
  </si>
  <si>
    <t xml:space="preserve">20278</t>
  </si>
  <si>
    <t xml:space="preserve">278</t>
  </si>
  <si>
    <t xml:space="preserve">San Miguel Soyaltepec</t>
  </si>
  <si>
    <t xml:space="preserve">20279</t>
  </si>
  <si>
    <t xml:space="preserve">279</t>
  </si>
  <si>
    <t xml:space="preserve">San Miguel Suchixtepec</t>
  </si>
  <si>
    <t xml:space="preserve">20280</t>
  </si>
  <si>
    <t xml:space="preserve">280</t>
  </si>
  <si>
    <t xml:space="preserve">Villa Talea de Castro</t>
  </si>
  <si>
    <t xml:space="preserve">20281</t>
  </si>
  <si>
    <t xml:space="preserve">281</t>
  </si>
  <si>
    <t xml:space="preserve">San Miguel Tecomatlán</t>
  </si>
  <si>
    <t xml:space="preserve">20282</t>
  </si>
  <si>
    <t xml:space="preserve">282</t>
  </si>
  <si>
    <t xml:space="preserve">San Miguel Tenango</t>
  </si>
  <si>
    <t xml:space="preserve">20283</t>
  </si>
  <si>
    <t xml:space="preserve">283</t>
  </si>
  <si>
    <t xml:space="preserve">San Miguel Tequixtepec</t>
  </si>
  <si>
    <t xml:space="preserve">20284</t>
  </si>
  <si>
    <t xml:space="preserve">284</t>
  </si>
  <si>
    <t xml:space="preserve">San Miguel Tilquiápam</t>
  </si>
  <si>
    <t xml:space="preserve">20285</t>
  </si>
  <si>
    <t xml:space="preserve">285</t>
  </si>
  <si>
    <t xml:space="preserve">San Miguel Tlacamama</t>
  </si>
  <si>
    <t xml:space="preserve">20287</t>
  </si>
  <si>
    <t xml:space="preserve">287</t>
  </si>
  <si>
    <t xml:space="preserve">San Miguel Tulancingo</t>
  </si>
  <si>
    <t xml:space="preserve">20288</t>
  </si>
  <si>
    <t xml:space="preserve">288</t>
  </si>
  <si>
    <t xml:space="preserve">San Miguel Yotao</t>
  </si>
  <si>
    <t xml:space="preserve">20289</t>
  </si>
  <si>
    <t xml:space="preserve">289</t>
  </si>
  <si>
    <t xml:space="preserve">San Nicolás</t>
  </si>
  <si>
    <t xml:space="preserve">20290</t>
  </si>
  <si>
    <t xml:space="preserve">290</t>
  </si>
  <si>
    <t xml:space="preserve">San Nicolás Hidalgo</t>
  </si>
  <si>
    <t xml:space="preserve">20291</t>
  </si>
  <si>
    <t xml:space="preserve">291</t>
  </si>
  <si>
    <t xml:space="preserve">San Pablo Coatlán</t>
  </si>
  <si>
    <t xml:space="preserve">20292</t>
  </si>
  <si>
    <t xml:space="preserve">292</t>
  </si>
  <si>
    <t xml:space="preserve">San Pablo Cuatro Venados</t>
  </si>
  <si>
    <t xml:space="preserve">20293</t>
  </si>
  <si>
    <t xml:space="preserve">293</t>
  </si>
  <si>
    <t xml:space="preserve">San Pablo Etla</t>
  </si>
  <si>
    <t xml:space="preserve">20294</t>
  </si>
  <si>
    <t xml:space="preserve">294</t>
  </si>
  <si>
    <t xml:space="preserve">San Pablo Huitzo</t>
  </si>
  <si>
    <t xml:space="preserve">20295</t>
  </si>
  <si>
    <t xml:space="preserve">295</t>
  </si>
  <si>
    <t xml:space="preserve">San Pablo Huixtepec</t>
  </si>
  <si>
    <t xml:space="preserve">20296</t>
  </si>
  <si>
    <t xml:space="preserve">296</t>
  </si>
  <si>
    <t xml:space="preserve">San Pablo Macuiltianguis</t>
  </si>
  <si>
    <t xml:space="preserve">20297</t>
  </si>
  <si>
    <t xml:space="preserve">297</t>
  </si>
  <si>
    <t xml:space="preserve">San Pablo Tijaltepec</t>
  </si>
  <si>
    <t xml:space="preserve">20298</t>
  </si>
  <si>
    <t xml:space="preserve">298</t>
  </si>
  <si>
    <t xml:space="preserve">San Pablo Villa de Mitla</t>
  </si>
  <si>
    <t xml:space="preserve">20299</t>
  </si>
  <si>
    <t xml:space="preserve">299</t>
  </si>
  <si>
    <t xml:space="preserve">San Pablo Yaganiza</t>
  </si>
  <si>
    <t xml:space="preserve">20300</t>
  </si>
  <si>
    <t xml:space="preserve">300</t>
  </si>
  <si>
    <t xml:space="preserve">San Pedro Amuzgos</t>
  </si>
  <si>
    <t xml:space="preserve">20301</t>
  </si>
  <si>
    <t xml:space="preserve">301</t>
  </si>
  <si>
    <t xml:space="preserve">San Pedro Apóstol</t>
  </si>
  <si>
    <t xml:space="preserve">20302</t>
  </si>
  <si>
    <t xml:space="preserve">302</t>
  </si>
  <si>
    <t xml:space="preserve">San Pedro Atoyac</t>
  </si>
  <si>
    <t xml:space="preserve">20303</t>
  </si>
  <si>
    <t xml:space="preserve">303</t>
  </si>
  <si>
    <t xml:space="preserve">San Pedro Cajonos</t>
  </si>
  <si>
    <t xml:space="preserve">20304</t>
  </si>
  <si>
    <t xml:space="preserve">304</t>
  </si>
  <si>
    <t xml:space="preserve">San Pedro Coxcaltepec Cántaros</t>
  </si>
  <si>
    <t xml:space="preserve">20305</t>
  </si>
  <si>
    <t xml:space="preserve">305</t>
  </si>
  <si>
    <t xml:space="preserve">San Pedro Comitancillo</t>
  </si>
  <si>
    <t xml:space="preserve">20306</t>
  </si>
  <si>
    <t xml:space="preserve">306</t>
  </si>
  <si>
    <t xml:space="preserve">San Pedro el Alto</t>
  </si>
  <si>
    <t xml:space="preserve">20307</t>
  </si>
  <si>
    <t xml:space="preserve">307</t>
  </si>
  <si>
    <t xml:space="preserve">San Pedro Huamelula</t>
  </si>
  <si>
    <t xml:space="preserve">20308</t>
  </si>
  <si>
    <t xml:space="preserve">308</t>
  </si>
  <si>
    <t xml:space="preserve">San Pedro Huilotepec</t>
  </si>
  <si>
    <t xml:space="preserve">20309</t>
  </si>
  <si>
    <t xml:space="preserve">309</t>
  </si>
  <si>
    <t xml:space="preserve">San Pedro Ixcatlán</t>
  </si>
  <si>
    <t xml:space="preserve">20310</t>
  </si>
  <si>
    <t xml:space="preserve">310</t>
  </si>
  <si>
    <t xml:space="preserve">San Pedro Ixtlahuaca</t>
  </si>
  <si>
    <t xml:space="preserve">20311</t>
  </si>
  <si>
    <t xml:space="preserve">311</t>
  </si>
  <si>
    <t xml:space="preserve">San Pedro Jaltepetongo</t>
  </si>
  <si>
    <t xml:space="preserve">20312</t>
  </si>
  <si>
    <t xml:space="preserve">312</t>
  </si>
  <si>
    <t xml:space="preserve">San Pedro Jicayán</t>
  </si>
  <si>
    <t xml:space="preserve">20313</t>
  </si>
  <si>
    <t xml:space="preserve">313</t>
  </si>
  <si>
    <t xml:space="preserve">San Pedro Jocotipac</t>
  </si>
  <si>
    <t xml:space="preserve">20314</t>
  </si>
  <si>
    <t xml:space="preserve">314</t>
  </si>
  <si>
    <t xml:space="preserve">San Pedro Juchatengo</t>
  </si>
  <si>
    <t xml:space="preserve">20315</t>
  </si>
  <si>
    <t xml:space="preserve">315</t>
  </si>
  <si>
    <t xml:space="preserve">San Pedro Mártir</t>
  </si>
  <si>
    <t xml:space="preserve">20316</t>
  </si>
  <si>
    <t xml:space="preserve">316</t>
  </si>
  <si>
    <t xml:space="preserve">San Pedro Mártir Quiechapa</t>
  </si>
  <si>
    <t xml:space="preserve">20317</t>
  </si>
  <si>
    <t xml:space="preserve">317</t>
  </si>
  <si>
    <t xml:space="preserve">San Pedro Mártir Yucuxaco</t>
  </si>
  <si>
    <t xml:space="preserve">20318</t>
  </si>
  <si>
    <t xml:space="preserve">318</t>
  </si>
  <si>
    <t xml:space="preserve">San Pedro Mixtepec</t>
  </si>
  <si>
    <t xml:space="preserve">20319</t>
  </si>
  <si>
    <t xml:space="preserve">319</t>
  </si>
  <si>
    <t xml:space="preserve">20320</t>
  </si>
  <si>
    <t xml:space="preserve">320</t>
  </si>
  <si>
    <t xml:space="preserve">San Pedro Molinos</t>
  </si>
  <si>
    <t xml:space="preserve">20321</t>
  </si>
  <si>
    <t xml:space="preserve">321</t>
  </si>
  <si>
    <t xml:space="preserve">San Pedro Nopala</t>
  </si>
  <si>
    <t xml:space="preserve">20322</t>
  </si>
  <si>
    <t xml:space="preserve">322</t>
  </si>
  <si>
    <t xml:space="preserve">San Pedro Ocopetatillo</t>
  </si>
  <si>
    <t xml:space="preserve">20323</t>
  </si>
  <si>
    <t xml:space="preserve">323</t>
  </si>
  <si>
    <t xml:space="preserve">San Pedro Ocotepec</t>
  </si>
  <si>
    <t xml:space="preserve">20324</t>
  </si>
  <si>
    <t xml:space="preserve">324</t>
  </si>
  <si>
    <t xml:space="preserve">San Pedro Pochutla</t>
  </si>
  <si>
    <t xml:space="preserve">20325</t>
  </si>
  <si>
    <t xml:space="preserve">325</t>
  </si>
  <si>
    <t xml:space="preserve">San Pedro Quiatoni</t>
  </si>
  <si>
    <t xml:space="preserve">20327</t>
  </si>
  <si>
    <t xml:space="preserve">327</t>
  </si>
  <si>
    <t xml:space="preserve">San Pedro Tapanatepec</t>
  </si>
  <si>
    <t xml:space="preserve">20328</t>
  </si>
  <si>
    <t xml:space="preserve">328</t>
  </si>
  <si>
    <t xml:space="preserve">San Pedro Taviche</t>
  </si>
  <si>
    <t xml:space="preserve">20329</t>
  </si>
  <si>
    <t xml:space="preserve">329</t>
  </si>
  <si>
    <t xml:space="preserve">San Pedro Teozacoalco</t>
  </si>
  <si>
    <t xml:space="preserve">20330</t>
  </si>
  <si>
    <t xml:space="preserve">330</t>
  </si>
  <si>
    <t xml:space="preserve">San Pedro Teutila</t>
  </si>
  <si>
    <t xml:space="preserve">20331</t>
  </si>
  <si>
    <t xml:space="preserve">331</t>
  </si>
  <si>
    <t xml:space="preserve">San Pedro Tidaá</t>
  </si>
  <si>
    <t xml:space="preserve">20332</t>
  </si>
  <si>
    <t xml:space="preserve">332</t>
  </si>
  <si>
    <t xml:space="preserve">San Pedro Topiltepec</t>
  </si>
  <si>
    <t xml:space="preserve">20333</t>
  </si>
  <si>
    <t xml:space="preserve">333</t>
  </si>
  <si>
    <t xml:space="preserve">San Pedro Totolápam</t>
  </si>
  <si>
    <t xml:space="preserve">20335</t>
  </si>
  <si>
    <t xml:space="preserve">335</t>
  </si>
  <si>
    <t xml:space="preserve">San Pedro Yaneri</t>
  </si>
  <si>
    <t xml:space="preserve">20336</t>
  </si>
  <si>
    <t xml:space="preserve">336</t>
  </si>
  <si>
    <t xml:space="preserve">San Pedro Yólox</t>
  </si>
  <si>
    <t xml:space="preserve">20337</t>
  </si>
  <si>
    <t xml:space="preserve">337</t>
  </si>
  <si>
    <t xml:space="preserve">San Pedro y San Pablo Ayutla</t>
  </si>
  <si>
    <t xml:space="preserve">20338</t>
  </si>
  <si>
    <t xml:space="preserve">338</t>
  </si>
  <si>
    <t xml:space="preserve">Villa de Etla</t>
  </si>
  <si>
    <t xml:space="preserve">20339</t>
  </si>
  <si>
    <t xml:space="preserve">339</t>
  </si>
  <si>
    <t xml:space="preserve">San Pedro y San Pablo Teposcolula</t>
  </si>
  <si>
    <t xml:space="preserve">20340</t>
  </si>
  <si>
    <t xml:space="preserve">340</t>
  </si>
  <si>
    <t xml:space="preserve">San Pedro y San Pablo Tequixtepec</t>
  </si>
  <si>
    <t xml:space="preserve">20341</t>
  </si>
  <si>
    <t xml:space="preserve">341</t>
  </si>
  <si>
    <t xml:space="preserve">San Pedro Yucunama</t>
  </si>
  <si>
    <t xml:space="preserve">20342</t>
  </si>
  <si>
    <t xml:space="preserve">342</t>
  </si>
  <si>
    <t xml:space="preserve">San Raymundo Jalpan</t>
  </si>
  <si>
    <t xml:space="preserve">20343</t>
  </si>
  <si>
    <t xml:space="preserve">343</t>
  </si>
  <si>
    <t xml:space="preserve">San Sebastián Abasolo</t>
  </si>
  <si>
    <t xml:space="preserve">20344</t>
  </si>
  <si>
    <t xml:space="preserve">344</t>
  </si>
  <si>
    <t xml:space="preserve">San Sebastián Coatlán</t>
  </si>
  <si>
    <t xml:space="preserve">20345</t>
  </si>
  <si>
    <t xml:space="preserve">345</t>
  </si>
  <si>
    <t xml:space="preserve">San Sebastián Ixcapa</t>
  </si>
  <si>
    <t xml:space="preserve">20346</t>
  </si>
  <si>
    <t xml:space="preserve">346</t>
  </si>
  <si>
    <t xml:space="preserve">San Sebastián Nicananduta</t>
  </si>
  <si>
    <t xml:space="preserve">20347</t>
  </si>
  <si>
    <t xml:space="preserve">347</t>
  </si>
  <si>
    <t xml:space="preserve">San Sebastián Río Hondo</t>
  </si>
  <si>
    <t xml:space="preserve">20348</t>
  </si>
  <si>
    <t xml:space="preserve">348</t>
  </si>
  <si>
    <t xml:space="preserve">San Sebastián Tecomaxtlahuaca</t>
  </si>
  <si>
    <t xml:space="preserve">20349</t>
  </si>
  <si>
    <t xml:space="preserve">349</t>
  </si>
  <si>
    <t xml:space="preserve">San Sebastián Teitipac</t>
  </si>
  <si>
    <t xml:space="preserve">20350</t>
  </si>
  <si>
    <t xml:space="preserve">350</t>
  </si>
  <si>
    <t xml:space="preserve">San Sebastián Tutla</t>
  </si>
  <si>
    <t xml:space="preserve">20351</t>
  </si>
  <si>
    <t xml:space="preserve">351</t>
  </si>
  <si>
    <t xml:space="preserve">San Simón Almolongas</t>
  </si>
  <si>
    <t xml:space="preserve">20352</t>
  </si>
  <si>
    <t xml:space="preserve">352</t>
  </si>
  <si>
    <t xml:space="preserve">San Simón Zahuatlán</t>
  </si>
  <si>
    <t xml:space="preserve">20354</t>
  </si>
  <si>
    <t xml:space="preserve">354</t>
  </si>
  <si>
    <t xml:space="preserve">Santa Ana Ateixtlahuaca</t>
  </si>
  <si>
    <t xml:space="preserve">20355</t>
  </si>
  <si>
    <t xml:space="preserve">355</t>
  </si>
  <si>
    <t xml:space="preserve">Santa Ana Cuauhtémoc</t>
  </si>
  <si>
    <t xml:space="preserve">20356</t>
  </si>
  <si>
    <t xml:space="preserve">356</t>
  </si>
  <si>
    <t xml:space="preserve">Santa Ana del Valle</t>
  </si>
  <si>
    <t xml:space="preserve">20357</t>
  </si>
  <si>
    <t xml:space="preserve">357</t>
  </si>
  <si>
    <t xml:space="preserve">Santa Ana Tavela</t>
  </si>
  <si>
    <t xml:space="preserve">20358</t>
  </si>
  <si>
    <t xml:space="preserve">358</t>
  </si>
  <si>
    <t xml:space="preserve">Santa Ana Tlapacoyan</t>
  </si>
  <si>
    <t xml:space="preserve">20359</t>
  </si>
  <si>
    <t xml:space="preserve">359</t>
  </si>
  <si>
    <t xml:space="preserve">Santa Ana Yareni</t>
  </si>
  <si>
    <t xml:space="preserve">20360</t>
  </si>
  <si>
    <t xml:space="preserve">360</t>
  </si>
  <si>
    <t xml:space="preserve">Santa Ana Zegache</t>
  </si>
  <si>
    <t xml:space="preserve">20361</t>
  </si>
  <si>
    <t xml:space="preserve">361</t>
  </si>
  <si>
    <t xml:space="preserve">Santa Catalina Quierí</t>
  </si>
  <si>
    <t xml:space="preserve">20362</t>
  </si>
  <si>
    <t xml:space="preserve">362</t>
  </si>
  <si>
    <t xml:space="preserve">Santa Catarina Cuixtla</t>
  </si>
  <si>
    <t xml:space="preserve">20363</t>
  </si>
  <si>
    <t xml:space="preserve">363</t>
  </si>
  <si>
    <t xml:space="preserve">Santa Catarina Ixtepeji</t>
  </si>
  <si>
    <t xml:space="preserve">20364</t>
  </si>
  <si>
    <t xml:space="preserve">364</t>
  </si>
  <si>
    <t xml:space="preserve">Santa Catarina Juquila</t>
  </si>
  <si>
    <t xml:space="preserve">20365</t>
  </si>
  <si>
    <t xml:space="preserve">365</t>
  </si>
  <si>
    <t xml:space="preserve">Santa Catarina Lachatao</t>
  </si>
  <si>
    <t xml:space="preserve">20366</t>
  </si>
  <si>
    <t xml:space="preserve">366</t>
  </si>
  <si>
    <t xml:space="preserve">Santa Catarina Loxicha</t>
  </si>
  <si>
    <t xml:space="preserve">20367</t>
  </si>
  <si>
    <t xml:space="preserve">367</t>
  </si>
  <si>
    <t xml:space="preserve">Santa Catarina Mechoacán</t>
  </si>
  <si>
    <t xml:space="preserve">20368</t>
  </si>
  <si>
    <t xml:space="preserve">368</t>
  </si>
  <si>
    <t xml:space="preserve">Santa Catarina Minas</t>
  </si>
  <si>
    <t xml:space="preserve">20369</t>
  </si>
  <si>
    <t xml:space="preserve">369</t>
  </si>
  <si>
    <t xml:space="preserve">Santa Catarina Quiané</t>
  </si>
  <si>
    <t xml:space="preserve">20370</t>
  </si>
  <si>
    <t xml:space="preserve">370</t>
  </si>
  <si>
    <t xml:space="preserve">Santa Catarina Tayata</t>
  </si>
  <si>
    <t xml:space="preserve">20371</t>
  </si>
  <si>
    <t xml:space="preserve">371</t>
  </si>
  <si>
    <t xml:space="preserve">Santa Catarina Ticuá</t>
  </si>
  <si>
    <t xml:space="preserve">20372</t>
  </si>
  <si>
    <t xml:space="preserve">372</t>
  </si>
  <si>
    <t xml:space="preserve">Santa Catarina Yosonotú</t>
  </si>
  <si>
    <t xml:space="preserve">20373</t>
  </si>
  <si>
    <t xml:space="preserve">373</t>
  </si>
  <si>
    <t xml:space="preserve">Santa Catarina Zapoquila</t>
  </si>
  <si>
    <t xml:space="preserve">20374</t>
  </si>
  <si>
    <t xml:space="preserve">374</t>
  </si>
  <si>
    <t xml:space="preserve">Santa Cruz Acatepec</t>
  </si>
  <si>
    <t xml:space="preserve">20375</t>
  </si>
  <si>
    <t xml:space="preserve">375</t>
  </si>
  <si>
    <t xml:space="preserve">Santa Cruz Amilpas</t>
  </si>
  <si>
    <t xml:space="preserve">20376</t>
  </si>
  <si>
    <t xml:space="preserve">376</t>
  </si>
  <si>
    <t xml:space="preserve">Santa Cruz de Bravo</t>
  </si>
  <si>
    <t xml:space="preserve">20377</t>
  </si>
  <si>
    <t xml:space="preserve">377</t>
  </si>
  <si>
    <t xml:space="preserve">Santa Cruz Itundujia</t>
  </si>
  <si>
    <t xml:space="preserve">20378</t>
  </si>
  <si>
    <t xml:space="preserve">378</t>
  </si>
  <si>
    <t xml:space="preserve">Santa Cruz Mixtepec</t>
  </si>
  <si>
    <t xml:space="preserve">20379</t>
  </si>
  <si>
    <t xml:space="preserve">379</t>
  </si>
  <si>
    <t xml:space="preserve">Santa Cruz Nundaco</t>
  </si>
  <si>
    <t xml:space="preserve">20380</t>
  </si>
  <si>
    <t xml:space="preserve">380</t>
  </si>
  <si>
    <t xml:space="preserve">Santa Cruz Papalutla</t>
  </si>
  <si>
    <t xml:space="preserve">20381</t>
  </si>
  <si>
    <t xml:space="preserve">381</t>
  </si>
  <si>
    <t xml:space="preserve">Santa Cruz Tacache de Mina</t>
  </si>
  <si>
    <t xml:space="preserve">20382</t>
  </si>
  <si>
    <t xml:space="preserve">382</t>
  </si>
  <si>
    <t xml:space="preserve">Santa Cruz Tacahua</t>
  </si>
  <si>
    <t xml:space="preserve">20383</t>
  </si>
  <si>
    <t xml:space="preserve">383</t>
  </si>
  <si>
    <t xml:space="preserve">Santa Cruz Tayata</t>
  </si>
  <si>
    <t xml:space="preserve">20384</t>
  </si>
  <si>
    <t xml:space="preserve">384</t>
  </si>
  <si>
    <t xml:space="preserve">Santa Cruz Xitla</t>
  </si>
  <si>
    <t xml:space="preserve">20385</t>
  </si>
  <si>
    <t xml:space="preserve">385</t>
  </si>
  <si>
    <t xml:space="preserve">Santa Cruz Xoxocotlán</t>
  </si>
  <si>
    <t xml:space="preserve">20386</t>
  </si>
  <si>
    <t xml:space="preserve">386</t>
  </si>
  <si>
    <t xml:space="preserve">Santa Cruz Zenzontepec</t>
  </si>
  <si>
    <t xml:space="preserve">20387</t>
  </si>
  <si>
    <t xml:space="preserve">387</t>
  </si>
  <si>
    <t xml:space="preserve">Santa Gertrudis</t>
  </si>
  <si>
    <t xml:space="preserve">20388</t>
  </si>
  <si>
    <t xml:space="preserve">388</t>
  </si>
  <si>
    <t xml:space="preserve">Santa Inés del Monte</t>
  </si>
  <si>
    <t xml:space="preserve">20389</t>
  </si>
  <si>
    <t xml:space="preserve">389</t>
  </si>
  <si>
    <t xml:space="preserve">Santa Inés Yatzeche</t>
  </si>
  <si>
    <t xml:space="preserve">20390</t>
  </si>
  <si>
    <t xml:space="preserve">390</t>
  </si>
  <si>
    <t xml:space="preserve">Santa Lucía del Camino</t>
  </si>
  <si>
    <t xml:space="preserve">20391</t>
  </si>
  <si>
    <t xml:space="preserve">391</t>
  </si>
  <si>
    <t xml:space="preserve">Santa Lucía Miahuatlán</t>
  </si>
  <si>
    <t xml:space="preserve">20392</t>
  </si>
  <si>
    <t xml:space="preserve">392</t>
  </si>
  <si>
    <t xml:space="preserve">Santa Lucía Monteverde</t>
  </si>
  <si>
    <t xml:space="preserve">20393</t>
  </si>
  <si>
    <t xml:space="preserve">393</t>
  </si>
  <si>
    <t xml:space="preserve">Santa Lucía Ocotlán</t>
  </si>
  <si>
    <t xml:space="preserve">20395</t>
  </si>
  <si>
    <t xml:space="preserve">395</t>
  </si>
  <si>
    <t xml:space="preserve">Santa María Apazco</t>
  </si>
  <si>
    <t xml:space="preserve">20396</t>
  </si>
  <si>
    <t xml:space="preserve">396</t>
  </si>
  <si>
    <t xml:space="preserve">Santa María la Asunción</t>
  </si>
  <si>
    <t xml:space="preserve">20397</t>
  </si>
  <si>
    <t xml:space="preserve">397</t>
  </si>
  <si>
    <t xml:space="preserve">Heroica Ciudad de Tlaxiaco</t>
  </si>
  <si>
    <t xml:space="preserve">20398</t>
  </si>
  <si>
    <t xml:space="preserve">398</t>
  </si>
  <si>
    <t xml:space="preserve">Ayoquezco de Aldama</t>
  </si>
  <si>
    <t xml:space="preserve">20399</t>
  </si>
  <si>
    <t xml:space="preserve">399</t>
  </si>
  <si>
    <t xml:space="preserve">Santa María Atzompa</t>
  </si>
  <si>
    <t xml:space="preserve">20400</t>
  </si>
  <si>
    <t xml:space="preserve">400</t>
  </si>
  <si>
    <t xml:space="preserve">Santa María Camotlán</t>
  </si>
  <si>
    <t xml:space="preserve">20401</t>
  </si>
  <si>
    <t xml:space="preserve">401</t>
  </si>
  <si>
    <t xml:space="preserve">Santa María Colotepec</t>
  </si>
  <si>
    <t xml:space="preserve">20403</t>
  </si>
  <si>
    <t xml:space="preserve">403</t>
  </si>
  <si>
    <t xml:space="preserve">Santa María Coyotepec</t>
  </si>
  <si>
    <t xml:space="preserve">20404</t>
  </si>
  <si>
    <t xml:space="preserve">404</t>
  </si>
  <si>
    <t xml:space="preserve">Santa María Chachoápam</t>
  </si>
  <si>
    <t xml:space="preserve">20405</t>
  </si>
  <si>
    <t xml:space="preserve">405</t>
  </si>
  <si>
    <t xml:space="preserve">Villa de Chilapa de Díaz</t>
  </si>
  <si>
    <t xml:space="preserve">20406</t>
  </si>
  <si>
    <t xml:space="preserve">406</t>
  </si>
  <si>
    <t xml:space="preserve">Santa María Chilchotla</t>
  </si>
  <si>
    <t xml:space="preserve">20407</t>
  </si>
  <si>
    <t xml:space="preserve">407</t>
  </si>
  <si>
    <t xml:space="preserve">Santa María Chimalapa</t>
  </si>
  <si>
    <t xml:space="preserve">20408</t>
  </si>
  <si>
    <t xml:space="preserve">408</t>
  </si>
  <si>
    <t xml:space="preserve">Santa María del Rosario</t>
  </si>
  <si>
    <t xml:space="preserve">20409</t>
  </si>
  <si>
    <t xml:space="preserve">409</t>
  </si>
  <si>
    <t xml:space="preserve">Santa María del Tule</t>
  </si>
  <si>
    <t xml:space="preserve">20410</t>
  </si>
  <si>
    <t xml:space="preserve">410</t>
  </si>
  <si>
    <t xml:space="preserve">Santa María Ecatepec</t>
  </si>
  <si>
    <t xml:space="preserve">20411</t>
  </si>
  <si>
    <t xml:space="preserve">411</t>
  </si>
  <si>
    <t xml:space="preserve">Santa María Guelacé</t>
  </si>
  <si>
    <t xml:space="preserve">20412</t>
  </si>
  <si>
    <t xml:space="preserve">412</t>
  </si>
  <si>
    <t xml:space="preserve">Santa María Guienagati</t>
  </si>
  <si>
    <t xml:space="preserve">20413</t>
  </si>
  <si>
    <t xml:space="preserve">413</t>
  </si>
  <si>
    <t xml:space="preserve">Santa María Huatulco</t>
  </si>
  <si>
    <t xml:space="preserve">20414</t>
  </si>
  <si>
    <t xml:space="preserve">414</t>
  </si>
  <si>
    <t xml:space="preserve">Santa María Huazolotitlán</t>
  </si>
  <si>
    <t xml:space="preserve">20415</t>
  </si>
  <si>
    <t xml:space="preserve">415</t>
  </si>
  <si>
    <t xml:space="preserve">Santa María Ipalapa</t>
  </si>
  <si>
    <t xml:space="preserve">20416</t>
  </si>
  <si>
    <t xml:space="preserve">416</t>
  </si>
  <si>
    <t xml:space="preserve">Santa María Ixcatlán</t>
  </si>
  <si>
    <t xml:space="preserve">20417</t>
  </si>
  <si>
    <t xml:space="preserve">417</t>
  </si>
  <si>
    <t xml:space="preserve">Santa María Jacatepec</t>
  </si>
  <si>
    <t xml:space="preserve">20418</t>
  </si>
  <si>
    <t xml:space="preserve">418</t>
  </si>
  <si>
    <t xml:space="preserve">Santa María Jalapa del Marqués</t>
  </si>
  <si>
    <t xml:space="preserve">20419</t>
  </si>
  <si>
    <t xml:space="preserve">419</t>
  </si>
  <si>
    <t xml:space="preserve">Santa María Jaltianguis</t>
  </si>
  <si>
    <t xml:space="preserve">20420</t>
  </si>
  <si>
    <t xml:space="preserve">420</t>
  </si>
  <si>
    <t xml:space="preserve">Santa María Lachixío</t>
  </si>
  <si>
    <t xml:space="preserve">20421</t>
  </si>
  <si>
    <t xml:space="preserve">421</t>
  </si>
  <si>
    <t xml:space="preserve">Santa María Mixtequilla</t>
  </si>
  <si>
    <t xml:space="preserve">20422</t>
  </si>
  <si>
    <t xml:space="preserve">422</t>
  </si>
  <si>
    <t xml:space="preserve">Santa María Nativitas</t>
  </si>
  <si>
    <t xml:space="preserve">20423</t>
  </si>
  <si>
    <t xml:space="preserve">423</t>
  </si>
  <si>
    <t xml:space="preserve">Santa María Nduayaco</t>
  </si>
  <si>
    <t xml:space="preserve">20424</t>
  </si>
  <si>
    <t xml:space="preserve">424</t>
  </si>
  <si>
    <t xml:space="preserve">Santa María Ozolotepec</t>
  </si>
  <si>
    <t xml:space="preserve">20425</t>
  </si>
  <si>
    <t xml:space="preserve">425</t>
  </si>
  <si>
    <t xml:space="preserve">Santa María Pápalo</t>
  </si>
  <si>
    <t xml:space="preserve">20426</t>
  </si>
  <si>
    <t xml:space="preserve">426</t>
  </si>
  <si>
    <t xml:space="preserve">Santa María Peñoles</t>
  </si>
  <si>
    <t xml:space="preserve">20429</t>
  </si>
  <si>
    <t xml:space="preserve">429</t>
  </si>
  <si>
    <t xml:space="preserve">Santa María Sola</t>
  </si>
  <si>
    <t xml:space="preserve">20430</t>
  </si>
  <si>
    <t xml:space="preserve">430</t>
  </si>
  <si>
    <t xml:space="preserve">Santa María Tataltepec</t>
  </si>
  <si>
    <t xml:space="preserve">20431</t>
  </si>
  <si>
    <t xml:space="preserve">431</t>
  </si>
  <si>
    <t xml:space="preserve">Santa María Tecomavaca</t>
  </si>
  <si>
    <t xml:space="preserve">20432</t>
  </si>
  <si>
    <t xml:space="preserve">432</t>
  </si>
  <si>
    <t xml:space="preserve">Santa María Temaxcalapa</t>
  </si>
  <si>
    <t xml:space="preserve">20433</t>
  </si>
  <si>
    <t xml:space="preserve">433</t>
  </si>
  <si>
    <t xml:space="preserve">Santa María Temaxcaltepec</t>
  </si>
  <si>
    <t xml:space="preserve">20434</t>
  </si>
  <si>
    <t xml:space="preserve">434</t>
  </si>
  <si>
    <t xml:space="preserve">Santa María Teopoxco</t>
  </si>
  <si>
    <t xml:space="preserve">20435</t>
  </si>
  <si>
    <t xml:space="preserve">435</t>
  </si>
  <si>
    <t xml:space="preserve">Santa María Tepantlali</t>
  </si>
  <si>
    <t xml:space="preserve">20436</t>
  </si>
  <si>
    <t xml:space="preserve">436</t>
  </si>
  <si>
    <t xml:space="preserve">Santa María Texcatitlán</t>
  </si>
  <si>
    <t xml:space="preserve">20437</t>
  </si>
  <si>
    <t xml:space="preserve">437</t>
  </si>
  <si>
    <t xml:space="preserve">Santa María Tlahuitoltepec</t>
  </si>
  <si>
    <t xml:space="preserve">20438</t>
  </si>
  <si>
    <t xml:space="preserve">438</t>
  </si>
  <si>
    <t xml:space="preserve">Santa María Tlalixtac</t>
  </si>
  <si>
    <t xml:space="preserve">20439</t>
  </si>
  <si>
    <t xml:space="preserve">439</t>
  </si>
  <si>
    <t xml:space="preserve">Santa María Tonameca</t>
  </si>
  <si>
    <t xml:space="preserve">20440</t>
  </si>
  <si>
    <t xml:space="preserve">440</t>
  </si>
  <si>
    <t xml:space="preserve">Santa María Totolapilla</t>
  </si>
  <si>
    <t xml:space="preserve">20441</t>
  </si>
  <si>
    <t xml:space="preserve">441</t>
  </si>
  <si>
    <t xml:space="preserve">Santa María Xadani</t>
  </si>
  <si>
    <t xml:space="preserve">20442</t>
  </si>
  <si>
    <t xml:space="preserve">442</t>
  </si>
  <si>
    <t xml:space="preserve">Santa María Yalina</t>
  </si>
  <si>
    <t xml:space="preserve">20443</t>
  </si>
  <si>
    <t xml:space="preserve">443</t>
  </si>
  <si>
    <t xml:space="preserve">Santa María Yavesía</t>
  </si>
  <si>
    <t xml:space="preserve">20444</t>
  </si>
  <si>
    <t xml:space="preserve">444</t>
  </si>
  <si>
    <t xml:space="preserve">Santa María Yolotepec</t>
  </si>
  <si>
    <t xml:space="preserve">20445</t>
  </si>
  <si>
    <t xml:space="preserve">445</t>
  </si>
  <si>
    <t xml:space="preserve">Santa María Yosoyúa</t>
  </si>
  <si>
    <t xml:space="preserve">20446</t>
  </si>
  <si>
    <t xml:space="preserve">446</t>
  </si>
  <si>
    <t xml:space="preserve">Santa María Yucuhiti</t>
  </si>
  <si>
    <t xml:space="preserve">20447</t>
  </si>
  <si>
    <t xml:space="preserve">447</t>
  </si>
  <si>
    <t xml:space="preserve">Santa María Zacatepec</t>
  </si>
  <si>
    <t xml:space="preserve">20448</t>
  </si>
  <si>
    <t xml:space="preserve">448</t>
  </si>
  <si>
    <t xml:space="preserve">Santa María Zaniza</t>
  </si>
  <si>
    <t xml:space="preserve">20449</t>
  </si>
  <si>
    <t xml:space="preserve">449</t>
  </si>
  <si>
    <t xml:space="preserve">Santa María Zoquitlán</t>
  </si>
  <si>
    <t xml:space="preserve">20450</t>
  </si>
  <si>
    <t xml:space="preserve">450</t>
  </si>
  <si>
    <t xml:space="preserve">Santiago Amoltepec</t>
  </si>
  <si>
    <t xml:space="preserve">20451</t>
  </si>
  <si>
    <t xml:space="preserve">451</t>
  </si>
  <si>
    <t xml:space="preserve">Santiago Apoala</t>
  </si>
  <si>
    <t xml:space="preserve">20452</t>
  </si>
  <si>
    <t xml:space="preserve">452</t>
  </si>
  <si>
    <t xml:space="preserve">Santiago Apóstol</t>
  </si>
  <si>
    <t xml:space="preserve">20453</t>
  </si>
  <si>
    <t xml:space="preserve">453</t>
  </si>
  <si>
    <t xml:space="preserve">Santiago Astata</t>
  </si>
  <si>
    <t xml:space="preserve">20454</t>
  </si>
  <si>
    <t xml:space="preserve">454</t>
  </si>
  <si>
    <t xml:space="preserve">Santiago Atitlán</t>
  </si>
  <si>
    <t xml:space="preserve">20455</t>
  </si>
  <si>
    <t xml:space="preserve">455</t>
  </si>
  <si>
    <t xml:space="preserve">Santiago Ayuquililla</t>
  </si>
  <si>
    <t xml:space="preserve">20456</t>
  </si>
  <si>
    <t xml:space="preserve">456</t>
  </si>
  <si>
    <t xml:space="preserve">Santiago Cacaloxtepec</t>
  </si>
  <si>
    <t xml:space="preserve">20457</t>
  </si>
  <si>
    <t xml:space="preserve">457</t>
  </si>
  <si>
    <t xml:space="preserve">Santiago Camotlán</t>
  </si>
  <si>
    <t xml:space="preserve">20458</t>
  </si>
  <si>
    <t xml:space="preserve">458</t>
  </si>
  <si>
    <t xml:space="preserve">Santiago Comaltepec</t>
  </si>
  <si>
    <t xml:space="preserve">20459</t>
  </si>
  <si>
    <t xml:space="preserve">459</t>
  </si>
  <si>
    <t xml:space="preserve">Villa de Santiago Chazumba</t>
  </si>
  <si>
    <t xml:space="preserve">20460</t>
  </si>
  <si>
    <t xml:space="preserve">460</t>
  </si>
  <si>
    <t xml:space="preserve">Santiago Choápam</t>
  </si>
  <si>
    <t xml:space="preserve">20461</t>
  </si>
  <si>
    <t xml:space="preserve">461</t>
  </si>
  <si>
    <t xml:space="preserve">Santiago del Río</t>
  </si>
  <si>
    <t xml:space="preserve">20462</t>
  </si>
  <si>
    <t xml:space="preserve">462</t>
  </si>
  <si>
    <t xml:space="preserve">Santiago Huajolotitlán</t>
  </si>
  <si>
    <t xml:space="preserve">20463</t>
  </si>
  <si>
    <t xml:space="preserve">463</t>
  </si>
  <si>
    <t xml:space="preserve">Santiago Huauclilla</t>
  </si>
  <si>
    <t xml:space="preserve">20464</t>
  </si>
  <si>
    <t xml:space="preserve">464</t>
  </si>
  <si>
    <t xml:space="preserve">Santiago Ihuitlán Plumas</t>
  </si>
  <si>
    <t xml:space="preserve">20465</t>
  </si>
  <si>
    <t xml:space="preserve">465</t>
  </si>
  <si>
    <t xml:space="preserve">Santiago Ixcuintepec</t>
  </si>
  <si>
    <t xml:space="preserve">20466</t>
  </si>
  <si>
    <t xml:space="preserve">466</t>
  </si>
  <si>
    <t xml:space="preserve">Santiago Ixtayutla</t>
  </si>
  <si>
    <t xml:space="preserve">20467</t>
  </si>
  <si>
    <t xml:space="preserve">467</t>
  </si>
  <si>
    <t xml:space="preserve">Santiago Jamiltepec</t>
  </si>
  <si>
    <t xml:space="preserve">20468</t>
  </si>
  <si>
    <t xml:space="preserve">468</t>
  </si>
  <si>
    <t xml:space="preserve">Santiago Jocotepec</t>
  </si>
  <si>
    <t xml:space="preserve">20469</t>
  </si>
  <si>
    <t xml:space="preserve">469</t>
  </si>
  <si>
    <t xml:space="preserve">Santiago Juxtlahuaca</t>
  </si>
  <si>
    <t xml:space="preserve">20470</t>
  </si>
  <si>
    <t xml:space="preserve">470</t>
  </si>
  <si>
    <t xml:space="preserve">Santiago Lachiguiri</t>
  </si>
  <si>
    <t xml:space="preserve">20471</t>
  </si>
  <si>
    <t xml:space="preserve">471</t>
  </si>
  <si>
    <t xml:space="preserve">Santiago Lalopa</t>
  </si>
  <si>
    <t xml:space="preserve">20472</t>
  </si>
  <si>
    <t xml:space="preserve">472</t>
  </si>
  <si>
    <t xml:space="preserve">Santiago Laollaga</t>
  </si>
  <si>
    <t xml:space="preserve">20473</t>
  </si>
  <si>
    <t xml:space="preserve">473</t>
  </si>
  <si>
    <t xml:space="preserve">Santiago Laxopa</t>
  </si>
  <si>
    <t xml:space="preserve">20474</t>
  </si>
  <si>
    <t xml:space="preserve">474</t>
  </si>
  <si>
    <t xml:space="preserve">Santiago Llano Grande</t>
  </si>
  <si>
    <t xml:space="preserve">20475</t>
  </si>
  <si>
    <t xml:space="preserve">475</t>
  </si>
  <si>
    <t xml:space="preserve">Santiago Matatlán</t>
  </si>
  <si>
    <t xml:space="preserve">20476</t>
  </si>
  <si>
    <t xml:space="preserve">476</t>
  </si>
  <si>
    <t xml:space="preserve">Santiago Miltepec</t>
  </si>
  <si>
    <t xml:space="preserve">20477</t>
  </si>
  <si>
    <t xml:space="preserve">477</t>
  </si>
  <si>
    <t xml:space="preserve">Santiago Minas</t>
  </si>
  <si>
    <t xml:space="preserve">20478</t>
  </si>
  <si>
    <t xml:space="preserve">478</t>
  </si>
  <si>
    <t xml:space="preserve">Santiago Nacaltepec</t>
  </si>
  <si>
    <t xml:space="preserve">20479</t>
  </si>
  <si>
    <t xml:space="preserve">479</t>
  </si>
  <si>
    <t xml:space="preserve">Santiago Nejapilla</t>
  </si>
  <si>
    <t xml:space="preserve">20480</t>
  </si>
  <si>
    <t xml:space="preserve">480</t>
  </si>
  <si>
    <t xml:space="preserve">Santiago Nundiche</t>
  </si>
  <si>
    <t xml:space="preserve">20481</t>
  </si>
  <si>
    <t xml:space="preserve">481</t>
  </si>
  <si>
    <t xml:space="preserve">Santiago Nuyoó</t>
  </si>
  <si>
    <t xml:space="preserve">20482</t>
  </si>
  <si>
    <t xml:space="preserve">482</t>
  </si>
  <si>
    <t xml:space="preserve">Santiago Pinotepa Nacional</t>
  </si>
  <si>
    <t xml:space="preserve">20483</t>
  </si>
  <si>
    <t xml:space="preserve">483</t>
  </si>
  <si>
    <t xml:space="preserve">Santiago Suchilquitongo</t>
  </si>
  <si>
    <t xml:space="preserve">20484</t>
  </si>
  <si>
    <t xml:space="preserve">484</t>
  </si>
  <si>
    <t xml:space="preserve">Santiago Tamazola</t>
  </si>
  <si>
    <t xml:space="preserve">20485</t>
  </si>
  <si>
    <t xml:space="preserve">485</t>
  </si>
  <si>
    <t xml:space="preserve">Santiago Tapextla</t>
  </si>
  <si>
    <t xml:space="preserve">20486</t>
  </si>
  <si>
    <t xml:space="preserve">486</t>
  </si>
  <si>
    <t xml:space="preserve">Villa Tejúpam de la Unión</t>
  </si>
  <si>
    <t xml:space="preserve">20487</t>
  </si>
  <si>
    <t xml:space="preserve">487</t>
  </si>
  <si>
    <t xml:space="preserve">Santiago Tenango</t>
  </si>
  <si>
    <t xml:space="preserve">20488</t>
  </si>
  <si>
    <t xml:space="preserve">488</t>
  </si>
  <si>
    <t xml:space="preserve">Santiago Tepetlapa</t>
  </si>
  <si>
    <t xml:space="preserve">20489</t>
  </si>
  <si>
    <t xml:space="preserve">489</t>
  </si>
  <si>
    <t xml:space="preserve">Santiago Tetepec</t>
  </si>
  <si>
    <t xml:space="preserve">20490</t>
  </si>
  <si>
    <t xml:space="preserve">490</t>
  </si>
  <si>
    <t xml:space="preserve">Santiago Texcalcingo</t>
  </si>
  <si>
    <t xml:space="preserve">20491</t>
  </si>
  <si>
    <t xml:space="preserve">491</t>
  </si>
  <si>
    <t xml:space="preserve">Santiago Textitlán</t>
  </si>
  <si>
    <t xml:space="preserve">20492</t>
  </si>
  <si>
    <t xml:space="preserve">492</t>
  </si>
  <si>
    <t xml:space="preserve">Santiago Tilantongo</t>
  </si>
  <si>
    <t xml:space="preserve">20493</t>
  </si>
  <si>
    <t xml:space="preserve">493</t>
  </si>
  <si>
    <t xml:space="preserve">Santiago Tillo</t>
  </si>
  <si>
    <t xml:space="preserve">20494</t>
  </si>
  <si>
    <t xml:space="preserve">494</t>
  </si>
  <si>
    <t xml:space="preserve">Santiago Tlazoyaltepec</t>
  </si>
  <si>
    <t xml:space="preserve">20495</t>
  </si>
  <si>
    <t xml:space="preserve">495</t>
  </si>
  <si>
    <t xml:space="preserve">Santiago Xanica</t>
  </si>
  <si>
    <t xml:space="preserve">20496</t>
  </si>
  <si>
    <t xml:space="preserve">496</t>
  </si>
  <si>
    <t xml:space="preserve">Santiago Xiacuí</t>
  </si>
  <si>
    <t xml:space="preserve">20497</t>
  </si>
  <si>
    <t xml:space="preserve">497</t>
  </si>
  <si>
    <t xml:space="preserve">Santiago Yaitepec</t>
  </si>
  <si>
    <t xml:space="preserve">20498</t>
  </si>
  <si>
    <t xml:space="preserve">498</t>
  </si>
  <si>
    <t xml:space="preserve">Santiago Yaveo</t>
  </si>
  <si>
    <t xml:space="preserve">20499</t>
  </si>
  <si>
    <t xml:space="preserve">499</t>
  </si>
  <si>
    <t xml:space="preserve">Santiago Yolomécatl</t>
  </si>
  <si>
    <t xml:space="preserve">20500</t>
  </si>
  <si>
    <t xml:space="preserve">500</t>
  </si>
  <si>
    <t xml:space="preserve">Santiago Yosondúa</t>
  </si>
  <si>
    <t xml:space="preserve">20501</t>
  </si>
  <si>
    <t xml:space="preserve">501</t>
  </si>
  <si>
    <t xml:space="preserve">Santiago Yucuyachi</t>
  </si>
  <si>
    <t xml:space="preserve">20502</t>
  </si>
  <si>
    <t xml:space="preserve">502</t>
  </si>
  <si>
    <t xml:space="preserve">Santiago Zacatepec</t>
  </si>
  <si>
    <t xml:space="preserve">20503</t>
  </si>
  <si>
    <t xml:space="preserve">503</t>
  </si>
  <si>
    <t xml:space="preserve">Santiago Zoochila</t>
  </si>
  <si>
    <t xml:space="preserve">20504</t>
  </si>
  <si>
    <t xml:space="preserve">504</t>
  </si>
  <si>
    <t xml:space="preserve">Nuevo Zoquiápam</t>
  </si>
  <si>
    <t xml:space="preserve">20505</t>
  </si>
  <si>
    <t xml:space="preserve">505</t>
  </si>
  <si>
    <t xml:space="preserve">Santo Domingo Ingenio</t>
  </si>
  <si>
    <t xml:space="preserve">20506</t>
  </si>
  <si>
    <t xml:space="preserve">506</t>
  </si>
  <si>
    <t xml:space="preserve">Santo Domingo Albarradas</t>
  </si>
  <si>
    <t xml:space="preserve">20507</t>
  </si>
  <si>
    <t xml:space="preserve">507</t>
  </si>
  <si>
    <t xml:space="preserve">Santo Domingo Armenta</t>
  </si>
  <si>
    <t xml:space="preserve">20508</t>
  </si>
  <si>
    <t xml:space="preserve">508</t>
  </si>
  <si>
    <t xml:space="preserve">Santo Domingo Chihuitán</t>
  </si>
  <si>
    <t xml:space="preserve">20509</t>
  </si>
  <si>
    <t xml:space="preserve">509</t>
  </si>
  <si>
    <t xml:space="preserve">Santo Domingo de Morelos</t>
  </si>
  <si>
    <t xml:space="preserve">20510</t>
  </si>
  <si>
    <t xml:space="preserve">510</t>
  </si>
  <si>
    <t xml:space="preserve">Santo Domingo Ixcatlán</t>
  </si>
  <si>
    <t xml:space="preserve">20511</t>
  </si>
  <si>
    <t xml:space="preserve">511</t>
  </si>
  <si>
    <t xml:space="preserve">Santo Domingo Nuxaá</t>
  </si>
  <si>
    <t xml:space="preserve">20512</t>
  </si>
  <si>
    <t xml:space="preserve">512</t>
  </si>
  <si>
    <t xml:space="preserve">Santo Domingo Ozolotepec</t>
  </si>
  <si>
    <t xml:space="preserve">20514</t>
  </si>
  <si>
    <t xml:space="preserve">514</t>
  </si>
  <si>
    <t xml:space="preserve">Santo Domingo Roayaga</t>
  </si>
  <si>
    <t xml:space="preserve">20515</t>
  </si>
  <si>
    <t xml:space="preserve">515</t>
  </si>
  <si>
    <t xml:space="preserve">Santo Domingo Tehuantepec</t>
  </si>
  <si>
    <t xml:space="preserve">20516</t>
  </si>
  <si>
    <t xml:space="preserve">516</t>
  </si>
  <si>
    <t xml:space="preserve">Santo Domingo Teojomulco</t>
  </si>
  <si>
    <t xml:space="preserve">20517</t>
  </si>
  <si>
    <t xml:space="preserve">517</t>
  </si>
  <si>
    <t xml:space="preserve">Santo Domingo Tepuxtepec</t>
  </si>
  <si>
    <t xml:space="preserve">20518</t>
  </si>
  <si>
    <t xml:space="preserve">518</t>
  </si>
  <si>
    <t xml:space="preserve">Santo Domingo Tlatayápam</t>
  </si>
  <si>
    <t xml:space="preserve">20519</t>
  </si>
  <si>
    <t xml:space="preserve">519</t>
  </si>
  <si>
    <t xml:space="preserve">Santo Domingo Tomaltepec</t>
  </si>
  <si>
    <t xml:space="preserve">20520</t>
  </si>
  <si>
    <t xml:space="preserve">520</t>
  </si>
  <si>
    <t xml:space="preserve">Santo Domingo Tonalá</t>
  </si>
  <si>
    <t xml:space="preserve">20521</t>
  </si>
  <si>
    <t xml:space="preserve">521</t>
  </si>
  <si>
    <t xml:space="preserve">Santo Domingo Tonaltepec</t>
  </si>
  <si>
    <t xml:space="preserve">20522</t>
  </si>
  <si>
    <t xml:space="preserve">522</t>
  </si>
  <si>
    <t xml:space="preserve">Santo Domingo Xagacía</t>
  </si>
  <si>
    <t xml:space="preserve">20523</t>
  </si>
  <si>
    <t xml:space="preserve">523</t>
  </si>
  <si>
    <t xml:space="preserve">Santo Domingo Yanhuitlán</t>
  </si>
  <si>
    <t xml:space="preserve">20524</t>
  </si>
  <si>
    <t xml:space="preserve">524</t>
  </si>
  <si>
    <t xml:space="preserve">Santo Domingo Yodohino</t>
  </si>
  <si>
    <t xml:space="preserve">20525</t>
  </si>
  <si>
    <t xml:space="preserve">525</t>
  </si>
  <si>
    <t xml:space="preserve">Santo Domingo Zanatepec</t>
  </si>
  <si>
    <t xml:space="preserve">20526</t>
  </si>
  <si>
    <t xml:space="preserve">526</t>
  </si>
  <si>
    <t xml:space="preserve">Santos Reyes Nopala</t>
  </si>
  <si>
    <t xml:space="preserve">20527</t>
  </si>
  <si>
    <t xml:space="preserve">527</t>
  </si>
  <si>
    <t xml:space="preserve">Santos Reyes Pápalo</t>
  </si>
  <si>
    <t xml:space="preserve">20528</t>
  </si>
  <si>
    <t xml:space="preserve">528</t>
  </si>
  <si>
    <t xml:space="preserve">Santos Reyes Tepejillo</t>
  </si>
  <si>
    <t xml:space="preserve">20529</t>
  </si>
  <si>
    <t xml:space="preserve">529</t>
  </si>
  <si>
    <t xml:space="preserve">Santos Reyes Yucuná</t>
  </si>
  <si>
    <t xml:space="preserve">20530</t>
  </si>
  <si>
    <t xml:space="preserve">530</t>
  </si>
  <si>
    <t xml:space="preserve">Santo Tomás Jalieza</t>
  </si>
  <si>
    <t xml:space="preserve">20531</t>
  </si>
  <si>
    <t xml:space="preserve">531</t>
  </si>
  <si>
    <t xml:space="preserve">Santo Tomás Mazaltepec</t>
  </si>
  <si>
    <t xml:space="preserve">20532</t>
  </si>
  <si>
    <t xml:space="preserve">532</t>
  </si>
  <si>
    <t xml:space="preserve">Santo Tomás Ocotepec</t>
  </si>
  <si>
    <t xml:space="preserve">20533</t>
  </si>
  <si>
    <t xml:space="preserve">533</t>
  </si>
  <si>
    <t xml:space="preserve">Santo Tomás Tamazulapan</t>
  </si>
  <si>
    <t xml:space="preserve">20534</t>
  </si>
  <si>
    <t xml:space="preserve">534</t>
  </si>
  <si>
    <t xml:space="preserve">San Vicente Coatlán</t>
  </si>
  <si>
    <t xml:space="preserve">20535</t>
  </si>
  <si>
    <t xml:space="preserve">535</t>
  </si>
  <si>
    <t xml:space="preserve">San Vicente Lachixío</t>
  </si>
  <si>
    <t xml:space="preserve">20536</t>
  </si>
  <si>
    <t xml:space="preserve">536</t>
  </si>
  <si>
    <t xml:space="preserve">San Vicente Nuñú</t>
  </si>
  <si>
    <t xml:space="preserve">20537</t>
  </si>
  <si>
    <t xml:space="preserve">537</t>
  </si>
  <si>
    <t xml:space="preserve">Silacayoápam</t>
  </si>
  <si>
    <t xml:space="preserve">20538</t>
  </si>
  <si>
    <t xml:space="preserve">538</t>
  </si>
  <si>
    <t xml:space="preserve">Sitio de Xitlapehua</t>
  </si>
  <si>
    <t xml:space="preserve">20539</t>
  </si>
  <si>
    <t xml:space="preserve">539</t>
  </si>
  <si>
    <t xml:space="preserve">Soledad Etla</t>
  </si>
  <si>
    <t xml:space="preserve">20541</t>
  </si>
  <si>
    <t xml:space="preserve">541</t>
  </si>
  <si>
    <t xml:space="preserve">Tanetze de Zaragoza</t>
  </si>
  <si>
    <t xml:space="preserve">20542</t>
  </si>
  <si>
    <t xml:space="preserve">542</t>
  </si>
  <si>
    <t xml:space="preserve">Taniche</t>
  </si>
  <si>
    <t xml:space="preserve">20543</t>
  </si>
  <si>
    <t xml:space="preserve">543</t>
  </si>
  <si>
    <t xml:space="preserve">Tataltepec de Valdés</t>
  </si>
  <si>
    <t xml:space="preserve">20544</t>
  </si>
  <si>
    <t xml:space="preserve">544</t>
  </si>
  <si>
    <t xml:space="preserve">Teococuilco de Marcos Pérez</t>
  </si>
  <si>
    <t xml:space="preserve">20545</t>
  </si>
  <si>
    <t xml:space="preserve">545</t>
  </si>
  <si>
    <t xml:space="preserve">Teotitlán de Flores Magón</t>
  </si>
  <si>
    <t xml:space="preserve">20546</t>
  </si>
  <si>
    <t xml:space="preserve">546</t>
  </si>
  <si>
    <t xml:space="preserve">Teotitlán del Valle</t>
  </si>
  <si>
    <t xml:space="preserve">20547</t>
  </si>
  <si>
    <t xml:space="preserve">547</t>
  </si>
  <si>
    <t xml:space="preserve">Teotongo</t>
  </si>
  <si>
    <t xml:space="preserve">20548</t>
  </si>
  <si>
    <t xml:space="preserve">548</t>
  </si>
  <si>
    <t xml:space="preserve">Tepelmeme Villa de Morelos</t>
  </si>
  <si>
    <t xml:space="preserve">20549</t>
  </si>
  <si>
    <t xml:space="preserve">549</t>
  </si>
  <si>
    <t xml:space="preserve">Heroica Villa Tezoatlán de Segura y Luna, Cuna de la Independencia de Oaxaca</t>
  </si>
  <si>
    <t xml:space="preserve">20550</t>
  </si>
  <si>
    <t xml:space="preserve">550</t>
  </si>
  <si>
    <t xml:space="preserve">San Jerónimo Tlacochahuaya</t>
  </si>
  <si>
    <t xml:space="preserve">20551</t>
  </si>
  <si>
    <t xml:space="preserve">551</t>
  </si>
  <si>
    <t xml:space="preserve">Tlacolula de Matamoros</t>
  </si>
  <si>
    <t xml:space="preserve">20552</t>
  </si>
  <si>
    <t xml:space="preserve">552</t>
  </si>
  <si>
    <t xml:space="preserve">Tlacotepec Plumas</t>
  </si>
  <si>
    <t xml:space="preserve">20553</t>
  </si>
  <si>
    <t xml:space="preserve">553</t>
  </si>
  <si>
    <t xml:space="preserve">Tlalixtac de Cabrera</t>
  </si>
  <si>
    <t xml:space="preserve">20554</t>
  </si>
  <si>
    <t xml:space="preserve">554</t>
  </si>
  <si>
    <t xml:space="preserve">Totontepec Villa de Morelos</t>
  </si>
  <si>
    <t xml:space="preserve">20556</t>
  </si>
  <si>
    <t xml:space="preserve">556</t>
  </si>
  <si>
    <t xml:space="preserve">La Trinidad Vista Hermosa</t>
  </si>
  <si>
    <t xml:space="preserve">20557</t>
  </si>
  <si>
    <t xml:space="preserve">557</t>
  </si>
  <si>
    <t xml:space="preserve">Unión Hidalgo</t>
  </si>
  <si>
    <t xml:space="preserve">20558</t>
  </si>
  <si>
    <t xml:space="preserve">558</t>
  </si>
  <si>
    <t xml:space="preserve">Valerio Trujano</t>
  </si>
  <si>
    <t xml:space="preserve">20559</t>
  </si>
  <si>
    <t xml:space="preserve">559</t>
  </si>
  <si>
    <t xml:space="preserve">San Juan Bautista Valle Nacional</t>
  </si>
  <si>
    <t xml:space="preserve">20560</t>
  </si>
  <si>
    <t xml:space="preserve">560</t>
  </si>
  <si>
    <t xml:space="preserve">Villa Díaz Ordaz</t>
  </si>
  <si>
    <t xml:space="preserve">20561</t>
  </si>
  <si>
    <t xml:space="preserve">561</t>
  </si>
  <si>
    <t xml:space="preserve">Yaxe</t>
  </si>
  <si>
    <t xml:space="preserve">20562</t>
  </si>
  <si>
    <t xml:space="preserve">562</t>
  </si>
  <si>
    <t xml:space="preserve">Magdalena Yodocono de Porfirio Díaz</t>
  </si>
  <si>
    <t xml:space="preserve">20563</t>
  </si>
  <si>
    <t xml:space="preserve">563</t>
  </si>
  <si>
    <t xml:space="preserve">Yogana</t>
  </si>
  <si>
    <t xml:space="preserve">20564</t>
  </si>
  <si>
    <t xml:space="preserve">564</t>
  </si>
  <si>
    <t xml:space="preserve">Yutanduchi de Guerrero</t>
  </si>
  <si>
    <t xml:space="preserve">20565</t>
  </si>
  <si>
    <t xml:space="preserve">565</t>
  </si>
  <si>
    <t xml:space="preserve">Villa de Zaachila</t>
  </si>
  <si>
    <t xml:space="preserve">20566</t>
  </si>
  <si>
    <t xml:space="preserve">566</t>
  </si>
  <si>
    <t xml:space="preserve">San Mateo Yucutindoo</t>
  </si>
  <si>
    <t xml:space="preserve">20567</t>
  </si>
  <si>
    <t xml:space="preserve">567</t>
  </si>
  <si>
    <t xml:space="preserve">Zapotitlán Lagunas</t>
  </si>
  <si>
    <t xml:space="preserve">20568</t>
  </si>
  <si>
    <t xml:space="preserve">568</t>
  </si>
  <si>
    <t xml:space="preserve">Zapotitlán Palmas</t>
  </si>
  <si>
    <t xml:space="preserve">20569</t>
  </si>
  <si>
    <t xml:space="preserve">569</t>
  </si>
  <si>
    <t xml:space="preserve">Santa Inés de Zaragoza</t>
  </si>
  <si>
    <t xml:space="preserve">20570</t>
  </si>
  <si>
    <t xml:space="preserve">570</t>
  </si>
  <si>
    <t xml:space="preserve">Zimatlán de Álvarez</t>
  </si>
  <si>
    <t xml:space="preserve">21001</t>
  </si>
  <si>
    <t xml:space="preserve">21</t>
  </si>
  <si>
    <t xml:space="preserve">Puebla</t>
  </si>
  <si>
    <t xml:space="preserve">Acajete</t>
  </si>
  <si>
    <t xml:space="preserve">21003</t>
  </si>
  <si>
    <t xml:space="preserve">Acatlán</t>
  </si>
  <si>
    <t xml:space="preserve">21004</t>
  </si>
  <si>
    <t xml:space="preserve">Acatzingo</t>
  </si>
  <si>
    <t xml:space="preserve">21005</t>
  </si>
  <si>
    <t xml:space="preserve">Acteopan</t>
  </si>
  <si>
    <t xml:space="preserve">21006</t>
  </si>
  <si>
    <t xml:space="preserve">21007</t>
  </si>
  <si>
    <t xml:space="preserve">Ahuatlán</t>
  </si>
  <si>
    <t xml:space="preserve">21008</t>
  </si>
  <si>
    <t xml:space="preserve">Ahuazotepec</t>
  </si>
  <si>
    <t xml:space="preserve">21009</t>
  </si>
  <si>
    <t xml:space="preserve">Ahuehuetitla</t>
  </si>
  <si>
    <t xml:space="preserve">21010</t>
  </si>
  <si>
    <t xml:space="preserve">Ajalpan</t>
  </si>
  <si>
    <t xml:space="preserve">21011</t>
  </si>
  <si>
    <t xml:space="preserve">Albino Zertuche</t>
  </si>
  <si>
    <t xml:space="preserve">21013</t>
  </si>
  <si>
    <t xml:space="preserve">Altepexi</t>
  </si>
  <si>
    <t xml:space="preserve">21014</t>
  </si>
  <si>
    <t xml:space="preserve">Amixtlán</t>
  </si>
  <si>
    <t xml:space="preserve">21015</t>
  </si>
  <si>
    <t xml:space="preserve">Amozoc</t>
  </si>
  <si>
    <t xml:space="preserve">21016</t>
  </si>
  <si>
    <t xml:space="preserve">Aquixtla</t>
  </si>
  <si>
    <t xml:space="preserve">21018</t>
  </si>
  <si>
    <t xml:space="preserve">Atexcal</t>
  </si>
  <si>
    <t xml:space="preserve">21019</t>
  </si>
  <si>
    <t xml:space="preserve">Atlixco</t>
  </si>
  <si>
    <t xml:space="preserve">21022</t>
  </si>
  <si>
    <t xml:space="preserve">Atzitzihuacán</t>
  </si>
  <si>
    <t xml:space="preserve">21023</t>
  </si>
  <si>
    <t xml:space="preserve">Atzitzintla</t>
  </si>
  <si>
    <t xml:space="preserve">21024</t>
  </si>
  <si>
    <t xml:space="preserve">Axutla</t>
  </si>
  <si>
    <t xml:space="preserve">21025</t>
  </si>
  <si>
    <t xml:space="preserve">Ayotoxco de Guerrero</t>
  </si>
  <si>
    <t xml:space="preserve">21026</t>
  </si>
  <si>
    <t xml:space="preserve">Calpan</t>
  </si>
  <si>
    <t xml:space="preserve">21027</t>
  </si>
  <si>
    <t xml:space="preserve">Caltepec</t>
  </si>
  <si>
    <t xml:space="preserve">21028</t>
  </si>
  <si>
    <t xml:space="preserve">Camocuautla</t>
  </si>
  <si>
    <t xml:space="preserve">21029</t>
  </si>
  <si>
    <t xml:space="preserve">Caxhuacan</t>
  </si>
  <si>
    <t xml:space="preserve">21030</t>
  </si>
  <si>
    <t xml:space="preserve">Coatepec</t>
  </si>
  <si>
    <t xml:space="preserve">21031</t>
  </si>
  <si>
    <t xml:space="preserve">Coatzingo</t>
  </si>
  <si>
    <t xml:space="preserve">21032</t>
  </si>
  <si>
    <t xml:space="preserve">Cohetzala</t>
  </si>
  <si>
    <t xml:space="preserve">21033</t>
  </si>
  <si>
    <t xml:space="preserve">Cohuecan</t>
  </si>
  <si>
    <t xml:space="preserve">21034</t>
  </si>
  <si>
    <t xml:space="preserve">Coronango</t>
  </si>
  <si>
    <t xml:space="preserve">21035</t>
  </si>
  <si>
    <t xml:space="preserve">Coxcatlán</t>
  </si>
  <si>
    <t xml:space="preserve">21036</t>
  </si>
  <si>
    <t xml:space="preserve">Coyomeapan</t>
  </si>
  <si>
    <t xml:space="preserve">21037</t>
  </si>
  <si>
    <t xml:space="preserve">21038</t>
  </si>
  <si>
    <t xml:space="preserve">Cuapiaxtla de Madero</t>
  </si>
  <si>
    <t xml:space="preserve">21040</t>
  </si>
  <si>
    <t xml:space="preserve">Cuautinchán</t>
  </si>
  <si>
    <t xml:space="preserve">21041</t>
  </si>
  <si>
    <t xml:space="preserve">Cuautlancingo</t>
  </si>
  <si>
    <t xml:space="preserve">21043</t>
  </si>
  <si>
    <t xml:space="preserve">Cuetzalan del Progreso</t>
  </si>
  <si>
    <t xml:space="preserve">21044</t>
  </si>
  <si>
    <t xml:space="preserve">Cuyoaco</t>
  </si>
  <si>
    <t xml:space="preserve">21046</t>
  </si>
  <si>
    <t xml:space="preserve">Chapulco</t>
  </si>
  <si>
    <t xml:space="preserve">21047</t>
  </si>
  <si>
    <t xml:space="preserve">21048</t>
  </si>
  <si>
    <t xml:space="preserve">Chiautzingo</t>
  </si>
  <si>
    <t xml:space="preserve">21049</t>
  </si>
  <si>
    <t xml:space="preserve">Chiconcuautla</t>
  </si>
  <si>
    <t xml:space="preserve">21050</t>
  </si>
  <si>
    <t xml:space="preserve">Chichiquila</t>
  </si>
  <si>
    <t xml:space="preserve">21051</t>
  </si>
  <si>
    <t xml:space="preserve">Chietla</t>
  </si>
  <si>
    <t xml:space="preserve">21052</t>
  </si>
  <si>
    <t xml:space="preserve">Chigmecatitlán</t>
  </si>
  <si>
    <t xml:space="preserve">21053</t>
  </si>
  <si>
    <t xml:space="preserve">Chignahuapan</t>
  </si>
  <si>
    <t xml:space="preserve">21054</t>
  </si>
  <si>
    <t xml:space="preserve">Chignautla</t>
  </si>
  <si>
    <t xml:space="preserve">21056</t>
  </si>
  <si>
    <t xml:space="preserve">Chila de la Sal</t>
  </si>
  <si>
    <t xml:space="preserve">21057</t>
  </si>
  <si>
    <t xml:space="preserve">Honey</t>
  </si>
  <si>
    <t xml:space="preserve">21058</t>
  </si>
  <si>
    <t xml:space="preserve">Chilchotla</t>
  </si>
  <si>
    <t xml:space="preserve">21059</t>
  </si>
  <si>
    <t xml:space="preserve">Chinantla</t>
  </si>
  <si>
    <t xml:space="preserve">21060</t>
  </si>
  <si>
    <t xml:space="preserve">Domingo Arenas</t>
  </si>
  <si>
    <t xml:space="preserve">21061</t>
  </si>
  <si>
    <t xml:space="preserve">Eloxochitlán</t>
  </si>
  <si>
    <t xml:space="preserve">21062</t>
  </si>
  <si>
    <t xml:space="preserve">Epatlán</t>
  </si>
  <si>
    <t xml:space="preserve">21064</t>
  </si>
  <si>
    <t xml:space="preserve">Francisco Z. Mena</t>
  </si>
  <si>
    <t xml:space="preserve">21065</t>
  </si>
  <si>
    <t xml:space="preserve">General Felipe Ángeles</t>
  </si>
  <si>
    <t xml:space="preserve">21067</t>
  </si>
  <si>
    <t xml:space="preserve">Guadalupe Victoria</t>
  </si>
  <si>
    <t xml:space="preserve">21068</t>
  </si>
  <si>
    <t xml:space="preserve">Hermenegildo Galeana</t>
  </si>
  <si>
    <t xml:space="preserve">21069</t>
  </si>
  <si>
    <t xml:space="preserve">Huaquechula</t>
  </si>
  <si>
    <t xml:space="preserve">21070</t>
  </si>
  <si>
    <t xml:space="preserve">Huatlatlauca</t>
  </si>
  <si>
    <t xml:space="preserve">21071</t>
  </si>
  <si>
    <t xml:space="preserve">Huauchinango</t>
  </si>
  <si>
    <t xml:space="preserve">21072</t>
  </si>
  <si>
    <t xml:space="preserve">Huehuetla</t>
  </si>
  <si>
    <t xml:space="preserve">21073</t>
  </si>
  <si>
    <t xml:space="preserve">Huehuetlán el Chico</t>
  </si>
  <si>
    <t xml:space="preserve">21074</t>
  </si>
  <si>
    <t xml:space="preserve">Huejotzingo</t>
  </si>
  <si>
    <t xml:space="preserve">21075</t>
  </si>
  <si>
    <t xml:space="preserve">21076</t>
  </si>
  <si>
    <t xml:space="preserve">Hueytamalco</t>
  </si>
  <si>
    <t xml:space="preserve">21077</t>
  </si>
  <si>
    <t xml:space="preserve">Hueytlalpan</t>
  </si>
  <si>
    <t xml:space="preserve">21078</t>
  </si>
  <si>
    <t xml:space="preserve">Huitzilan de Serdán</t>
  </si>
  <si>
    <t xml:space="preserve">21079</t>
  </si>
  <si>
    <t xml:space="preserve">Huitziltepec</t>
  </si>
  <si>
    <t xml:space="preserve">21080</t>
  </si>
  <si>
    <t xml:space="preserve">Atlequizayan</t>
  </si>
  <si>
    <t xml:space="preserve">21081</t>
  </si>
  <si>
    <t xml:space="preserve">Ixcamilpa de Guerrero</t>
  </si>
  <si>
    <t xml:space="preserve">21082</t>
  </si>
  <si>
    <t xml:space="preserve">Ixcaquixtla</t>
  </si>
  <si>
    <t xml:space="preserve">21083</t>
  </si>
  <si>
    <t xml:space="preserve">Ixtacamaxtitlán</t>
  </si>
  <si>
    <t xml:space="preserve">21084</t>
  </si>
  <si>
    <t xml:space="preserve">Ixtepec</t>
  </si>
  <si>
    <t xml:space="preserve">21085</t>
  </si>
  <si>
    <t xml:space="preserve">Izúcar de Matamoros</t>
  </si>
  <si>
    <t xml:space="preserve">21086</t>
  </si>
  <si>
    <t xml:space="preserve">Jalpan</t>
  </si>
  <si>
    <t xml:space="preserve">21087</t>
  </si>
  <si>
    <t xml:space="preserve">Jolalpan</t>
  </si>
  <si>
    <t xml:space="preserve">21088</t>
  </si>
  <si>
    <t xml:space="preserve">Jonotla</t>
  </si>
  <si>
    <t xml:space="preserve">21089</t>
  </si>
  <si>
    <t xml:space="preserve">Jopala</t>
  </si>
  <si>
    <t xml:space="preserve">21090</t>
  </si>
  <si>
    <t xml:space="preserve">Juan C. Bonilla</t>
  </si>
  <si>
    <t xml:space="preserve">21091</t>
  </si>
  <si>
    <t xml:space="preserve">Juan Galindo</t>
  </si>
  <si>
    <t xml:space="preserve">21092</t>
  </si>
  <si>
    <t xml:space="preserve">Juan N. Méndez</t>
  </si>
  <si>
    <t xml:space="preserve">21093</t>
  </si>
  <si>
    <t xml:space="preserve">Lafragua</t>
  </si>
  <si>
    <t xml:space="preserve">21094</t>
  </si>
  <si>
    <t xml:space="preserve">Libres</t>
  </si>
  <si>
    <t xml:space="preserve">21095</t>
  </si>
  <si>
    <t xml:space="preserve">La Magdalena Tlatlauquitepec</t>
  </si>
  <si>
    <t xml:space="preserve">21096</t>
  </si>
  <si>
    <t xml:space="preserve">Mazapiltepec de Juárez</t>
  </si>
  <si>
    <t xml:space="preserve">21098</t>
  </si>
  <si>
    <t xml:space="preserve">Molcaxac</t>
  </si>
  <si>
    <t xml:space="preserve">21099</t>
  </si>
  <si>
    <t xml:space="preserve">Cañada Morelos</t>
  </si>
  <si>
    <t xml:space="preserve">21100</t>
  </si>
  <si>
    <t xml:space="preserve">Naupan</t>
  </si>
  <si>
    <t xml:space="preserve">21101</t>
  </si>
  <si>
    <t xml:space="preserve">Nauzontla</t>
  </si>
  <si>
    <t xml:space="preserve">21102</t>
  </si>
  <si>
    <t xml:space="preserve">Nealtican</t>
  </si>
  <si>
    <t xml:space="preserve">21103</t>
  </si>
  <si>
    <t xml:space="preserve">Nicolás Bravo</t>
  </si>
  <si>
    <t xml:space="preserve">21104</t>
  </si>
  <si>
    <t xml:space="preserve">Nopalucan</t>
  </si>
  <si>
    <t xml:space="preserve">21105</t>
  </si>
  <si>
    <t xml:space="preserve">21106</t>
  </si>
  <si>
    <t xml:space="preserve">Ocoyucan</t>
  </si>
  <si>
    <t xml:space="preserve">21107</t>
  </si>
  <si>
    <t xml:space="preserve">Olintla</t>
  </si>
  <si>
    <t xml:space="preserve">21109</t>
  </si>
  <si>
    <t xml:space="preserve">Pahuatlán</t>
  </si>
  <si>
    <t xml:space="preserve">21110</t>
  </si>
  <si>
    <t xml:space="preserve">Palmar de Bravo</t>
  </si>
  <si>
    <t xml:space="preserve">21111</t>
  </si>
  <si>
    <t xml:space="preserve">21112</t>
  </si>
  <si>
    <t xml:space="preserve">Petlalcingo</t>
  </si>
  <si>
    <t xml:space="preserve">21113</t>
  </si>
  <si>
    <t xml:space="preserve">Piaxtla</t>
  </si>
  <si>
    <t xml:space="preserve">21114</t>
  </si>
  <si>
    <t xml:space="preserve">21115</t>
  </si>
  <si>
    <t xml:space="preserve">Quecholac</t>
  </si>
  <si>
    <t xml:space="preserve">21116</t>
  </si>
  <si>
    <t xml:space="preserve">Quimixtlán</t>
  </si>
  <si>
    <t xml:space="preserve">21117</t>
  </si>
  <si>
    <t xml:space="preserve">Rafael Lara Grajales</t>
  </si>
  <si>
    <t xml:space="preserve">21118</t>
  </si>
  <si>
    <t xml:space="preserve">Los Reyes de Juárez</t>
  </si>
  <si>
    <t xml:space="preserve">21119</t>
  </si>
  <si>
    <t xml:space="preserve">San Andrés Cholula</t>
  </si>
  <si>
    <t xml:space="preserve">21121</t>
  </si>
  <si>
    <t xml:space="preserve">San Diego la Mesa Tochimiltzingo</t>
  </si>
  <si>
    <t xml:space="preserve">21122</t>
  </si>
  <si>
    <t xml:space="preserve">San Felipe Teotlalcingo</t>
  </si>
  <si>
    <t xml:space="preserve">21123</t>
  </si>
  <si>
    <t xml:space="preserve">San Felipe Tepatlán</t>
  </si>
  <si>
    <t xml:space="preserve">21124</t>
  </si>
  <si>
    <t xml:space="preserve">San Gabriel Chilac</t>
  </si>
  <si>
    <t xml:space="preserve">21125</t>
  </si>
  <si>
    <t xml:space="preserve">San Gregorio Atzompa</t>
  </si>
  <si>
    <t xml:space="preserve">21126</t>
  </si>
  <si>
    <t xml:space="preserve">126</t>
  </si>
  <si>
    <t xml:space="preserve">San Jerónimo Tecuanipan</t>
  </si>
  <si>
    <t xml:space="preserve">21128</t>
  </si>
  <si>
    <t xml:space="preserve">San José Chiapa</t>
  </si>
  <si>
    <t xml:space="preserve">21129</t>
  </si>
  <si>
    <t xml:space="preserve">San José Miahuatlán</t>
  </si>
  <si>
    <t xml:space="preserve">21130</t>
  </si>
  <si>
    <t xml:space="preserve">San Juan Atenco</t>
  </si>
  <si>
    <t xml:space="preserve">21131</t>
  </si>
  <si>
    <t xml:space="preserve">San Juan Atzompa</t>
  </si>
  <si>
    <t xml:space="preserve">21132</t>
  </si>
  <si>
    <t xml:space="preserve">San Martín Texmelucan</t>
  </si>
  <si>
    <t xml:space="preserve">21133</t>
  </si>
  <si>
    <t xml:space="preserve">San Martín Totoltepec</t>
  </si>
  <si>
    <t xml:space="preserve">21134</t>
  </si>
  <si>
    <t xml:space="preserve">San Matías Tlalancaleca</t>
  </si>
  <si>
    <t xml:space="preserve">21135</t>
  </si>
  <si>
    <t xml:space="preserve">San Miguel Ixitlán</t>
  </si>
  <si>
    <t xml:space="preserve">21136</t>
  </si>
  <si>
    <t xml:space="preserve">San Miguel Xoxtla</t>
  </si>
  <si>
    <t xml:space="preserve">21137</t>
  </si>
  <si>
    <t xml:space="preserve">San Nicolás Buenos Aires</t>
  </si>
  <si>
    <t xml:space="preserve">21138</t>
  </si>
  <si>
    <t xml:space="preserve">San Nicolás de los Ranchos</t>
  </si>
  <si>
    <t xml:space="preserve">21139</t>
  </si>
  <si>
    <t xml:space="preserve">San Pablo Anicano</t>
  </si>
  <si>
    <t xml:space="preserve">21140</t>
  </si>
  <si>
    <t xml:space="preserve">San Pedro Cholula</t>
  </si>
  <si>
    <t xml:space="preserve">21141</t>
  </si>
  <si>
    <t xml:space="preserve">San Pedro Yeloixtlahuaca</t>
  </si>
  <si>
    <t xml:space="preserve">21142</t>
  </si>
  <si>
    <t xml:space="preserve">San Salvador el Seco</t>
  </si>
  <si>
    <t xml:space="preserve">21143</t>
  </si>
  <si>
    <t xml:space="preserve">San Salvador el Verde</t>
  </si>
  <si>
    <t xml:space="preserve">21145</t>
  </si>
  <si>
    <t xml:space="preserve">San Sebastián Tlacotepec</t>
  </si>
  <si>
    <t xml:space="preserve">21146</t>
  </si>
  <si>
    <t xml:space="preserve">Santa Catarina Tlaltempan</t>
  </si>
  <si>
    <t xml:space="preserve">21147</t>
  </si>
  <si>
    <t xml:space="preserve">Santa Inés Ahuatempan</t>
  </si>
  <si>
    <t xml:space="preserve">21148</t>
  </si>
  <si>
    <t xml:space="preserve">Santa Isabel Cholula</t>
  </si>
  <si>
    <t xml:space="preserve">21149</t>
  </si>
  <si>
    <t xml:space="preserve">Santiago Miahuatlán</t>
  </si>
  <si>
    <t xml:space="preserve">21150</t>
  </si>
  <si>
    <t xml:space="preserve">Huehuetlán el Grande</t>
  </si>
  <si>
    <t xml:space="preserve">21151</t>
  </si>
  <si>
    <t xml:space="preserve">Santo Tomás Hueyotlipan</t>
  </si>
  <si>
    <t xml:space="preserve">21152</t>
  </si>
  <si>
    <t xml:space="preserve">Soltepec</t>
  </si>
  <si>
    <t xml:space="preserve">21153</t>
  </si>
  <si>
    <t xml:space="preserve">Tecali de Herrera</t>
  </si>
  <si>
    <t xml:space="preserve">21154</t>
  </si>
  <si>
    <t xml:space="preserve">Tecamachalco</t>
  </si>
  <si>
    <t xml:space="preserve">21155</t>
  </si>
  <si>
    <t xml:space="preserve">Tecomatlán</t>
  </si>
  <si>
    <t xml:space="preserve">21156</t>
  </si>
  <si>
    <t xml:space="preserve">Tehuacán</t>
  </si>
  <si>
    <t xml:space="preserve">21157</t>
  </si>
  <si>
    <t xml:space="preserve">Tehuitzingo</t>
  </si>
  <si>
    <t xml:space="preserve">21158</t>
  </si>
  <si>
    <t xml:space="preserve">Tenampulco</t>
  </si>
  <si>
    <t xml:space="preserve">21159</t>
  </si>
  <si>
    <t xml:space="preserve">Teopantlán</t>
  </si>
  <si>
    <t xml:space="preserve">21160</t>
  </si>
  <si>
    <t xml:space="preserve">Teotlalco</t>
  </si>
  <si>
    <t xml:space="preserve">21161</t>
  </si>
  <si>
    <t xml:space="preserve">Tepanco de López</t>
  </si>
  <si>
    <t xml:space="preserve">21163</t>
  </si>
  <si>
    <t xml:space="preserve">Tepatlaxco de Hidalgo</t>
  </si>
  <si>
    <t xml:space="preserve">21164</t>
  </si>
  <si>
    <t xml:space="preserve">Tepeaca</t>
  </si>
  <si>
    <t xml:space="preserve">21165</t>
  </si>
  <si>
    <t xml:space="preserve">Tepemaxalco</t>
  </si>
  <si>
    <t xml:space="preserve">21166</t>
  </si>
  <si>
    <t xml:space="preserve">Tepeojuma</t>
  </si>
  <si>
    <t xml:space="preserve">21167</t>
  </si>
  <si>
    <t xml:space="preserve">Tepetzintla</t>
  </si>
  <si>
    <t xml:space="preserve">21168</t>
  </si>
  <si>
    <t xml:space="preserve">168</t>
  </si>
  <si>
    <t xml:space="preserve">Tepexco</t>
  </si>
  <si>
    <t xml:space="preserve">21169</t>
  </si>
  <si>
    <t xml:space="preserve">Tepexi de Rodríguez</t>
  </si>
  <si>
    <t xml:space="preserve">21170</t>
  </si>
  <si>
    <t xml:space="preserve">Tepeyahualco</t>
  </si>
  <si>
    <t xml:space="preserve">21172</t>
  </si>
  <si>
    <t xml:space="preserve">Tetela de Ocampo</t>
  </si>
  <si>
    <t xml:space="preserve">21173</t>
  </si>
  <si>
    <t xml:space="preserve">Teteles de Ávila Castillo</t>
  </si>
  <si>
    <t xml:space="preserve">21174</t>
  </si>
  <si>
    <t xml:space="preserve">174</t>
  </si>
  <si>
    <t xml:space="preserve">Teziutlán</t>
  </si>
  <si>
    <t xml:space="preserve">21175</t>
  </si>
  <si>
    <t xml:space="preserve">Tianguismanalco</t>
  </si>
  <si>
    <t xml:space="preserve">21176</t>
  </si>
  <si>
    <t xml:space="preserve">176</t>
  </si>
  <si>
    <t xml:space="preserve">Tilapa</t>
  </si>
  <si>
    <t xml:space="preserve">21177</t>
  </si>
  <si>
    <t xml:space="preserve">Tlacotepec de Benito Juárez</t>
  </si>
  <si>
    <t xml:space="preserve">21178</t>
  </si>
  <si>
    <t xml:space="preserve">Tlacuilotepec</t>
  </si>
  <si>
    <t xml:space="preserve">21179</t>
  </si>
  <si>
    <t xml:space="preserve">Tlachichuca</t>
  </si>
  <si>
    <t xml:space="preserve">21180</t>
  </si>
  <si>
    <t xml:space="preserve">Tlahuapan</t>
  </si>
  <si>
    <t xml:space="preserve">21181</t>
  </si>
  <si>
    <t xml:space="preserve">Tlaltenango</t>
  </si>
  <si>
    <t xml:space="preserve">21182</t>
  </si>
  <si>
    <t xml:space="preserve">Tlanepantla</t>
  </si>
  <si>
    <t xml:space="preserve">21184</t>
  </si>
  <si>
    <t xml:space="preserve">Tlapacoya</t>
  </si>
  <si>
    <t xml:space="preserve">21185</t>
  </si>
  <si>
    <t xml:space="preserve">Tlapanalá</t>
  </si>
  <si>
    <t xml:space="preserve">21186</t>
  </si>
  <si>
    <t xml:space="preserve">Tlatlauquitepec</t>
  </si>
  <si>
    <t xml:space="preserve">21188</t>
  </si>
  <si>
    <t xml:space="preserve">Tochimilco</t>
  </si>
  <si>
    <t xml:space="preserve">21190</t>
  </si>
  <si>
    <t xml:space="preserve">Totoltepec de Guerrero</t>
  </si>
  <si>
    <t xml:space="preserve">21191</t>
  </si>
  <si>
    <t xml:space="preserve">Tulcingo</t>
  </si>
  <si>
    <t xml:space="preserve">21192</t>
  </si>
  <si>
    <t xml:space="preserve">Tuzamapan de Galeana</t>
  </si>
  <si>
    <t xml:space="preserve">21193</t>
  </si>
  <si>
    <t xml:space="preserve">Tzicatlacoyan</t>
  </si>
  <si>
    <t xml:space="preserve">21194</t>
  </si>
  <si>
    <t xml:space="preserve">21195</t>
  </si>
  <si>
    <t xml:space="preserve">Vicente Guerrero</t>
  </si>
  <si>
    <t xml:space="preserve">21196</t>
  </si>
  <si>
    <t xml:space="preserve">Xayacatlán de Bravo</t>
  </si>
  <si>
    <t xml:space="preserve">21198</t>
  </si>
  <si>
    <t xml:space="preserve">Xicotlán</t>
  </si>
  <si>
    <t xml:space="preserve">21199</t>
  </si>
  <si>
    <t xml:space="preserve">Xiutetelco</t>
  </si>
  <si>
    <t xml:space="preserve">21200</t>
  </si>
  <si>
    <t xml:space="preserve">200</t>
  </si>
  <si>
    <t xml:space="preserve">Xochiapulco</t>
  </si>
  <si>
    <t xml:space="preserve">21201</t>
  </si>
  <si>
    <t xml:space="preserve">Xochiltepec</t>
  </si>
  <si>
    <t xml:space="preserve">21202</t>
  </si>
  <si>
    <t xml:space="preserve">Xochitlán de Vicente Suárez</t>
  </si>
  <si>
    <t xml:space="preserve">21203</t>
  </si>
  <si>
    <t xml:space="preserve">203</t>
  </si>
  <si>
    <t xml:space="preserve">Xochitlán Todos Santos</t>
  </si>
  <si>
    <t xml:space="preserve">21204</t>
  </si>
  <si>
    <t xml:space="preserve">Yaonáhuac</t>
  </si>
  <si>
    <t xml:space="preserve">21205</t>
  </si>
  <si>
    <t xml:space="preserve">Yehualtepec</t>
  </si>
  <si>
    <t xml:space="preserve">21206</t>
  </si>
  <si>
    <t xml:space="preserve">Zacapala</t>
  </si>
  <si>
    <t xml:space="preserve">21207</t>
  </si>
  <si>
    <t xml:space="preserve">207</t>
  </si>
  <si>
    <t xml:space="preserve">Zacapoaxtla</t>
  </si>
  <si>
    <t xml:space="preserve">21208</t>
  </si>
  <si>
    <t xml:space="preserve">Zacatlán</t>
  </si>
  <si>
    <t xml:space="preserve">21209</t>
  </si>
  <si>
    <t xml:space="preserve">Zapotitlán</t>
  </si>
  <si>
    <t xml:space="preserve">21210</t>
  </si>
  <si>
    <t xml:space="preserve">Zapotitlán de Méndez</t>
  </si>
  <si>
    <t xml:space="preserve">21211</t>
  </si>
  <si>
    <t xml:space="preserve">21212</t>
  </si>
  <si>
    <t xml:space="preserve">Zautla</t>
  </si>
  <si>
    <t xml:space="preserve">21213</t>
  </si>
  <si>
    <t xml:space="preserve">Zihuateutla</t>
  </si>
  <si>
    <t xml:space="preserve">21214</t>
  </si>
  <si>
    <t xml:space="preserve">Zinacatepec</t>
  </si>
  <si>
    <t xml:space="preserve">21216</t>
  </si>
  <si>
    <t xml:space="preserve">Zoquiapan</t>
  </si>
  <si>
    <t xml:space="preserve">22001</t>
  </si>
  <si>
    <t xml:space="preserve">22</t>
  </si>
  <si>
    <t xml:space="preserve">Querétaro</t>
  </si>
  <si>
    <t xml:space="preserve">Amealco de Bonfil</t>
  </si>
  <si>
    <t xml:space="preserve">22003</t>
  </si>
  <si>
    <t xml:space="preserve">Arroyo Seco</t>
  </si>
  <si>
    <t xml:space="preserve">22004</t>
  </si>
  <si>
    <t xml:space="preserve">Cadereyta de Montes</t>
  </si>
  <si>
    <t xml:space="preserve">22005</t>
  </si>
  <si>
    <t xml:space="preserve">Colón</t>
  </si>
  <si>
    <t xml:space="preserve">22006</t>
  </si>
  <si>
    <t xml:space="preserve">Corregidora</t>
  </si>
  <si>
    <t xml:space="preserve">22007</t>
  </si>
  <si>
    <t xml:space="preserve">Ezequiel Montes</t>
  </si>
  <si>
    <t xml:space="preserve">22008</t>
  </si>
  <si>
    <t xml:space="preserve">Huimilpan</t>
  </si>
  <si>
    <t xml:space="preserve">22009</t>
  </si>
  <si>
    <t xml:space="preserve">Jalpan de Serra</t>
  </si>
  <si>
    <t xml:space="preserve">22011</t>
  </si>
  <si>
    <t xml:space="preserve">El Marqués</t>
  </si>
  <si>
    <t xml:space="preserve">22012</t>
  </si>
  <si>
    <t xml:space="preserve">Pedro Escobedo</t>
  </si>
  <si>
    <t xml:space="preserve">22013</t>
  </si>
  <si>
    <t xml:space="preserve">Peñamiller</t>
  </si>
  <si>
    <t xml:space="preserve">22014</t>
  </si>
  <si>
    <t xml:space="preserve">22015</t>
  </si>
  <si>
    <t xml:space="preserve">San Joaquín</t>
  </si>
  <si>
    <t xml:space="preserve">22016</t>
  </si>
  <si>
    <t xml:space="preserve">22017</t>
  </si>
  <si>
    <t xml:space="preserve">Tequisquiapan</t>
  </si>
  <si>
    <t xml:space="preserve">22018</t>
  </si>
  <si>
    <t xml:space="preserve">23001</t>
  </si>
  <si>
    <t xml:space="preserve">23</t>
  </si>
  <si>
    <t xml:space="preserve">Quintana Roo</t>
  </si>
  <si>
    <t xml:space="preserve">Cozumel</t>
  </si>
  <si>
    <t xml:space="preserve">23002</t>
  </si>
  <si>
    <t xml:space="preserve">Felipe Carrillo Puerto</t>
  </si>
  <si>
    <t xml:space="preserve">23003</t>
  </si>
  <si>
    <t xml:space="preserve">Isla Mujeres</t>
  </si>
  <si>
    <t xml:space="preserve">23004</t>
  </si>
  <si>
    <t xml:space="preserve">Othón P. Blanco</t>
  </si>
  <si>
    <t xml:space="preserve">23005</t>
  </si>
  <si>
    <t xml:space="preserve">Benito Juárez</t>
  </si>
  <si>
    <t xml:space="preserve">23006</t>
  </si>
  <si>
    <t xml:space="preserve">José María Morelos</t>
  </si>
  <si>
    <t xml:space="preserve">23007</t>
  </si>
  <si>
    <t xml:space="preserve">23008</t>
  </si>
  <si>
    <t xml:space="preserve">Playa del Carmen</t>
  </si>
  <si>
    <t xml:space="preserve">23009</t>
  </si>
  <si>
    <t xml:space="preserve">Tulum</t>
  </si>
  <si>
    <t xml:space="preserve">23010</t>
  </si>
  <si>
    <t xml:space="preserve">Bacalar</t>
  </si>
  <si>
    <t xml:space="preserve">23011</t>
  </si>
  <si>
    <t xml:space="preserve">Puerto Morelos</t>
  </si>
  <si>
    <t xml:space="preserve">24013</t>
  </si>
  <si>
    <t xml:space="preserve">24</t>
  </si>
  <si>
    <t xml:space="preserve">San Luis Potosí</t>
  </si>
  <si>
    <t xml:space="preserve">Ciudad Valles</t>
  </si>
  <si>
    <t xml:space="preserve">24020</t>
  </si>
  <si>
    <t xml:space="preserve">Matehuala</t>
  </si>
  <si>
    <t xml:space="preserve">24024</t>
  </si>
  <si>
    <t xml:space="preserve">Rioverde</t>
  </si>
  <si>
    <t xml:space="preserve">24028</t>
  </si>
  <si>
    <t xml:space="preserve">24035</t>
  </si>
  <si>
    <t xml:space="preserve">Soledad de Graciano Sánchez</t>
  </si>
  <si>
    <t xml:space="preserve">24037</t>
  </si>
  <si>
    <t xml:space="preserve">Tamazunchale</t>
  </si>
  <si>
    <t xml:space="preserve">24054</t>
  </si>
  <si>
    <t xml:space="preserve">Xilitla</t>
  </si>
  <si>
    <t xml:space="preserve">25001</t>
  </si>
  <si>
    <t xml:space="preserve">25</t>
  </si>
  <si>
    <t xml:space="preserve">Sinaloa</t>
  </si>
  <si>
    <t xml:space="preserve">Ahome</t>
  </si>
  <si>
    <t xml:space="preserve">25002</t>
  </si>
  <si>
    <t xml:space="preserve">Angostura</t>
  </si>
  <si>
    <t xml:space="preserve">25003</t>
  </si>
  <si>
    <t xml:space="preserve">Badiraguato</t>
  </si>
  <si>
    <t xml:space="preserve">25004</t>
  </si>
  <si>
    <t xml:space="preserve">Concordia</t>
  </si>
  <si>
    <t xml:space="preserve">25005</t>
  </si>
  <si>
    <t xml:space="preserve">Cosalá</t>
  </si>
  <si>
    <t xml:space="preserve">25006</t>
  </si>
  <si>
    <t xml:space="preserve">Culiacán</t>
  </si>
  <si>
    <t xml:space="preserve">25007</t>
  </si>
  <si>
    <t xml:space="preserve">Choix</t>
  </si>
  <si>
    <t xml:space="preserve">25008</t>
  </si>
  <si>
    <t xml:space="preserve">Elota</t>
  </si>
  <si>
    <t xml:space="preserve">25009</t>
  </si>
  <si>
    <t xml:space="preserve">Escuinapa</t>
  </si>
  <si>
    <t xml:space="preserve">25010</t>
  </si>
  <si>
    <t xml:space="preserve">El Fuerte</t>
  </si>
  <si>
    <t xml:space="preserve">25011</t>
  </si>
  <si>
    <t xml:space="preserve">Guasave</t>
  </si>
  <si>
    <t xml:space="preserve">25012</t>
  </si>
  <si>
    <t xml:space="preserve">Mazatlán</t>
  </si>
  <si>
    <t xml:space="preserve">25013</t>
  </si>
  <si>
    <t xml:space="preserve">Mocorito</t>
  </si>
  <si>
    <t xml:space="preserve">25014</t>
  </si>
  <si>
    <t xml:space="preserve">Rosario</t>
  </si>
  <si>
    <t xml:space="preserve">25015</t>
  </si>
  <si>
    <t xml:space="preserve">Salvador Alvarado</t>
  </si>
  <si>
    <t xml:space="preserve">25016</t>
  </si>
  <si>
    <t xml:space="preserve">San Ignacio</t>
  </si>
  <si>
    <t xml:space="preserve">25017</t>
  </si>
  <si>
    <t xml:space="preserve">25018</t>
  </si>
  <si>
    <t xml:space="preserve">Navolato</t>
  </si>
  <si>
    <t xml:space="preserve">26001</t>
  </si>
  <si>
    <t xml:space="preserve">26</t>
  </si>
  <si>
    <t xml:space="preserve">Sonora</t>
  </si>
  <si>
    <t xml:space="preserve">Aconchi</t>
  </si>
  <si>
    <t xml:space="preserve">26002</t>
  </si>
  <si>
    <t xml:space="preserve">Agua Prieta</t>
  </si>
  <si>
    <t xml:space="preserve">26003</t>
  </si>
  <si>
    <t xml:space="preserve">Álamos</t>
  </si>
  <si>
    <t xml:space="preserve">26004</t>
  </si>
  <si>
    <t xml:space="preserve">Altar</t>
  </si>
  <si>
    <t xml:space="preserve">26005</t>
  </si>
  <si>
    <t xml:space="preserve">Arivechi</t>
  </si>
  <si>
    <t xml:space="preserve">26006</t>
  </si>
  <si>
    <t xml:space="preserve">Arizpe</t>
  </si>
  <si>
    <t xml:space="preserve">26007</t>
  </si>
  <si>
    <t xml:space="preserve">Atil</t>
  </si>
  <si>
    <t xml:space="preserve">26008</t>
  </si>
  <si>
    <t xml:space="preserve">Bacadéhuachi</t>
  </si>
  <si>
    <t xml:space="preserve">26009</t>
  </si>
  <si>
    <t xml:space="preserve">Bacanora</t>
  </si>
  <si>
    <t xml:space="preserve">26010</t>
  </si>
  <si>
    <t xml:space="preserve">Bacerac</t>
  </si>
  <si>
    <t xml:space="preserve">26011</t>
  </si>
  <si>
    <t xml:space="preserve">Bacoachi</t>
  </si>
  <si>
    <t xml:space="preserve">26012</t>
  </si>
  <si>
    <t xml:space="preserve">Bácum</t>
  </si>
  <si>
    <t xml:space="preserve">26013</t>
  </si>
  <si>
    <t xml:space="preserve">Banámichi</t>
  </si>
  <si>
    <t xml:space="preserve">26014</t>
  </si>
  <si>
    <t xml:space="preserve">Baviácora</t>
  </si>
  <si>
    <t xml:space="preserve">26015</t>
  </si>
  <si>
    <t xml:space="preserve">Bavispe</t>
  </si>
  <si>
    <t xml:space="preserve">26016</t>
  </si>
  <si>
    <t xml:space="preserve">Benjamín Hill</t>
  </si>
  <si>
    <t xml:space="preserve">26017</t>
  </si>
  <si>
    <t xml:space="preserve">Caborca</t>
  </si>
  <si>
    <t xml:space="preserve">26018</t>
  </si>
  <si>
    <t xml:space="preserve">Cajeme</t>
  </si>
  <si>
    <t xml:space="preserve">26019</t>
  </si>
  <si>
    <t xml:space="preserve">Cananea</t>
  </si>
  <si>
    <t xml:space="preserve">26020</t>
  </si>
  <si>
    <t xml:space="preserve">Carbó</t>
  </si>
  <si>
    <t xml:space="preserve">26021</t>
  </si>
  <si>
    <t xml:space="preserve">La Colorada</t>
  </si>
  <si>
    <t xml:space="preserve">26022</t>
  </si>
  <si>
    <t xml:space="preserve">Cucurpe</t>
  </si>
  <si>
    <t xml:space="preserve">26023</t>
  </si>
  <si>
    <t xml:space="preserve">Cumpas</t>
  </si>
  <si>
    <t xml:space="preserve">26024</t>
  </si>
  <si>
    <t xml:space="preserve">Divisaderos</t>
  </si>
  <si>
    <t xml:space="preserve">26025</t>
  </si>
  <si>
    <t xml:space="preserve">Empalme</t>
  </si>
  <si>
    <t xml:space="preserve">26026</t>
  </si>
  <si>
    <t xml:space="preserve">Etchojoa</t>
  </si>
  <si>
    <t xml:space="preserve">26027</t>
  </si>
  <si>
    <t xml:space="preserve">Fronteras</t>
  </si>
  <si>
    <t xml:space="preserve">26028</t>
  </si>
  <si>
    <t xml:space="preserve">Granados</t>
  </si>
  <si>
    <t xml:space="preserve">26029</t>
  </si>
  <si>
    <t xml:space="preserve">Guaymas</t>
  </si>
  <si>
    <t xml:space="preserve">26030</t>
  </si>
  <si>
    <t xml:space="preserve">Hermosillo</t>
  </si>
  <si>
    <t xml:space="preserve">26031</t>
  </si>
  <si>
    <t xml:space="preserve">Huachinera</t>
  </si>
  <si>
    <t xml:space="preserve">26032</t>
  </si>
  <si>
    <t xml:space="preserve">Huásabas</t>
  </si>
  <si>
    <t xml:space="preserve">26033</t>
  </si>
  <si>
    <t xml:space="preserve">Huatabampo</t>
  </si>
  <si>
    <t xml:space="preserve">26034</t>
  </si>
  <si>
    <t xml:space="preserve">Huépac</t>
  </si>
  <si>
    <t xml:space="preserve">26035</t>
  </si>
  <si>
    <t xml:space="preserve">Imuris</t>
  </si>
  <si>
    <t xml:space="preserve">26036</t>
  </si>
  <si>
    <t xml:space="preserve">Magdalena</t>
  </si>
  <si>
    <t xml:space="preserve">26037</t>
  </si>
  <si>
    <t xml:space="preserve">26038</t>
  </si>
  <si>
    <t xml:space="preserve">Moctezuma</t>
  </si>
  <si>
    <t xml:space="preserve">26039</t>
  </si>
  <si>
    <t xml:space="preserve">Naco</t>
  </si>
  <si>
    <t xml:space="preserve">26040</t>
  </si>
  <si>
    <t xml:space="preserve">Nácori Chico</t>
  </si>
  <si>
    <t xml:space="preserve">26041</t>
  </si>
  <si>
    <t xml:space="preserve">Nacozari de García</t>
  </si>
  <si>
    <t xml:space="preserve">26042</t>
  </si>
  <si>
    <t xml:space="preserve">Navojoa</t>
  </si>
  <si>
    <t xml:space="preserve">26043</t>
  </si>
  <si>
    <t xml:space="preserve">Nogales</t>
  </si>
  <si>
    <t xml:space="preserve">26044</t>
  </si>
  <si>
    <t xml:space="preserve">Ónavas</t>
  </si>
  <si>
    <t xml:space="preserve">26045</t>
  </si>
  <si>
    <t xml:space="preserve">Opodepe</t>
  </si>
  <si>
    <t xml:space="preserve">26046</t>
  </si>
  <si>
    <t xml:space="preserve">Oquitoa</t>
  </si>
  <si>
    <t xml:space="preserve">26047</t>
  </si>
  <si>
    <t xml:space="preserve">Pitiquito</t>
  </si>
  <si>
    <t xml:space="preserve">26048</t>
  </si>
  <si>
    <t xml:space="preserve">Puerto Peñasco</t>
  </si>
  <si>
    <t xml:space="preserve">26049</t>
  </si>
  <si>
    <t xml:space="preserve">Quiriego</t>
  </si>
  <si>
    <t xml:space="preserve">26050</t>
  </si>
  <si>
    <t xml:space="preserve">26051</t>
  </si>
  <si>
    <t xml:space="preserve">26052</t>
  </si>
  <si>
    <t xml:space="preserve">Sahuaripa</t>
  </si>
  <si>
    <t xml:space="preserve">26053</t>
  </si>
  <si>
    <t xml:space="preserve">San Felipe de Jesús</t>
  </si>
  <si>
    <t xml:space="preserve">26054</t>
  </si>
  <si>
    <t xml:space="preserve">San Javier</t>
  </si>
  <si>
    <t xml:space="preserve">26055</t>
  </si>
  <si>
    <t xml:space="preserve">San Luis Río Colorado</t>
  </si>
  <si>
    <t xml:space="preserve">26056</t>
  </si>
  <si>
    <t xml:space="preserve">San Miguel de Horcasitas</t>
  </si>
  <si>
    <t xml:space="preserve">26057</t>
  </si>
  <si>
    <t xml:space="preserve">San Pedro de la Cueva</t>
  </si>
  <si>
    <t xml:space="preserve">26058</t>
  </si>
  <si>
    <t xml:space="preserve">Santa Ana</t>
  </si>
  <si>
    <t xml:space="preserve">26059</t>
  </si>
  <si>
    <t xml:space="preserve">Santa Cruz</t>
  </si>
  <si>
    <t xml:space="preserve">26060</t>
  </si>
  <si>
    <t xml:space="preserve">Sáric</t>
  </si>
  <si>
    <t xml:space="preserve">26061</t>
  </si>
  <si>
    <t xml:space="preserve">Soyopa</t>
  </si>
  <si>
    <t xml:space="preserve">26062</t>
  </si>
  <si>
    <t xml:space="preserve">Suaqui Grande</t>
  </si>
  <si>
    <t xml:space="preserve">26063</t>
  </si>
  <si>
    <t xml:space="preserve">Tepache</t>
  </si>
  <si>
    <t xml:space="preserve">26064</t>
  </si>
  <si>
    <t xml:space="preserve">Trincheras</t>
  </si>
  <si>
    <t xml:space="preserve">26065</t>
  </si>
  <si>
    <t xml:space="preserve">Tubutama</t>
  </si>
  <si>
    <t xml:space="preserve">26066</t>
  </si>
  <si>
    <t xml:space="preserve">Ures</t>
  </si>
  <si>
    <t xml:space="preserve">26067</t>
  </si>
  <si>
    <t xml:space="preserve">Villa Hidalgo</t>
  </si>
  <si>
    <t xml:space="preserve">26068</t>
  </si>
  <si>
    <t xml:space="preserve">Villa Pesqueira</t>
  </si>
  <si>
    <t xml:space="preserve">26069</t>
  </si>
  <si>
    <t xml:space="preserve">Yécora</t>
  </si>
  <si>
    <t xml:space="preserve">26070</t>
  </si>
  <si>
    <t xml:space="preserve">General Plutarco Elías Calles</t>
  </si>
  <si>
    <t xml:space="preserve">26071</t>
  </si>
  <si>
    <t xml:space="preserve">26072</t>
  </si>
  <si>
    <t xml:space="preserve">San Ignacio Río Muerto</t>
  </si>
  <si>
    <t xml:space="preserve">27001</t>
  </si>
  <si>
    <t xml:space="preserve">27</t>
  </si>
  <si>
    <t xml:space="preserve">Tabasco</t>
  </si>
  <si>
    <t xml:space="preserve">Balancán</t>
  </si>
  <si>
    <t xml:space="preserve">27002</t>
  </si>
  <si>
    <t xml:space="preserve">Cárdenas</t>
  </si>
  <si>
    <t xml:space="preserve">27003</t>
  </si>
  <si>
    <t xml:space="preserve">Centla</t>
  </si>
  <si>
    <t xml:space="preserve">27004</t>
  </si>
  <si>
    <t xml:space="preserve">Centro</t>
  </si>
  <si>
    <t xml:space="preserve">27005</t>
  </si>
  <si>
    <t xml:space="preserve">Comalcalco</t>
  </si>
  <si>
    <t xml:space="preserve">27006</t>
  </si>
  <si>
    <t xml:space="preserve">Cunduacán</t>
  </si>
  <si>
    <t xml:space="preserve">27007</t>
  </si>
  <si>
    <t xml:space="preserve">27008</t>
  </si>
  <si>
    <t xml:space="preserve">Huimanguillo</t>
  </si>
  <si>
    <t xml:space="preserve">27009</t>
  </si>
  <si>
    <t xml:space="preserve">Jalapa</t>
  </si>
  <si>
    <t xml:space="preserve">27010</t>
  </si>
  <si>
    <t xml:space="preserve">Jalpa de Méndez</t>
  </si>
  <si>
    <t xml:space="preserve">27011</t>
  </si>
  <si>
    <t xml:space="preserve">Jonuta</t>
  </si>
  <si>
    <t xml:space="preserve">27012</t>
  </si>
  <si>
    <t xml:space="preserve">Macuspana</t>
  </si>
  <si>
    <t xml:space="preserve">27013</t>
  </si>
  <si>
    <t xml:space="preserve">Nacajuca</t>
  </si>
  <si>
    <t xml:space="preserve">27014</t>
  </si>
  <si>
    <t xml:space="preserve">Paraíso</t>
  </si>
  <si>
    <t xml:space="preserve">27015</t>
  </si>
  <si>
    <t xml:space="preserve">Tacotalpa</t>
  </si>
  <si>
    <t xml:space="preserve">27016</t>
  </si>
  <si>
    <t xml:space="preserve">Teapa</t>
  </si>
  <si>
    <t xml:space="preserve">27017</t>
  </si>
  <si>
    <t xml:space="preserve">Tenosique</t>
  </si>
  <si>
    <t xml:space="preserve">28001</t>
  </si>
  <si>
    <t xml:space="preserve">28</t>
  </si>
  <si>
    <t xml:space="preserve">Tamaulipas</t>
  </si>
  <si>
    <t xml:space="preserve">28002</t>
  </si>
  <si>
    <t xml:space="preserve">28003</t>
  </si>
  <si>
    <t xml:space="preserve">Altamira</t>
  </si>
  <si>
    <t xml:space="preserve">28004</t>
  </si>
  <si>
    <t xml:space="preserve">Antiguo Morelos</t>
  </si>
  <si>
    <t xml:space="preserve">28005</t>
  </si>
  <si>
    <t xml:space="preserve">Burgos</t>
  </si>
  <si>
    <t xml:space="preserve">28006</t>
  </si>
  <si>
    <t xml:space="preserve">Bustamante</t>
  </si>
  <si>
    <t xml:space="preserve">28007</t>
  </si>
  <si>
    <t xml:space="preserve">28008</t>
  </si>
  <si>
    <t xml:space="preserve">Casas</t>
  </si>
  <si>
    <t xml:space="preserve">28009</t>
  </si>
  <si>
    <t xml:space="preserve">Ciudad Madero</t>
  </si>
  <si>
    <t xml:space="preserve">28010</t>
  </si>
  <si>
    <t xml:space="preserve">Cruillas</t>
  </si>
  <si>
    <t xml:space="preserve">28011</t>
  </si>
  <si>
    <t xml:space="preserve">28012</t>
  </si>
  <si>
    <t xml:space="preserve">González</t>
  </si>
  <si>
    <t xml:space="preserve">28013</t>
  </si>
  <si>
    <t xml:space="preserve">Güémez</t>
  </si>
  <si>
    <t xml:space="preserve">28014</t>
  </si>
  <si>
    <t xml:space="preserve">28015</t>
  </si>
  <si>
    <t xml:space="preserve">Gustavo Díaz Ordaz</t>
  </si>
  <si>
    <t xml:space="preserve">28016</t>
  </si>
  <si>
    <t xml:space="preserve">28017</t>
  </si>
  <si>
    <t xml:space="preserve">Jaumave</t>
  </si>
  <si>
    <t xml:space="preserve">28018</t>
  </si>
  <si>
    <t xml:space="preserve">28019</t>
  </si>
  <si>
    <t xml:space="preserve">Llera</t>
  </si>
  <si>
    <t xml:space="preserve">28020</t>
  </si>
  <si>
    <t xml:space="preserve">Mainero</t>
  </si>
  <si>
    <t xml:space="preserve">28021</t>
  </si>
  <si>
    <t xml:space="preserve">El Mante</t>
  </si>
  <si>
    <t xml:space="preserve">28022</t>
  </si>
  <si>
    <t xml:space="preserve">28023</t>
  </si>
  <si>
    <t xml:space="preserve">Méndez</t>
  </si>
  <si>
    <t xml:space="preserve">28024</t>
  </si>
  <si>
    <t xml:space="preserve">Mier</t>
  </si>
  <si>
    <t xml:space="preserve">28025</t>
  </si>
  <si>
    <t xml:space="preserve">Miguel Alemán</t>
  </si>
  <si>
    <t xml:space="preserve">28026</t>
  </si>
  <si>
    <t xml:space="preserve">Miquihuana</t>
  </si>
  <si>
    <t xml:space="preserve">28027</t>
  </si>
  <si>
    <t xml:space="preserve">Nuevo Laredo</t>
  </si>
  <si>
    <t xml:space="preserve">28028</t>
  </si>
  <si>
    <t xml:space="preserve">Nuevo Morelos</t>
  </si>
  <si>
    <t xml:space="preserve">28029</t>
  </si>
  <si>
    <t xml:space="preserve">28030</t>
  </si>
  <si>
    <t xml:space="preserve">Padilla</t>
  </si>
  <si>
    <t xml:space="preserve">28031</t>
  </si>
  <si>
    <t xml:space="preserve">Palmillas</t>
  </si>
  <si>
    <t xml:space="preserve">28032</t>
  </si>
  <si>
    <t xml:space="preserve">Reynosa</t>
  </si>
  <si>
    <t xml:space="preserve">28033</t>
  </si>
  <si>
    <t xml:space="preserve">Río Bravo</t>
  </si>
  <si>
    <t xml:space="preserve">28034</t>
  </si>
  <si>
    <t xml:space="preserve">San Carlos</t>
  </si>
  <si>
    <t xml:space="preserve">28035</t>
  </si>
  <si>
    <t xml:space="preserve">28036</t>
  </si>
  <si>
    <t xml:space="preserve">28038</t>
  </si>
  <si>
    <t xml:space="preserve">Tampico</t>
  </si>
  <si>
    <t xml:space="preserve">28039</t>
  </si>
  <si>
    <t xml:space="preserve">Tula</t>
  </si>
  <si>
    <t xml:space="preserve">28040</t>
  </si>
  <si>
    <t xml:space="preserve">Valle Hermoso</t>
  </si>
  <si>
    <t xml:space="preserve">28041</t>
  </si>
  <si>
    <t xml:space="preserve">28042</t>
  </si>
  <si>
    <t xml:space="preserve">Villagrán</t>
  </si>
  <si>
    <t xml:space="preserve">28043</t>
  </si>
  <si>
    <t xml:space="preserve">Xicoténcatl</t>
  </si>
  <si>
    <t xml:space="preserve">29001</t>
  </si>
  <si>
    <t xml:space="preserve">29</t>
  </si>
  <si>
    <t xml:space="preserve">Tlaxcala</t>
  </si>
  <si>
    <t xml:space="preserve">Amaxac de Guerrero</t>
  </si>
  <si>
    <t xml:space="preserve">29002</t>
  </si>
  <si>
    <t xml:space="preserve">Apetatitlán de Antonio Carvajal</t>
  </si>
  <si>
    <t xml:space="preserve">29003</t>
  </si>
  <si>
    <t xml:space="preserve">Atlangatepec</t>
  </si>
  <si>
    <t xml:space="preserve">29004</t>
  </si>
  <si>
    <t xml:space="preserve">Atltzayanca</t>
  </si>
  <si>
    <t xml:space="preserve">29005</t>
  </si>
  <si>
    <t xml:space="preserve">Apizaco</t>
  </si>
  <si>
    <t xml:space="preserve">29006</t>
  </si>
  <si>
    <t xml:space="preserve">Calpulalpan</t>
  </si>
  <si>
    <t xml:space="preserve">29007</t>
  </si>
  <si>
    <t xml:space="preserve">El Carmen Tequexquitla</t>
  </si>
  <si>
    <t xml:space="preserve">29008</t>
  </si>
  <si>
    <t xml:space="preserve">Cuapiaxtla</t>
  </si>
  <si>
    <t xml:space="preserve">29009</t>
  </si>
  <si>
    <t xml:space="preserve">Cuaxomulco</t>
  </si>
  <si>
    <t xml:space="preserve">29010</t>
  </si>
  <si>
    <t xml:space="preserve">Chiautempan</t>
  </si>
  <si>
    <t xml:space="preserve">29011</t>
  </si>
  <si>
    <t xml:space="preserve">Muñoz de Domingo Arenas</t>
  </si>
  <si>
    <t xml:space="preserve">29012</t>
  </si>
  <si>
    <t xml:space="preserve">Españita</t>
  </si>
  <si>
    <t xml:space="preserve">29013</t>
  </si>
  <si>
    <t xml:space="preserve">Huamantla</t>
  </si>
  <si>
    <t xml:space="preserve">29014</t>
  </si>
  <si>
    <t xml:space="preserve">Hueyotlipan</t>
  </si>
  <si>
    <t xml:space="preserve">29015</t>
  </si>
  <si>
    <t xml:space="preserve">Ixtacuixtla de Mariano Matamoros</t>
  </si>
  <si>
    <t xml:space="preserve">29016</t>
  </si>
  <si>
    <t xml:space="preserve">Ixtenco</t>
  </si>
  <si>
    <t xml:space="preserve">29017</t>
  </si>
  <si>
    <t xml:space="preserve">Mazatecochco de José María Morelos</t>
  </si>
  <si>
    <t xml:space="preserve">29018</t>
  </si>
  <si>
    <t xml:space="preserve">Contla de Juan Cuamatzi</t>
  </si>
  <si>
    <t xml:space="preserve">29019</t>
  </si>
  <si>
    <t xml:space="preserve">Tepetitla de Lardizábal</t>
  </si>
  <si>
    <t xml:space="preserve">29020</t>
  </si>
  <si>
    <t xml:space="preserve">Sanctórum de Lázaro Cárdenas</t>
  </si>
  <si>
    <t xml:space="preserve">29021</t>
  </si>
  <si>
    <t xml:space="preserve">Nanacamilpa de Mariano Arista</t>
  </si>
  <si>
    <t xml:space="preserve">29022</t>
  </si>
  <si>
    <t xml:space="preserve">Acuamanala de Miguel Hidalgo</t>
  </si>
  <si>
    <t xml:space="preserve">29023</t>
  </si>
  <si>
    <t xml:space="preserve">Natívitas</t>
  </si>
  <si>
    <t xml:space="preserve">29024</t>
  </si>
  <si>
    <t xml:space="preserve">Panotla</t>
  </si>
  <si>
    <t xml:space="preserve">29025</t>
  </si>
  <si>
    <t xml:space="preserve">San Pablo del Monte</t>
  </si>
  <si>
    <t xml:space="preserve">29026</t>
  </si>
  <si>
    <t xml:space="preserve">Santa Cruz Tlaxcala</t>
  </si>
  <si>
    <t xml:space="preserve">29027</t>
  </si>
  <si>
    <t xml:space="preserve">29028</t>
  </si>
  <si>
    <t xml:space="preserve">Teolocholco</t>
  </si>
  <si>
    <t xml:space="preserve">29029</t>
  </si>
  <si>
    <t xml:space="preserve">Tepeyanco</t>
  </si>
  <si>
    <t xml:space="preserve">29030</t>
  </si>
  <si>
    <t xml:space="preserve">Terrenate</t>
  </si>
  <si>
    <t xml:space="preserve">29031</t>
  </si>
  <si>
    <t xml:space="preserve">Tetla de la Solidaridad</t>
  </si>
  <si>
    <t xml:space="preserve">29032</t>
  </si>
  <si>
    <t xml:space="preserve">Tetlatlahuca</t>
  </si>
  <si>
    <t xml:space="preserve">29033</t>
  </si>
  <si>
    <t xml:space="preserve">29034</t>
  </si>
  <si>
    <t xml:space="preserve">Tlaxco</t>
  </si>
  <si>
    <t xml:space="preserve">29035</t>
  </si>
  <si>
    <t xml:space="preserve">Tocatlán</t>
  </si>
  <si>
    <t xml:space="preserve">29036</t>
  </si>
  <si>
    <t xml:space="preserve">Totolac</t>
  </si>
  <si>
    <t xml:space="preserve">29037</t>
  </si>
  <si>
    <t xml:space="preserve">Ziltlaltépec de Trinidad Sánchez Santos</t>
  </si>
  <si>
    <t xml:space="preserve">29038</t>
  </si>
  <si>
    <t xml:space="preserve">Tzompantepec</t>
  </si>
  <si>
    <t xml:space="preserve">29039</t>
  </si>
  <si>
    <t xml:space="preserve">Xaloztoc</t>
  </si>
  <si>
    <t xml:space="preserve">29040</t>
  </si>
  <si>
    <t xml:space="preserve">Xaltocan</t>
  </si>
  <si>
    <t xml:space="preserve">29041</t>
  </si>
  <si>
    <t xml:space="preserve">Papalotla de Xicohténcatl</t>
  </si>
  <si>
    <t xml:space="preserve">29042</t>
  </si>
  <si>
    <t xml:space="preserve">Xicohtzinco</t>
  </si>
  <si>
    <t xml:space="preserve">29043</t>
  </si>
  <si>
    <t xml:space="preserve">Yauhquemehcan</t>
  </si>
  <si>
    <t xml:space="preserve">29044</t>
  </si>
  <si>
    <t xml:space="preserve">Zacatelco</t>
  </si>
  <si>
    <t xml:space="preserve">29045</t>
  </si>
  <si>
    <t xml:space="preserve">29046</t>
  </si>
  <si>
    <t xml:space="preserve">29047</t>
  </si>
  <si>
    <t xml:space="preserve">29048</t>
  </si>
  <si>
    <t xml:space="preserve">La Magdalena Tlaltelulco</t>
  </si>
  <si>
    <t xml:space="preserve">29049</t>
  </si>
  <si>
    <t xml:space="preserve">San Damián Texóloc</t>
  </si>
  <si>
    <t xml:space="preserve">29050</t>
  </si>
  <si>
    <t xml:space="preserve">San Francisco Tetlanohcan</t>
  </si>
  <si>
    <t xml:space="preserve">29051</t>
  </si>
  <si>
    <t xml:space="preserve">San Jerónimo Zacualpan</t>
  </si>
  <si>
    <t xml:space="preserve">29052</t>
  </si>
  <si>
    <t xml:space="preserve">San José Teacalco</t>
  </si>
  <si>
    <t xml:space="preserve">29053</t>
  </si>
  <si>
    <t xml:space="preserve">San Juan Huactzinco</t>
  </si>
  <si>
    <t xml:space="preserve">29054</t>
  </si>
  <si>
    <t xml:space="preserve">San Lorenzo Axocomanitla</t>
  </si>
  <si>
    <t xml:space="preserve">29055</t>
  </si>
  <si>
    <t xml:space="preserve">San Lucas Tecopilco</t>
  </si>
  <si>
    <t xml:space="preserve">29056</t>
  </si>
  <si>
    <t xml:space="preserve">Santa Ana Nopalucan</t>
  </si>
  <si>
    <t xml:space="preserve">29057</t>
  </si>
  <si>
    <t xml:space="preserve">Santa Apolonia Teacalco</t>
  </si>
  <si>
    <t xml:space="preserve">29058</t>
  </si>
  <si>
    <t xml:space="preserve">Santa Catarina Ayometla</t>
  </si>
  <si>
    <t xml:space="preserve">29059</t>
  </si>
  <si>
    <t xml:space="preserve">Santa Cruz Quilehtla</t>
  </si>
  <si>
    <t xml:space="preserve">29060</t>
  </si>
  <si>
    <t xml:space="preserve">Santa Isabel Xiloxoxtla</t>
  </si>
  <si>
    <t xml:space="preserve">30003</t>
  </si>
  <si>
    <t xml:space="preserve">30</t>
  </si>
  <si>
    <t xml:space="preserve">Veracruz de Ignacio de la Llave</t>
  </si>
  <si>
    <t xml:space="preserve">Acayucan</t>
  </si>
  <si>
    <t xml:space="preserve">30028</t>
  </si>
  <si>
    <t xml:space="preserve">Boca del Río</t>
  </si>
  <si>
    <t xml:space="preserve">30038</t>
  </si>
  <si>
    <t xml:space="preserve">30039</t>
  </si>
  <si>
    <t xml:space="preserve">Coatzacoalcos</t>
  </si>
  <si>
    <t xml:space="preserve">30044</t>
  </si>
  <si>
    <t xml:space="preserve">Córdoba</t>
  </si>
  <si>
    <t xml:space="preserve">30048</t>
  </si>
  <si>
    <t xml:space="preserve">Cosoleacaque</t>
  </si>
  <si>
    <t xml:space="preserve">30061</t>
  </si>
  <si>
    <t xml:space="preserve">Las Choapas</t>
  </si>
  <si>
    <t xml:space="preserve">30085</t>
  </si>
  <si>
    <t xml:space="preserve">Ixtaczoquitlán</t>
  </si>
  <si>
    <t xml:space="preserve">30087</t>
  </si>
  <si>
    <t xml:space="preserve">Xalapa</t>
  </si>
  <si>
    <t xml:space="preserve">30102</t>
  </si>
  <si>
    <t xml:space="preserve">Martínez de la Torre</t>
  </si>
  <si>
    <t xml:space="preserve">30108</t>
  </si>
  <si>
    <t xml:space="preserve">30118</t>
  </si>
  <si>
    <t xml:space="preserve">Orizaba</t>
  </si>
  <si>
    <t xml:space="preserve">30123</t>
  </si>
  <si>
    <t xml:space="preserve">Pánuco</t>
  </si>
  <si>
    <t xml:space="preserve">30124</t>
  </si>
  <si>
    <t xml:space="preserve">Papantla</t>
  </si>
  <si>
    <t xml:space="preserve">30131</t>
  </si>
  <si>
    <t xml:space="preserve">Poza Rica de Hidalgo</t>
  </si>
  <si>
    <t xml:space="preserve">30141</t>
  </si>
  <si>
    <t xml:space="preserve">San Andrés Tuxtla</t>
  </si>
  <si>
    <t xml:space="preserve">30155</t>
  </si>
  <si>
    <t xml:space="preserve">Tantoyuca</t>
  </si>
  <si>
    <t xml:space="preserve">30174</t>
  </si>
  <si>
    <t xml:space="preserve">30189</t>
  </si>
  <si>
    <t xml:space="preserve">30193</t>
  </si>
  <si>
    <t xml:space="preserve">Veracruz</t>
  </si>
  <si>
    <t xml:space="preserve">31050</t>
  </si>
  <si>
    <t xml:space="preserve">31</t>
  </si>
  <si>
    <t xml:space="preserve">Yucatán</t>
  </si>
  <si>
    <t xml:space="preserve">Mérida</t>
  </si>
  <si>
    <t xml:space="preserve">31096</t>
  </si>
  <si>
    <t xml:space="preserve">Tizimín</t>
  </si>
  <si>
    <t xml:space="preserve">31102</t>
  </si>
  <si>
    <t xml:space="preserve">Valladolid</t>
  </si>
  <si>
    <t xml:space="preserve">32002</t>
  </si>
  <si>
    <t xml:space="preserve">32</t>
  </si>
  <si>
    <t xml:space="preserve">Zacatecas</t>
  </si>
  <si>
    <t xml:space="preserve">Apulco</t>
  </si>
  <si>
    <t xml:space="preserve">32003</t>
  </si>
  <si>
    <t xml:space="preserve">Atolinga</t>
  </si>
  <si>
    <t xml:space="preserve">32004</t>
  </si>
  <si>
    <t xml:space="preserve">32005</t>
  </si>
  <si>
    <t xml:space="preserve">Calera</t>
  </si>
  <si>
    <t xml:space="preserve">32006</t>
  </si>
  <si>
    <t xml:space="preserve">Cañitas de Felipe Pescador</t>
  </si>
  <si>
    <t xml:space="preserve">32007</t>
  </si>
  <si>
    <t xml:space="preserve">Concepción del Oro</t>
  </si>
  <si>
    <t xml:space="preserve">32008</t>
  </si>
  <si>
    <t xml:space="preserve">32009</t>
  </si>
  <si>
    <t xml:space="preserve">Chalchihuites</t>
  </si>
  <si>
    <t xml:space="preserve">32010</t>
  </si>
  <si>
    <t xml:space="preserve">Fresnillo</t>
  </si>
  <si>
    <t xml:space="preserve">32011</t>
  </si>
  <si>
    <t xml:space="preserve">Trinidad García de la Cadena</t>
  </si>
  <si>
    <t xml:space="preserve">32013</t>
  </si>
  <si>
    <t xml:space="preserve">General Enrique Estrada</t>
  </si>
  <si>
    <t xml:space="preserve">32014</t>
  </si>
  <si>
    <t xml:space="preserve">General Francisco R. Murguía</t>
  </si>
  <si>
    <t xml:space="preserve">32015</t>
  </si>
  <si>
    <t xml:space="preserve">El Plateado de Joaquín Amaro</t>
  </si>
  <si>
    <t xml:space="preserve">32016</t>
  </si>
  <si>
    <t xml:space="preserve">General Pánfilo Natera</t>
  </si>
  <si>
    <t xml:space="preserve">32017</t>
  </si>
  <si>
    <t xml:space="preserve">32018</t>
  </si>
  <si>
    <t xml:space="preserve">Huanusco</t>
  </si>
  <si>
    <t xml:space="preserve">32020</t>
  </si>
  <si>
    <t xml:space="preserve">Jerez</t>
  </si>
  <si>
    <t xml:space="preserve">32021</t>
  </si>
  <si>
    <t xml:space="preserve">Jiménez del Teul</t>
  </si>
  <si>
    <t xml:space="preserve">32022</t>
  </si>
  <si>
    <t xml:space="preserve">Juan Aldama</t>
  </si>
  <si>
    <t xml:space="preserve">32023</t>
  </si>
  <si>
    <t xml:space="preserve">Juchipila</t>
  </si>
  <si>
    <t xml:space="preserve">32026</t>
  </si>
  <si>
    <t xml:space="preserve">Mazapil</t>
  </si>
  <si>
    <t xml:space="preserve">32027</t>
  </si>
  <si>
    <t xml:space="preserve">32030</t>
  </si>
  <si>
    <t xml:space="preserve">Momax</t>
  </si>
  <si>
    <t xml:space="preserve">32031</t>
  </si>
  <si>
    <t xml:space="preserve">Monte Escobedo</t>
  </si>
  <si>
    <t xml:space="preserve">32032</t>
  </si>
  <si>
    <t xml:space="preserve">32034</t>
  </si>
  <si>
    <t xml:space="preserve">Nochistlán de Mejía</t>
  </si>
  <si>
    <t xml:space="preserve">32035</t>
  </si>
  <si>
    <t xml:space="preserve">Noria de Ángeles</t>
  </si>
  <si>
    <t xml:space="preserve">32038</t>
  </si>
  <si>
    <t xml:space="preserve">Pinos</t>
  </si>
  <si>
    <t xml:space="preserve">32039</t>
  </si>
  <si>
    <t xml:space="preserve">Río Grande</t>
  </si>
  <si>
    <t xml:space="preserve">32040</t>
  </si>
  <si>
    <t xml:space="preserve">Sain Alto</t>
  </si>
  <si>
    <t xml:space="preserve">32041</t>
  </si>
  <si>
    <t xml:space="preserve">El Salvador</t>
  </si>
  <si>
    <t xml:space="preserve">32042</t>
  </si>
  <si>
    <t xml:space="preserve">Sombrerete</t>
  </si>
  <si>
    <t xml:space="preserve">32043</t>
  </si>
  <si>
    <t xml:space="preserve">Susticacán</t>
  </si>
  <si>
    <t xml:space="preserve">32044</t>
  </si>
  <si>
    <t xml:space="preserve">32045</t>
  </si>
  <si>
    <t xml:space="preserve">Tepechitlán</t>
  </si>
  <si>
    <t xml:space="preserve">32046</t>
  </si>
  <si>
    <t xml:space="preserve">Tepetongo</t>
  </si>
  <si>
    <t xml:space="preserve">32047</t>
  </si>
  <si>
    <t xml:space="preserve">Teúl de González Ortega</t>
  </si>
  <si>
    <t xml:space="preserve">32049</t>
  </si>
  <si>
    <t xml:space="preserve">Valparaíso</t>
  </si>
  <si>
    <t xml:space="preserve">32050</t>
  </si>
  <si>
    <t xml:space="preserve">Vetagrande</t>
  </si>
  <si>
    <t xml:space="preserve">32053</t>
  </si>
  <si>
    <t xml:space="preserve">Villa González Ortega</t>
  </si>
  <si>
    <t xml:space="preserve">32054</t>
  </si>
  <si>
    <t xml:space="preserve">32056</t>
  </si>
  <si>
    <t xml:space="preserve">32057</t>
  </si>
  <si>
    <t xml:space="preserve">Trancoso</t>
  </si>
  <si>
    <t xml:space="preserve">32058</t>
  </si>
  <si>
    <t xml:space="preserve">Santa María de la Paz</t>
  </si>
  <si>
    <t xml:space="preserve">Supuestos</t>
  </si>
  <si>
    <t xml:space="preserve">INPC mensual (base 2a quincena de julio 2018 = 100)</t>
  </si>
  <si>
    <t xml:space="preserve">Mes</t>
  </si>
  <si>
    <t xml:space="preserve">2024</t>
  </si>
  <si>
    <t xml:space="preserve">2025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</si>
  <si>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</si>
  <si>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</si>
  <si>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</si>
  <si>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</si>
  <si>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</si>
  <si>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</si>
  <si>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</si>
  <si>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</si>
  <si>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</si>
  <si>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</si>
  <si>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</si>
  <si>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</si>
  <si>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Promedio anual</t>
  </si>
  <si>
    <t xml:space="preserve">Fuente: INEGI, INPC (valores mensuales de calcu.mx/inpc; nov-2025 = 142.645 verificado con el boletín INEGI 718/25).</t>
  </si>
  <si>
    <t xml:space="preserve">Fechas para interpolar la población</t>
  </si>
  <si>
    <t xml:space="preserve">Fecha de referencia del Censo 2020</t>
  </si>
  <si>
    <t xml:space="preserve">Fecha de referencia de la Encuesta Intercensal 2025</t>
  </si>
  <si>
    <t xml:space="preserve">Población 2024 se estima al</t>
  </si>
  <si>
    <t xml:space="preserve">Población 2025 se estima al</t>
  </si>
  <si>
    <t xml:space="preserve">Fracción del periodo Censo→EIC transcurrida al 1-jul-2024  = (B23 − B21) ÷ (B22 − B21)</t>
  </si>
  <si>
    <t xml:space="preserve">Fracción del periodo Censo→EIC transcurrida al 1-jul-2025  = (B24 − B21) ÷ (B22 − B21)</t>
  </si>
  <si>
    <t xml:space="preserve">Notas</t>
  </si>
  <si>
    <t xml:space="preserve">• Impuestos = capítulo 'Impuestos' de los ingresos municipales de la EFIPEM (predial, traslado de dominio, espectáculos, etc.). No incluye los impuestos participables (Fondo ISR, IEPS, ISAN), que INEGI registra en Participaciones federales.</t>
  </si>
  <si>
    <t xml:space="preserve">• EFIPEM 2024 son cifras definitivas; 2025 son cifras preliminares (INEGI publica actualización el 30-nov-2026).</t>
  </si>
  <si>
    <t xml:space="preserve">• Solo se incluyen municipios que reportan a la EFIPEM en 2024 y en 2025 (1,691). Un municipio que reporta ingresos pero no tiene renglón de Impuestos aparece con impuestos = 0.</t>
  </si>
  <si>
    <t xml:space="preserve">• Se excluyen las 16 alcaldías de la CDMX: el predial y demás impuestos los recauda el gobierno central de la Ciudad.</t>
  </si>
  <si>
    <t xml:space="preserve">• Población: personas en viviendas particulares habitadas en el Censo 2020 y en la EIC 2025 (mismo concepto en ambos años).</t>
  </si>
  <si>
    <t xml:space="preserve">• Municipios creados después de 2020 (San Felipe, Dzitbalché) y municipios que perdieron territorio (Mexicali, Calkiní, San Luis Potosí, Culiacán, Guasave, Ahome): el factor de crecimiento se calcula con la población conjunta del municipio de origen y el nuevo, para que la escisión no se lea como caída de población. Ver comentarios en la columna J de la hoja Indicador.</t>
  </si>
  <si>
    <t xml:space="preserve">• Colores: azul = dato de INEGI o supuesto capturado; negro = fórmula; verde = vínculo a otra hoja.</t>
  </si>
  <si>
    <t xml:space="preserve">Resumen por entidad federativa</t>
  </si>
  <si>
    <t xml:space="preserve">Suma de los municipios de la hoja Indicador. Per cápita estatal = impuestos totales ÷ población total de esos municipios. Todas las cifras en pesos de 2024 salvo la columna H.</t>
  </si>
  <si>
    <t xml:space="preserve">Clave</t>
  </si>
  <si>
    <t xml:space="preserve">Municipios en la tabla</t>
  </si>
  <si>
    <t xml:space="preserve">Población 2024</t>
  </si>
  <si>
    <t xml:space="preserve">Impuestos 2024</t>
  </si>
  <si>
    <t xml:space="preserve">Per cápita 2024 ($)</t>
  </si>
  <si>
    <t xml:space="preserve">Población 2025</t>
  </si>
  <si>
    <t xml:space="preserve">Impuestos 2025 (pesos de 2024)</t>
  </si>
  <si>
    <t xml:space="preserve">Per cápita 2025 (pesos de 2024)</t>
  </si>
  <si>
    <t xml:space="preserve">Variación real per cápita</t>
  </si>
  <si>
    <t xml:space="preserve">Conteo en Indicador</t>
  </si>
  <si>
    <t xml:space="preserve">Suma col. K</t>
  </si>
  <si>
    <t xml:space="preserve">Suma col. F</t>
  </si>
  <si>
    <t xml:space="preserve">= E ÷ D</t>
  </si>
  <si>
    <t xml:space="preserve">Suma col. L</t>
  </si>
  <si>
    <t xml:space="preserve">Suma col. G</t>
  </si>
  <si>
    <t xml:space="preserve">= H × deflactor</t>
  </si>
  <si>
    <t xml:space="preserve">= I ÷ G</t>
  </si>
  <si>
    <t xml:space="preserve">= J ÷ F − 1</t>
  </si>
  <si>
    <t xml:space="preserve">Nacional (sin CDMX)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</si>
</sst>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00"/>
    <numFmt numFmtId="167" formatCode="\$#,##0;&quot;-$&quot;#,##0;\-"/>
    <numFmt numFmtId="168" formatCode="#,##0"/>
    <numFmt numFmtId="169" formatCode="\$#,##0.00;&quot;-$&quot;#,##0.00;\-"/>
    <numFmt numFmtId="170" formatCode="0.0%"/>
    <numFmt numFmtId="171" formatCode="dd/mm/yyyy"/>
    <numFmt numFmtId="172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3" topLeftCell="F14" activePane="bottomRight" state="frozen"/>
      <selection pane="topLeft" activeCell="A1" activeCellId="0" sqref="A1"/>
      <selection pane="topRight" activeCell="F1" activeCellId="0" sqref="F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7" min="6" style="0" width="16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6" min="14" style="0" width="13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5" t="n">
        <f aca="false">Supuestos!B17</f>
        <v>135.384583333333</v>
      </c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5" t="n">
        <f aca="false">Supuestos!C17</f>
        <v>140.542166666667</v>
      </c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6" t="n">
        <f aca="false">F5/F6</f>
        <v>0.96330223550939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7" t="n">
        <f aca="false">Supuestos!B25</f>
        <v>0.769117647058824</v>
      </c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7" t="n">
        <f aca="false">Supuestos!B26</f>
        <v>0.948039215686275</v>
      </c>
    </row>
    <row r="11" customFormat="false" ht="15" hidden="false" customHeight="false" outlineLevel="0" collapsed="false">
      <c r="A11" s="8" t="s">
        <v>8</v>
      </c>
      <c r="B11" s="8"/>
      <c r="C11" s="8"/>
      <c r="D11" s="8"/>
      <c r="E11" s="8"/>
      <c r="F11" s="8" t="s">
        <v>9</v>
      </c>
      <c r="G11" s="8"/>
      <c r="H11" s="8" t="s">
        <v>10</v>
      </c>
      <c r="I11" s="8"/>
      <c r="J11" s="8"/>
      <c r="K11" s="8"/>
      <c r="L11" s="8"/>
      <c r="M11" s="9" t="s">
        <v>11</v>
      </c>
      <c r="N11" s="8" t="s">
        <v>12</v>
      </c>
      <c r="O11" s="8"/>
      <c r="P11" s="8"/>
      <c r="Q11" s="8"/>
    </row>
    <row r="12" customFormat="false" ht="48" hidden="false" customHeight="true" outlineLevel="0" collapsed="false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10" t="s">
        <v>20</v>
      </c>
      <c r="I12" s="10" t="s">
        <v>21</v>
      </c>
      <c r="J12" s="10" t="s">
        <v>22</v>
      </c>
      <c r="K12" s="10" t="s">
        <v>23</v>
      </c>
      <c r="L12" s="10" t="s">
        <v>24</v>
      </c>
      <c r="M12" s="10" t="s">
        <v>25</v>
      </c>
      <c r="N12" s="10" t="s">
        <v>26</v>
      </c>
      <c r="O12" s="10" t="s">
        <v>27</v>
      </c>
      <c r="P12" s="10" t="s">
        <v>28</v>
      </c>
      <c r="Q12" s="10" t="s">
        <v>29</v>
      </c>
    </row>
    <row r="13" customFormat="false" ht="25.5" hidden="false" customHeight="true" outlineLevel="0" collapsed="false">
      <c r="A13" s="11" t="s">
        <v>30</v>
      </c>
      <c r="B13" s="11" t="s">
        <v>30</v>
      </c>
      <c r="C13" s="11" t="s">
        <v>30</v>
      </c>
      <c r="D13" s="11" t="s">
        <v>30</v>
      </c>
      <c r="E13" s="11" t="s">
        <v>30</v>
      </c>
      <c r="F13" s="11" t="s">
        <v>31</v>
      </c>
      <c r="G13" s="11" t="s">
        <v>32</v>
      </c>
      <c r="H13" s="11" t="s">
        <v>33</v>
      </c>
      <c r="I13" s="11" t="s">
        <v>34</v>
      </c>
      <c r="J13" s="11" t="s">
        <v>35</v>
      </c>
      <c r="K13" s="11" t="s">
        <v>36</v>
      </c>
      <c r="L13" s="11" t="s">
        <v>37</v>
      </c>
      <c r="M13" s="11" t="s">
        <v>38</v>
      </c>
      <c r="N13" s="11" t="s">
        <v>39</v>
      </c>
      <c r="O13" s="11" t="s">
        <v>40</v>
      </c>
      <c r="P13" s="11" t="s">
        <v>41</v>
      </c>
      <c r="Q13" s="11" t="s">
        <v>42</v>
      </c>
    </row>
    <row r="14" customFormat="false" ht="15" hidden="false" customHeight="false" outlineLevel="0" collapsed="false">
      <c r="A14" s="12" t="s">
        <v>43</v>
      </c>
      <c r="B14" s="12" t="s">
        <v>44</v>
      </c>
      <c r="C14" s="12" t="s">
        <v>45</v>
      </c>
      <c r="D14" s="12" t="s">
        <v>46</v>
      </c>
      <c r="E14" s="12" t="s">
        <v>45</v>
      </c>
      <c r="F14" s="13" t="n">
        <v>937439759</v>
      </c>
      <c r="G14" s="13" t="n">
        <v>1074805208</v>
      </c>
      <c r="H14" s="14" t="n">
        <v>945505</v>
      </c>
      <c r="I14" s="14" t="n">
        <v>1025505</v>
      </c>
      <c r="J14" s="15" t="n">
        <f aca="false">I14/H14</f>
        <v>1.0846108693238</v>
      </c>
      <c r="K14" s="16" t="n">
        <f aca="false">ROUND(I14*J14^($F$8-1),0)</f>
        <v>1006453</v>
      </c>
      <c r="L14" s="16" t="n">
        <f aca="false">ROUND(I14*J14^($F$9-1),0)</f>
        <v>1021186</v>
      </c>
      <c r="M14" s="17" t="n">
        <f aca="false">G14*$F$7</f>
        <v>1035362259.60354</v>
      </c>
      <c r="N14" s="18" t="n">
        <f aca="false">F14/K14</f>
        <v>931.429246075078</v>
      </c>
      <c r="O14" s="18" t="n">
        <f aca="false">G14/L14</f>
        <v>1052.50679895729</v>
      </c>
      <c r="P14" s="18" t="n">
        <f aca="false">M14/L14</f>
        <v>1013.88215232439</v>
      </c>
      <c r="Q14" s="19" t="n">
        <f aca="false">IF(N14=0,"n.a.",P14/N14-1)</f>
        <v>0.0885229947382038</v>
      </c>
    </row>
    <row r="15" customFormat="false" ht="15" hidden="false" customHeight="false" outlineLevel="0" collapsed="false">
      <c r="A15" s="12" t="s">
        <v>47</v>
      </c>
      <c r="B15" s="12" t="s">
        <v>44</v>
      </c>
      <c r="C15" s="12" t="s">
        <v>45</v>
      </c>
      <c r="D15" s="12" t="s">
        <v>48</v>
      </c>
      <c r="E15" s="12" t="s">
        <v>49</v>
      </c>
      <c r="F15" s="13" t="n">
        <v>20404976</v>
      </c>
      <c r="G15" s="13" t="n">
        <v>26923989</v>
      </c>
      <c r="H15" s="14" t="n">
        <v>51474</v>
      </c>
      <c r="I15" s="14" t="n">
        <v>53631</v>
      </c>
      <c r="J15" s="15" t="n">
        <f aca="false">I15/H15</f>
        <v>1.04190465089171</v>
      </c>
      <c r="K15" s="16" t="n">
        <f aca="false">ROUND(I15*J15^($F$8-1),0)</f>
        <v>53125</v>
      </c>
      <c r="L15" s="16" t="n">
        <f aca="false">ROUND(I15*J15^($F$9-1),0)</f>
        <v>53517</v>
      </c>
      <c r="M15" s="17" t="n">
        <f aca="false">G15*$F$7</f>
        <v>25935938.7925302</v>
      </c>
      <c r="N15" s="18" t="n">
        <f aca="false">F15/K15</f>
        <v>384.093665882353</v>
      </c>
      <c r="O15" s="18" t="n">
        <f aca="false">G15/L15</f>
        <v>503.092269746062</v>
      </c>
      <c r="P15" s="18" t="n">
        <f aca="false">M15/L15</f>
        <v>484.629908113875</v>
      </c>
      <c r="Q15" s="19" t="n">
        <f aca="false">IF(N15=0,"n.a.",P15/N15-1)</f>
        <v>0.261749284515189</v>
      </c>
    </row>
    <row r="16" customFormat="false" ht="15" hidden="false" customHeight="false" outlineLevel="0" collapsed="false">
      <c r="A16" s="12" t="s">
        <v>50</v>
      </c>
      <c r="B16" s="12" t="s">
        <v>44</v>
      </c>
      <c r="C16" s="12" t="s">
        <v>45</v>
      </c>
      <c r="D16" s="12" t="s">
        <v>51</v>
      </c>
      <c r="E16" s="12" t="s">
        <v>52</v>
      </c>
      <c r="F16" s="13" t="n">
        <v>31704483</v>
      </c>
      <c r="G16" s="13" t="n">
        <v>45581111</v>
      </c>
      <c r="H16" s="14" t="n">
        <v>58155</v>
      </c>
      <c r="I16" s="14" t="n">
        <v>55794</v>
      </c>
      <c r="J16" s="15" t="n">
        <f aca="false">I16/H16</f>
        <v>0.95940159917462</v>
      </c>
      <c r="K16" s="16" t="n">
        <f aca="false">ROUND(I16*J16^($F$8-1),0)</f>
        <v>56330</v>
      </c>
      <c r="L16" s="16" t="n">
        <f aca="false">ROUND(I16*J16^($F$9-1),0)</f>
        <v>55914</v>
      </c>
      <c r="M16" s="17" t="n">
        <f aca="false">G16*$F$7</f>
        <v>43908386.1233017</v>
      </c>
      <c r="N16" s="18" t="n">
        <f aca="false">F16/K16</f>
        <v>562.834777205752</v>
      </c>
      <c r="O16" s="18" t="n">
        <f aca="false">G16/L16</f>
        <v>815.200325499875</v>
      </c>
      <c r="P16" s="18" t="n">
        <f aca="false">M16/L16</f>
        <v>785.284295942012</v>
      </c>
      <c r="Q16" s="19" t="n">
        <f aca="false">IF(N16=0,"n.a.",P16/N16-1)</f>
        <v>0.395230585857954</v>
      </c>
    </row>
    <row r="17" customFormat="false" ht="15" hidden="false" customHeight="false" outlineLevel="0" collapsed="false">
      <c r="A17" s="12" t="s">
        <v>53</v>
      </c>
      <c r="B17" s="12" t="s">
        <v>44</v>
      </c>
      <c r="C17" s="12" t="s">
        <v>45</v>
      </c>
      <c r="D17" s="12" t="s">
        <v>54</v>
      </c>
      <c r="E17" s="12" t="s">
        <v>55</v>
      </c>
      <c r="F17" s="13" t="n">
        <v>2551309</v>
      </c>
      <c r="G17" s="13" t="n">
        <v>3903044</v>
      </c>
      <c r="H17" s="14" t="n">
        <v>16997</v>
      </c>
      <c r="I17" s="14" t="n">
        <v>17504</v>
      </c>
      <c r="J17" s="15" t="n">
        <f aca="false">I17/H17</f>
        <v>1.02982879331647</v>
      </c>
      <c r="K17" s="16" t="n">
        <f aca="false">ROUND(I17*J17^($F$8-1),0)</f>
        <v>17386</v>
      </c>
      <c r="L17" s="16" t="n">
        <f aca="false">ROUND(I17*J17^($F$9-1),0)</f>
        <v>17477</v>
      </c>
      <c r="M17" s="17" t="n">
        <f aca="false">G17*$F$7</f>
        <v>3759811.01049151</v>
      </c>
      <c r="N17" s="18" t="n">
        <f aca="false">F17/K17</f>
        <v>146.745024732543</v>
      </c>
      <c r="O17" s="18" t="n">
        <f aca="false">G17/L17</f>
        <v>223.324598043142</v>
      </c>
      <c r="P17" s="18" t="n">
        <f aca="false">M17/L17</f>
        <v>215.129084539195</v>
      </c>
      <c r="Q17" s="19" t="n">
        <f aca="false">IF(N17=0,"n.a.",P17/N17-1)</f>
        <v>0.46600598508391</v>
      </c>
    </row>
    <row r="18" customFormat="false" ht="15" hidden="false" customHeight="false" outlineLevel="0" collapsed="false">
      <c r="A18" s="12" t="s">
        <v>56</v>
      </c>
      <c r="B18" s="12" t="s">
        <v>44</v>
      </c>
      <c r="C18" s="12" t="s">
        <v>45</v>
      </c>
      <c r="D18" s="12" t="s">
        <v>57</v>
      </c>
      <c r="E18" s="12" t="s">
        <v>58</v>
      </c>
      <c r="F18" s="13" t="n">
        <v>216506353</v>
      </c>
      <c r="G18" s="13" t="n">
        <v>247343832</v>
      </c>
      <c r="H18" s="14" t="n">
        <v>129860</v>
      </c>
      <c r="I18" s="14" t="n">
        <v>147302</v>
      </c>
      <c r="J18" s="15" t="n">
        <f aca="false">I18/H18</f>
        <v>1.13431387648237</v>
      </c>
      <c r="K18" s="16" t="n">
        <f aca="false">ROUND(I18*J18^($F$8-1),0)</f>
        <v>143078</v>
      </c>
      <c r="L18" s="16" t="n">
        <f aca="false">ROUND(I18*J18^($F$9-1),0)</f>
        <v>146341</v>
      </c>
      <c r="M18" s="17" t="n">
        <f aca="false">G18*$F$7</f>
        <v>238266866.305059</v>
      </c>
      <c r="N18" s="18" t="n">
        <f aca="false">F18/K18</f>
        <v>1513.20505598345</v>
      </c>
      <c r="O18" s="18" t="n">
        <f aca="false">G18/L18</f>
        <v>1690.18820426265</v>
      </c>
      <c r="P18" s="18" t="n">
        <f aca="false">M18/L18</f>
        <v>1628.16207559781</v>
      </c>
      <c r="Q18" s="19" t="n">
        <f aca="false">IF(N18=0,"n.a.",P18/N18-1)</f>
        <v>0.0759692278054467</v>
      </c>
    </row>
    <row r="19" customFormat="false" ht="15" hidden="false" customHeight="false" outlineLevel="0" collapsed="false">
      <c r="A19" s="12" t="s">
        <v>59</v>
      </c>
      <c r="B19" s="12" t="s">
        <v>44</v>
      </c>
      <c r="C19" s="12" t="s">
        <v>45</v>
      </c>
      <c r="D19" s="12" t="s">
        <v>60</v>
      </c>
      <c r="E19" s="12" t="s">
        <v>61</v>
      </c>
      <c r="F19" s="13" t="n">
        <v>31047206</v>
      </c>
      <c r="G19" s="13" t="n">
        <v>25726276</v>
      </c>
      <c r="H19" s="14" t="n">
        <v>47558</v>
      </c>
      <c r="I19" s="14" t="n">
        <v>49372</v>
      </c>
      <c r="J19" s="15" t="n">
        <f aca="false">I19/H19</f>
        <v>1.03814289919677</v>
      </c>
      <c r="K19" s="16" t="n">
        <f aca="false">ROUND(I19*J19^($F$8-1),0)</f>
        <v>48947</v>
      </c>
      <c r="L19" s="16" t="n">
        <f aca="false">ROUND(I19*J19^($F$9-1),0)</f>
        <v>49276</v>
      </c>
      <c r="M19" s="17" t="n">
        <f aca="false">G19*$F$7</f>
        <v>24782179.1821316</v>
      </c>
      <c r="N19" s="18" t="n">
        <f aca="false">F19/K19</f>
        <v>634.302531309376</v>
      </c>
      <c r="O19" s="18" t="n">
        <f aca="false">G19/L19</f>
        <v>522.085315366507</v>
      </c>
      <c r="P19" s="18" t="n">
        <f aca="false">M19/L19</f>
        <v>502.925951419181</v>
      </c>
      <c r="Q19" s="19" t="n">
        <f aca="false">IF(N19=0,"n.a.",P19/N19-1)</f>
        <v>-0.207119747132329</v>
      </c>
    </row>
    <row r="20" customFormat="false" ht="15" hidden="false" customHeight="false" outlineLevel="0" collapsed="false">
      <c r="A20" s="12" t="s">
        <v>62</v>
      </c>
      <c r="B20" s="12" t="s">
        <v>44</v>
      </c>
      <c r="C20" s="12" t="s">
        <v>45</v>
      </c>
      <c r="D20" s="12" t="s">
        <v>63</v>
      </c>
      <c r="E20" s="12" t="s">
        <v>64</v>
      </c>
      <c r="F20" s="13" t="n">
        <v>17367512</v>
      </c>
      <c r="G20" s="13" t="n">
        <v>24513203</v>
      </c>
      <c r="H20" s="14" t="n">
        <v>57269</v>
      </c>
      <c r="I20" s="14" t="n">
        <v>59964</v>
      </c>
      <c r="J20" s="15" t="n">
        <f aca="false">I20/H20</f>
        <v>1.04705861810054</v>
      </c>
      <c r="K20" s="16" t="n">
        <f aca="false">ROUND(I20*J20^($F$8-1),0)</f>
        <v>59331</v>
      </c>
      <c r="L20" s="16" t="n">
        <f aca="false">ROUND(I20*J20^($F$9-1),0)</f>
        <v>59821</v>
      </c>
      <c r="M20" s="17" t="n">
        <f aca="false">G20*$F$7</f>
        <v>23613623.2493955</v>
      </c>
      <c r="N20" s="18" t="n">
        <f aca="false">F20/K20</f>
        <v>292.722387959077</v>
      </c>
      <c r="O20" s="18" t="n">
        <f aca="false">G20/L20</f>
        <v>409.775881379449</v>
      </c>
      <c r="P20" s="18" t="n">
        <f aca="false">M20/L20</f>
        <v>394.738022590654</v>
      </c>
      <c r="Q20" s="19" t="n">
        <f aca="false">IF(N20=0,"n.a.",P20/N20-1)</f>
        <v>0.348506430761417</v>
      </c>
    </row>
    <row r="21" customFormat="false" ht="15" hidden="false" customHeight="false" outlineLevel="0" collapsed="false">
      <c r="A21" s="12" t="s">
        <v>65</v>
      </c>
      <c r="B21" s="12" t="s">
        <v>44</v>
      </c>
      <c r="C21" s="12" t="s">
        <v>45</v>
      </c>
      <c r="D21" s="12" t="s">
        <v>66</v>
      </c>
      <c r="E21" s="12" t="s">
        <v>67</v>
      </c>
      <c r="F21" s="13" t="n">
        <v>2812300</v>
      </c>
      <c r="G21" s="13" t="n">
        <v>5725390</v>
      </c>
      <c r="H21" s="14" t="n">
        <v>9552</v>
      </c>
      <c r="I21" s="14" t="n">
        <v>10849</v>
      </c>
      <c r="J21" s="15" t="n">
        <f aca="false">I21/H21</f>
        <v>1.13578308207705</v>
      </c>
      <c r="K21" s="16" t="n">
        <f aca="false">ROUND(I21*J21^($F$8-1),0)</f>
        <v>10535</v>
      </c>
      <c r="L21" s="16" t="n">
        <f aca="false">ROUND(I21*J21^($F$9-1),0)</f>
        <v>10777</v>
      </c>
      <c r="M21" s="17" t="n">
        <f aca="false">G21*$F$7</f>
        <v>5515280.98616311</v>
      </c>
      <c r="N21" s="18" t="n">
        <f aca="false">F21/K21</f>
        <v>266.948267679165</v>
      </c>
      <c r="O21" s="18" t="n">
        <f aca="false">G21/L21</f>
        <v>531.260090934397</v>
      </c>
      <c r="P21" s="18" t="n">
        <f aca="false">M21/L21</f>
        <v>511.764033234027</v>
      </c>
      <c r="Q21" s="19" t="n">
        <f aca="false">IF(N21=0,"n.a.",P21/N21-1)</f>
        <v>0.917090669601562</v>
      </c>
    </row>
    <row r="22" customFormat="false" ht="15" hidden="false" customHeight="false" outlineLevel="0" collapsed="false">
      <c r="A22" s="12" t="s">
        <v>68</v>
      </c>
      <c r="B22" s="12" t="s">
        <v>44</v>
      </c>
      <c r="C22" s="12" t="s">
        <v>45</v>
      </c>
      <c r="D22" s="12" t="s">
        <v>69</v>
      </c>
      <c r="E22" s="12" t="s">
        <v>70</v>
      </c>
      <c r="F22" s="13" t="n">
        <v>6110645</v>
      </c>
      <c r="G22" s="13" t="n">
        <v>7557810</v>
      </c>
      <c r="H22" s="14" t="n">
        <v>22461</v>
      </c>
      <c r="I22" s="14" t="n">
        <v>24616</v>
      </c>
      <c r="J22" s="15" t="n">
        <f aca="false">I22/H22</f>
        <v>1.09594408085125</v>
      </c>
      <c r="K22" s="16" t="n">
        <f aca="false">ROUND(I22*J22^($F$8-1),0)</f>
        <v>24101</v>
      </c>
      <c r="L22" s="16" t="n">
        <f aca="false">ROUND(I22*J22^($F$9-1),0)</f>
        <v>24499</v>
      </c>
      <c r="M22" s="17" t="n">
        <f aca="false">G22*$F$7</f>
        <v>7280455.26855523</v>
      </c>
      <c r="N22" s="18" t="n">
        <f aca="false">F22/K22</f>
        <v>253.543213974524</v>
      </c>
      <c r="O22" s="18" t="n">
        <f aca="false">G22/L22</f>
        <v>308.494632433977</v>
      </c>
      <c r="P22" s="18" t="n">
        <f aca="false">M22/L22</f>
        <v>297.173569066298</v>
      </c>
      <c r="Q22" s="19" t="n">
        <f aca="false">IF(N22=0,"n.a.",P22/N22-1)</f>
        <v>0.172082519614024</v>
      </c>
    </row>
    <row r="23" customFormat="false" ht="15" hidden="false" customHeight="false" outlineLevel="0" collapsed="false">
      <c r="A23" s="12" t="s">
        <v>71</v>
      </c>
      <c r="B23" s="12" t="s">
        <v>44</v>
      </c>
      <c r="C23" s="12" t="s">
        <v>45</v>
      </c>
      <c r="D23" s="12" t="s">
        <v>72</v>
      </c>
      <c r="E23" s="12" t="s">
        <v>73</v>
      </c>
      <c r="F23" s="13" t="n">
        <v>5917337</v>
      </c>
      <c r="G23" s="13" t="n">
        <v>7355185</v>
      </c>
      <c r="H23" s="14" t="n">
        <v>20383</v>
      </c>
      <c r="I23" s="14" t="n">
        <v>21676</v>
      </c>
      <c r="J23" s="15" t="n">
        <f aca="false">I23/H23</f>
        <v>1.06343521562086</v>
      </c>
      <c r="K23" s="16" t="n">
        <f aca="false">ROUND(I23*J23^($F$8-1),0)</f>
        <v>21370</v>
      </c>
      <c r="L23" s="16" t="n">
        <f aca="false">ROUND(I23*J23^($F$9-1),0)</f>
        <v>21607</v>
      </c>
      <c r="M23" s="17" t="n">
        <f aca="false">G23*$F$7</f>
        <v>7085266.15308514</v>
      </c>
      <c r="N23" s="18" t="n">
        <f aca="false">F23/K23</f>
        <v>276.899251286851</v>
      </c>
      <c r="O23" s="18" t="n">
        <f aca="false">G23/L23</f>
        <v>340.407506826491</v>
      </c>
      <c r="P23" s="18" t="n">
        <f aca="false">M23/L23</f>
        <v>327.915312310137</v>
      </c>
      <c r="Q23" s="19" t="n">
        <f aca="false">IF(N23=0,"n.a.",P23/N23-1)</f>
        <v>0.184240516311245</v>
      </c>
    </row>
    <row r="24" customFormat="false" ht="15" hidden="false" customHeight="false" outlineLevel="0" collapsed="false">
      <c r="A24" s="12" t="s">
        <v>74</v>
      </c>
      <c r="B24" s="12" t="s">
        <v>44</v>
      </c>
      <c r="C24" s="12" t="s">
        <v>45</v>
      </c>
      <c r="D24" s="12" t="s">
        <v>75</v>
      </c>
      <c r="E24" s="12" t="s">
        <v>76</v>
      </c>
      <c r="F24" s="13" t="n">
        <v>77857769</v>
      </c>
      <c r="G24" s="13" t="n">
        <v>108302310</v>
      </c>
      <c r="H24" s="14" t="n">
        <v>61986</v>
      </c>
      <c r="I24" s="14" t="n">
        <v>68203</v>
      </c>
      <c r="J24" s="15" t="n">
        <f aca="false">I24/H24</f>
        <v>1.10029684122221</v>
      </c>
      <c r="K24" s="16" t="n">
        <f aca="false">ROUND(I24*J24^($F$8-1),0)</f>
        <v>66714</v>
      </c>
      <c r="L24" s="16" t="n">
        <f aca="false">ROUND(I24*J24^($F$9-1),0)</f>
        <v>67865</v>
      </c>
      <c r="M24" s="17" t="n">
        <f aca="false">G24*$F$7</f>
        <v>104327857.333831</v>
      </c>
      <c r="N24" s="18" t="n">
        <f aca="false">F24/K24</f>
        <v>1167.03793806397</v>
      </c>
      <c r="O24" s="18" t="n">
        <f aca="false">G24/L24</f>
        <v>1595.84925955942</v>
      </c>
      <c r="P24" s="18" t="n">
        <f aca="false">M24/L24</f>
        <v>1537.28515926959</v>
      </c>
      <c r="Q24" s="19" t="n">
        <f aca="false">IF(N24=0,"n.a.",P24/N24-1)</f>
        <v>0.317253800523255</v>
      </c>
    </row>
    <row r="25" customFormat="false" ht="15" hidden="false" customHeight="false" outlineLevel="0" collapsed="false">
      <c r="A25" s="12" t="s">
        <v>77</v>
      </c>
      <c r="B25" s="12" t="s">
        <v>78</v>
      </c>
      <c r="C25" s="12" t="s">
        <v>79</v>
      </c>
      <c r="D25" s="12" t="s">
        <v>46</v>
      </c>
      <c r="E25" s="12" t="s">
        <v>80</v>
      </c>
      <c r="F25" s="13" t="n">
        <v>879915907</v>
      </c>
      <c r="G25" s="13" t="n">
        <v>870800845</v>
      </c>
      <c r="H25" s="14" t="n">
        <v>440625</v>
      </c>
      <c r="I25" s="14" t="n">
        <v>480527</v>
      </c>
      <c r="J25" s="15" t="n">
        <f aca="false">I25/H25</f>
        <v>1.09055773049645</v>
      </c>
      <c r="K25" s="16" t="n">
        <f aca="false">ROUND(I25*J25^($F$8-1),0)</f>
        <v>471005</v>
      </c>
      <c r="L25" s="16" t="n">
        <f aca="false">ROUND(I25*J25^($F$9-1),0)</f>
        <v>478367</v>
      </c>
      <c r="M25" s="17" t="n">
        <f aca="false">G25*$F$7</f>
        <v>838844400.671966</v>
      </c>
      <c r="N25" s="18" t="n">
        <f aca="false">F25/K25</f>
        <v>1868.16680714642</v>
      </c>
      <c r="O25" s="18" t="n">
        <f aca="false">G25/L25</f>
        <v>1820.36144842767</v>
      </c>
      <c r="P25" s="18" t="n">
        <f aca="false">M25/L25</f>
        <v>1753.55825270549</v>
      </c>
      <c r="Q25" s="19" t="n">
        <f aca="false">IF(N25=0,"n.a.",P25/N25-1)</f>
        <v>-0.061348137651581</v>
      </c>
    </row>
    <row r="26" customFormat="false" ht="15" hidden="false" customHeight="false" outlineLevel="0" collapsed="false">
      <c r="A26" s="12" t="s">
        <v>81</v>
      </c>
      <c r="B26" s="12" t="s">
        <v>78</v>
      </c>
      <c r="C26" s="12" t="s">
        <v>79</v>
      </c>
      <c r="D26" s="12" t="s">
        <v>48</v>
      </c>
      <c r="E26" s="12" t="s">
        <v>82</v>
      </c>
      <c r="F26" s="13" t="n">
        <v>1541064062</v>
      </c>
      <c r="G26" s="13" t="n">
        <v>1777583625</v>
      </c>
      <c r="H26" s="14" t="n">
        <v>1042395</v>
      </c>
      <c r="I26" s="14" t="n">
        <v>1080999</v>
      </c>
      <c r="J26" s="15" t="n">
        <f aca="false">(I26+I31)/(H26)</f>
        <v>1.05671938180824</v>
      </c>
      <c r="K26" s="16" t="n">
        <f aca="false">ROUND(I26*J26^($F$8-1),0)</f>
        <v>1067317</v>
      </c>
      <c r="L26" s="16" t="n">
        <f aca="false">ROUND(I26*J26^($F$9-1),0)</f>
        <v>1077905</v>
      </c>
      <c r="M26" s="17" t="n">
        <f aca="false">G26*$F$7</f>
        <v>1712350279.76739</v>
      </c>
      <c r="N26" s="18" t="n">
        <f aca="false">F26/K26</f>
        <v>1443.86725031083</v>
      </c>
      <c r="O26" s="18" t="n">
        <f aca="false">G26/L26</f>
        <v>1649.10973137707</v>
      </c>
      <c r="P26" s="18" t="n">
        <f aca="false">M26/L26</f>
        <v>1588.59109083582</v>
      </c>
      <c r="Q26" s="19" t="n">
        <f aca="false">IF(N26=0,"n.a.",P26/N26-1)</f>
        <v>0.10023348094767</v>
      </c>
    </row>
    <row r="27" customFormat="false" ht="15" hidden="false" customHeight="false" outlineLevel="0" collapsed="false">
      <c r="A27" s="12" t="s">
        <v>83</v>
      </c>
      <c r="B27" s="12" t="s">
        <v>78</v>
      </c>
      <c r="C27" s="12" t="s">
        <v>79</v>
      </c>
      <c r="D27" s="12" t="s">
        <v>51</v>
      </c>
      <c r="E27" s="12" t="s">
        <v>84</v>
      </c>
      <c r="F27" s="13" t="n">
        <v>55809125</v>
      </c>
      <c r="G27" s="13" t="n">
        <v>115506894</v>
      </c>
      <c r="H27" s="14" t="n">
        <v>102896</v>
      </c>
      <c r="I27" s="14" t="n">
        <v>111640</v>
      </c>
      <c r="J27" s="15" t="n">
        <f aca="false">I27/H27</f>
        <v>1.08497900793034</v>
      </c>
      <c r="K27" s="16" t="n">
        <f aca="false">ROUND(I27*J27^($F$8-1),0)</f>
        <v>109557</v>
      </c>
      <c r="L27" s="16" t="n">
        <f aca="false">ROUND(I27*J27^($F$9-1),0)</f>
        <v>111168</v>
      </c>
      <c r="M27" s="17" t="n">
        <f aca="false">G27*$F$7</f>
        <v>111268049.206946</v>
      </c>
      <c r="N27" s="18" t="n">
        <f aca="false">F27/K27</f>
        <v>509.40720355614</v>
      </c>
      <c r="O27" s="18" t="n">
        <f aca="false">G27/L27</f>
        <v>1039.03006260794</v>
      </c>
      <c r="P27" s="18" t="n">
        <f aca="false">M27/L27</f>
        <v>1000.89998207169</v>
      </c>
      <c r="Q27" s="19" t="n">
        <f aca="false">IF(N27=0,"n.a.",P27/N27-1)</f>
        <v>0.9648327999378</v>
      </c>
    </row>
    <row r="28" customFormat="false" ht="15" hidden="false" customHeight="false" outlineLevel="0" collapsed="false">
      <c r="A28" s="12" t="s">
        <v>85</v>
      </c>
      <c r="B28" s="12" t="s">
        <v>78</v>
      </c>
      <c r="C28" s="12" t="s">
        <v>79</v>
      </c>
      <c r="D28" s="12" t="s">
        <v>54</v>
      </c>
      <c r="E28" s="12" t="s">
        <v>86</v>
      </c>
      <c r="F28" s="13" t="n">
        <v>2721120556</v>
      </c>
      <c r="G28" s="13" t="n">
        <v>2891996435</v>
      </c>
      <c r="H28" s="14" t="n">
        <v>1910570</v>
      </c>
      <c r="I28" s="14" t="n">
        <v>1999816</v>
      </c>
      <c r="J28" s="15" t="n">
        <f aca="false">I28/H28</f>
        <v>1.04671171430516</v>
      </c>
      <c r="K28" s="16" t="n">
        <f aca="false">ROUND(I28*J28^($F$8-1),0)</f>
        <v>1978847</v>
      </c>
      <c r="L28" s="16" t="n">
        <f aca="false">ROUND(I28*J28^($F$9-1),0)</f>
        <v>1995078</v>
      </c>
      <c r="M28" s="17" t="n">
        <f aca="false">G28*$F$7</f>
        <v>2785866630.92069</v>
      </c>
      <c r="N28" s="18" t="n">
        <f aca="false">F28/K28</f>
        <v>1375.1040661557</v>
      </c>
      <c r="O28" s="18" t="n">
        <f aca="false">G28/L28</f>
        <v>1449.56559843776</v>
      </c>
      <c r="P28" s="18" t="n">
        <f aca="false">M28/L28</f>
        <v>1396.3697814926</v>
      </c>
      <c r="Q28" s="19" t="n">
        <f aca="false">IF(N28=0,"n.a.",P28/N28-1)</f>
        <v>0.0154648043448469</v>
      </c>
    </row>
    <row r="29" customFormat="false" ht="15" hidden="false" customHeight="false" outlineLevel="0" collapsed="false">
      <c r="A29" s="12" t="s">
        <v>87</v>
      </c>
      <c r="B29" s="12" t="s">
        <v>78</v>
      </c>
      <c r="C29" s="12" t="s">
        <v>79</v>
      </c>
      <c r="D29" s="12" t="s">
        <v>57</v>
      </c>
      <c r="E29" s="12" t="s">
        <v>88</v>
      </c>
      <c r="F29" s="13" t="n">
        <v>272628414</v>
      </c>
      <c r="G29" s="13" t="n">
        <v>299825118</v>
      </c>
      <c r="H29" s="14" t="n">
        <v>126264</v>
      </c>
      <c r="I29" s="14" t="n">
        <v>159768</v>
      </c>
      <c r="J29" s="15" t="n">
        <f aca="false">I29/H29</f>
        <v>1.26534879300513</v>
      </c>
      <c r="K29" s="16" t="n">
        <f aca="false">ROUND(I29*J29^($F$8-1),0)</f>
        <v>151318</v>
      </c>
      <c r="L29" s="16" t="n">
        <f aca="false">ROUND(I29*J29^($F$9-1),0)</f>
        <v>157826</v>
      </c>
      <c r="M29" s="17" t="n">
        <f aca="false">G29*$F$7</f>
        <v>288822206.431267</v>
      </c>
      <c r="N29" s="18" t="n">
        <f aca="false">F29/K29</f>
        <v>1801.69189389233</v>
      </c>
      <c r="O29" s="18" t="n">
        <f aca="false">G29/L29</f>
        <v>1899.71942518977</v>
      </c>
      <c r="P29" s="18" t="n">
        <f aca="false">M29/L29</f>
        <v>1830.00396912592</v>
      </c>
      <c r="Q29" s="19" t="n">
        <f aca="false">IF(N29=0,"n.a.",P29/N29-1)</f>
        <v>0.0157141603009701</v>
      </c>
    </row>
    <row r="30" customFormat="false" ht="15" hidden="false" customHeight="false" outlineLevel="0" collapsed="false">
      <c r="A30" s="12" t="s">
        <v>89</v>
      </c>
      <c r="B30" s="12" t="s">
        <v>78</v>
      </c>
      <c r="C30" s="12" t="s">
        <v>79</v>
      </c>
      <c r="D30" s="12" t="s">
        <v>60</v>
      </c>
      <c r="E30" s="12" t="s">
        <v>90</v>
      </c>
      <c r="F30" s="13" t="n">
        <v>26504980</v>
      </c>
      <c r="G30" s="13" t="n">
        <v>45584590</v>
      </c>
      <c r="H30" s="14" t="n">
        <v>117050</v>
      </c>
      <c r="I30" s="14" t="n">
        <v>125323</v>
      </c>
      <c r="J30" s="15" t="n">
        <f aca="false">I30/H30</f>
        <v>1.07067919692439</v>
      </c>
      <c r="K30" s="16" t="n">
        <f aca="false">ROUND(I30*J30^($F$8-1),0)</f>
        <v>123362</v>
      </c>
      <c r="L30" s="16" t="n">
        <f aca="false">ROUND(I30*J30^($F$9-1),0)</f>
        <v>124879</v>
      </c>
      <c r="M30" s="17" t="n">
        <f aca="false">G30*$F$7</f>
        <v>43911737.451779</v>
      </c>
      <c r="N30" s="18" t="n">
        <f aca="false">F30/K30</f>
        <v>214.855303902336</v>
      </c>
      <c r="O30" s="18" t="n">
        <f aca="false">G30/L30</f>
        <v>365.030069106896</v>
      </c>
      <c r="P30" s="18" t="n">
        <f aca="false">M30/L30</f>
        <v>351.63428159882</v>
      </c>
      <c r="Q30" s="19" t="n">
        <f aca="false">IF(N30=0,"n.a.",P30/N30-1)</f>
        <v>0.636609733212158</v>
      </c>
    </row>
    <row r="31" customFormat="false" ht="15" hidden="false" customHeight="false" outlineLevel="0" collapsed="false">
      <c r="A31" s="12" t="s">
        <v>91</v>
      </c>
      <c r="B31" s="12" t="s">
        <v>78</v>
      </c>
      <c r="C31" s="12" t="s">
        <v>79</v>
      </c>
      <c r="D31" s="12" t="s">
        <v>63</v>
      </c>
      <c r="E31" s="12" t="s">
        <v>92</v>
      </c>
      <c r="F31" s="13" t="n">
        <v>40721486</v>
      </c>
      <c r="G31" s="13" t="n">
        <v>46665918</v>
      </c>
      <c r="H31" s="14"/>
      <c r="I31" s="14" t="n">
        <v>20520</v>
      </c>
      <c r="J31" s="15" t="n">
        <f aca="false">J26</f>
        <v>1.05671938180824</v>
      </c>
      <c r="K31" s="16" t="n">
        <f aca="false">ROUND(I31*J31^($F$8-1),0)</f>
        <v>20260</v>
      </c>
      <c r="L31" s="16" t="n">
        <f aca="false">ROUND(I31*J31^($F$9-1),0)</f>
        <v>20461</v>
      </c>
      <c r="M31" s="17" t="n">
        <f aca="false">G31*$F$7</f>
        <v>44953383.1314979</v>
      </c>
      <c r="N31" s="18" t="n">
        <f aca="false">F31/K31</f>
        <v>2009.9450148075</v>
      </c>
      <c r="O31" s="18" t="n">
        <f aca="false">G31/L31</f>
        <v>2280.72518449734</v>
      </c>
      <c r="P31" s="18" t="n">
        <f aca="false">M31/L31</f>
        <v>2197.02766880885</v>
      </c>
      <c r="Q31" s="19" t="n">
        <f aca="false">IF(N31=0,"n.a.",P31/N31-1)</f>
        <v>0.0930784935026023</v>
      </c>
    </row>
    <row r="32" customFormat="false" ht="15" hidden="false" customHeight="false" outlineLevel="0" collapsed="false">
      <c r="A32" s="12" t="s">
        <v>93</v>
      </c>
      <c r="B32" s="12" t="s">
        <v>94</v>
      </c>
      <c r="C32" s="12" t="s">
        <v>95</v>
      </c>
      <c r="D32" s="12" t="s">
        <v>46</v>
      </c>
      <c r="E32" s="12" t="s">
        <v>96</v>
      </c>
      <c r="F32" s="13" t="n">
        <v>45123796</v>
      </c>
      <c r="G32" s="13" t="n">
        <v>49685591</v>
      </c>
      <c r="H32" s="14" t="n">
        <v>72358</v>
      </c>
      <c r="I32" s="14" t="n">
        <v>77434</v>
      </c>
      <c r="J32" s="15" t="n">
        <f aca="false">I32/H32</f>
        <v>1.07015119268084</v>
      </c>
      <c r="K32" s="16" t="n">
        <f aca="false">ROUND(I32*J32^($F$8-1),0)</f>
        <v>76231</v>
      </c>
      <c r="L32" s="16" t="n">
        <f aca="false">ROUND(I32*J32^($F$9-1),0)</f>
        <v>77162</v>
      </c>
      <c r="M32" s="17" t="n">
        <f aca="false">G32*$F$7</f>
        <v>47862240.8829052</v>
      </c>
      <c r="N32" s="18" t="n">
        <f aca="false">F32/K32</f>
        <v>591.934987078747</v>
      </c>
      <c r="O32" s="18" t="n">
        <f aca="false">G32/L32</f>
        <v>643.912690184288</v>
      </c>
      <c r="P32" s="18" t="n">
        <f aca="false">M32/L32</f>
        <v>620.28253392739</v>
      </c>
      <c r="Q32" s="19" t="n">
        <f aca="false">IF(N32=0,"n.a.",P32/N32-1)</f>
        <v>0.0478896288738397</v>
      </c>
    </row>
    <row r="33" customFormat="false" ht="15" hidden="false" customHeight="false" outlineLevel="0" collapsed="false">
      <c r="A33" s="12" t="s">
        <v>97</v>
      </c>
      <c r="B33" s="12" t="s">
        <v>94</v>
      </c>
      <c r="C33" s="12" t="s">
        <v>95</v>
      </c>
      <c r="D33" s="12" t="s">
        <v>48</v>
      </c>
      <c r="E33" s="12" t="s">
        <v>98</v>
      </c>
      <c r="F33" s="13" t="n">
        <v>31486935</v>
      </c>
      <c r="G33" s="13" t="n">
        <v>41958417</v>
      </c>
      <c r="H33" s="14" t="n">
        <v>62884</v>
      </c>
      <c r="I33" s="14" t="n">
        <v>59589</v>
      </c>
      <c r="J33" s="15" t="n">
        <f aca="false">I33/H33</f>
        <v>0.947601933719229</v>
      </c>
      <c r="K33" s="16" t="n">
        <f aca="false">ROUND(I33*J33^($F$8-1),0)</f>
        <v>60334</v>
      </c>
      <c r="L33" s="16" t="n">
        <f aca="false">ROUND(I33*J33^($F$9-1),0)</f>
        <v>59756</v>
      </c>
      <c r="M33" s="17" t="n">
        <f aca="false">G33*$F$7</f>
        <v>40418636.8945352</v>
      </c>
      <c r="N33" s="18" t="n">
        <f aca="false">F33/K33</f>
        <v>521.877133954321</v>
      </c>
      <c r="O33" s="18" t="n">
        <f aca="false">G33/L33</f>
        <v>702.162410469242</v>
      </c>
      <c r="P33" s="18" t="n">
        <f aca="false">M33/L33</f>
        <v>676.394619695683</v>
      </c>
      <c r="Q33" s="19" t="n">
        <f aca="false">IF(N33=0,"n.a.",P33/N33-1)</f>
        <v>0.296080199127648</v>
      </c>
    </row>
    <row r="34" customFormat="false" ht="15" hidden="false" customHeight="false" outlineLevel="0" collapsed="false">
      <c r="A34" s="12" t="s">
        <v>99</v>
      </c>
      <c r="B34" s="12" t="s">
        <v>94</v>
      </c>
      <c r="C34" s="12" t="s">
        <v>95</v>
      </c>
      <c r="D34" s="12" t="s">
        <v>51</v>
      </c>
      <c r="E34" s="12" t="s">
        <v>100</v>
      </c>
      <c r="F34" s="13" t="n">
        <v>575782711</v>
      </c>
      <c r="G34" s="13" t="n">
        <v>650713173</v>
      </c>
      <c r="H34" s="14" t="n">
        <v>290063</v>
      </c>
      <c r="I34" s="14" t="n">
        <v>330957</v>
      </c>
      <c r="J34" s="15" t="n">
        <f aca="false">I34/H34</f>
        <v>1.14098316572607</v>
      </c>
      <c r="K34" s="16" t="n">
        <f aca="false">ROUND(I34*J34^($F$8-1),0)</f>
        <v>321031</v>
      </c>
      <c r="L34" s="16" t="n">
        <f aca="false">ROUND(I34*J34^($F$9-1),0)</f>
        <v>328697</v>
      </c>
      <c r="M34" s="17" t="n">
        <f aca="false">G34*$F$7</f>
        <v>626833454.226309</v>
      </c>
      <c r="N34" s="18" t="n">
        <f aca="false">F34/K34</f>
        <v>1793.54240244712</v>
      </c>
      <c r="O34" s="18" t="n">
        <f aca="false">G34/L34</f>
        <v>1979.67481601597</v>
      </c>
      <c r="P34" s="18" t="n">
        <f aca="false">M34/L34</f>
        <v>1907.02517584982</v>
      </c>
      <c r="Q34" s="19" t="n">
        <f aca="false">IF(N34=0,"n.a.",P34/N34-1)</f>
        <v>0.0632729804703078</v>
      </c>
    </row>
    <row r="35" customFormat="false" ht="15" hidden="false" customHeight="false" outlineLevel="0" collapsed="false">
      <c r="A35" s="12" t="s">
        <v>101</v>
      </c>
      <c r="B35" s="12" t="s">
        <v>94</v>
      </c>
      <c r="C35" s="12" t="s">
        <v>95</v>
      </c>
      <c r="D35" s="12" t="s">
        <v>66</v>
      </c>
      <c r="E35" s="12" t="s">
        <v>102</v>
      </c>
      <c r="F35" s="13" t="n">
        <v>1984132439</v>
      </c>
      <c r="G35" s="13" t="n">
        <v>2850037951</v>
      </c>
      <c r="H35" s="14" t="n">
        <v>350193</v>
      </c>
      <c r="I35" s="14" t="n">
        <v>469163</v>
      </c>
      <c r="J35" s="15" t="n">
        <f aca="false">I35/H35</f>
        <v>1.33972695056726</v>
      </c>
      <c r="K35" s="16" t="n">
        <f aca="false">ROUND(I35*J35^($F$8-1),0)</f>
        <v>438529</v>
      </c>
      <c r="L35" s="16" t="n">
        <f aca="false">ROUND(I35*J35^($F$9-1),0)</f>
        <v>462087</v>
      </c>
      <c r="M35" s="17" t="n">
        <f aca="false">G35*$F$7</f>
        <v>2745447929.4849</v>
      </c>
      <c r="N35" s="18" t="n">
        <f aca="false">F35/K35</f>
        <v>4524.51819377966</v>
      </c>
      <c r="O35" s="18" t="n">
        <f aca="false">G35/L35</f>
        <v>6167.75185408808</v>
      </c>
      <c r="P35" s="18" t="n">
        <f aca="false">M35/L35</f>
        <v>5941.40914911024</v>
      </c>
      <c r="Q35" s="19" t="n">
        <f aca="false">IF(N35=0,"n.a.",P35/N35-1)</f>
        <v>0.313158417017425</v>
      </c>
    </row>
    <row r="36" customFormat="false" ht="15" hidden="false" customHeight="false" outlineLevel="0" collapsed="false">
      <c r="A36" s="12" t="s">
        <v>103</v>
      </c>
      <c r="B36" s="12" t="s">
        <v>94</v>
      </c>
      <c r="C36" s="12" t="s">
        <v>95</v>
      </c>
      <c r="D36" s="12" t="s">
        <v>69</v>
      </c>
      <c r="E36" s="12" t="s">
        <v>104</v>
      </c>
      <c r="F36" s="13" t="n">
        <v>79033332</v>
      </c>
      <c r="G36" s="13" t="n">
        <v>68184664</v>
      </c>
      <c r="H36" s="14" t="n">
        <v>17926</v>
      </c>
      <c r="I36" s="14" t="n">
        <v>18322</v>
      </c>
      <c r="J36" s="15" t="n">
        <f aca="false">I36/H36</f>
        <v>1.02209081780654</v>
      </c>
      <c r="K36" s="16" t="n">
        <f aca="false">ROUND(I36*J36^($F$8-1),0)</f>
        <v>18230</v>
      </c>
      <c r="L36" s="16" t="n">
        <f aca="false">ROUND(I36*J36^($F$9-1),0)</f>
        <v>18301</v>
      </c>
      <c r="M36" s="17" t="n">
        <f aca="false">G36*$F$7</f>
        <v>65682439.2586567</v>
      </c>
      <c r="N36" s="18" t="n">
        <f aca="false">F36/K36</f>
        <v>4335.34459681843</v>
      </c>
      <c r="O36" s="18" t="n">
        <f aca="false">G36/L36</f>
        <v>3725.7343314573</v>
      </c>
      <c r="P36" s="18" t="n">
        <f aca="false">M36/L36</f>
        <v>3589.0082104069</v>
      </c>
      <c r="Q36" s="19" t="n">
        <f aca="false">IF(N36=0,"n.a.",P36/N36-1)</f>
        <v>-0.172151571748009</v>
      </c>
    </row>
    <row r="37" customFormat="false" ht="15" hidden="false" customHeight="false" outlineLevel="0" collapsed="false">
      <c r="A37" s="12" t="s">
        <v>105</v>
      </c>
      <c r="B37" s="12" t="s">
        <v>106</v>
      </c>
      <c r="C37" s="12" t="s">
        <v>107</v>
      </c>
      <c r="D37" s="12" t="s">
        <v>46</v>
      </c>
      <c r="E37" s="12" t="s">
        <v>108</v>
      </c>
      <c r="F37" s="13" t="n">
        <v>5083658</v>
      </c>
      <c r="G37" s="13" t="n">
        <v>7174192</v>
      </c>
      <c r="H37" s="14" t="n">
        <v>59192</v>
      </c>
      <c r="I37" s="14" t="n">
        <v>47031</v>
      </c>
      <c r="J37" s="15" t="n">
        <f aca="false">(I37+I49)/(H37)</f>
        <v>1.10482835518313</v>
      </c>
      <c r="K37" s="16" t="n">
        <f aca="false">ROUND(I37*J37^($F$8-1),0)</f>
        <v>45961</v>
      </c>
      <c r="L37" s="16" t="n">
        <f aca="false">ROUND(I37*J37^($F$9-1),0)</f>
        <v>46788</v>
      </c>
      <c r="M37" s="17" t="n">
        <f aca="false">G37*$F$7</f>
        <v>6910915.19157358</v>
      </c>
      <c r="N37" s="18" t="n">
        <f aca="false">F37/K37</f>
        <v>110.608080764126</v>
      </c>
      <c r="O37" s="18" t="n">
        <f aca="false">G37/L37</f>
        <v>153.334017269385</v>
      </c>
      <c r="P37" s="18" t="n">
        <f aca="false">M37/L37</f>
        <v>147.707001615234</v>
      </c>
      <c r="Q37" s="19" t="n">
        <f aca="false">IF(N37=0,"n.a.",P37/N37-1)</f>
        <v>0.33540877479126</v>
      </c>
    </row>
    <row r="38" customFormat="false" ht="15" hidden="false" customHeight="false" outlineLevel="0" collapsed="false">
      <c r="A38" s="12" t="s">
        <v>109</v>
      </c>
      <c r="B38" s="12" t="s">
        <v>106</v>
      </c>
      <c r="C38" s="12" t="s">
        <v>107</v>
      </c>
      <c r="D38" s="12" t="s">
        <v>48</v>
      </c>
      <c r="E38" s="12" t="s">
        <v>107</v>
      </c>
      <c r="F38" s="13" t="n">
        <v>115017083</v>
      </c>
      <c r="G38" s="13" t="n">
        <v>131329589</v>
      </c>
      <c r="H38" s="14" t="n">
        <v>293199</v>
      </c>
      <c r="I38" s="14" t="n">
        <v>294335</v>
      </c>
      <c r="J38" s="15" t="n">
        <f aca="false">I38/H38</f>
        <v>1.00387450161835</v>
      </c>
      <c r="K38" s="16" t="n">
        <f aca="false">ROUND(I38*J38^($F$8-1),0)</f>
        <v>294072</v>
      </c>
      <c r="L38" s="16" t="n">
        <f aca="false">ROUND(I38*J38^($F$9-1),0)</f>
        <v>294276</v>
      </c>
      <c r="M38" s="17" t="n">
        <f aca="false">G38*$F$7</f>
        <v>126510086.672229</v>
      </c>
      <c r="N38" s="18" t="n">
        <f aca="false">F38/K38</f>
        <v>391.118783835251</v>
      </c>
      <c r="O38" s="18" t="n">
        <f aca="false">G38/L38</f>
        <v>446.280325272873</v>
      </c>
      <c r="P38" s="18" t="n">
        <f aca="false">M38/L38</f>
        <v>429.902834999217</v>
      </c>
      <c r="Q38" s="19" t="n">
        <f aca="false">IF(N38=0,"n.a.",P38/N38-1)</f>
        <v>0.0991618218477128</v>
      </c>
    </row>
    <row r="39" customFormat="false" ht="15" hidden="false" customHeight="false" outlineLevel="0" collapsed="false">
      <c r="A39" s="12" t="s">
        <v>110</v>
      </c>
      <c r="B39" s="12" t="s">
        <v>106</v>
      </c>
      <c r="C39" s="12" t="s">
        <v>107</v>
      </c>
      <c r="D39" s="12" t="s">
        <v>51</v>
      </c>
      <c r="E39" s="12" t="s">
        <v>111</v>
      </c>
      <c r="F39" s="13" t="n">
        <v>127869216</v>
      </c>
      <c r="G39" s="13" t="n">
        <v>134482785</v>
      </c>
      <c r="H39" s="14" t="n">
        <v>248359</v>
      </c>
      <c r="I39" s="14" t="n">
        <v>252593</v>
      </c>
      <c r="J39" s="15" t="n">
        <f aca="false">I39/H39</f>
        <v>1.01704790243156</v>
      </c>
      <c r="K39" s="16" t="n">
        <f aca="false">ROUND(I39*J39^($F$8-1),0)</f>
        <v>251609</v>
      </c>
      <c r="L39" s="16" t="n">
        <f aca="false">ROUND(I39*J39^($F$9-1),0)</f>
        <v>252371</v>
      </c>
      <c r="M39" s="17" t="n">
        <f aca="false">G39*$F$7</f>
        <v>129547567.428029</v>
      </c>
      <c r="N39" s="18" t="n">
        <f aca="false">F39/K39</f>
        <v>508.206049863081</v>
      </c>
      <c r="O39" s="18" t="n">
        <f aca="false">G39/L39</f>
        <v>532.877331389106</v>
      </c>
      <c r="P39" s="18" t="n">
        <f aca="false">M39/L39</f>
        <v>513.321924579404</v>
      </c>
      <c r="Q39" s="19" t="n">
        <f aca="false">IF(N39=0,"n.a.",P39/N39-1)</f>
        <v>0.0100665364328127</v>
      </c>
    </row>
    <row r="40" customFormat="false" ht="15" hidden="false" customHeight="false" outlineLevel="0" collapsed="false">
      <c r="A40" s="12" t="s">
        <v>112</v>
      </c>
      <c r="B40" s="12" t="s">
        <v>106</v>
      </c>
      <c r="C40" s="12" t="s">
        <v>107</v>
      </c>
      <c r="D40" s="12" t="s">
        <v>54</v>
      </c>
      <c r="E40" s="12" t="s">
        <v>113</v>
      </c>
      <c r="F40" s="13" t="n">
        <v>12271013</v>
      </c>
      <c r="G40" s="13" t="n">
        <v>13504409</v>
      </c>
      <c r="H40" s="14" t="n">
        <v>78140</v>
      </c>
      <c r="I40" s="14" t="n">
        <v>84424</v>
      </c>
      <c r="J40" s="15" t="n">
        <f aca="false">I40/H40</f>
        <v>1.08041975940619</v>
      </c>
      <c r="K40" s="16" t="n">
        <f aca="false">ROUND(I40*J40^($F$8-1),0)</f>
        <v>82930</v>
      </c>
      <c r="L40" s="16" t="n">
        <f aca="false">ROUND(I40*J40^($F$9-1),0)</f>
        <v>84085</v>
      </c>
      <c r="M40" s="17" t="n">
        <f aca="false">G40*$F$7</f>
        <v>13008827.3789331</v>
      </c>
      <c r="N40" s="18" t="n">
        <f aca="false">F40/K40</f>
        <v>147.96832268178</v>
      </c>
      <c r="O40" s="18" t="n">
        <f aca="false">G40/L40</f>
        <v>160.60425759648</v>
      </c>
      <c r="P40" s="18" t="n">
        <f aca="false">M40/L40</f>
        <v>154.710440375015</v>
      </c>
      <c r="Q40" s="19" t="n">
        <f aca="false">IF(N40=0,"n.a.",P40/N40-1)</f>
        <v>0.0455646017407028</v>
      </c>
    </row>
    <row r="41" customFormat="false" ht="15" hidden="false" customHeight="false" outlineLevel="0" collapsed="false">
      <c r="A41" s="12" t="s">
        <v>114</v>
      </c>
      <c r="B41" s="12" t="s">
        <v>106</v>
      </c>
      <c r="C41" s="12" t="s">
        <v>107</v>
      </c>
      <c r="D41" s="12" t="s">
        <v>57</v>
      </c>
      <c r="E41" s="12" t="s">
        <v>115</v>
      </c>
      <c r="F41" s="13" t="n">
        <v>3743257</v>
      </c>
      <c r="G41" s="13" t="n">
        <v>4397800</v>
      </c>
      <c r="H41" s="14" t="n">
        <v>31914</v>
      </c>
      <c r="I41" s="14" t="n">
        <v>33335</v>
      </c>
      <c r="J41" s="15" t="n">
        <f aca="false">I41/H41</f>
        <v>1.04452591339224</v>
      </c>
      <c r="K41" s="16" t="n">
        <f aca="false">ROUND(I41*J41^($F$8-1),0)</f>
        <v>33001</v>
      </c>
      <c r="L41" s="16" t="n">
        <f aca="false">ROUND(I41*J41^($F$9-1),0)</f>
        <v>33260</v>
      </c>
      <c r="M41" s="17" t="n">
        <f aca="false">G41*$F$7</f>
        <v>4236410.5713232</v>
      </c>
      <c r="N41" s="18" t="n">
        <f aca="false">F41/K41</f>
        <v>113.428593072937</v>
      </c>
      <c r="O41" s="18" t="n">
        <f aca="false">G41/L41</f>
        <v>132.224894768491</v>
      </c>
      <c r="P41" s="18" t="n">
        <f aca="false">M41/L41</f>
        <v>127.372536720481</v>
      </c>
      <c r="Q41" s="19" t="n">
        <f aca="false">IF(N41=0,"n.a.",P41/N41-1)</f>
        <v>0.122931469656663</v>
      </c>
    </row>
    <row r="42" customFormat="false" ht="15" hidden="false" customHeight="false" outlineLevel="0" collapsed="false">
      <c r="A42" s="12" t="s">
        <v>116</v>
      </c>
      <c r="B42" s="12" t="s">
        <v>106</v>
      </c>
      <c r="C42" s="12" t="s">
        <v>107</v>
      </c>
      <c r="D42" s="12" t="s">
        <v>60</v>
      </c>
      <c r="E42" s="12" t="s">
        <v>117</v>
      </c>
      <c r="F42" s="13" t="n">
        <v>4346245</v>
      </c>
      <c r="G42" s="13" t="n">
        <v>5134941</v>
      </c>
      <c r="H42" s="14" t="n">
        <v>42130</v>
      </c>
      <c r="I42" s="14" t="n">
        <v>46458</v>
      </c>
      <c r="J42" s="15" t="n">
        <f aca="false">I42/H42</f>
        <v>1.10272964633278</v>
      </c>
      <c r="K42" s="16" t="n">
        <f aca="false">ROUND(I42*J42^($F$8-1),0)</f>
        <v>45421</v>
      </c>
      <c r="L42" s="16" t="n">
        <f aca="false">ROUND(I42*J42^($F$9-1),0)</f>
        <v>46223</v>
      </c>
      <c r="M42" s="17" t="n">
        <f aca="false">G42*$F$7</f>
        <v>4946500.14450882</v>
      </c>
      <c r="N42" s="18" t="n">
        <f aca="false">F42/K42</f>
        <v>95.6880077497193</v>
      </c>
      <c r="O42" s="18" t="n">
        <f aca="false">G42/L42</f>
        <v>111.09060424464</v>
      </c>
      <c r="P42" s="18" t="n">
        <f aca="false">M42/L42</f>
        <v>107.013827412951</v>
      </c>
      <c r="Q42" s="19" t="n">
        <f aca="false">IF(N42=0,"n.a.",P42/N42-1)</f>
        <v>0.118361954957357</v>
      </c>
    </row>
    <row r="43" customFormat="false" ht="15" hidden="false" customHeight="false" outlineLevel="0" collapsed="false">
      <c r="A43" s="12" t="s">
        <v>118</v>
      </c>
      <c r="B43" s="12" t="s">
        <v>106</v>
      </c>
      <c r="C43" s="12" t="s">
        <v>107</v>
      </c>
      <c r="D43" s="12" t="s">
        <v>63</v>
      </c>
      <c r="E43" s="12" t="s">
        <v>119</v>
      </c>
      <c r="F43" s="13" t="n">
        <v>4582449</v>
      </c>
      <c r="G43" s="13" t="n">
        <v>4947509</v>
      </c>
      <c r="H43" s="14" t="n">
        <v>8683</v>
      </c>
      <c r="I43" s="14" t="n">
        <v>8534</v>
      </c>
      <c r="J43" s="15" t="n">
        <f aca="false">I43/H43</f>
        <v>0.982840032246919</v>
      </c>
      <c r="K43" s="16" t="n">
        <f aca="false">ROUND(I43*J43^($F$8-1),0)</f>
        <v>8568</v>
      </c>
      <c r="L43" s="16" t="n">
        <f aca="false">ROUND(I43*J43^($F$9-1),0)</f>
        <v>8542</v>
      </c>
      <c r="M43" s="17" t="n">
        <f aca="false">G43*$F$7</f>
        <v>4765946.47990283</v>
      </c>
      <c r="N43" s="18" t="n">
        <f aca="false">F43/K43</f>
        <v>534.832983193277</v>
      </c>
      <c r="O43" s="18" t="n">
        <f aca="false">G43/L43</f>
        <v>579.197963006322</v>
      </c>
      <c r="P43" s="18" t="n">
        <f aca="false">M43/L43</f>
        <v>557.942692566475</v>
      </c>
      <c r="Q43" s="19" t="n">
        <f aca="false">IF(N43=0,"n.a.",P43/N43-1)</f>
        <v>0.0432092075459121</v>
      </c>
    </row>
    <row r="44" customFormat="false" ht="15" hidden="false" customHeight="false" outlineLevel="0" collapsed="false">
      <c r="A44" s="12" t="s">
        <v>120</v>
      </c>
      <c r="B44" s="12" t="s">
        <v>106</v>
      </c>
      <c r="C44" s="12" t="s">
        <v>107</v>
      </c>
      <c r="D44" s="12" t="s">
        <v>66</v>
      </c>
      <c r="E44" s="12" t="s">
        <v>121</v>
      </c>
      <c r="F44" s="13" t="n">
        <v>1729666</v>
      </c>
      <c r="G44" s="13" t="n">
        <v>1861898</v>
      </c>
      <c r="H44" s="14" t="n">
        <v>11452</v>
      </c>
      <c r="I44" s="14" t="n">
        <v>12206</v>
      </c>
      <c r="J44" s="15" t="n">
        <f aca="false">I44/H44</f>
        <v>1.06584002794272</v>
      </c>
      <c r="K44" s="16" t="n">
        <f aca="false">ROUND(I44*J44^($F$8-1),0)</f>
        <v>12028</v>
      </c>
      <c r="L44" s="16" t="n">
        <f aca="false">ROUND(I44*J44^($F$9-1),0)</f>
        <v>12166</v>
      </c>
      <c r="M44" s="17" t="n">
        <f aca="false">G44*$F$7</f>
        <v>1793570.50569046</v>
      </c>
      <c r="N44" s="18" t="n">
        <f aca="false">F44/K44</f>
        <v>143.803292317925</v>
      </c>
      <c r="O44" s="18" t="n">
        <f aca="false">G44/L44</f>
        <v>153.041098142364</v>
      </c>
      <c r="P44" s="18" t="n">
        <f aca="false">M44/L44</f>
        <v>147.424831965351</v>
      </c>
      <c r="Q44" s="19" t="n">
        <f aca="false">IF(N44=0,"n.a.",P44/N44-1)</f>
        <v>0.0251839828494314</v>
      </c>
    </row>
    <row r="45" customFormat="false" ht="15" hidden="false" customHeight="false" outlineLevel="0" collapsed="false">
      <c r="A45" s="12" t="s">
        <v>122</v>
      </c>
      <c r="B45" s="12" t="s">
        <v>106</v>
      </c>
      <c r="C45" s="12" t="s">
        <v>107</v>
      </c>
      <c r="D45" s="12" t="s">
        <v>69</v>
      </c>
      <c r="E45" s="12" t="s">
        <v>123</v>
      </c>
      <c r="F45" s="13" t="n">
        <v>12191601</v>
      </c>
      <c r="G45" s="13" t="n">
        <v>12950622</v>
      </c>
      <c r="H45" s="14" t="n">
        <v>59888</v>
      </c>
      <c r="I45" s="14" t="n">
        <v>67492</v>
      </c>
      <c r="J45" s="15" t="n">
        <f aca="false">I45/H45</f>
        <v>1.12697034464333</v>
      </c>
      <c r="K45" s="16" t="n">
        <f aca="false">ROUND(I45*J45^($F$8-1),0)</f>
        <v>65655</v>
      </c>
      <c r="L45" s="16" t="n">
        <f aca="false">ROUND(I45*J45^($F$9-1),0)</f>
        <v>67074</v>
      </c>
      <c r="M45" s="17" t="n">
        <f aca="false">G45*$F$7</f>
        <v>12475363.1238371</v>
      </c>
      <c r="N45" s="18" t="n">
        <f aca="false">F45/K45</f>
        <v>185.691889421979</v>
      </c>
      <c r="O45" s="18" t="n">
        <f aca="false">G45/L45</f>
        <v>193.079613561141</v>
      </c>
      <c r="P45" s="18" t="n">
        <f aca="false">M45/L45</f>
        <v>185.994023374737</v>
      </c>
      <c r="Q45" s="19" t="n">
        <f aca="false">IF(N45=0,"n.a.",P45/N45-1)</f>
        <v>0.00162707134758922</v>
      </c>
    </row>
    <row r="46" customFormat="false" ht="15" hidden="false" customHeight="false" outlineLevel="0" collapsed="false">
      <c r="A46" s="12" t="s">
        <v>124</v>
      </c>
      <c r="B46" s="12" t="s">
        <v>106</v>
      </c>
      <c r="C46" s="12" t="s">
        <v>107</v>
      </c>
      <c r="D46" s="12" t="s">
        <v>72</v>
      </c>
      <c r="E46" s="12" t="s">
        <v>125</v>
      </c>
      <c r="F46" s="13" t="n">
        <v>2983488</v>
      </c>
      <c r="G46" s="13" t="n">
        <v>4106993</v>
      </c>
      <c r="H46" s="14" t="n">
        <v>31714</v>
      </c>
      <c r="I46" s="14" t="n">
        <v>33841</v>
      </c>
      <c r="J46" s="15" t="n">
        <f aca="false">I46/H46</f>
        <v>1.06706817178533</v>
      </c>
      <c r="K46" s="16" t="n">
        <f aca="false">ROUND(I46*J46^($F$8-1),0)</f>
        <v>33338</v>
      </c>
      <c r="L46" s="16" t="n">
        <f aca="false">ROUND(I46*J46^($F$9-1),0)</f>
        <v>33727</v>
      </c>
      <c r="M46" s="17" t="n">
        <f aca="false">G46*$F$7</f>
        <v>3956275.53812142</v>
      </c>
      <c r="N46" s="18" t="n">
        <f aca="false">F46/K46</f>
        <v>89.4921111044454</v>
      </c>
      <c r="O46" s="18" t="n">
        <f aca="false">G46/L46</f>
        <v>121.77166661725</v>
      </c>
      <c r="P46" s="18" t="n">
        <f aca="false">M46/L46</f>
        <v>117.302918674101</v>
      </c>
      <c r="Q46" s="19" t="n">
        <f aca="false">IF(N46=0,"n.a.",P46/N46-1)</f>
        <v>0.31076267199908</v>
      </c>
    </row>
    <row r="47" customFormat="false" ht="15" hidden="false" customHeight="false" outlineLevel="0" collapsed="false">
      <c r="A47" s="12" t="s">
        <v>126</v>
      </c>
      <c r="B47" s="12" t="s">
        <v>106</v>
      </c>
      <c r="C47" s="12" t="s">
        <v>107</v>
      </c>
      <c r="D47" s="12" t="s">
        <v>75</v>
      </c>
      <c r="E47" s="12" t="s">
        <v>127</v>
      </c>
      <c r="F47" s="13" t="n">
        <v>9909041</v>
      </c>
      <c r="G47" s="13" t="n">
        <v>10796861</v>
      </c>
      <c r="H47" s="14" t="n">
        <v>46886</v>
      </c>
      <c r="I47" s="14" t="n">
        <v>52501</v>
      </c>
      <c r="J47" s="15" t="n">
        <f aca="false">I47/H47</f>
        <v>1.11975856332381</v>
      </c>
      <c r="K47" s="16" t="n">
        <f aca="false">ROUND(I47*J47^($F$8-1),0)</f>
        <v>51148</v>
      </c>
      <c r="L47" s="16" t="n">
        <f aca="false">ROUND(I47*J47^($F$9-1),0)</f>
        <v>52193</v>
      </c>
      <c r="M47" s="17" t="n">
        <f aca="false">G47*$F$7</f>
        <v>10400640.3377842</v>
      </c>
      <c r="N47" s="18" t="n">
        <f aca="false">F47/K47</f>
        <v>193.732716821772</v>
      </c>
      <c r="O47" s="18" t="n">
        <f aca="false">G47/L47</f>
        <v>206.864158028854</v>
      </c>
      <c r="P47" s="18" t="n">
        <f aca="false">M47/L47</f>
        <v>199.272705875963</v>
      </c>
      <c r="Q47" s="19" t="n">
        <f aca="false">IF(N47=0,"n.a.",P47/N47-1)</f>
        <v>0.0285960427597149</v>
      </c>
    </row>
    <row r="48" customFormat="false" ht="15" hidden="false" customHeight="false" outlineLevel="0" collapsed="false">
      <c r="A48" s="12" t="s">
        <v>128</v>
      </c>
      <c r="B48" s="12" t="s">
        <v>106</v>
      </c>
      <c r="C48" s="12" t="s">
        <v>107</v>
      </c>
      <c r="D48" s="12" t="s">
        <v>129</v>
      </c>
      <c r="E48" s="12" t="s">
        <v>130</v>
      </c>
      <c r="F48" s="13" t="n">
        <v>2822649</v>
      </c>
      <c r="G48" s="13" t="n">
        <v>3130437</v>
      </c>
      <c r="H48" s="14" t="n">
        <v>15297</v>
      </c>
      <c r="I48" s="14" t="n">
        <v>15982</v>
      </c>
      <c r="J48" s="15" t="n">
        <f aca="false">I48/H48</f>
        <v>1.04478002222658</v>
      </c>
      <c r="K48" s="16" t="n">
        <f aca="false">ROUND(I48*J48^($F$8-1),0)</f>
        <v>15821</v>
      </c>
      <c r="L48" s="16" t="n">
        <f aca="false">ROUND(I48*J48^($F$9-1),0)</f>
        <v>15946</v>
      </c>
      <c r="M48" s="17" t="n">
        <f aca="false">G48*$F$7</f>
        <v>3015556.96022131</v>
      </c>
      <c r="N48" s="18" t="n">
        <f aca="false">F48/K48</f>
        <v>178.411541621895</v>
      </c>
      <c r="O48" s="18" t="n">
        <f aca="false">G48/L48</f>
        <v>196.314875203813</v>
      </c>
      <c r="P48" s="18" t="n">
        <f aca="false">M48/L48</f>
        <v>189.11055814758</v>
      </c>
      <c r="Q48" s="19" t="n">
        <f aca="false">IF(N48=0,"n.a.",P48/N48-1)</f>
        <v>0.059968186073742</v>
      </c>
    </row>
    <row r="49" customFormat="false" ht="15" hidden="false" customHeight="false" outlineLevel="0" collapsed="false">
      <c r="A49" s="12" t="s">
        <v>131</v>
      </c>
      <c r="B49" s="12" t="s">
        <v>106</v>
      </c>
      <c r="C49" s="12" t="s">
        <v>107</v>
      </c>
      <c r="D49" s="12" t="s">
        <v>132</v>
      </c>
      <c r="E49" s="12" t="s">
        <v>133</v>
      </c>
      <c r="F49" s="13" t="n">
        <v>2650385</v>
      </c>
      <c r="G49" s="13" t="n">
        <v>3380875</v>
      </c>
      <c r="H49" s="14"/>
      <c r="I49" s="14" t="n">
        <v>18366</v>
      </c>
      <c r="J49" s="15" t="n">
        <f aca="false">J37</f>
        <v>1.10482835518313</v>
      </c>
      <c r="K49" s="16" t="n">
        <f aca="false">ROUND(I49*J49^($F$8-1),0)</f>
        <v>17948</v>
      </c>
      <c r="L49" s="16" t="n">
        <f aca="false">ROUND(I49*J49^($F$9-1),0)</f>
        <v>18271</v>
      </c>
      <c r="M49" s="17" t="n">
        <f aca="false">G49*$F$7</f>
        <v>3256804.44547781</v>
      </c>
      <c r="N49" s="18" t="n">
        <f aca="false">F49/K49</f>
        <v>147.670213951415</v>
      </c>
      <c r="O49" s="18" t="n">
        <f aca="false">G49/L49</f>
        <v>185.040501340923</v>
      </c>
      <c r="P49" s="18" t="n">
        <f aca="false">M49/L49</f>
        <v>178.249928601489</v>
      </c>
      <c r="Q49" s="19" t="n">
        <f aca="false">IF(N49=0,"n.a.",P49/N49-1)</f>
        <v>0.207081129171622</v>
      </c>
    </row>
    <row r="50" customFormat="false" ht="15" hidden="false" customHeight="false" outlineLevel="0" collapsed="false">
      <c r="A50" s="12" t="s">
        <v>134</v>
      </c>
      <c r="B50" s="12" t="s">
        <v>135</v>
      </c>
      <c r="C50" s="12" t="s">
        <v>136</v>
      </c>
      <c r="D50" s="12" t="s">
        <v>46</v>
      </c>
      <c r="E50" s="12" t="s">
        <v>137</v>
      </c>
      <c r="F50" s="13" t="n">
        <v>654762</v>
      </c>
      <c r="G50" s="13" t="n">
        <v>535105</v>
      </c>
      <c r="H50" s="14" t="n">
        <v>1022</v>
      </c>
      <c r="I50" s="14" t="n">
        <v>985</v>
      </c>
      <c r="J50" s="15" t="n">
        <f aca="false">I50/H50</f>
        <v>0.963796477495108</v>
      </c>
      <c r="K50" s="16" t="n">
        <f aca="false">ROUND(I50*J50^($F$8-1),0)</f>
        <v>993</v>
      </c>
      <c r="L50" s="16" t="n">
        <f aca="false">ROUND(I50*J50^($F$9-1),0)</f>
        <v>987</v>
      </c>
      <c r="M50" s="17" t="n">
        <f aca="false">G50*$F$7</f>
        <v>515467.842732252</v>
      </c>
      <c r="N50" s="18" t="n">
        <f aca="false">F50/K50</f>
        <v>659.377643504532</v>
      </c>
      <c r="O50" s="18" t="n">
        <f aca="false">G50/L50</f>
        <v>542.152988855117</v>
      </c>
      <c r="P50" s="18" t="n">
        <f aca="false">M50/L50</f>
        <v>522.257186152231</v>
      </c>
      <c r="Q50" s="19" t="n">
        <f aca="false">IF(N50=0,"n.a.",P50/N50-1)</f>
        <v>-0.207954362273367</v>
      </c>
    </row>
    <row r="51" customFormat="false" ht="15" hidden="false" customHeight="false" outlineLevel="0" collapsed="false">
      <c r="A51" s="12" t="s">
        <v>138</v>
      </c>
      <c r="B51" s="12" t="s">
        <v>135</v>
      </c>
      <c r="C51" s="12" t="s">
        <v>136</v>
      </c>
      <c r="D51" s="12" t="s">
        <v>48</v>
      </c>
      <c r="E51" s="12" t="s">
        <v>139</v>
      </c>
      <c r="F51" s="13" t="n">
        <v>127396365</v>
      </c>
      <c r="G51" s="13" t="n">
        <v>147078517</v>
      </c>
      <c r="H51" s="14" t="n">
        <v>162795</v>
      </c>
      <c r="I51" s="14" t="n">
        <v>176361</v>
      </c>
      <c r="J51" s="15" t="n">
        <f aca="false">I51/H51</f>
        <v>1.08333179765963</v>
      </c>
      <c r="K51" s="16" t="n">
        <f aca="false">ROUND(I51*J51^($F$8-1),0)</f>
        <v>173132</v>
      </c>
      <c r="L51" s="16" t="n">
        <f aca="false">ROUND(I51*J51^($F$9-1),0)</f>
        <v>175629</v>
      </c>
      <c r="M51" s="17" t="n">
        <f aca="false">G51*$F$7</f>
        <v>141681064.221506</v>
      </c>
      <c r="N51" s="18" t="n">
        <f aca="false">F51/K51</f>
        <v>735.833728022549</v>
      </c>
      <c r="O51" s="18" t="n">
        <f aca="false">G51/L51</f>
        <v>837.438674706341</v>
      </c>
      <c r="P51" s="18" t="n">
        <f aca="false">M51/L51</f>
        <v>806.70654744664</v>
      </c>
      <c r="Q51" s="19" t="n">
        <f aca="false">IF(N51=0,"n.a.",P51/N51-1)</f>
        <v>0.0963163507257967</v>
      </c>
    </row>
    <row r="52" customFormat="false" ht="15" hidden="false" customHeight="false" outlineLevel="0" collapsed="false">
      <c r="A52" s="12" t="s">
        <v>140</v>
      </c>
      <c r="B52" s="12" t="s">
        <v>135</v>
      </c>
      <c r="C52" s="12" t="s">
        <v>136</v>
      </c>
      <c r="D52" s="12" t="s">
        <v>51</v>
      </c>
      <c r="E52" s="12" t="s">
        <v>141</v>
      </c>
      <c r="F52" s="13" t="n">
        <v>10685682</v>
      </c>
      <c r="G52" s="13" t="n">
        <v>12287707</v>
      </c>
      <c r="H52" s="14" t="n">
        <v>23029</v>
      </c>
      <c r="I52" s="14" t="n">
        <v>23570</v>
      </c>
      <c r="J52" s="15" t="n">
        <f aca="false">I52/H52</f>
        <v>1.02349211863303</v>
      </c>
      <c r="K52" s="16" t="n">
        <f aca="false">ROUND(I52*J52^($F$8-1),0)</f>
        <v>23444</v>
      </c>
      <c r="L52" s="16" t="n">
        <f aca="false">ROUND(I52*J52^($F$9-1),0)</f>
        <v>23542</v>
      </c>
      <c r="M52" s="17" t="n">
        <f aca="false">G52*$F$7</f>
        <v>11836775.6223844</v>
      </c>
      <c r="N52" s="18" t="n">
        <f aca="false">F52/K52</f>
        <v>455.796024569186</v>
      </c>
      <c r="O52" s="18" t="n">
        <f aca="false">G52/L52</f>
        <v>521.948305156741</v>
      </c>
      <c r="P52" s="18" t="n">
        <f aca="false">M52/L52</f>
        <v>502.793969177826</v>
      </c>
      <c r="Q52" s="19" t="n">
        <f aca="false">IF(N52=0,"n.a.",P52/N52-1)</f>
        <v>0.103111791405074</v>
      </c>
    </row>
    <row r="53" customFormat="false" ht="15" hidden="false" customHeight="false" outlineLevel="0" collapsed="false">
      <c r="A53" s="12" t="s">
        <v>142</v>
      </c>
      <c r="B53" s="12" t="s">
        <v>135</v>
      </c>
      <c r="C53" s="12" t="s">
        <v>136</v>
      </c>
      <c r="D53" s="12" t="s">
        <v>54</v>
      </c>
      <c r="E53" s="12" t="s">
        <v>143</v>
      </c>
      <c r="F53" s="13" t="n">
        <v>139082174</v>
      </c>
      <c r="G53" s="13" t="n">
        <v>149519551</v>
      </c>
      <c r="H53" s="14" t="n">
        <v>29488</v>
      </c>
      <c r="I53" s="14" t="n">
        <v>42266</v>
      </c>
      <c r="J53" s="15" t="n">
        <f aca="false">I53/H53</f>
        <v>1.43332881172002</v>
      </c>
      <c r="K53" s="16" t="n">
        <f aca="false">ROUND(I53*J53^($F$8-1),0)</f>
        <v>38895</v>
      </c>
      <c r="L53" s="16" t="n">
        <f aca="false">ROUND(I53*J53^($F$9-1),0)</f>
        <v>41483</v>
      </c>
      <c r="M53" s="17" t="n">
        <f aca="false">G53*$F$7</f>
        <v>144032517.73066</v>
      </c>
      <c r="N53" s="18" t="n">
        <f aca="false">F53/K53</f>
        <v>3575.83684278185</v>
      </c>
      <c r="O53" s="18" t="n">
        <f aca="false">G53/L53</f>
        <v>3604.35723067281</v>
      </c>
      <c r="P53" s="18" t="n">
        <f aca="false">M53/L53</f>
        <v>3472.08537788155</v>
      </c>
      <c r="Q53" s="19" t="n">
        <f aca="false">IF(N53=0,"n.a.",P53/N53-1)</f>
        <v>-0.0290145969913955</v>
      </c>
    </row>
    <row r="54" customFormat="false" ht="15" hidden="false" customHeight="false" outlineLevel="0" collapsed="false">
      <c r="A54" s="12" t="s">
        <v>144</v>
      </c>
      <c r="B54" s="12" t="s">
        <v>135</v>
      </c>
      <c r="C54" s="12" t="s">
        <v>136</v>
      </c>
      <c r="D54" s="12" t="s">
        <v>57</v>
      </c>
      <c r="E54" s="12" t="s">
        <v>145</v>
      </c>
      <c r="F54" s="13" t="n">
        <v>1120210</v>
      </c>
      <c r="G54" s="13" t="n">
        <v>1971817</v>
      </c>
      <c r="H54" s="14" t="n">
        <v>1643</v>
      </c>
      <c r="I54" s="14" t="n">
        <v>1462</v>
      </c>
      <c r="J54" s="15" t="n">
        <f aca="false">I54/H54</f>
        <v>0.889835666463786</v>
      </c>
      <c r="K54" s="16" t="n">
        <f aca="false">ROUND(I54*J54^($F$8-1),0)</f>
        <v>1502</v>
      </c>
      <c r="L54" s="16" t="n">
        <f aca="false">ROUND(I54*J54^($F$9-1),0)</f>
        <v>1471</v>
      </c>
      <c r="M54" s="17" t="n">
        <f aca="false">G54*$F$7</f>
        <v>1899455.72411542</v>
      </c>
      <c r="N54" s="18" t="n">
        <f aca="false">F54/K54</f>
        <v>745.812250332889</v>
      </c>
      <c r="O54" s="18" t="n">
        <f aca="false">G54/L54</f>
        <v>1340.46023113528</v>
      </c>
      <c r="P54" s="18" t="n">
        <f aca="false">M54/L54</f>
        <v>1291.26833726405</v>
      </c>
      <c r="Q54" s="19" t="n">
        <f aca="false">IF(N54=0,"n.a.",P54/N54-1)</f>
        <v>0.731358444015502</v>
      </c>
    </row>
    <row r="55" customFormat="false" ht="15" hidden="false" customHeight="false" outlineLevel="0" collapsed="false">
      <c r="A55" s="12" t="s">
        <v>146</v>
      </c>
      <c r="B55" s="12" t="s">
        <v>135</v>
      </c>
      <c r="C55" s="12" t="s">
        <v>136</v>
      </c>
      <c r="D55" s="12" t="s">
        <v>60</v>
      </c>
      <c r="E55" s="12" t="s">
        <v>147</v>
      </c>
      <c r="F55" s="13" t="n">
        <v>16342794</v>
      </c>
      <c r="G55" s="13" t="n">
        <v>17060983</v>
      </c>
      <c r="H55" s="14" t="n">
        <v>29102</v>
      </c>
      <c r="I55" s="14" t="n">
        <v>30789</v>
      </c>
      <c r="J55" s="15" t="n">
        <f aca="false">I55/H55</f>
        <v>1.05796852450003</v>
      </c>
      <c r="K55" s="16" t="n">
        <f aca="false">ROUND(I55*J55^($F$8-1),0)</f>
        <v>30391</v>
      </c>
      <c r="L55" s="16" t="n">
        <f aca="false">ROUND(I55*J55^($F$9-1),0)</f>
        <v>30699</v>
      </c>
      <c r="M55" s="17" t="n">
        <f aca="false">G55*$F$7</f>
        <v>16434883.0638877</v>
      </c>
      <c r="N55" s="18" t="n">
        <f aca="false">F55/K55</f>
        <v>537.751110526143</v>
      </c>
      <c r="O55" s="18" t="n">
        <f aca="false">G55/L55</f>
        <v>555.750447897326</v>
      </c>
      <c r="P55" s="18" t="n">
        <f aca="false">M55/L55</f>
        <v>535.355648844839</v>
      </c>
      <c r="Q55" s="19" t="n">
        <f aca="false">IF(N55=0,"n.a.",P55/N55-1)</f>
        <v>-0.00445459178868113</v>
      </c>
    </row>
    <row r="56" customFormat="false" ht="15" hidden="false" customHeight="false" outlineLevel="0" collapsed="false">
      <c r="A56" s="12" t="s">
        <v>148</v>
      </c>
      <c r="B56" s="12" t="s">
        <v>135</v>
      </c>
      <c r="C56" s="12" t="s">
        <v>136</v>
      </c>
      <c r="D56" s="12" t="s">
        <v>63</v>
      </c>
      <c r="E56" s="12" t="s">
        <v>149</v>
      </c>
      <c r="F56" s="13" t="n">
        <v>8416576</v>
      </c>
      <c r="G56" s="13" t="n">
        <v>12155263</v>
      </c>
      <c r="H56" s="14" t="n">
        <v>12697</v>
      </c>
      <c r="I56" s="14" t="n">
        <v>12325</v>
      </c>
      <c r="J56" s="15" t="n">
        <f aca="false">I56/H56</f>
        <v>0.970701740568638</v>
      </c>
      <c r="K56" s="16" t="n">
        <f aca="false">ROUND(I56*J56^($F$8-1),0)</f>
        <v>12410</v>
      </c>
      <c r="L56" s="16" t="n">
        <f aca="false">ROUND(I56*J56^($F$9-1),0)</f>
        <v>12344</v>
      </c>
      <c r="M56" s="17" t="n">
        <f aca="false">G56*$F$7</f>
        <v>11709192.0211046</v>
      </c>
      <c r="N56" s="18" t="n">
        <f aca="false">F56/K56</f>
        <v>678.20918614021</v>
      </c>
      <c r="O56" s="18" t="n">
        <f aca="false">G56/L56</f>
        <v>984.710223590408</v>
      </c>
      <c r="P56" s="18" t="n">
        <f aca="false">M56/L56</f>
        <v>948.573559713592</v>
      </c>
      <c r="Q56" s="19" t="n">
        <f aca="false">IF(N56=0,"n.a.",P56/N56-1)</f>
        <v>0.398644517205771</v>
      </c>
    </row>
    <row r="57" customFormat="false" ht="15" hidden="false" customHeight="false" outlineLevel="0" collapsed="false">
      <c r="A57" s="12" t="s">
        <v>150</v>
      </c>
      <c r="B57" s="12" t="s">
        <v>135</v>
      </c>
      <c r="C57" s="12" t="s">
        <v>136</v>
      </c>
      <c r="D57" s="12" t="s">
        <v>66</v>
      </c>
      <c r="E57" s="12" t="s">
        <v>151</v>
      </c>
      <c r="F57" s="13" t="n">
        <v>492678</v>
      </c>
      <c r="G57" s="13" t="n">
        <v>375790</v>
      </c>
      <c r="H57" s="14" t="n">
        <v>3047</v>
      </c>
      <c r="I57" s="14" t="n">
        <v>2824</v>
      </c>
      <c r="J57" s="15" t="n">
        <f aca="false">I57/H57</f>
        <v>0.926813258943223</v>
      </c>
      <c r="K57" s="16" t="n">
        <f aca="false">ROUND(I57*J57^($F$8-1),0)</f>
        <v>2874</v>
      </c>
      <c r="L57" s="16" t="n">
        <f aca="false">ROUND(I57*J57^($F$9-1),0)</f>
        <v>2835</v>
      </c>
      <c r="M57" s="17" t="n">
        <f aca="false">G57*$F$7</f>
        <v>361999.347082074</v>
      </c>
      <c r="N57" s="18" t="n">
        <f aca="false">F57/K57</f>
        <v>171.425887265136</v>
      </c>
      <c r="O57" s="18" t="n">
        <f aca="false">G57/L57</f>
        <v>132.553791887125</v>
      </c>
      <c r="P57" s="18" t="n">
        <f aca="false">M57/L57</f>
        <v>127.689364050114</v>
      </c>
      <c r="Q57" s="19" t="n">
        <f aca="false">IF(N57=0,"n.a.",P57/N57-1)</f>
        <v>-0.255133713541038</v>
      </c>
    </row>
    <row r="58" customFormat="false" ht="15" hidden="false" customHeight="false" outlineLevel="0" collapsed="false">
      <c r="A58" s="12" t="s">
        <v>152</v>
      </c>
      <c r="B58" s="12" t="s">
        <v>135</v>
      </c>
      <c r="C58" s="12" t="s">
        <v>136</v>
      </c>
      <c r="D58" s="12" t="s">
        <v>69</v>
      </c>
      <c r="E58" s="12" t="s">
        <v>153</v>
      </c>
      <c r="F58" s="13" t="n">
        <v>11242851</v>
      </c>
      <c r="G58" s="13" t="n">
        <v>15739082</v>
      </c>
      <c r="H58" s="14" t="n">
        <v>59013</v>
      </c>
      <c r="I58" s="14" t="n">
        <v>65515</v>
      </c>
      <c r="J58" s="15" t="n">
        <f aca="false">I58/H58</f>
        <v>1.11017911307678</v>
      </c>
      <c r="K58" s="16" t="n">
        <f aca="false">ROUND(I58*J58^($F$8-1),0)</f>
        <v>63953</v>
      </c>
      <c r="L58" s="16" t="n">
        <f aca="false">ROUND(I58*J58^($F$9-1),0)</f>
        <v>65160</v>
      </c>
      <c r="M58" s="17" t="n">
        <f aca="false">G58*$F$7</f>
        <v>15161492.8754656</v>
      </c>
      <c r="N58" s="18" t="n">
        <f aca="false">F58/K58</f>
        <v>175.798649007865</v>
      </c>
      <c r="O58" s="18" t="n">
        <f aca="false">G58/L58</f>
        <v>241.545150399018</v>
      </c>
      <c r="P58" s="18" t="n">
        <f aca="false">M58/L58</f>
        <v>232.680983355826</v>
      </c>
      <c r="Q58" s="19" t="n">
        <f aca="false">IF(N58=0,"n.a.",P58/N58-1)</f>
        <v>0.323565253026579</v>
      </c>
    </row>
    <row r="59" customFormat="false" ht="15" hidden="false" customHeight="false" outlineLevel="0" collapsed="false">
      <c r="A59" s="12" t="s">
        <v>154</v>
      </c>
      <c r="B59" s="12" t="s">
        <v>135</v>
      </c>
      <c r="C59" s="12" t="s">
        <v>136</v>
      </c>
      <c r="D59" s="12" t="s">
        <v>72</v>
      </c>
      <c r="E59" s="12" t="s">
        <v>155</v>
      </c>
      <c r="F59" s="13" t="n">
        <v>54344374</v>
      </c>
      <c r="G59" s="13" t="n">
        <v>53717644</v>
      </c>
      <c r="H59" s="14" t="n">
        <v>82338</v>
      </c>
      <c r="I59" s="14" t="n">
        <v>84097</v>
      </c>
      <c r="J59" s="15" t="n">
        <f aca="false">I59/H59</f>
        <v>1.02136316160218</v>
      </c>
      <c r="K59" s="16" t="n">
        <f aca="false">ROUND(I59*J59^($F$8-1),0)</f>
        <v>83688</v>
      </c>
      <c r="L59" s="16" t="n">
        <f aca="false">ROUND(I59*J59^($F$9-1),0)</f>
        <v>84005</v>
      </c>
      <c r="M59" s="17" t="n">
        <f aca="false">G59*$F$7</f>
        <v>51746326.5514976</v>
      </c>
      <c r="N59" s="18" t="n">
        <f aca="false">F59/K59</f>
        <v>649.368774495746</v>
      </c>
      <c r="O59" s="18" t="n">
        <f aca="false">G59/L59</f>
        <v>639.457698946491</v>
      </c>
      <c r="P59" s="18" t="n">
        <f aca="false">M59/L59</f>
        <v>615.991030908846</v>
      </c>
      <c r="Q59" s="19" t="n">
        <f aca="false">IF(N59=0,"n.a.",P59/N59-1)</f>
        <v>-0.0514002904017356</v>
      </c>
    </row>
    <row r="60" customFormat="false" ht="15" hidden="false" customHeight="false" outlineLevel="0" collapsed="false">
      <c r="A60" s="12" t="s">
        <v>156</v>
      </c>
      <c r="B60" s="12" t="s">
        <v>135</v>
      </c>
      <c r="C60" s="12" t="s">
        <v>136</v>
      </c>
      <c r="D60" s="12" t="s">
        <v>75</v>
      </c>
      <c r="E60" s="12" t="s">
        <v>157</v>
      </c>
      <c r="F60" s="13" t="n">
        <v>5338826</v>
      </c>
      <c r="G60" s="13" t="n">
        <v>6054635</v>
      </c>
      <c r="H60" s="14" t="n">
        <v>11873</v>
      </c>
      <c r="I60" s="14" t="n">
        <v>13016</v>
      </c>
      <c r="J60" s="15" t="n">
        <f aca="false">I60/H60</f>
        <v>1.0962688452792</v>
      </c>
      <c r="K60" s="16" t="n">
        <f aca="false">ROUND(I60*J60^($F$8-1),0)</f>
        <v>12743</v>
      </c>
      <c r="L60" s="16" t="n">
        <f aca="false">ROUND(I60*J60^($F$9-1),0)</f>
        <v>12954</v>
      </c>
      <c r="M60" s="17" t="n">
        <f aca="false">G60*$F$7</f>
        <v>5832443.4306934</v>
      </c>
      <c r="N60" s="18" t="n">
        <f aca="false">F60/K60</f>
        <v>418.961469041827</v>
      </c>
      <c r="O60" s="18" t="n">
        <f aca="false">G60/L60</f>
        <v>467.39501312336</v>
      </c>
      <c r="P60" s="18" t="n">
        <f aca="false">M60/L60</f>
        <v>450.242661007673</v>
      </c>
      <c r="Q60" s="19" t="n">
        <f aca="false">IF(N60=0,"n.a.",P60/N60-1)</f>
        <v>0.0746636487536359</v>
      </c>
    </row>
    <row r="61" customFormat="false" ht="15" hidden="false" customHeight="false" outlineLevel="0" collapsed="false">
      <c r="A61" s="12" t="s">
        <v>158</v>
      </c>
      <c r="B61" s="12" t="s">
        <v>135</v>
      </c>
      <c r="C61" s="12" t="s">
        <v>136</v>
      </c>
      <c r="D61" s="12" t="s">
        <v>129</v>
      </c>
      <c r="E61" s="12" t="s">
        <v>159</v>
      </c>
      <c r="F61" s="13" t="n">
        <v>3879476</v>
      </c>
      <c r="G61" s="13" t="n">
        <v>3750404</v>
      </c>
      <c r="H61" s="14" t="n">
        <v>1633</v>
      </c>
      <c r="I61" s="14" t="n">
        <v>1417</v>
      </c>
      <c r="J61" s="15" t="n">
        <f aca="false">I61/H61</f>
        <v>0.867728107777097</v>
      </c>
      <c r="K61" s="16" t="n">
        <f aca="false">ROUND(I61*J61^($F$8-1),0)</f>
        <v>1464</v>
      </c>
      <c r="L61" s="16" t="n">
        <f aca="false">ROUND(I61*J61^($F$9-1),0)</f>
        <v>1427</v>
      </c>
      <c r="M61" s="17" t="n">
        <f aca="false">G61*$F$7</f>
        <v>3612772.55726336</v>
      </c>
      <c r="N61" s="18" t="n">
        <f aca="false">F61/K61</f>
        <v>2649.91530054645</v>
      </c>
      <c r="O61" s="18" t="n">
        <f aca="false">G61/L61</f>
        <v>2628.17379117029</v>
      </c>
      <c r="P61" s="18" t="n">
        <f aca="false">M61/L61</f>
        <v>2531.72568834153</v>
      </c>
      <c r="Q61" s="19" t="n">
        <f aca="false">IF(N61=0,"n.a.",P61/N61-1)</f>
        <v>-0.0446012792109048</v>
      </c>
    </row>
    <row r="62" customFormat="false" ht="15" hidden="false" customHeight="false" outlineLevel="0" collapsed="false">
      <c r="A62" s="12" t="s">
        <v>160</v>
      </c>
      <c r="B62" s="12" t="s">
        <v>135</v>
      </c>
      <c r="C62" s="12" t="s">
        <v>136</v>
      </c>
      <c r="D62" s="12" t="s">
        <v>132</v>
      </c>
      <c r="E62" s="12" t="s">
        <v>161</v>
      </c>
      <c r="F62" s="13" t="n">
        <v>3760586</v>
      </c>
      <c r="G62" s="13" t="n">
        <v>13213650</v>
      </c>
      <c r="H62" s="14" t="n">
        <v>1735</v>
      </c>
      <c r="I62" s="14" t="n">
        <v>1718</v>
      </c>
      <c r="J62" s="15" t="n">
        <f aca="false">I62/H62</f>
        <v>0.990201729106628</v>
      </c>
      <c r="K62" s="16" t="n">
        <f aca="false">ROUND(I62*J62^($F$8-1),0)</f>
        <v>1722</v>
      </c>
      <c r="L62" s="16" t="n">
        <f aca="false">ROUND(I62*J62^($F$9-1),0)</f>
        <v>1719</v>
      </c>
      <c r="M62" s="17" t="n">
        <f aca="false">G62*$F$7</f>
        <v>12728738.5842387</v>
      </c>
      <c r="N62" s="18" t="n">
        <f aca="false">F62/K62</f>
        <v>2183.84785133566</v>
      </c>
      <c r="O62" s="18" t="n">
        <f aca="false">G62/L62</f>
        <v>7686.82373472949</v>
      </c>
      <c r="P62" s="18" t="n">
        <f aca="false">M62/L62</f>
        <v>7404.73448763156</v>
      </c>
      <c r="Q62" s="19" t="n">
        <f aca="false">IF(N62=0,"n.a.",P62/N62-1)</f>
        <v>2.39068240633283</v>
      </c>
    </row>
    <row r="63" customFormat="false" ht="15" hidden="false" customHeight="false" outlineLevel="0" collapsed="false">
      <c r="A63" s="12" t="s">
        <v>162</v>
      </c>
      <c r="B63" s="12" t="s">
        <v>135</v>
      </c>
      <c r="C63" s="12" t="s">
        <v>136</v>
      </c>
      <c r="D63" s="12" t="s">
        <v>163</v>
      </c>
      <c r="E63" s="12" t="s">
        <v>164</v>
      </c>
      <c r="F63" s="13" t="n">
        <v>4123412</v>
      </c>
      <c r="G63" s="13" t="n">
        <v>1945204</v>
      </c>
      <c r="H63" s="14" t="n">
        <v>9347</v>
      </c>
      <c r="I63" s="14" t="n">
        <v>9591</v>
      </c>
      <c r="J63" s="15" t="n">
        <f aca="false">I63/H63</f>
        <v>1.02610463250241</v>
      </c>
      <c r="K63" s="16" t="n">
        <f aca="false">ROUND(I63*J63^($F$8-1),0)</f>
        <v>9534</v>
      </c>
      <c r="L63" s="16" t="n">
        <f aca="false">ROUND(I63*J63^($F$9-1),0)</f>
        <v>9578</v>
      </c>
      <c r="M63" s="17" t="n">
        <f aca="false">G63*$F$7</f>
        <v>1873819.36172181</v>
      </c>
      <c r="N63" s="18" t="n">
        <f aca="false">F63/K63</f>
        <v>432.495489825886</v>
      </c>
      <c r="O63" s="18" t="n">
        <f aca="false">G63/L63</f>
        <v>203.090833159323</v>
      </c>
      <c r="P63" s="18" t="n">
        <f aca="false">M63/L63</f>
        <v>195.637853593841</v>
      </c>
      <c r="Q63" s="19" t="n">
        <f aca="false">IF(N63=0,"n.a.",P63/N63-1)</f>
        <v>-0.547653424842417</v>
      </c>
    </row>
    <row r="64" customFormat="false" ht="15" hidden="false" customHeight="false" outlineLevel="0" collapsed="false">
      <c r="A64" s="12" t="s">
        <v>165</v>
      </c>
      <c r="B64" s="12" t="s">
        <v>135</v>
      </c>
      <c r="C64" s="12" t="s">
        <v>136</v>
      </c>
      <c r="D64" s="12" t="s">
        <v>166</v>
      </c>
      <c r="E64" s="12" t="s">
        <v>167</v>
      </c>
      <c r="F64" s="13" t="n">
        <v>2055205</v>
      </c>
      <c r="G64" s="13" t="n">
        <v>2076014</v>
      </c>
      <c r="H64" s="14" t="n">
        <v>1584</v>
      </c>
      <c r="I64" s="14" t="n">
        <v>1561</v>
      </c>
      <c r="J64" s="15" t="n">
        <f aca="false">I64/H64</f>
        <v>0.985479797979798</v>
      </c>
      <c r="K64" s="16" t="n">
        <f aca="false">ROUND(I64*J64^($F$8-1),0)</f>
        <v>1566</v>
      </c>
      <c r="L64" s="16" t="n">
        <f aca="false">ROUND(I64*J64^($F$9-1),0)</f>
        <v>1562</v>
      </c>
      <c r="M64" s="17" t="n">
        <f aca="false">G64*$F$7</f>
        <v>1999828.92714879</v>
      </c>
      <c r="N64" s="18" t="n">
        <f aca="false">F64/K64</f>
        <v>1312.39144316731</v>
      </c>
      <c r="O64" s="18" t="n">
        <f aca="false">G64/L64</f>
        <v>1329.0742637644</v>
      </c>
      <c r="P64" s="18" t="n">
        <f aca="false">M64/L64</f>
        <v>1280.30020944225</v>
      </c>
      <c r="Q64" s="19" t="n">
        <f aca="false">IF(N64=0,"n.a.",P64/N64-1)</f>
        <v>-0.0244524862548696</v>
      </c>
    </row>
    <row r="65" customFormat="false" ht="15" hidden="false" customHeight="false" outlineLevel="0" collapsed="false">
      <c r="A65" s="12" t="s">
        <v>168</v>
      </c>
      <c r="B65" s="12" t="s">
        <v>135</v>
      </c>
      <c r="C65" s="12" t="s">
        <v>136</v>
      </c>
      <c r="D65" s="12" t="s">
        <v>169</v>
      </c>
      <c r="E65" s="12" t="s">
        <v>170</v>
      </c>
      <c r="F65" s="13" t="n">
        <v>2476732</v>
      </c>
      <c r="G65" s="13" t="n">
        <v>1093532</v>
      </c>
      <c r="H65" s="14" t="n">
        <v>1764</v>
      </c>
      <c r="I65" s="14" t="n">
        <v>1759</v>
      </c>
      <c r="J65" s="15" t="n">
        <f aca="false">I65/H65</f>
        <v>0.997165532879819</v>
      </c>
      <c r="K65" s="16" t="n">
        <f aca="false">ROUND(I65*J65^($F$8-1),0)</f>
        <v>1760</v>
      </c>
      <c r="L65" s="16" t="n">
        <f aca="false">ROUND(I65*J65^($F$9-1),0)</f>
        <v>1759</v>
      </c>
      <c r="M65" s="17" t="n">
        <f aca="false">G65*$F$7</f>
        <v>1053401.82020105</v>
      </c>
      <c r="N65" s="18" t="n">
        <f aca="false">F65/K65</f>
        <v>1407.23409090909</v>
      </c>
      <c r="O65" s="18" t="n">
        <f aca="false">G65/L65</f>
        <v>621.678226264923</v>
      </c>
      <c r="P65" s="18" t="n">
        <f aca="false">M65/L65</f>
        <v>598.864025128513</v>
      </c>
      <c r="Q65" s="19" t="n">
        <f aca="false">IF(N65=0,"n.a.",P65/N65-1)</f>
        <v>-0.574438944453343</v>
      </c>
    </row>
    <row r="66" customFormat="false" ht="15" hidden="false" customHeight="false" outlineLevel="0" collapsed="false">
      <c r="A66" s="12" t="s">
        <v>171</v>
      </c>
      <c r="B66" s="12" t="s">
        <v>135</v>
      </c>
      <c r="C66" s="12" t="s">
        <v>136</v>
      </c>
      <c r="D66" s="12" t="s">
        <v>172</v>
      </c>
      <c r="E66" s="12" t="s">
        <v>173</v>
      </c>
      <c r="F66" s="13" t="n">
        <v>39167521</v>
      </c>
      <c r="G66" s="13" t="n">
        <v>42178478</v>
      </c>
      <c r="H66" s="14" t="n">
        <v>117853</v>
      </c>
      <c r="I66" s="14" t="n">
        <v>119188</v>
      </c>
      <c r="J66" s="15" t="n">
        <f aca="false">I66/H66</f>
        <v>1.01132767091207</v>
      </c>
      <c r="K66" s="16" t="n">
        <f aca="false">ROUND(I66*J66^($F$8-1),0)</f>
        <v>118878</v>
      </c>
      <c r="L66" s="16" t="n">
        <f aca="false">ROUND(I66*J66^($F$9-1),0)</f>
        <v>119118</v>
      </c>
      <c r="M66" s="17" t="n">
        <f aca="false">G66*$F$7</f>
        <v>40630622.1477836</v>
      </c>
      <c r="N66" s="18" t="n">
        <f aca="false">F66/K66</f>
        <v>329.476614680597</v>
      </c>
      <c r="O66" s="18" t="n">
        <f aca="false">G66/L66</f>
        <v>354.089877264561</v>
      </c>
      <c r="P66" s="18" t="n">
        <f aca="false">M66/L66</f>
        <v>341.095570340197</v>
      </c>
      <c r="Q66" s="19" t="n">
        <f aca="false">IF(N66=0,"n.a.",P66/N66-1)</f>
        <v>0.0352648872238299</v>
      </c>
    </row>
    <row r="67" customFormat="false" ht="15" hidden="false" customHeight="false" outlineLevel="0" collapsed="false">
      <c r="A67" s="12" t="s">
        <v>174</v>
      </c>
      <c r="B67" s="12" t="s">
        <v>135</v>
      </c>
      <c r="C67" s="12" t="s">
        <v>136</v>
      </c>
      <c r="D67" s="12" t="s">
        <v>175</v>
      </c>
      <c r="E67" s="12" t="s">
        <v>176</v>
      </c>
      <c r="F67" s="13" t="n">
        <v>138788065</v>
      </c>
      <c r="G67" s="13" t="n">
        <v>183430070</v>
      </c>
      <c r="H67" s="14" t="n">
        <v>237820</v>
      </c>
      <c r="I67" s="14" t="n">
        <v>246391</v>
      </c>
      <c r="J67" s="15" t="n">
        <f aca="false">I67/H67</f>
        <v>1.03603986208057</v>
      </c>
      <c r="K67" s="16" t="n">
        <f aca="false">ROUND(I67*J67^($F$8-1),0)</f>
        <v>244385</v>
      </c>
      <c r="L67" s="16" t="n">
        <f aca="false">ROUND(I67*J67^($F$9-1),0)</f>
        <v>245938</v>
      </c>
      <c r="M67" s="17" t="n">
        <f aca="false">G67*$F$7</f>
        <v>176698596.490644</v>
      </c>
      <c r="N67" s="18" t="n">
        <f aca="false">F67/K67</f>
        <v>567.90746158725</v>
      </c>
      <c r="O67" s="18" t="n">
        <f aca="false">G67/L67</f>
        <v>745.838666655824</v>
      </c>
      <c r="P67" s="18" t="n">
        <f aca="false">M67/L67</f>
        <v>718.468054918898</v>
      </c>
      <c r="Q67" s="19" t="n">
        <f aca="false">IF(N67=0,"n.a.",P67/N67-1)</f>
        <v>0.265114659544788</v>
      </c>
    </row>
    <row r="68" customFormat="false" ht="15" hidden="false" customHeight="false" outlineLevel="0" collapsed="false">
      <c r="A68" s="12" t="s">
        <v>177</v>
      </c>
      <c r="B68" s="12" t="s">
        <v>135</v>
      </c>
      <c r="C68" s="12" t="s">
        <v>136</v>
      </c>
      <c r="D68" s="12" t="s">
        <v>178</v>
      </c>
      <c r="E68" s="12" t="s">
        <v>179</v>
      </c>
      <c r="F68" s="13" t="n">
        <v>2778111</v>
      </c>
      <c r="G68" s="13" t="n">
        <v>3143027</v>
      </c>
      <c r="H68" s="14" t="n">
        <v>7873</v>
      </c>
      <c r="I68" s="14" t="n">
        <v>8498</v>
      </c>
      <c r="J68" s="15" t="n">
        <f aca="false">I68/H68</f>
        <v>1.07938524069605</v>
      </c>
      <c r="K68" s="16" t="n">
        <f aca="false">ROUND(I68*J68^($F$8-1),0)</f>
        <v>8349</v>
      </c>
      <c r="L68" s="16" t="n">
        <f aca="false">ROUND(I68*J68^($F$9-1),0)</f>
        <v>8464</v>
      </c>
      <c r="M68" s="17" t="n">
        <f aca="false">G68*$F$7</f>
        <v>3027684.93536637</v>
      </c>
      <c r="N68" s="18" t="n">
        <f aca="false">F68/K68</f>
        <v>332.747754222063</v>
      </c>
      <c r="O68" s="18" t="n">
        <f aca="false">G68/L68</f>
        <v>371.340619092628</v>
      </c>
      <c r="P68" s="18" t="n">
        <f aca="false">M68/L68</f>
        <v>357.713248507369</v>
      </c>
      <c r="Q68" s="19" t="n">
        <f aca="false">IF(N68=0,"n.a.",P68/N68-1)</f>
        <v>0.0750282878502786</v>
      </c>
    </row>
    <row r="69" customFormat="false" ht="15" hidden="false" customHeight="false" outlineLevel="0" collapsed="false">
      <c r="A69" s="12" t="s">
        <v>180</v>
      </c>
      <c r="B69" s="12" t="s">
        <v>135</v>
      </c>
      <c r="C69" s="12" t="s">
        <v>136</v>
      </c>
      <c r="D69" s="12" t="s">
        <v>181</v>
      </c>
      <c r="E69" s="12" t="s">
        <v>182</v>
      </c>
      <c r="F69" s="13" t="n">
        <v>29605780</v>
      </c>
      <c r="G69" s="13" t="n">
        <v>28477827</v>
      </c>
      <c r="H69" s="14" t="n">
        <v>71604</v>
      </c>
      <c r="I69" s="14" t="n">
        <v>67952</v>
      </c>
      <c r="J69" s="15" t="n">
        <f aca="false">I69/H69</f>
        <v>0.948997262722753</v>
      </c>
      <c r="K69" s="16" t="n">
        <f aca="false">ROUND(I69*J69^($F$8-1),0)</f>
        <v>68778</v>
      </c>
      <c r="L69" s="16" t="n">
        <f aca="false">ROUND(I69*J69^($F$9-1),0)</f>
        <v>68137</v>
      </c>
      <c r="M69" s="17" t="n">
        <f aca="false">G69*$F$7</f>
        <v>27432754.4115497</v>
      </c>
      <c r="N69" s="18" t="n">
        <f aca="false">F69/K69</f>
        <v>430.454215010614</v>
      </c>
      <c r="O69" s="18" t="n">
        <f aca="false">G69/L69</f>
        <v>417.949528156508</v>
      </c>
      <c r="P69" s="18" t="n">
        <f aca="false">M69/L69</f>
        <v>402.611714803259</v>
      </c>
      <c r="Q69" s="19" t="n">
        <f aca="false">IF(N69=0,"n.a.",P69/N69-1)</f>
        <v>-0.0646816763233882</v>
      </c>
    </row>
    <row r="70" customFormat="false" ht="15" hidden="false" customHeight="false" outlineLevel="0" collapsed="false">
      <c r="A70" s="12" t="s">
        <v>183</v>
      </c>
      <c r="B70" s="12" t="s">
        <v>135</v>
      </c>
      <c r="C70" s="12" t="s">
        <v>136</v>
      </c>
      <c r="D70" s="12" t="s">
        <v>184</v>
      </c>
      <c r="E70" s="12" t="s">
        <v>185</v>
      </c>
      <c r="F70" s="13" t="n">
        <v>2885348</v>
      </c>
      <c r="G70" s="13" t="n">
        <v>3267051</v>
      </c>
      <c r="H70" s="14" t="n">
        <v>6538</v>
      </c>
      <c r="I70" s="14" t="n">
        <v>7944</v>
      </c>
      <c r="J70" s="15" t="n">
        <f aca="false">I70/H70</f>
        <v>1.21505047415112</v>
      </c>
      <c r="K70" s="16" t="n">
        <f aca="false">ROUND(I70*J70^($F$8-1),0)</f>
        <v>7595</v>
      </c>
      <c r="L70" s="16" t="n">
        <f aca="false">ROUND(I70*J70^($F$9-1),0)</f>
        <v>7864</v>
      </c>
      <c r="M70" s="17" t="n">
        <f aca="false">G70*$F$7</f>
        <v>3147157.53182319</v>
      </c>
      <c r="N70" s="18" t="n">
        <f aca="false">F70/K70</f>
        <v>379.900987491771</v>
      </c>
      <c r="O70" s="18" t="n">
        <f aca="false">G70/L70</f>
        <v>415.443921668362</v>
      </c>
      <c r="P70" s="18" t="n">
        <f aca="false">M70/L70</f>
        <v>400.198058471921</v>
      </c>
      <c r="Q70" s="19" t="n">
        <f aca="false">IF(N70=0,"n.a.",P70/N70-1)</f>
        <v>0.0534272656519221</v>
      </c>
    </row>
    <row r="71" customFormat="false" ht="15" hidden="false" customHeight="false" outlineLevel="0" collapsed="false">
      <c r="A71" s="12" t="s">
        <v>186</v>
      </c>
      <c r="B71" s="12" t="s">
        <v>135</v>
      </c>
      <c r="C71" s="12" t="s">
        <v>136</v>
      </c>
      <c r="D71" s="12" t="s">
        <v>187</v>
      </c>
      <c r="E71" s="12" t="s">
        <v>188</v>
      </c>
      <c r="F71" s="13" t="n">
        <v>51952377</v>
      </c>
      <c r="G71" s="13" t="n">
        <v>61669495</v>
      </c>
      <c r="H71" s="14" t="n">
        <v>33056</v>
      </c>
      <c r="I71" s="14" t="n">
        <v>38527</v>
      </c>
      <c r="J71" s="15" t="n">
        <f aca="false">I71/H71</f>
        <v>1.16550701839303</v>
      </c>
      <c r="K71" s="16" t="n">
        <f aca="false">ROUND(I71*J71^($F$8-1),0)</f>
        <v>37188</v>
      </c>
      <c r="L71" s="16" t="n">
        <f aca="false">ROUND(I71*J71^($F$9-1),0)</f>
        <v>38222</v>
      </c>
      <c r="M71" s="17" t="n">
        <f aca="false">G71*$F$7</f>
        <v>59406362.3962352</v>
      </c>
      <c r="N71" s="18" t="n">
        <f aca="false">F71/K71</f>
        <v>1397.01992578251</v>
      </c>
      <c r="O71" s="18" t="n">
        <f aca="false">G71/L71</f>
        <v>1613.45547067134</v>
      </c>
      <c r="P71" s="18" t="n">
        <f aca="false">M71/L71</f>
        <v>1554.24526179256</v>
      </c>
      <c r="Q71" s="19" t="n">
        <f aca="false">IF(N71=0,"n.a.",P71/N71-1)</f>
        <v>0.112543374012351</v>
      </c>
    </row>
    <row r="72" customFormat="false" ht="15" hidden="false" customHeight="false" outlineLevel="0" collapsed="false">
      <c r="A72" s="12" t="s">
        <v>189</v>
      </c>
      <c r="B72" s="12" t="s">
        <v>135</v>
      </c>
      <c r="C72" s="12" t="s">
        <v>136</v>
      </c>
      <c r="D72" s="12" t="s">
        <v>190</v>
      </c>
      <c r="E72" s="12" t="s">
        <v>191</v>
      </c>
      <c r="F72" s="13" t="n">
        <v>3308871</v>
      </c>
      <c r="G72" s="13" t="n">
        <v>4493148</v>
      </c>
      <c r="H72" s="14" t="n">
        <v>9506</v>
      </c>
      <c r="I72" s="14" t="n">
        <v>10552</v>
      </c>
      <c r="J72" s="15" t="n">
        <f aca="false">I72/H72</f>
        <v>1.11003576688407</v>
      </c>
      <c r="K72" s="16" t="n">
        <f aca="false">ROUND(I72*J72^($F$8-1),0)</f>
        <v>10301</v>
      </c>
      <c r="L72" s="16" t="n">
        <f aca="false">ROUND(I72*J72^($F$9-1),0)</f>
        <v>10495</v>
      </c>
      <c r="M72" s="17" t="n">
        <f aca="false">G72*$F$7</f>
        <v>4328259.51287455</v>
      </c>
      <c r="N72" s="18" t="n">
        <f aca="false">F72/K72</f>
        <v>321.218425395593</v>
      </c>
      <c r="O72" s="18" t="n">
        <f aca="false">G72/L72</f>
        <v>428.122725107194</v>
      </c>
      <c r="P72" s="18" t="n">
        <f aca="false">M72/L72</f>
        <v>412.411578168132</v>
      </c>
      <c r="Q72" s="19" t="n">
        <f aca="false">IF(N72=0,"n.a.",P72/N72-1)</f>
        <v>0.283897639620864</v>
      </c>
    </row>
    <row r="73" customFormat="false" ht="15" hidden="false" customHeight="false" outlineLevel="0" collapsed="false">
      <c r="A73" s="12" t="s">
        <v>192</v>
      </c>
      <c r="B73" s="12" t="s">
        <v>135</v>
      </c>
      <c r="C73" s="12" t="s">
        <v>136</v>
      </c>
      <c r="D73" s="12" t="s">
        <v>193</v>
      </c>
      <c r="E73" s="12" t="s">
        <v>194</v>
      </c>
      <c r="F73" s="13" t="n">
        <v>38091838</v>
      </c>
      <c r="G73" s="13" t="n">
        <v>38348982</v>
      </c>
      <c r="H73" s="14" t="n">
        <v>44285</v>
      </c>
      <c r="I73" s="14" t="n">
        <v>43993</v>
      </c>
      <c r="J73" s="15" t="n">
        <f aca="false">I73/H73</f>
        <v>0.993406345263633</v>
      </c>
      <c r="K73" s="16" t="n">
        <f aca="false">ROUND(I73*J73^($F$8-1),0)</f>
        <v>44060</v>
      </c>
      <c r="L73" s="16" t="n">
        <f aca="false">ROUND(I73*J73^($F$9-1),0)</f>
        <v>44008</v>
      </c>
      <c r="M73" s="17" t="n">
        <f aca="false">G73*$F$7</f>
        <v>36941660.0901094</v>
      </c>
      <c r="N73" s="18" t="n">
        <f aca="false">F73/K73</f>
        <v>864.544666364049</v>
      </c>
      <c r="O73" s="18" t="n">
        <f aca="false">G73/L73</f>
        <v>871.409334666424</v>
      </c>
      <c r="P73" s="18" t="n">
        <f aca="false">M73/L73</f>
        <v>839.430560127917</v>
      </c>
      <c r="Q73" s="19" t="n">
        <f aca="false">IF(N73=0,"n.a.",P73/N73-1)</f>
        <v>-0.0290489401105816</v>
      </c>
    </row>
    <row r="74" customFormat="false" ht="15" hidden="false" customHeight="false" outlineLevel="0" collapsed="false">
      <c r="A74" s="12" t="s">
        <v>195</v>
      </c>
      <c r="B74" s="12" t="s">
        <v>135</v>
      </c>
      <c r="C74" s="12" t="s">
        <v>136</v>
      </c>
      <c r="D74" s="12" t="s">
        <v>196</v>
      </c>
      <c r="E74" s="12" t="s">
        <v>197</v>
      </c>
      <c r="F74" s="13" t="n">
        <v>134123131</v>
      </c>
      <c r="G74" s="13" t="n">
        <v>140578174</v>
      </c>
      <c r="H74" s="14" t="n">
        <v>174938</v>
      </c>
      <c r="I74" s="14" t="n">
        <v>183876</v>
      </c>
      <c r="J74" s="15" t="n">
        <f aca="false">I74/H74</f>
        <v>1.05109238701711</v>
      </c>
      <c r="K74" s="16" t="n">
        <f aca="false">ROUND(I74*J74^($F$8-1),0)</f>
        <v>181773</v>
      </c>
      <c r="L74" s="16" t="n">
        <f aca="false">ROUND(I74*J74^($F$9-1),0)</f>
        <v>183401</v>
      </c>
      <c r="M74" s="17" t="n">
        <f aca="false">G74*$F$7</f>
        <v>135419269.278028</v>
      </c>
      <c r="N74" s="18" t="n">
        <f aca="false">F74/K74</f>
        <v>737.860578853845</v>
      </c>
      <c r="O74" s="18" t="n">
        <f aca="false">G74/L74</f>
        <v>766.507129186864</v>
      </c>
      <c r="P74" s="18" t="n">
        <f aca="false">M74/L74</f>
        <v>738.378031079591</v>
      </c>
      <c r="Q74" s="19" t="n">
        <f aca="false">IF(N74=0,"n.a.",P74/N74-1)</f>
        <v>0.000701287262899308</v>
      </c>
    </row>
    <row r="75" customFormat="false" ht="15" hidden="false" customHeight="false" outlineLevel="0" collapsed="false">
      <c r="A75" s="12" t="s">
        <v>198</v>
      </c>
      <c r="B75" s="12" t="s">
        <v>135</v>
      </c>
      <c r="C75" s="12" t="s">
        <v>136</v>
      </c>
      <c r="D75" s="12" t="s">
        <v>199</v>
      </c>
      <c r="E75" s="12" t="s">
        <v>200</v>
      </c>
      <c r="F75" s="13" t="n">
        <v>1905206</v>
      </c>
      <c r="G75" s="13" t="n">
        <v>2064602</v>
      </c>
      <c r="H75" s="14" t="n">
        <v>3219</v>
      </c>
      <c r="I75" s="14" t="n">
        <v>3158</v>
      </c>
      <c r="J75" s="15" t="n">
        <f aca="false">I75/H75</f>
        <v>0.981050015532774</v>
      </c>
      <c r="K75" s="16" t="n">
        <f aca="false">ROUND(I75*J75^($F$8-1),0)</f>
        <v>3172</v>
      </c>
      <c r="L75" s="16" t="n">
        <f aca="false">ROUND(I75*J75^($F$9-1),0)</f>
        <v>3161</v>
      </c>
      <c r="M75" s="17" t="n">
        <f aca="false">G75*$F$7</f>
        <v>1988835.72203716</v>
      </c>
      <c r="N75" s="18" t="n">
        <f aca="false">F75/K75</f>
        <v>600.632408575032</v>
      </c>
      <c r="O75" s="18" t="n">
        <f aca="false">G75/L75</f>
        <v>653.148370768744</v>
      </c>
      <c r="P75" s="18" t="n">
        <f aca="false">M75/L75</f>
        <v>629.179285680847</v>
      </c>
      <c r="Q75" s="19" t="n">
        <f aca="false">IF(N75=0,"n.a.",P75/N75-1)</f>
        <v>0.047528033283355</v>
      </c>
    </row>
    <row r="76" customFormat="false" ht="15" hidden="false" customHeight="false" outlineLevel="0" collapsed="false">
      <c r="A76" s="12" t="s">
        <v>201</v>
      </c>
      <c r="B76" s="12" t="s">
        <v>135</v>
      </c>
      <c r="C76" s="12" t="s">
        <v>136</v>
      </c>
      <c r="D76" s="12" t="s">
        <v>202</v>
      </c>
      <c r="E76" s="12" t="s">
        <v>203</v>
      </c>
      <c r="F76" s="13" t="n">
        <v>433949250</v>
      </c>
      <c r="G76" s="13" t="n">
        <v>374920136</v>
      </c>
      <c r="H76" s="14" t="n">
        <v>120922</v>
      </c>
      <c r="I76" s="14" t="n">
        <v>139714</v>
      </c>
      <c r="J76" s="15" t="n">
        <f aca="false">I76/H76</f>
        <v>1.15540596417525</v>
      </c>
      <c r="K76" s="16" t="n">
        <f aca="false">ROUND(I76*J76^($F$8-1),0)</f>
        <v>135131</v>
      </c>
      <c r="L76" s="16" t="n">
        <f aca="false">ROUND(I76*J76^($F$9-1),0)</f>
        <v>138669</v>
      </c>
      <c r="M76" s="17" t="n">
        <f aca="false">G76*$F$7</f>
        <v>361161405.146285</v>
      </c>
      <c r="N76" s="18" t="n">
        <f aca="false">F76/K76</f>
        <v>3211.32271647512</v>
      </c>
      <c r="O76" s="18" t="n">
        <f aca="false">G76/L76</f>
        <v>2703.705485725</v>
      </c>
      <c r="P76" s="18" t="n">
        <f aca="false">M76/L76</f>
        <v>2604.48553855789</v>
      </c>
      <c r="Q76" s="19" t="n">
        <f aca="false">IF(N76=0,"n.a.",P76/N76-1)</f>
        <v>-0.188967983443071</v>
      </c>
    </row>
    <row r="77" customFormat="false" ht="15" hidden="false" customHeight="false" outlineLevel="0" collapsed="false">
      <c r="A77" s="12" t="s">
        <v>204</v>
      </c>
      <c r="B77" s="12" t="s">
        <v>135</v>
      </c>
      <c r="C77" s="12" t="s">
        <v>136</v>
      </c>
      <c r="D77" s="12" t="s">
        <v>205</v>
      </c>
      <c r="E77" s="12" t="s">
        <v>206</v>
      </c>
      <c r="F77" s="13" t="n">
        <v>22089067</v>
      </c>
      <c r="G77" s="13" t="n">
        <v>27686936</v>
      </c>
      <c r="H77" s="14" t="n">
        <v>64776</v>
      </c>
      <c r="I77" s="14" t="n">
        <v>66663</v>
      </c>
      <c r="J77" s="15" t="n">
        <f aca="false">I77/H77</f>
        <v>1.02913115968877</v>
      </c>
      <c r="K77" s="16" t="n">
        <f aca="false">ROUND(I77*J77^($F$8-1),0)</f>
        <v>66223</v>
      </c>
      <c r="L77" s="16" t="n">
        <f aca="false">ROUND(I77*J77^($F$9-1),0)</f>
        <v>66564</v>
      </c>
      <c r="M77" s="17" t="n">
        <f aca="false">G77*$F$7</f>
        <v>26670887.3432054</v>
      </c>
      <c r="N77" s="18" t="n">
        <f aca="false">F77/K77</f>
        <v>333.555818975281</v>
      </c>
      <c r="O77" s="18" t="n">
        <f aca="false">G77/L77</f>
        <v>415.944594675801</v>
      </c>
      <c r="P77" s="18" t="n">
        <f aca="false">M77/L77</f>
        <v>400.680357899246</v>
      </c>
      <c r="Q77" s="19" t="n">
        <f aca="false">IF(N77=0,"n.a.",P77/N77-1)</f>
        <v>0.201239298208556</v>
      </c>
    </row>
    <row r="78" customFormat="false" ht="15" hidden="false" customHeight="false" outlineLevel="0" collapsed="false">
      <c r="A78" s="12" t="s">
        <v>207</v>
      </c>
      <c r="B78" s="12" t="s">
        <v>135</v>
      </c>
      <c r="C78" s="12" t="s">
        <v>136</v>
      </c>
      <c r="D78" s="12" t="s">
        <v>208</v>
      </c>
      <c r="E78" s="12" t="s">
        <v>209</v>
      </c>
      <c r="F78" s="13" t="n">
        <v>1117678</v>
      </c>
      <c r="G78" s="13" t="n">
        <v>886397</v>
      </c>
      <c r="H78" s="14" t="n">
        <v>2471</v>
      </c>
      <c r="I78" s="14" t="n">
        <v>2474</v>
      </c>
      <c r="J78" s="15" t="n">
        <f aca="false">I78/H78</f>
        <v>1.00121408336706</v>
      </c>
      <c r="K78" s="16" t="n">
        <f aca="false">ROUND(I78*J78^($F$8-1),0)</f>
        <v>2473</v>
      </c>
      <c r="L78" s="16" t="n">
        <f aca="false">ROUND(I78*J78^($F$9-1),0)</f>
        <v>2474</v>
      </c>
      <c r="M78" s="17" t="n">
        <f aca="false">G78*$F$7</f>
        <v>853868.211648817</v>
      </c>
      <c r="N78" s="18" t="n">
        <f aca="false">F78/K78</f>
        <v>451.952284674484</v>
      </c>
      <c r="O78" s="18" t="n">
        <f aca="false">G78/L78</f>
        <v>358.284963621665</v>
      </c>
      <c r="P78" s="18" t="n">
        <f aca="false">M78/L78</f>
        <v>345.136706406151</v>
      </c>
      <c r="Q78" s="19" t="n">
        <f aca="false">IF(N78=0,"n.a.",P78/N78-1)</f>
        <v>-0.236342600514271</v>
      </c>
    </row>
    <row r="79" customFormat="false" ht="15" hidden="false" customHeight="false" outlineLevel="0" collapsed="false">
      <c r="A79" s="12" t="s">
        <v>210</v>
      </c>
      <c r="B79" s="12" t="s">
        <v>135</v>
      </c>
      <c r="C79" s="12" t="s">
        <v>136</v>
      </c>
      <c r="D79" s="12" t="s">
        <v>211</v>
      </c>
      <c r="E79" s="12" t="s">
        <v>212</v>
      </c>
      <c r="F79" s="13" t="n">
        <v>944971382</v>
      </c>
      <c r="G79" s="13" t="n">
        <v>1033800223</v>
      </c>
      <c r="H79" s="14" t="n">
        <v>877748</v>
      </c>
      <c r="I79" s="14" t="n">
        <v>976477</v>
      </c>
      <c r="J79" s="15" t="n">
        <f aca="false">I79/H79</f>
        <v>1.11247989172291</v>
      </c>
      <c r="K79" s="16" t="n">
        <f aca="false">ROUND(I79*J79^($F$8-1),0)</f>
        <v>952739</v>
      </c>
      <c r="L79" s="16" t="n">
        <f aca="false">ROUND(I79*J79^($F$9-1),0)</f>
        <v>971084</v>
      </c>
      <c r="M79" s="17" t="n">
        <f aca="false">G79*$F$7</f>
        <v>995862065.886006</v>
      </c>
      <c r="N79" s="18" t="n">
        <f aca="false">F79/K79</f>
        <v>991.847066195464</v>
      </c>
      <c r="O79" s="18" t="n">
        <f aca="false">G79/L79</f>
        <v>1064.58372602164</v>
      </c>
      <c r="P79" s="18" t="n">
        <f aca="false">M79/L79</f>
        <v>1025.51588316356</v>
      </c>
      <c r="Q79" s="19" t="n">
        <f aca="false">IF(N79=0,"n.a.",P79/N79-1)</f>
        <v>0.0339455729775429</v>
      </c>
    </row>
    <row r="80" customFormat="false" ht="15" hidden="false" customHeight="false" outlineLevel="0" collapsed="false">
      <c r="A80" s="12" t="s">
        <v>213</v>
      </c>
      <c r="B80" s="12" t="s">
        <v>135</v>
      </c>
      <c r="C80" s="12" t="s">
        <v>136</v>
      </c>
      <c r="D80" s="12" t="s">
        <v>214</v>
      </c>
      <c r="E80" s="12" t="s">
        <v>215</v>
      </c>
      <c r="F80" s="13" t="n">
        <v>25040146</v>
      </c>
      <c r="G80" s="13" t="n">
        <v>15954704</v>
      </c>
      <c r="H80" s="14" t="n">
        <v>24741</v>
      </c>
      <c r="I80" s="14" t="n">
        <v>26828</v>
      </c>
      <c r="J80" s="15" t="n">
        <f aca="false">I80/H80</f>
        <v>1.08435390647104</v>
      </c>
      <c r="K80" s="16" t="n">
        <f aca="false">ROUND(I80*J80^($F$8-1),0)</f>
        <v>26331</v>
      </c>
      <c r="L80" s="16" t="n">
        <f aca="false">ROUND(I80*J80^($F$9-1),0)</f>
        <v>26715</v>
      </c>
      <c r="M80" s="17" t="n">
        <f aca="false">G80*$F$7</f>
        <v>15369202.0300906</v>
      </c>
      <c r="N80" s="18" t="n">
        <f aca="false">F80/K80</f>
        <v>950.975883939083</v>
      </c>
      <c r="O80" s="18" t="n">
        <f aca="false">G80/L80</f>
        <v>597.218940670036</v>
      </c>
      <c r="P80" s="18" t="n">
        <f aca="false">M80/L80</f>
        <v>575.302340635995</v>
      </c>
      <c r="Q80" s="19" t="n">
        <f aca="false">IF(N80=0,"n.a.",P80/N80-1)</f>
        <v>-0.395040031664097</v>
      </c>
    </row>
    <row r="81" customFormat="false" ht="15" hidden="false" customHeight="false" outlineLevel="0" collapsed="false">
      <c r="A81" s="12" t="s">
        <v>216</v>
      </c>
      <c r="B81" s="12" t="s">
        <v>135</v>
      </c>
      <c r="C81" s="12" t="s">
        <v>136</v>
      </c>
      <c r="D81" s="12" t="s">
        <v>217</v>
      </c>
      <c r="E81" s="12" t="s">
        <v>218</v>
      </c>
      <c r="F81" s="13" t="n">
        <v>20160026</v>
      </c>
      <c r="G81" s="13" t="n">
        <v>24175844</v>
      </c>
      <c r="H81" s="14" t="n">
        <v>42212</v>
      </c>
      <c r="I81" s="14" t="n">
        <v>39610</v>
      </c>
      <c r="J81" s="15" t="n">
        <f aca="false">I81/H81</f>
        <v>0.938358760542026</v>
      </c>
      <c r="K81" s="16" t="n">
        <f aca="false">ROUND(I81*J81^($F$8-1),0)</f>
        <v>40196</v>
      </c>
      <c r="L81" s="16" t="n">
        <f aca="false">ROUND(I81*J81^($F$9-1),0)</f>
        <v>39741</v>
      </c>
      <c r="M81" s="17" t="n">
        <f aca="false">G81*$F$7</f>
        <v>23288644.5705263</v>
      </c>
      <c r="N81" s="18" t="n">
        <f aca="false">F81/K81</f>
        <v>501.543088864564</v>
      </c>
      <c r="O81" s="18" t="n">
        <f aca="false">G81/L81</f>
        <v>608.335069575501</v>
      </c>
      <c r="P81" s="18" t="n">
        <f aca="false">M81/L81</f>
        <v>586.010532460841</v>
      </c>
      <c r="Q81" s="19" t="n">
        <f aca="false">IF(N81=0,"n.a.",P81/N81-1)</f>
        <v>0.168415128174734</v>
      </c>
    </row>
    <row r="82" customFormat="false" ht="15" hidden="false" customHeight="false" outlineLevel="0" collapsed="false">
      <c r="A82" s="12" t="s">
        <v>219</v>
      </c>
      <c r="B82" s="12" t="s">
        <v>135</v>
      </c>
      <c r="C82" s="12" t="s">
        <v>136</v>
      </c>
      <c r="D82" s="12" t="s">
        <v>220</v>
      </c>
      <c r="E82" s="12" t="s">
        <v>221</v>
      </c>
      <c r="F82" s="13" t="n">
        <v>22737958</v>
      </c>
      <c r="G82" s="13" t="n">
        <v>21586462</v>
      </c>
      <c r="H82" s="14" t="n">
        <v>100820</v>
      </c>
      <c r="I82" s="14" t="n">
        <v>101930</v>
      </c>
      <c r="J82" s="15" t="n">
        <f aca="false">I82/H82</f>
        <v>1.01100972029359</v>
      </c>
      <c r="K82" s="16" t="n">
        <f aca="false">ROUND(I82*J82^($F$8-1),0)</f>
        <v>101673</v>
      </c>
      <c r="L82" s="16" t="n">
        <f aca="false">ROUND(I82*J82^($F$9-1),0)</f>
        <v>101872</v>
      </c>
      <c r="M82" s="17" t="n">
        <f aca="false">G82*$F$7</f>
        <v>20794287.1013385</v>
      </c>
      <c r="N82" s="18" t="n">
        <f aca="false">F82/K82</f>
        <v>223.638114346975</v>
      </c>
      <c r="O82" s="18" t="n">
        <f aca="false">G82/L82</f>
        <v>211.897891471651</v>
      </c>
      <c r="P82" s="18" t="n">
        <f aca="false">M82/L82</f>
        <v>204.121712554367</v>
      </c>
      <c r="Q82" s="19" t="n">
        <f aca="false">IF(N82=0,"n.a.",P82/N82-1)</f>
        <v>-0.0872677801348658</v>
      </c>
    </row>
    <row r="83" customFormat="false" ht="15" hidden="false" customHeight="false" outlineLevel="0" collapsed="false">
      <c r="A83" s="12" t="s">
        <v>222</v>
      </c>
      <c r="B83" s="12" t="s">
        <v>135</v>
      </c>
      <c r="C83" s="12" t="s">
        <v>136</v>
      </c>
      <c r="D83" s="12" t="s">
        <v>223</v>
      </c>
      <c r="E83" s="12" t="s">
        <v>224</v>
      </c>
      <c r="F83" s="13" t="n">
        <v>884270</v>
      </c>
      <c r="G83" s="13" t="n">
        <v>1041475</v>
      </c>
      <c r="H83" s="14" t="n">
        <v>6529</v>
      </c>
      <c r="I83" s="14" t="n">
        <v>2852</v>
      </c>
      <c r="J83" s="15" t="n">
        <f aca="false">I83/H83</f>
        <v>0.436820340021443</v>
      </c>
      <c r="K83" s="16" t="n">
        <f aca="false">ROUND(I83*J83^($F$8-1),0)</f>
        <v>3453</v>
      </c>
      <c r="L83" s="16" t="n">
        <f aca="false">ROUND(I83*J83^($F$9-1),0)</f>
        <v>2977</v>
      </c>
      <c r="M83" s="17" t="n">
        <f aca="false">G83*$F$7</f>
        <v>1003255.19572714</v>
      </c>
      <c r="N83" s="18" t="n">
        <f aca="false">F83/K83</f>
        <v>256.087460179554</v>
      </c>
      <c r="O83" s="18" t="n">
        <f aca="false">G83/L83</f>
        <v>349.840443399395</v>
      </c>
      <c r="P83" s="18" t="n">
        <f aca="false">M83/L83</f>
        <v>337.002081198234</v>
      </c>
      <c r="Q83" s="19" t="n">
        <f aca="false">IF(N83=0,"n.a.",P83/N83-1)</f>
        <v>0.315964791723684</v>
      </c>
    </row>
    <row r="84" customFormat="false" ht="15" hidden="false" customHeight="false" outlineLevel="0" collapsed="false">
      <c r="A84" s="12" t="s">
        <v>225</v>
      </c>
      <c r="B84" s="12" t="s">
        <v>135</v>
      </c>
      <c r="C84" s="12" t="s">
        <v>136</v>
      </c>
      <c r="D84" s="12" t="s">
        <v>226</v>
      </c>
      <c r="E84" s="12" t="s">
        <v>227</v>
      </c>
      <c r="F84" s="13" t="n">
        <v>991600491</v>
      </c>
      <c r="G84" s="13" t="n">
        <v>1157987752</v>
      </c>
      <c r="H84" s="14" t="n">
        <v>718525</v>
      </c>
      <c r="I84" s="14" t="n">
        <v>808132</v>
      </c>
      <c r="J84" s="15" t="n">
        <f aca="false">I84/H84</f>
        <v>1.12470964823771</v>
      </c>
      <c r="K84" s="16" t="n">
        <f aca="false">ROUND(I84*J84^($F$8-1),0)</f>
        <v>786499</v>
      </c>
      <c r="L84" s="16" t="n">
        <f aca="false">ROUND(I84*J84^($F$9-1),0)</f>
        <v>803212</v>
      </c>
      <c r="M84" s="17" t="n">
        <f aca="false">G84*$F$7</f>
        <v>1115492190.19409</v>
      </c>
      <c r="N84" s="18" t="n">
        <f aca="false">F84/K84</f>
        <v>1260.77781535641</v>
      </c>
      <c r="O84" s="18" t="n">
        <f aca="false">G84/L84</f>
        <v>1441.69627943806</v>
      </c>
      <c r="P84" s="18" t="n">
        <f aca="false">M84/L84</f>
        <v>1388.78924890825</v>
      </c>
      <c r="Q84" s="19" t="n">
        <f aca="false">IF(N84=0,"n.a.",P84/N84-1)</f>
        <v>0.101533697684595</v>
      </c>
    </row>
    <row r="85" customFormat="false" ht="15" hidden="false" customHeight="false" outlineLevel="0" collapsed="false">
      <c r="A85" s="12" t="s">
        <v>228</v>
      </c>
      <c r="B85" s="12" t="s">
        <v>135</v>
      </c>
      <c r="C85" s="12" t="s">
        <v>136</v>
      </c>
      <c r="D85" s="12" t="s">
        <v>229</v>
      </c>
      <c r="E85" s="12" t="s">
        <v>230</v>
      </c>
      <c r="F85" s="13" t="n">
        <v>1002629</v>
      </c>
      <c r="G85" s="13" t="n">
        <v>1673678</v>
      </c>
      <c r="H85" s="14" t="n">
        <v>20188</v>
      </c>
      <c r="I85" s="14" t="n">
        <v>19302</v>
      </c>
      <c r="J85" s="15" t="n">
        <f aca="false">I85/H85</f>
        <v>0.95611254210422</v>
      </c>
      <c r="K85" s="16" t="n">
        <f aca="false">ROUND(I85*J85^($F$8-1),0)</f>
        <v>19503</v>
      </c>
      <c r="L85" s="16" t="n">
        <f aca="false">ROUND(I85*J85^($F$9-1),0)</f>
        <v>19347</v>
      </c>
      <c r="M85" s="17" t="n">
        <f aca="false">G85*$F$7</f>
        <v>1612257.75892289</v>
      </c>
      <c r="N85" s="18" t="n">
        <f aca="false">F85/K85</f>
        <v>51.4089627236835</v>
      </c>
      <c r="O85" s="18" t="n">
        <f aca="false">G85/L85</f>
        <v>86.5083992350235</v>
      </c>
      <c r="P85" s="18" t="n">
        <f aca="false">M85/L85</f>
        <v>83.333734373437</v>
      </c>
      <c r="Q85" s="19" t="n">
        <f aca="false">IF(N85=0,"n.a.",P85/N85-1)</f>
        <v>0.620996222416409</v>
      </c>
    </row>
    <row r="86" customFormat="false" ht="15" hidden="false" customHeight="false" outlineLevel="0" collapsed="false">
      <c r="A86" s="12" t="s">
        <v>231</v>
      </c>
      <c r="B86" s="12" t="s">
        <v>135</v>
      </c>
      <c r="C86" s="12" t="s">
        <v>136</v>
      </c>
      <c r="D86" s="12" t="s">
        <v>232</v>
      </c>
      <c r="E86" s="12" t="s">
        <v>233</v>
      </c>
      <c r="F86" s="13" t="n">
        <v>4070190</v>
      </c>
      <c r="G86" s="13" t="n">
        <v>2842655</v>
      </c>
      <c r="H86" s="14" t="n">
        <v>6188</v>
      </c>
      <c r="I86" s="14" t="n">
        <v>7295</v>
      </c>
      <c r="J86" s="15" t="n">
        <f aca="false">I86/H86</f>
        <v>1.17889463477699</v>
      </c>
      <c r="K86" s="16" t="n">
        <f aca="false">ROUND(I86*J86^($F$8-1),0)</f>
        <v>7023</v>
      </c>
      <c r="L86" s="16" t="n">
        <f aca="false">ROUND(I86*J86^($F$9-1),0)</f>
        <v>7233</v>
      </c>
      <c r="M86" s="17" t="n">
        <f aca="false">G86*$F$7</f>
        <v>2738335.91628195</v>
      </c>
      <c r="N86" s="18" t="n">
        <f aca="false">F86/K86</f>
        <v>579.551473729176</v>
      </c>
      <c r="O86" s="18" t="n">
        <f aca="false">G86/L86</f>
        <v>393.011889948846</v>
      </c>
      <c r="P86" s="18" t="n">
        <f aca="false">M86/L86</f>
        <v>378.589232169493</v>
      </c>
      <c r="Q86" s="19" t="n">
        <f aca="false">IF(N86=0,"n.a.",P86/N86-1)</f>
        <v>-0.346754776183335</v>
      </c>
    </row>
    <row r="87" customFormat="false" ht="15" hidden="false" customHeight="false" outlineLevel="0" collapsed="false">
      <c r="A87" s="12" t="s">
        <v>234</v>
      </c>
      <c r="B87" s="12" t="s">
        <v>135</v>
      </c>
      <c r="C87" s="12" t="s">
        <v>136</v>
      </c>
      <c r="D87" s="12" t="s">
        <v>235</v>
      </c>
      <c r="E87" s="12" t="s">
        <v>236</v>
      </c>
      <c r="F87" s="13" t="n">
        <v>11252287</v>
      </c>
      <c r="G87" s="13" t="n">
        <v>12328230</v>
      </c>
      <c r="H87" s="14" t="n">
        <v>13110</v>
      </c>
      <c r="I87" s="14" t="n">
        <v>13947</v>
      </c>
      <c r="J87" s="15" t="n">
        <f aca="false">I87/H87</f>
        <v>1.06384439359268</v>
      </c>
      <c r="K87" s="16" t="n">
        <f aca="false">ROUND(I87*J87^($F$8-1),0)</f>
        <v>13749</v>
      </c>
      <c r="L87" s="16" t="n">
        <f aca="false">ROUND(I87*J87^($F$9-1),0)</f>
        <v>13902</v>
      </c>
      <c r="M87" s="17" t="n">
        <f aca="false">G87*$F$7</f>
        <v>11875811.5188739</v>
      </c>
      <c r="N87" s="18" t="n">
        <f aca="false">F87/K87</f>
        <v>818.407666012074</v>
      </c>
      <c r="O87" s="18" t="n">
        <f aca="false">G87/L87</f>
        <v>886.795425118688</v>
      </c>
      <c r="P87" s="18" t="n">
        <f aca="false">M87/L87</f>
        <v>854.252015456332</v>
      </c>
      <c r="Q87" s="19" t="n">
        <f aca="false">IF(N87=0,"n.a.",P87/N87-1)</f>
        <v>0.0437976706876666</v>
      </c>
    </row>
    <row r="88" customFormat="false" ht="15" hidden="false" customHeight="false" outlineLevel="0" collapsed="false">
      <c r="A88" s="12" t="s">
        <v>237</v>
      </c>
      <c r="B88" s="12" t="s">
        <v>238</v>
      </c>
      <c r="C88" s="12" t="s">
        <v>239</v>
      </c>
      <c r="D88" s="12" t="s">
        <v>46</v>
      </c>
      <c r="E88" s="12" t="s">
        <v>240</v>
      </c>
      <c r="F88" s="13" t="n">
        <v>13073708</v>
      </c>
      <c r="G88" s="13" t="n">
        <v>16514906</v>
      </c>
      <c r="H88" s="14" t="n">
        <v>27545</v>
      </c>
      <c r="I88" s="14" t="n">
        <v>25628</v>
      </c>
      <c r="J88" s="15" t="n">
        <f aca="false">I88/H88</f>
        <v>0.930404792158286</v>
      </c>
      <c r="K88" s="16" t="n">
        <f aca="false">ROUND(I88*J88^($F$8-1),0)</f>
        <v>26058</v>
      </c>
      <c r="L88" s="16" t="n">
        <f aca="false">ROUND(I88*J88^($F$9-1),0)</f>
        <v>25724</v>
      </c>
      <c r="M88" s="17" t="n">
        <f aca="false">G88*$F$7</f>
        <v>15908845.8690274</v>
      </c>
      <c r="N88" s="18" t="n">
        <f aca="false">F88/K88</f>
        <v>501.715711105994</v>
      </c>
      <c r="O88" s="18" t="n">
        <f aca="false">G88/L88</f>
        <v>642.003809671902</v>
      </c>
      <c r="P88" s="18" t="n">
        <f aca="false">M88/L88</f>
        <v>618.443705062488</v>
      </c>
      <c r="Q88" s="19" t="n">
        <f aca="false">IF(N88=0,"n.a.",P88/N88-1)</f>
        <v>0.232657641314791</v>
      </c>
    </row>
    <row r="89" customFormat="false" ht="15" hidden="false" customHeight="false" outlineLevel="0" collapsed="false">
      <c r="A89" s="12" t="s">
        <v>241</v>
      </c>
      <c r="B89" s="12" t="s">
        <v>238</v>
      </c>
      <c r="C89" s="12" t="s">
        <v>239</v>
      </c>
      <c r="D89" s="12" t="s">
        <v>48</v>
      </c>
      <c r="E89" s="12" t="s">
        <v>239</v>
      </c>
      <c r="F89" s="13" t="n">
        <v>225552851</v>
      </c>
      <c r="G89" s="13" t="n">
        <v>270082794</v>
      </c>
      <c r="H89" s="14" t="n">
        <v>155173</v>
      </c>
      <c r="I89" s="14" t="n">
        <v>163222</v>
      </c>
      <c r="J89" s="15" t="n">
        <f aca="false">I89/H89</f>
        <v>1.0518711373757</v>
      </c>
      <c r="K89" s="16" t="n">
        <f aca="false">ROUND(I89*J89^($F$8-1),0)</f>
        <v>161327</v>
      </c>
      <c r="L89" s="16" t="n">
        <f aca="false">ROUND(I89*J89^($F$9-1),0)</f>
        <v>162794</v>
      </c>
      <c r="M89" s="17" t="n">
        <f aca="false">G89*$F$7</f>
        <v>260171359.232822</v>
      </c>
      <c r="N89" s="18" t="n">
        <f aca="false">F89/K89</f>
        <v>1398.10974604375</v>
      </c>
      <c r="O89" s="18" t="n">
        <f aca="false">G89/L89</f>
        <v>1659.04636534516</v>
      </c>
      <c r="P89" s="18" t="n">
        <f aca="false">M89/L89</f>
        <v>1598.16307255072</v>
      </c>
      <c r="Q89" s="19" t="n">
        <f aca="false">IF(N89=0,"n.a.",P89/N89-1)</f>
        <v>0.143088428553671</v>
      </c>
    </row>
    <row r="90" customFormat="false" ht="15" hidden="false" customHeight="false" outlineLevel="0" collapsed="false">
      <c r="A90" s="12" t="s">
        <v>242</v>
      </c>
      <c r="B90" s="12" t="s">
        <v>238</v>
      </c>
      <c r="C90" s="12" t="s">
        <v>239</v>
      </c>
      <c r="D90" s="12" t="s">
        <v>51</v>
      </c>
      <c r="E90" s="12" t="s">
        <v>243</v>
      </c>
      <c r="F90" s="13" t="n">
        <v>17362779</v>
      </c>
      <c r="G90" s="13" t="n">
        <v>18317513</v>
      </c>
      <c r="H90" s="14" t="n">
        <v>21602</v>
      </c>
      <c r="I90" s="14" t="n">
        <v>21743</v>
      </c>
      <c r="J90" s="15" t="n">
        <f aca="false">I90/H90</f>
        <v>1.00652717340987</v>
      </c>
      <c r="K90" s="16" t="n">
        <f aca="false">ROUND(I90*J90^($F$8-1),0)</f>
        <v>21710</v>
      </c>
      <c r="L90" s="16" t="n">
        <f aca="false">ROUND(I90*J90^($F$9-1),0)</f>
        <v>21736</v>
      </c>
      <c r="M90" s="17" t="n">
        <f aca="false">G90*$F$7</f>
        <v>17645301.2218723</v>
      </c>
      <c r="N90" s="18" t="n">
        <f aca="false">F90/K90</f>
        <v>799.759511745739</v>
      </c>
      <c r="O90" s="18" t="n">
        <f aca="false">G90/L90</f>
        <v>842.726950680898</v>
      </c>
      <c r="P90" s="18" t="n">
        <f aca="false">M90/L90</f>
        <v>811.800755514921</v>
      </c>
      <c r="Q90" s="19" t="n">
        <f aca="false">IF(N90=0,"n.a.",P90/N90-1)</f>
        <v>0.0150560807246887</v>
      </c>
    </row>
    <row r="91" customFormat="false" ht="15" hidden="false" customHeight="false" outlineLevel="0" collapsed="false">
      <c r="A91" s="12" t="s">
        <v>244</v>
      </c>
      <c r="B91" s="12" t="s">
        <v>238</v>
      </c>
      <c r="C91" s="12" t="s">
        <v>239</v>
      </c>
      <c r="D91" s="12" t="s">
        <v>54</v>
      </c>
      <c r="E91" s="12" t="s">
        <v>245</v>
      </c>
      <c r="F91" s="13" t="n">
        <v>10579258</v>
      </c>
      <c r="G91" s="13" t="n">
        <v>10801887</v>
      </c>
      <c r="H91" s="14" t="n">
        <v>20812</v>
      </c>
      <c r="I91" s="14" t="n">
        <v>21361</v>
      </c>
      <c r="J91" s="15" t="n">
        <f aca="false">I91/H91</f>
        <v>1.0263790121084</v>
      </c>
      <c r="K91" s="16" t="n">
        <f aca="false">ROUND(I91*J91^($F$8-1),0)</f>
        <v>21233</v>
      </c>
      <c r="L91" s="16" t="n">
        <f aca="false">ROUND(I91*J91^($F$9-1),0)</f>
        <v>21332</v>
      </c>
      <c r="M91" s="17" t="n">
        <f aca="false">G91*$F$7</f>
        <v>10405481.8948198</v>
      </c>
      <c r="N91" s="18" t="n">
        <f aca="false">F91/K91</f>
        <v>498.246032119814</v>
      </c>
      <c r="O91" s="18" t="n">
        <f aca="false">G91/L91</f>
        <v>506.370101256329</v>
      </c>
      <c r="P91" s="18" t="n">
        <f aca="false">M91/L91</f>
        <v>487.787450535338</v>
      </c>
      <c r="Q91" s="19" t="n">
        <f aca="false">IF(N91=0,"n.a.",P91/N91-1)</f>
        <v>-0.020990797538275</v>
      </c>
    </row>
    <row r="92" customFormat="false" ht="15" hidden="false" customHeight="false" outlineLevel="0" collapsed="false">
      <c r="A92" s="12" t="s">
        <v>246</v>
      </c>
      <c r="B92" s="12" t="s">
        <v>238</v>
      </c>
      <c r="C92" s="12" t="s">
        <v>239</v>
      </c>
      <c r="D92" s="12" t="s">
        <v>57</v>
      </c>
      <c r="E92" s="12" t="s">
        <v>247</v>
      </c>
      <c r="F92" s="13" t="n">
        <v>34970001</v>
      </c>
      <c r="G92" s="13" t="n">
        <v>42264238</v>
      </c>
      <c r="H92" s="14" t="n">
        <v>31183</v>
      </c>
      <c r="I92" s="14" t="n">
        <v>31136</v>
      </c>
      <c r="J92" s="15" t="n">
        <f aca="false">I92/H92</f>
        <v>0.998492768495655</v>
      </c>
      <c r="K92" s="16" t="n">
        <f aca="false">ROUND(I92*J92^($F$8-1),0)</f>
        <v>31147</v>
      </c>
      <c r="L92" s="16" t="n">
        <f aca="false">ROUND(I92*J92^($F$9-1),0)</f>
        <v>31138</v>
      </c>
      <c r="M92" s="17" t="n">
        <f aca="false">G92*$F$7</f>
        <v>40713234.9475009</v>
      </c>
      <c r="N92" s="18" t="n">
        <f aca="false">F92/K92</f>
        <v>1122.74058496805</v>
      </c>
      <c r="O92" s="18" t="n">
        <f aca="false">G92/L92</f>
        <v>1357.32025178239</v>
      </c>
      <c r="P92" s="18" t="n">
        <f aca="false">M92/L92</f>
        <v>1307.50963284414</v>
      </c>
      <c r="Q92" s="19" t="n">
        <f aca="false">IF(N92=0,"n.a.",P92/N92-1)</f>
        <v>0.164569670278149</v>
      </c>
    </row>
    <row r="93" customFormat="false" ht="15" hidden="false" customHeight="false" outlineLevel="0" collapsed="false">
      <c r="A93" s="12" t="s">
        <v>248</v>
      </c>
      <c r="B93" s="12" t="s">
        <v>238</v>
      </c>
      <c r="C93" s="12" t="s">
        <v>239</v>
      </c>
      <c r="D93" s="12" t="s">
        <v>60</v>
      </c>
      <c r="E93" s="12" t="s">
        <v>249</v>
      </c>
      <c r="F93" s="13" t="n">
        <v>3286486</v>
      </c>
      <c r="G93" s="13" t="n">
        <v>3439587</v>
      </c>
      <c r="H93" s="14" t="n">
        <v>5613</v>
      </c>
      <c r="I93" s="14" t="n">
        <v>5303</v>
      </c>
      <c r="J93" s="15" t="n">
        <f aca="false">I93/H93</f>
        <v>0.944771067165509</v>
      </c>
      <c r="K93" s="16" t="n">
        <f aca="false">ROUND(I93*J93^($F$8-1),0)</f>
        <v>5373</v>
      </c>
      <c r="L93" s="16" t="n">
        <f aca="false">ROUND(I93*J93^($F$9-1),0)</f>
        <v>5319</v>
      </c>
      <c r="M93" s="17" t="n">
        <f aca="false">G93*$F$7</f>
        <v>3313361.84632904</v>
      </c>
      <c r="N93" s="18" t="n">
        <f aca="false">F93/K93</f>
        <v>611.666852782431</v>
      </c>
      <c r="O93" s="18" t="n">
        <f aca="false">G93/L93</f>
        <v>646.66046249295</v>
      </c>
      <c r="P93" s="18" t="n">
        <f aca="false">M93/L93</f>
        <v>622.929469134995</v>
      </c>
      <c r="Q93" s="19" t="n">
        <f aca="false">IF(N93=0,"n.a.",P93/N93-1)</f>
        <v>0.0184129911590456</v>
      </c>
    </row>
    <row r="94" customFormat="false" ht="15" hidden="false" customHeight="false" outlineLevel="0" collapsed="false">
      <c r="A94" s="12" t="s">
        <v>250</v>
      </c>
      <c r="B94" s="12" t="s">
        <v>238</v>
      </c>
      <c r="C94" s="12" t="s">
        <v>239</v>
      </c>
      <c r="D94" s="12" t="s">
        <v>63</v>
      </c>
      <c r="E94" s="12" t="s">
        <v>251</v>
      </c>
      <c r="F94" s="13" t="n">
        <v>409554692</v>
      </c>
      <c r="G94" s="13" t="n">
        <v>446252431</v>
      </c>
      <c r="H94" s="14" t="n">
        <v>190412</v>
      </c>
      <c r="I94" s="14" t="n">
        <v>205802</v>
      </c>
      <c r="J94" s="15" t="n">
        <f aca="false">I94/H94</f>
        <v>1.08082473793668</v>
      </c>
      <c r="K94" s="16" t="n">
        <f aca="false">ROUND(I94*J94^($F$8-1),0)</f>
        <v>202142</v>
      </c>
      <c r="L94" s="16" t="n">
        <f aca="false">ROUND(I94*J94^($F$9-1),0)</f>
        <v>204973</v>
      </c>
      <c r="M94" s="17" t="n">
        <f aca="false">G94*$F$7</f>
        <v>429875964.3838</v>
      </c>
      <c r="N94" s="18" t="n">
        <f aca="false">F94/K94</f>
        <v>2026.07420526165</v>
      </c>
      <c r="O94" s="18" t="n">
        <f aca="false">G94/L94</f>
        <v>2177.12787050002</v>
      </c>
      <c r="P94" s="18" t="n">
        <f aca="false">M94/L94</f>
        <v>2097.23214464247</v>
      </c>
      <c r="Q94" s="19" t="n">
        <f aca="false">IF(N94=0,"n.a.",P94/N94-1)</f>
        <v>0.035121092404228</v>
      </c>
    </row>
    <row r="95" customFormat="false" ht="15" hidden="false" customHeight="false" outlineLevel="0" collapsed="false">
      <c r="A95" s="12" t="s">
        <v>252</v>
      </c>
      <c r="B95" s="12" t="s">
        <v>238</v>
      </c>
      <c r="C95" s="12" t="s">
        <v>239</v>
      </c>
      <c r="D95" s="12" t="s">
        <v>66</v>
      </c>
      <c r="E95" s="12" t="s">
        <v>253</v>
      </c>
      <c r="F95" s="13" t="n">
        <v>16807384</v>
      </c>
      <c r="G95" s="13" t="n">
        <v>19328088</v>
      </c>
      <c r="H95" s="14" t="n">
        <v>10228</v>
      </c>
      <c r="I95" s="14" t="n">
        <v>11587</v>
      </c>
      <c r="J95" s="15" t="n">
        <f aca="false">I95/H95</f>
        <v>1.13287055142745</v>
      </c>
      <c r="K95" s="16" t="n">
        <f aca="false">ROUND(I95*J95^($F$8-1),0)</f>
        <v>11258</v>
      </c>
      <c r="L95" s="16" t="n">
        <f aca="false">ROUND(I95*J95^($F$9-1),0)</f>
        <v>11512</v>
      </c>
      <c r="M95" s="17" t="n">
        <f aca="false">G95*$F$7</f>
        <v>18618790.3785222</v>
      </c>
      <c r="N95" s="18" t="n">
        <f aca="false">F95/K95</f>
        <v>1492.92805116362</v>
      </c>
      <c r="O95" s="18" t="n">
        <f aca="false">G95/L95</f>
        <v>1678.95135510771</v>
      </c>
      <c r="P95" s="18" t="n">
        <f aca="false">M95/L95</f>
        <v>1617.33759368678</v>
      </c>
      <c r="Q95" s="19" t="n">
        <f aca="false">IF(N95=0,"n.a.",P95/N95-1)</f>
        <v>0.0833325774984244</v>
      </c>
    </row>
    <row r="96" customFormat="false" ht="15" hidden="false" customHeight="false" outlineLevel="0" collapsed="false">
      <c r="A96" s="12" t="s">
        <v>254</v>
      </c>
      <c r="B96" s="12" t="s">
        <v>238</v>
      </c>
      <c r="C96" s="12" t="s">
        <v>239</v>
      </c>
      <c r="D96" s="12" t="s">
        <v>69</v>
      </c>
      <c r="E96" s="12" t="s">
        <v>255</v>
      </c>
      <c r="F96" s="13" t="n">
        <v>71844684</v>
      </c>
      <c r="G96" s="13" t="n">
        <v>79280209</v>
      </c>
      <c r="H96" s="14" t="n">
        <v>116027</v>
      </c>
      <c r="I96" s="14" t="n">
        <v>117565</v>
      </c>
      <c r="J96" s="15" t="n">
        <f aca="false">I96/H96</f>
        <v>1.01325553534953</v>
      </c>
      <c r="K96" s="16" t="n">
        <f aca="false">ROUND(I96*J96^($F$8-1),0)</f>
        <v>117208</v>
      </c>
      <c r="L96" s="16" t="n">
        <f aca="false">ROUND(I96*J96^($F$9-1),0)</f>
        <v>117485</v>
      </c>
      <c r="M96" s="17" t="n">
        <f aca="false">G96*$F$7</f>
        <v>76370802.5613517</v>
      </c>
      <c r="N96" s="18" t="n">
        <f aca="false">F96/K96</f>
        <v>612.96740836803</v>
      </c>
      <c r="O96" s="18" t="n">
        <f aca="false">G96/L96</f>
        <v>674.811329105843</v>
      </c>
      <c r="P96" s="18" t="n">
        <f aca="false">M96/L96</f>
        <v>650.047261874722</v>
      </c>
      <c r="Q96" s="19" t="n">
        <f aca="false">IF(N96=0,"n.a.",P96/N96-1)</f>
        <v>0.0604923736572129</v>
      </c>
    </row>
    <row r="97" customFormat="false" ht="15" hidden="false" customHeight="false" outlineLevel="0" collapsed="false">
      <c r="A97" s="12" t="s">
        <v>256</v>
      </c>
      <c r="B97" s="12" t="s">
        <v>238</v>
      </c>
      <c r="C97" s="12" t="s">
        <v>239</v>
      </c>
      <c r="D97" s="12" t="s">
        <v>72</v>
      </c>
      <c r="E97" s="12" t="s">
        <v>257</v>
      </c>
      <c r="F97" s="13" t="n">
        <v>143792187</v>
      </c>
      <c r="G97" s="13" t="n">
        <v>174223144</v>
      </c>
      <c r="H97" s="14" t="n">
        <v>149702</v>
      </c>
      <c r="I97" s="14" t="n">
        <v>155640</v>
      </c>
      <c r="J97" s="15" t="n">
        <f aca="false">I97/H97</f>
        <v>1.03966546873121</v>
      </c>
      <c r="K97" s="16" t="n">
        <f aca="false">ROUND(I97*J97^($F$8-1),0)</f>
        <v>154248</v>
      </c>
      <c r="L97" s="16" t="n">
        <f aca="false">ROUND(I97*J97^($F$9-1),0)</f>
        <v>155326</v>
      </c>
      <c r="M97" s="17" t="n">
        <f aca="false">G97*$F$7</f>
        <v>167829544.092674</v>
      </c>
      <c r="N97" s="18" t="n">
        <f aca="false">F97/K97</f>
        <v>932.214271822001</v>
      </c>
      <c r="O97" s="18" t="n">
        <f aca="false">G97/L97</f>
        <v>1121.66117713712</v>
      </c>
      <c r="P97" s="18" t="n">
        <f aca="false">M97/L97</f>
        <v>1080.49871942028</v>
      </c>
      <c r="Q97" s="19" t="n">
        <f aca="false">IF(N97=0,"n.a.",P97/N97-1)</f>
        <v>0.159066914206816</v>
      </c>
    </row>
    <row r="98" customFormat="false" ht="15" hidden="false" customHeight="false" outlineLevel="0" collapsed="false">
      <c r="A98" s="12" t="s">
        <v>258</v>
      </c>
      <c r="B98" s="12" t="s">
        <v>259</v>
      </c>
      <c r="C98" s="12" t="s">
        <v>260</v>
      </c>
      <c r="D98" s="12" t="s">
        <v>46</v>
      </c>
      <c r="E98" s="12" t="s">
        <v>261</v>
      </c>
      <c r="F98" s="13" t="n">
        <v>613758</v>
      </c>
      <c r="G98" s="13" t="n">
        <v>791763</v>
      </c>
      <c r="H98" s="14" t="n">
        <v>17992</v>
      </c>
      <c r="I98" s="14" t="n">
        <v>17843</v>
      </c>
      <c r="J98" s="15" t="n">
        <f aca="false">I98/H98</f>
        <v>0.991718541574033</v>
      </c>
      <c r="K98" s="16" t="n">
        <f aca="false">ROUND(I98*J98^($F$8-1),0)</f>
        <v>17877</v>
      </c>
      <c r="L98" s="16" t="n">
        <f aca="false">ROUND(I98*J98^($F$9-1),0)</f>
        <v>17851</v>
      </c>
      <c r="M98" s="17" t="n">
        <f aca="false">G98*$F$7</f>
        <v>762707.067893621</v>
      </c>
      <c r="N98" s="18" t="n">
        <f aca="false">F98/K98</f>
        <v>34.3322705151871</v>
      </c>
      <c r="O98" s="18" t="n">
        <f aca="false">G98/L98</f>
        <v>44.3539857711053</v>
      </c>
      <c r="P98" s="18" t="n">
        <f aca="false">M98/L98</f>
        <v>42.7262936470574</v>
      </c>
      <c r="Q98" s="19" t="n">
        <f aca="false">IF(N98=0,"n.a.",P98/N98-1)</f>
        <v>0.244493679151139</v>
      </c>
    </row>
    <row r="99" customFormat="false" ht="15" hidden="false" customHeight="false" outlineLevel="0" collapsed="false">
      <c r="A99" s="12" t="s">
        <v>262</v>
      </c>
      <c r="B99" s="12" t="s">
        <v>259</v>
      </c>
      <c r="C99" s="12" t="s">
        <v>260</v>
      </c>
      <c r="D99" s="12" t="s">
        <v>48</v>
      </c>
      <c r="E99" s="12" t="s">
        <v>263</v>
      </c>
      <c r="F99" s="13" t="n">
        <v>1034895</v>
      </c>
      <c r="G99" s="13" t="n">
        <v>1215326</v>
      </c>
      <c r="H99" s="14" t="n">
        <v>21187</v>
      </c>
      <c r="I99" s="14" t="n">
        <v>23110</v>
      </c>
      <c r="J99" s="15" t="n">
        <f aca="false">I99/H99</f>
        <v>1.09076320385142</v>
      </c>
      <c r="K99" s="16" t="n">
        <f aca="false">ROUND(I99*J99^($F$8-1),0)</f>
        <v>22651</v>
      </c>
      <c r="L99" s="16" t="n">
        <f aca="false">ROUND(I99*J99^($F$9-1),0)</f>
        <v>23006</v>
      </c>
      <c r="M99" s="17" t="n">
        <f aca="false">G99*$F$7</f>
        <v>1170726.25267269</v>
      </c>
      <c r="N99" s="18" t="n">
        <f aca="false">F99/K99</f>
        <v>45.6887113151737</v>
      </c>
      <c r="O99" s="18" t="n">
        <f aca="false">G99/L99</f>
        <v>52.826480048683</v>
      </c>
      <c r="P99" s="18" t="n">
        <f aca="false">M99/L99</f>
        <v>50.8878663249885</v>
      </c>
      <c r="Q99" s="19" t="n">
        <f aca="false">IF(N99=0,"n.a.",P99/N99-1)</f>
        <v>0.113795177411539</v>
      </c>
    </row>
    <row r="100" customFormat="false" ht="15" hidden="false" customHeight="false" outlineLevel="0" collapsed="false">
      <c r="A100" s="12" t="s">
        <v>264</v>
      </c>
      <c r="B100" s="12" t="s">
        <v>259</v>
      </c>
      <c r="C100" s="12" t="s">
        <v>260</v>
      </c>
      <c r="D100" s="12" t="s">
        <v>51</v>
      </c>
      <c r="E100" s="12" t="s">
        <v>265</v>
      </c>
      <c r="F100" s="13" t="n">
        <v>2640099</v>
      </c>
      <c r="G100" s="13" t="n">
        <v>3729645</v>
      </c>
      <c r="H100" s="14" t="n">
        <v>26825</v>
      </c>
      <c r="I100" s="14" t="n">
        <v>29671</v>
      </c>
      <c r="J100" s="15" t="n">
        <f aca="false">I100/H100</f>
        <v>1.10609506057782</v>
      </c>
      <c r="K100" s="16" t="n">
        <f aca="false">ROUND(I100*J100^($F$8-1),0)</f>
        <v>28988</v>
      </c>
      <c r="L100" s="16" t="n">
        <f aca="false">ROUND(I100*J100^($F$9-1),0)</f>
        <v>29516</v>
      </c>
      <c r="M100" s="17" t="n">
        <f aca="false">G100*$F$7</f>
        <v>3592775.36615642</v>
      </c>
      <c r="N100" s="18" t="n">
        <f aca="false">F100/K100</f>
        <v>91.075582999862</v>
      </c>
      <c r="O100" s="18" t="n">
        <f aca="false">G100/L100</f>
        <v>126.360109770972</v>
      </c>
      <c r="P100" s="18" t="n">
        <f aca="false">M100/L100</f>
        <v>121.722976221589</v>
      </c>
      <c r="Q100" s="19" t="n">
        <f aca="false">IF(N100=0,"n.a.",P100/N100-1)</f>
        <v>0.336505045724203</v>
      </c>
    </row>
    <row r="101" customFormat="false" ht="15" hidden="false" customHeight="false" outlineLevel="0" collapsed="false">
      <c r="A101" s="12" t="s">
        <v>266</v>
      </c>
      <c r="B101" s="12" t="s">
        <v>259</v>
      </c>
      <c r="C101" s="12" t="s">
        <v>260</v>
      </c>
      <c r="D101" s="12" t="s">
        <v>54</v>
      </c>
      <c r="E101" s="12" t="s">
        <v>267</v>
      </c>
      <c r="F101" s="13" t="n">
        <v>10031</v>
      </c>
      <c r="G101" s="13" t="n">
        <v>592959</v>
      </c>
      <c r="H101" s="14" t="n">
        <v>36110</v>
      </c>
      <c r="I101" s="14" t="n">
        <v>38581</v>
      </c>
      <c r="J101" s="15" t="n">
        <f aca="false">I101/H101</f>
        <v>1.06842979783993</v>
      </c>
      <c r="K101" s="16" t="n">
        <f aca="false">ROUND(I101*J101^($F$8-1),0)</f>
        <v>37996</v>
      </c>
      <c r="L101" s="16" t="n">
        <f aca="false">ROUND(I101*J101^($F$9-1),0)</f>
        <v>38449</v>
      </c>
      <c r="M101" s="17" t="n">
        <f aca="false">G101*$F$7</f>
        <v>571198.730265413</v>
      </c>
      <c r="N101" s="18" t="n">
        <f aca="false">F101/K101</f>
        <v>0.264001473839352</v>
      </c>
      <c r="O101" s="18" t="n">
        <f aca="false">G101/L101</f>
        <v>15.4219615594684</v>
      </c>
      <c r="P101" s="18" t="n">
        <f aca="false">M101/L101</f>
        <v>14.8560100461758</v>
      </c>
      <c r="Q101" s="19" t="n">
        <f aca="false">IF(N101=0,"n.a.",P101/N101-1)</f>
        <v>55.2724511728138</v>
      </c>
    </row>
    <row r="102" customFormat="false" ht="15" hidden="false" customHeight="false" outlineLevel="0" collapsed="false">
      <c r="A102" s="12" t="s">
        <v>268</v>
      </c>
      <c r="B102" s="12" t="s">
        <v>259</v>
      </c>
      <c r="C102" s="12" t="s">
        <v>260</v>
      </c>
      <c r="D102" s="12" t="s">
        <v>57</v>
      </c>
      <c r="E102" s="12" t="s">
        <v>269</v>
      </c>
      <c r="F102" s="13" t="n">
        <v>319879</v>
      </c>
      <c r="G102" s="13" t="n">
        <v>180030</v>
      </c>
      <c r="H102" s="14" t="n">
        <v>24441</v>
      </c>
      <c r="I102" s="14" t="n">
        <v>25318</v>
      </c>
      <c r="J102" s="15" t="n">
        <f aca="false">I102/H102</f>
        <v>1.03588232887361</v>
      </c>
      <c r="K102" s="16" t="n">
        <f aca="false">ROUND(I102*J102^($F$8-1),0)</f>
        <v>25113</v>
      </c>
      <c r="L102" s="16" t="n">
        <f aca="false">ROUND(I102*J102^($F$9-1),0)</f>
        <v>25272</v>
      </c>
      <c r="M102" s="17" t="n">
        <f aca="false">G102*$F$7</f>
        <v>173423.301458756</v>
      </c>
      <c r="N102" s="18" t="n">
        <f aca="false">F102/K102</f>
        <v>12.7375861107793</v>
      </c>
      <c r="O102" s="18" t="n">
        <f aca="false">G102/L102</f>
        <v>7.12369420702754</v>
      </c>
      <c r="P102" s="18" t="n">
        <f aca="false">M102/L102</f>
        <v>6.86227055471492</v>
      </c>
      <c r="Q102" s="19" t="n">
        <f aca="false">IF(N102=0,"n.a.",P102/N102-1)</f>
        <v>-0.461258161865718</v>
      </c>
    </row>
    <row r="103" customFormat="false" ht="15" hidden="false" customHeight="false" outlineLevel="0" collapsed="false">
      <c r="A103" s="12" t="s">
        <v>270</v>
      </c>
      <c r="B103" s="12" t="s">
        <v>259</v>
      </c>
      <c r="C103" s="12" t="s">
        <v>260</v>
      </c>
      <c r="D103" s="12" t="s">
        <v>60</v>
      </c>
      <c r="E103" s="12" t="s">
        <v>271</v>
      </c>
      <c r="F103" s="13" t="n">
        <v>153190</v>
      </c>
      <c r="G103" s="13" t="n">
        <v>178217</v>
      </c>
      <c r="H103" s="14" t="n">
        <v>31735</v>
      </c>
      <c r="I103" s="14" t="n">
        <v>26814</v>
      </c>
      <c r="J103" s="15" t="n">
        <f aca="false">I103/H103</f>
        <v>0.844934614778636</v>
      </c>
      <c r="K103" s="16" t="n">
        <f aca="false">ROUND(I103*J103^($F$8-1),0)</f>
        <v>27878</v>
      </c>
      <c r="L103" s="16" t="n">
        <f aca="false">ROUND(I103*J103^($F$9-1),0)</f>
        <v>27050</v>
      </c>
      <c r="M103" s="17" t="n">
        <f aca="false">G103*$F$7</f>
        <v>171676.834505777</v>
      </c>
      <c r="N103" s="18" t="n">
        <f aca="false">F103/K103</f>
        <v>5.49501398952579</v>
      </c>
      <c r="O103" s="18" t="n">
        <f aca="false">G103/L103</f>
        <v>6.58842883548983</v>
      </c>
      <c r="P103" s="18" t="n">
        <f aca="false">M103/L103</f>
        <v>6.34664822572189</v>
      </c>
      <c r="Q103" s="19" t="n">
        <f aca="false">IF(N103=0,"n.a.",P103/N103-1)</f>
        <v>0.154983087908315</v>
      </c>
    </row>
    <row r="104" customFormat="false" ht="15" hidden="false" customHeight="false" outlineLevel="0" collapsed="false">
      <c r="A104" s="12" t="s">
        <v>272</v>
      </c>
      <c r="B104" s="12" t="s">
        <v>259</v>
      </c>
      <c r="C104" s="12" t="s">
        <v>260</v>
      </c>
      <c r="D104" s="12" t="s">
        <v>72</v>
      </c>
      <c r="E104" s="12" t="s">
        <v>273</v>
      </c>
      <c r="F104" s="13" t="n">
        <v>19542</v>
      </c>
      <c r="G104" s="13" t="n">
        <v>33446</v>
      </c>
      <c r="H104" s="14" t="n">
        <v>7365</v>
      </c>
      <c r="I104" s="14" t="n">
        <v>7435</v>
      </c>
      <c r="J104" s="15" t="n">
        <f aca="false">I104/H104</f>
        <v>1.00950441276307</v>
      </c>
      <c r="K104" s="16" t="n">
        <f aca="false">ROUND(I104*J104^($F$8-1),0)</f>
        <v>7419</v>
      </c>
      <c r="L104" s="16" t="n">
        <f aca="false">ROUND(I104*J104^($F$9-1),0)</f>
        <v>7431</v>
      </c>
      <c r="M104" s="17" t="n">
        <f aca="false">G104*$F$7</f>
        <v>32218.6065688471</v>
      </c>
      <c r="N104" s="18" t="n">
        <f aca="false">F104/K104</f>
        <v>2.63404771532552</v>
      </c>
      <c r="O104" s="18" t="n">
        <f aca="false">G104/L104</f>
        <v>4.5008747140358</v>
      </c>
      <c r="P104" s="18" t="n">
        <f aca="false">M104/L104</f>
        <v>4.33570267377837</v>
      </c>
      <c r="Q104" s="19" t="n">
        <f aca="false">IF(N104=0,"n.a.",P104/N104-1)</f>
        <v>0.646022829636769</v>
      </c>
    </row>
    <row r="105" customFormat="false" ht="15" hidden="false" customHeight="false" outlineLevel="0" collapsed="false">
      <c r="A105" s="12" t="s">
        <v>274</v>
      </c>
      <c r="B105" s="12" t="s">
        <v>259</v>
      </c>
      <c r="C105" s="12" t="s">
        <v>260</v>
      </c>
      <c r="D105" s="12" t="s">
        <v>75</v>
      </c>
      <c r="E105" s="12" t="s">
        <v>275</v>
      </c>
      <c r="F105" s="13" t="n">
        <v>0</v>
      </c>
      <c r="G105" s="13" t="n">
        <v>171190</v>
      </c>
      <c r="H105" s="14" t="n">
        <v>20157</v>
      </c>
      <c r="I105" s="14" t="n">
        <v>15599</v>
      </c>
      <c r="J105" s="15" t="n">
        <f aca="false">I105/H105</f>
        <v>0.773875080617155</v>
      </c>
      <c r="K105" s="16" t="n">
        <f aca="false">ROUND(I105*J105^($F$8-1),0)</f>
        <v>16550</v>
      </c>
      <c r="L105" s="16" t="n">
        <f aca="false">ROUND(I105*J105^($F$9-1),0)</f>
        <v>15808</v>
      </c>
      <c r="M105" s="17" t="n">
        <f aca="false">G105*$F$7</f>
        <v>164907.709696853</v>
      </c>
      <c r="N105" s="18" t="n">
        <f aca="false">F105/K105</f>
        <v>0</v>
      </c>
      <c r="O105" s="18" t="n">
        <f aca="false">G105/L105</f>
        <v>10.8293269230769</v>
      </c>
      <c r="P105" s="18" t="n">
        <f aca="false">M105/L105</f>
        <v>10.431914834062</v>
      </c>
      <c r="Q105" s="19" t="str">
        <f aca="false">IF(N105=0,"n.a.",P105/N105-1)</f>
        <v>n.a.</v>
      </c>
    </row>
    <row r="106" customFormat="false" ht="15" hidden="false" customHeight="false" outlineLevel="0" collapsed="false">
      <c r="A106" s="12" t="s">
        <v>276</v>
      </c>
      <c r="B106" s="12" t="s">
        <v>259</v>
      </c>
      <c r="C106" s="12" t="s">
        <v>260</v>
      </c>
      <c r="D106" s="12" t="s">
        <v>129</v>
      </c>
      <c r="E106" s="12" t="s">
        <v>277</v>
      </c>
      <c r="F106" s="13" t="n">
        <v>11941492</v>
      </c>
      <c r="G106" s="13" t="n">
        <v>10994557</v>
      </c>
      <c r="H106" s="14" t="n">
        <v>64517</v>
      </c>
      <c r="I106" s="14" t="n">
        <v>69405</v>
      </c>
      <c r="J106" s="15" t="n">
        <f aca="false">I106/H106</f>
        <v>1.07576297719981</v>
      </c>
      <c r="K106" s="16" t="n">
        <f aca="false">ROUND(I106*J106^($F$8-1),0)</f>
        <v>68245</v>
      </c>
      <c r="L106" s="16" t="n">
        <f aca="false">ROUND(I106*J106^($F$9-1),0)</f>
        <v>69142</v>
      </c>
      <c r="M106" s="17" t="n">
        <f aca="false">G106*$F$7</f>
        <v>10591081.3365354</v>
      </c>
      <c r="N106" s="18" t="n">
        <f aca="false">F106/K106</f>
        <v>174.979734779105</v>
      </c>
      <c r="O106" s="18" t="n">
        <f aca="false">G106/L106</f>
        <v>159.014159266437</v>
      </c>
      <c r="P106" s="18" t="n">
        <f aca="false">M106/L106</f>
        <v>153.178695099005</v>
      </c>
      <c r="Q106" s="19" t="n">
        <f aca="false">IF(N106=0,"n.a.",P106/N106-1)</f>
        <v>-0.124591797487985</v>
      </c>
    </row>
    <row r="107" customFormat="false" ht="15" hidden="false" customHeight="false" outlineLevel="0" collapsed="false">
      <c r="A107" s="12" t="s">
        <v>278</v>
      </c>
      <c r="B107" s="12" t="s">
        <v>259</v>
      </c>
      <c r="C107" s="12" t="s">
        <v>260</v>
      </c>
      <c r="D107" s="12" t="s">
        <v>166</v>
      </c>
      <c r="E107" s="12" t="s">
        <v>279</v>
      </c>
      <c r="F107" s="13" t="n">
        <v>4901665</v>
      </c>
      <c r="G107" s="13" t="n">
        <v>2962017</v>
      </c>
      <c r="H107" s="14" t="n">
        <v>49927</v>
      </c>
      <c r="I107" s="14" t="n">
        <v>53242</v>
      </c>
      <c r="J107" s="15" t="n">
        <f aca="false">I107/H107</f>
        <v>1.06639693953172</v>
      </c>
      <c r="K107" s="16" t="n">
        <f aca="false">ROUND(I107*J107^($F$8-1),0)</f>
        <v>52458</v>
      </c>
      <c r="L107" s="16" t="n">
        <f aca="false">ROUND(I107*J107^($F$9-1),0)</f>
        <v>53064</v>
      </c>
      <c r="M107" s="17" t="n">
        <f aca="false">G107*$F$7</f>
        <v>2853317.59771682</v>
      </c>
      <c r="N107" s="18" t="n">
        <f aca="false">F107/K107</f>
        <v>93.4397994586145</v>
      </c>
      <c r="O107" s="18" t="n">
        <f aca="false">G107/L107</f>
        <v>55.8197082767978</v>
      </c>
      <c r="P107" s="18" t="n">
        <f aca="false">M107/L107</f>
        <v>53.7712497685214</v>
      </c>
      <c r="Q107" s="19" t="n">
        <f aca="false">IF(N107=0,"n.a.",P107/N107-1)</f>
        <v>-0.424535903543573</v>
      </c>
    </row>
    <row r="108" customFormat="false" ht="15" hidden="false" customHeight="false" outlineLevel="0" collapsed="false">
      <c r="A108" s="12" t="s">
        <v>280</v>
      </c>
      <c r="B108" s="12" t="s">
        <v>259</v>
      </c>
      <c r="C108" s="12" t="s">
        <v>260</v>
      </c>
      <c r="D108" s="12" t="s">
        <v>169</v>
      </c>
      <c r="E108" s="12" t="s">
        <v>281</v>
      </c>
      <c r="F108" s="13" t="n">
        <v>2910406</v>
      </c>
      <c r="G108" s="13" t="n">
        <v>1982130</v>
      </c>
      <c r="H108" s="14" t="n">
        <v>17470</v>
      </c>
      <c r="I108" s="14" t="n">
        <v>18046</v>
      </c>
      <c r="J108" s="15" t="n">
        <f aca="false">I108/H108</f>
        <v>1.03297080709788</v>
      </c>
      <c r="K108" s="16" t="n">
        <f aca="false">ROUND(I108*J108^($F$8-1),0)</f>
        <v>17911</v>
      </c>
      <c r="L108" s="16" t="n">
        <f aca="false">ROUND(I108*J108^($F$9-1),0)</f>
        <v>18016</v>
      </c>
      <c r="M108" s="17" t="n">
        <f aca="false">G108*$F$7</f>
        <v>1909390.26007023</v>
      </c>
      <c r="N108" s="18" t="n">
        <f aca="false">F108/K108</f>
        <v>162.492658143041</v>
      </c>
      <c r="O108" s="18" t="n">
        <f aca="false">G108/L108</f>
        <v>110.020537300178</v>
      </c>
      <c r="P108" s="18" t="n">
        <f aca="false">M108/L108</f>
        <v>105.983029533205</v>
      </c>
      <c r="Q108" s="19" t="n">
        <f aca="false">IF(N108=0,"n.a.",P108/N108-1)</f>
        <v>-0.347767273030209</v>
      </c>
    </row>
    <row r="109" customFormat="false" ht="15" hidden="false" customHeight="false" outlineLevel="0" collapsed="false">
      <c r="A109" s="12" t="s">
        <v>282</v>
      </c>
      <c r="B109" s="12" t="s">
        <v>259</v>
      </c>
      <c r="C109" s="12" t="s">
        <v>260</v>
      </c>
      <c r="D109" s="12" t="s">
        <v>172</v>
      </c>
      <c r="E109" s="12" t="s">
        <v>283</v>
      </c>
      <c r="F109" s="13" t="n">
        <v>14599367</v>
      </c>
      <c r="G109" s="13" t="n">
        <v>14535924</v>
      </c>
      <c r="H109" s="14" t="n">
        <v>86704</v>
      </c>
      <c r="I109" s="14" t="n">
        <v>89976</v>
      </c>
      <c r="J109" s="15" t="n">
        <f aca="false">I109/H109</f>
        <v>1.03773758996125</v>
      </c>
      <c r="K109" s="16" t="n">
        <f aca="false">ROUND(I109*J109^($F$8-1),0)</f>
        <v>89210</v>
      </c>
      <c r="L109" s="16" t="n">
        <f aca="false">ROUND(I109*J109^($F$9-1),0)</f>
        <v>89803</v>
      </c>
      <c r="M109" s="17" t="n">
        <f aca="false">G109*$F$7</f>
        <v>14002488.0843946</v>
      </c>
      <c r="N109" s="18" t="n">
        <f aca="false">F109/K109</f>
        <v>163.651687030602</v>
      </c>
      <c r="O109" s="18" t="n">
        <f aca="false">G109/L109</f>
        <v>161.864570225939</v>
      </c>
      <c r="P109" s="18" t="n">
        <f aca="false">M109/L109</f>
        <v>155.924502348414</v>
      </c>
      <c r="Q109" s="19" t="n">
        <f aca="false">IF(N109=0,"n.a.",P109/N109-1)</f>
        <v>-0.0472172626044685</v>
      </c>
    </row>
    <row r="110" customFormat="false" ht="15" hidden="false" customHeight="false" outlineLevel="0" collapsed="false">
      <c r="A110" s="12" t="s">
        <v>284</v>
      </c>
      <c r="B110" s="12" t="s">
        <v>259</v>
      </c>
      <c r="C110" s="12" t="s">
        <v>260</v>
      </c>
      <c r="D110" s="12" t="s">
        <v>175</v>
      </c>
      <c r="E110" s="12" t="s">
        <v>285</v>
      </c>
      <c r="F110" s="13" t="n">
        <v>10321</v>
      </c>
      <c r="G110" s="13" t="n">
        <v>754361</v>
      </c>
      <c r="H110" s="14" t="n">
        <v>9846</v>
      </c>
      <c r="I110" s="14" t="n">
        <v>10504</v>
      </c>
      <c r="J110" s="15" t="n">
        <f aca="false">I110/H110</f>
        <v>1.06682916920577</v>
      </c>
      <c r="K110" s="16" t="n">
        <f aca="false">ROUND(I110*J110^($F$8-1),0)</f>
        <v>10348</v>
      </c>
      <c r="L110" s="16" t="n">
        <f aca="false">ROUND(I110*J110^($F$9-1),0)</f>
        <v>10469</v>
      </c>
      <c r="M110" s="17" t="n">
        <f aca="false">G110*$F$7</f>
        <v>726677.637681099</v>
      </c>
      <c r="N110" s="18" t="n">
        <f aca="false">F110/K110</f>
        <v>0.997390800154619</v>
      </c>
      <c r="O110" s="18" t="n">
        <f aca="false">G110/L110</f>
        <v>72.0566434234406</v>
      </c>
      <c r="P110" s="18" t="n">
        <f aca="false">M110/L110</f>
        <v>69.4123256931034</v>
      </c>
      <c r="Q110" s="19" t="n">
        <f aca="false">IF(N110=0,"n.a.",P110/N110-1)</f>
        <v>68.5939101126086</v>
      </c>
    </row>
    <row r="111" customFormat="false" ht="15" hidden="false" customHeight="false" outlineLevel="0" collapsed="false">
      <c r="A111" s="12" t="s">
        <v>286</v>
      </c>
      <c r="B111" s="12" t="s">
        <v>259</v>
      </c>
      <c r="C111" s="12" t="s">
        <v>260</v>
      </c>
      <c r="D111" s="12" t="s">
        <v>178</v>
      </c>
      <c r="E111" s="12" t="s">
        <v>287</v>
      </c>
      <c r="F111" s="13" t="n">
        <v>68971340</v>
      </c>
      <c r="G111" s="13" t="n">
        <v>74875253</v>
      </c>
      <c r="H111" s="14" t="n">
        <v>165648</v>
      </c>
      <c r="I111" s="14" t="n">
        <v>182195</v>
      </c>
      <c r="J111" s="15" t="n">
        <f aca="false">I111/H111</f>
        <v>1.09989254322419</v>
      </c>
      <c r="K111" s="16" t="n">
        <f aca="false">ROUND(I111*J111^($F$8-1),0)</f>
        <v>178234</v>
      </c>
      <c r="L111" s="16" t="n">
        <f aca="false">ROUND(I111*J111^($F$9-1),0)</f>
        <v>181296</v>
      </c>
      <c r="M111" s="17" t="n">
        <f aca="false">G111*$F$7</f>
        <v>72127498.5992312</v>
      </c>
      <c r="N111" s="18" t="n">
        <f aca="false">F111/K111</f>
        <v>386.970723879843</v>
      </c>
      <c r="O111" s="18" t="n">
        <f aca="false">G111/L111</f>
        <v>413.000027579208</v>
      </c>
      <c r="P111" s="18" t="n">
        <f aca="false">M111/L111</f>
        <v>397.84384983249</v>
      </c>
      <c r="Q111" s="19" t="n">
        <f aca="false">IF(N111=0,"n.a.",P111/N111-1)</f>
        <v>0.0280980582810788</v>
      </c>
    </row>
    <row r="112" customFormat="false" ht="15" hidden="false" customHeight="false" outlineLevel="0" collapsed="false">
      <c r="A112" s="12" t="s">
        <v>288</v>
      </c>
      <c r="B112" s="12" t="s">
        <v>259</v>
      </c>
      <c r="C112" s="12" t="s">
        <v>260</v>
      </c>
      <c r="D112" s="12" t="s">
        <v>187</v>
      </c>
      <c r="E112" s="12" t="s">
        <v>289</v>
      </c>
      <c r="F112" s="13" t="n">
        <v>43196</v>
      </c>
      <c r="G112" s="13" t="n">
        <v>48516</v>
      </c>
      <c r="H112" s="14" t="n">
        <v>21915</v>
      </c>
      <c r="I112" s="14" t="n">
        <v>18233</v>
      </c>
      <c r="J112" s="15" t="n">
        <f aca="false">I112/H112</f>
        <v>0.831987223362993</v>
      </c>
      <c r="K112" s="16" t="n">
        <f aca="false">ROUND(I112*J112^($F$8-1),0)</f>
        <v>19024</v>
      </c>
      <c r="L112" s="16" t="n">
        <f aca="false">ROUND(I112*J112^($F$9-1),0)</f>
        <v>18408</v>
      </c>
      <c r="M112" s="17" t="n">
        <f aca="false">G112*$F$7</f>
        <v>46735.5712579736</v>
      </c>
      <c r="N112" s="18" t="n">
        <f aca="false">F112/K112</f>
        <v>2.2706055508831</v>
      </c>
      <c r="O112" s="18" t="n">
        <f aca="false">G112/L112</f>
        <v>2.63559322033898</v>
      </c>
      <c r="P112" s="18" t="n">
        <f aca="false">M112/L112</f>
        <v>2.53887284104594</v>
      </c>
      <c r="Q112" s="19" t="n">
        <f aca="false">IF(N112=0,"n.a.",P112/N112-1)</f>
        <v>0.11814790554815</v>
      </c>
    </row>
    <row r="113" customFormat="false" ht="15" hidden="false" customHeight="false" outlineLevel="0" collapsed="false">
      <c r="A113" s="12" t="s">
        <v>290</v>
      </c>
      <c r="B113" s="12" t="s">
        <v>259</v>
      </c>
      <c r="C113" s="12" t="s">
        <v>260</v>
      </c>
      <c r="D113" s="12" t="s">
        <v>190</v>
      </c>
      <c r="E113" s="12" t="s">
        <v>291</v>
      </c>
      <c r="F113" s="13" t="n">
        <v>8730</v>
      </c>
      <c r="G113" s="13" t="n">
        <v>9285</v>
      </c>
      <c r="H113" s="14" t="n">
        <v>101917</v>
      </c>
      <c r="I113" s="14" t="n">
        <v>110171</v>
      </c>
      <c r="J113" s="15" t="n">
        <f aca="false">I113/H113</f>
        <v>1.08098747019634</v>
      </c>
      <c r="K113" s="16" t="n">
        <f aca="false">ROUND(I113*J113^($F$8-1),0)</f>
        <v>108208</v>
      </c>
      <c r="L113" s="16" t="n">
        <f aca="false">ROUND(I113*J113^($F$9-1),0)</f>
        <v>109726</v>
      </c>
      <c r="M113" s="17" t="n">
        <f aca="false">G113*$F$7</f>
        <v>8944.26125670469</v>
      </c>
      <c r="N113" s="18" t="n">
        <f aca="false">F113/K113</f>
        <v>0.0806779535709005</v>
      </c>
      <c r="O113" s="18" t="n">
        <f aca="false">G113/L113</f>
        <v>0.0846198713158231</v>
      </c>
      <c r="P113" s="18" t="n">
        <f aca="false">M113/L113</f>
        <v>0.0815145112070493</v>
      </c>
      <c r="Q113" s="19" t="n">
        <f aca="false">IF(N113=0,"n.a.",P113/N113-1)</f>
        <v>0.0103690983610982</v>
      </c>
    </row>
    <row r="114" customFormat="false" ht="15" hidden="false" customHeight="false" outlineLevel="0" collapsed="false">
      <c r="A114" s="12" t="s">
        <v>292</v>
      </c>
      <c r="B114" s="12" t="s">
        <v>259</v>
      </c>
      <c r="C114" s="12" t="s">
        <v>260</v>
      </c>
      <c r="D114" s="12" t="s">
        <v>193</v>
      </c>
      <c r="E114" s="12" t="s">
        <v>293</v>
      </c>
      <c r="F114" s="13" t="n">
        <v>1712</v>
      </c>
      <c r="G114" s="13" t="n">
        <v>1714</v>
      </c>
      <c r="H114" s="14" t="n">
        <v>13627</v>
      </c>
      <c r="I114" s="14" t="n">
        <v>15458</v>
      </c>
      <c r="J114" s="15" t="n">
        <f aca="false">I114/H114</f>
        <v>1.13436559771043</v>
      </c>
      <c r="K114" s="16" t="n">
        <f aca="false">ROUND(I114*J114^($F$8-1),0)</f>
        <v>15015</v>
      </c>
      <c r="L114" s="16" t="n">
        <f aca="false">ROUND(I114*J114^($F$9-1),0)</f>
        <v>15357</v>
      </c>
      <c r="M114" s="17" t="n">
        <f aca="false">G114*$F$7</f>
        <v>1651.1000316631</v>
      </c>
      <c r="N114" s="18" t="n">
        <f aca="false">F114/K114</f>
        <v>0.114019314019314</v>
      </c>
      <c r="O114" s="18" t="n">
        <f aca="false">G114/L114</f>
        <v>0.111610340561308</v>
      </c>
      <c r="P114" s="18" t="n">
        <f aca="false">M114/L114</f>
        <v>0.107514490568672</v>
      </c>
      <c r="Q114" s="19" t="n">
        <f aca="false">IF(N114=0,"n.a.",P114/N114-1)</f>
        <v>-0.0570501893174011</v>
      </c>
    </row>
    <row r="115" customFormat="false" ht="15" hidden="false" customHeight="false" outlineLevel="0" collapsed="false">
      <c r="A115" s="12" t="s">
        <v>294</v>
      </c>
      <c r="B115" s="12" t="s">
        <v>259</v>
      </c>
      <c r="C115" s="12" t="s">
        <v>260</v>
      </c>
      <c r="D115" s="12" t="s">
        <v>196</v>
      </c>
      <c r="E115" s="12" t="s">
        <v>295</v>
      </c>
      <c r="F115" s="13" t="n">
        <v>278408</v>
      </c>
      <c r="G115" s="13" t="n">
        <v>436961</v>
      </c>
      <c r="H115" s="14" t="n">
        <v>7364</v>
      </c>
      <c r="I115" s="14" t="n">
        <v>7920</v>
      </c>
      <c r="J115" s="15" t="n">
        <f aca="false">I115/H115</f>
        <v>1.07550244432374</v>
      </c>
      <c r="K115" s="16" t="n">
        <f aca="false">ROUND(I115*J115^($F$8-1),0)</f>
        <v>7788</v>
      </c>
      <c r="L115" s="16" t="n">
        <f aca="false">ROUND(I115*J115^($F$9-1),0)</f>
        <v>7890</v>
      </c>
      <c r="M115" s="17" t="n">
        <f aca="false">G115*$F$7</f>
        <v>420925.508130419</v>
      </c>
      <c r="N115" s="18" t="n">
        <f aca="false">F115/K115</f>
        <v>35.7483307652799</v>
      </c>
      <c r="O115" s="18" t="n">
        <f aca="false">G115/L115</f>
        <v>55.3816223067174</v>
      </c>
      <c r="P115" s="18" t="n">
        <f aca="false">M115/L115</f>
        <v>53.3492405741976</v>
      </c>
      <c r="Q115" s="19" t="n">
        <f aca="false">IF(N115=0,"n.a.",P115/N115-1)</f>
        <v>0.492356130541689</v>
      </c>
    </row>
    <row r="116" customFormat="false" ht="15" hidden="false" customHeight="false" outlineLevel="0" collapsed="false">
      <c r="A116" s="12" t="s">
        <v>296</v>
      </c>
      <c r="B116" s="12" t="s">
        <v>259</v>
      </c>
      <c r="C116" s="12" t="s">
        <v>260</v>
      </c>
      <c r="D116" s="12" t="s">
        <v>199</v>
      </c>
      <c r="E116" s="12" t="s">
        <v>297</v>
      </c>
      <c r="F116" s="13" t="n">
        <v>19814</v>
      </c>
      <c r="G116" s="13" t="n">
        <v>22626</v>
      </c>
      <c r="H116" s="14" t="n">
        <v>47281</v>
      </c>
      <c r="I116" s="14" t="n">
        <v>55763</v>
      </c>
      <c r="J116" s="15" t="n">
        <f aca="false">I116/H116</f>
        <v>1.17939552885937</v>
      </c>
      <c r="K116" s="16" t="n">
        <f aca="false">ROUND(I116*J116^($F$8-1),0)</f>
        <v>53679</v>
      </c>
      <c r="L116" s="16" t="n">
        <f aca="false">ROUND(I116*J116^($F$9-1),0)</f>
        <v>55287</v>
      </c>
      <c r="M116" s="17" t="n">
        <f aca="false">G116*$F$7</f>
        <v>21795.6763806355</v>
      </c>
      <c r="N116" s="18" t="n">
        <f aca="false">F116/K116</f>
        <v>0.369120140092029</v>
      </c>
      <c r="O116" s="18" t="n">
        <f aca="false">G116/L116</f>
        <v>0.409246296597754</v>
      </c>
      <c r="P116" s="18" t="n">
        <f aca="false">M116/L116</f>
        <v>0.394227872386555</v>
      </c>
      <c r="Q116" s="19" t="n">
        <f aca="false">IF(N116=0,"n.a.",P116/N116-1)</f>
        <v>0.068020488636211</v>
      </c>
    </row>
    <row r="117" customFormat="false" ht="15" hidden="false" customHeight="false" outlineLevel="0" collapsed="false">
      <c r="A117" s="12" t="s">
        <v>298</v>
      </c>
      <c r="B117" s="12" t="s">
        <v>259</v>
      </c>
      <c r="C117" s="12" t="s">
        <v>260</v>
      </c>
      <c r="D117" s="12" t="s">
        <v>202</v>
      </c>
      <c r="E117" s="12" t="s">
        <v>299</v>
      </c>
      <c r="F117" s="13" t="n">
        <v>31199330</v>
      </c>
      <c r="G117" s="13" t="n">
        <v>25717840</v>
      </c>
      <c r="H117" s="14" t="n">
        <v>111827</v>
      </c>
      <c r="I117" s="14" t="n">
        <v>123958</v>
      </c>
      <c r="J117" s="15" t="n">
        <f aca="false">I117/H117</f>
        <v>1.10848006295439</v>
      </c>
      <c r="K117" s="16" t="n">
        <f aca="false">ROUND(I117*J117^($F$8-1),0)</f>
        <v>121045</v>
      </c>
      <c r="L117" s="16" t="n">
        <f aca="false">ROUND(I117*J117^($F$9-1),0)</f>
        <v>123296</v>
      </c>
      <c r="M117" s="17" t="n">
        <f aca="false">G117*$F$7</f>
        <v>24774052.7644728</v>
      </c>
      <c r="N117" s="18" t="n">
        <f aca="false">F117/K117</f>
        <v>257.74984509893</v>
      </c>
      <c r="O117" s="18" t="n">
        <f aca="false">G117/L117</f>
        <v>208.58616662341</v>
      </c>
      <c r="P117" s="18" t="n">
        <f aca="false">M117/L117</f>
        <v>200.931520604665</v>
      </c>
      <c r="Q117" s="19" t="n">
        <f aca="false">IF(N117=0,"n.a.",P117/N117-1)</f>
        <v>-0.220439800739576</v>
      </c>
    </row>
    <row r="118" customFormat="false" ht="15" hidden="false" customHeight="false" outlineLevel="0" collapsed="false">
      <c r="A118" s="12" t="s">
        <v>300</v>
      </c>
      <c r="B118" s="12" t="s">
        <v>259</v>
      </c>
      <c r="C118" s="12" t="s">
        <v>260</v>
      </c>
      <c r="D118" s="12" t="s">
        <v>208</v>
      </c>
      <c r="E118" s="12" t="s">
        <v>301</v>
      </c>
      <c r="F118" s="13" t="n">
        <v>156889</v>
      </c>
      <c r="G118" s="13" t="n">
        <v>100178</v>
      </c>
      <c r="H118" s="14" t="n">
        <v>5402</v>
      </c>
      <c r="I118" s="14" t="n">
        <v>5637</v>
      </c>
      <c r="J118" s="15" t="n">
        <f aca="false">I118/H118</f>
        <v>1.04350240651611</v>
      </c>
      <c r="K118" s="16" t="n">
        <f aca="false">ROUND(I118*J118^($F$8-1),0)</f>
        <v>5582</v>
      </c>
      <c r="L118" s="16" t="n">
        <f aca="false">ROUND(I118*J118^($F$9-1),0)</f>
        <v>5625</v>
      </c>
      <c r="M118" s="17" t="n">
        <f aca="false">G118*$F$7</f>
        <v>96501.6913488597</v>
      </c>
      <c r="N118" s="18" t="n">
        <f aca="false">F118/K118</f>
        <v>28.1062343246148</v>
      </c>
      <c r="O118" s="18" t="n">
        <f aca="false">G118/L118</f>
        <v>17.8094222222222</v>
      </c>
      <c r="P118" s="18" t="n">
        <f aca="false">M118/L118</f>
        <v>17.1558562397973</v>
      </c>
      <c r="Q118" s="19" t="n">
        <f aca="false">IF(N118=0,"n.a.",P118/N118-1)</f>
        <v>-0.3896067313161</v>
      </c>
    </row>
    <row r="119" customFormat="false" ht="15" hidden="false" customHeight="false" outlineLevel="0" collapsed="false">
      <c r="A119" s="12" t="s">
        <v>302</v>
      </c>
      <c r="B119" s="12" t="s">
        <v>259</v>
      </c>
      <c r="C119" s="12" t="s">
        <v>260</v>
      </c>
      <c r="D119" s="12" t="s">
        <v>211</v>
      </c>
      <c r="E119" s="12" t="s">
        <v>303</v>
      </c>
      <c r="F119" s="13" t="n">
        <v>1862064</v>
      </c>
      <c r="G119" s="13" t="n">
        <v>2096208</v>
      </c>
      <c r="H119" s="14" t="n">
        <v>36729</v>
      </c>
      <c r="I119" s="14" t="n">
        <v>31372</v>
      </c>
      <c r="J119" s="15" t="n">
        <f aca="false">I119/H119</f>
        <v>0.854147948487571</v>
      </c>
      <c r="K119" s="16" t="n">
        <f aca="false">ROUND(I119*J119^($F$8-1),0)</f>
        <v>32535</v>
      </c>
      <c r="L119" s="16" t="n">
        <f aca="false">ROUND(I119*J119^($F$9-1),0)</f>
        <v>31630</v>
      </c>
      <c r="M119" s="17" t="n">
        <f aca="false">G119*$F$7</f>
        <v>2019281.85249267</v>
      </c>
      <c r="N119" s="18" t="n">
        <f aca="false">F119/K119</f>
        <v>57.2326417704011</v>
      </c>
      <c r="O119" s="18" t="n">
        <f aca="false">G119/L119</f>
        <v>66.2727790072716</v>
      </c>
      <c r="P119" s="18" t="n">
        <f aca="false">M119/L119</f>
        <v>63.8407161711245</v>
      </c>
      <c r="Q119" s="19" t="n">
        <f aca="false">IF(N119=0,"n.a.",P119/N119-1)</f>
        <v>0.115459887859674</v>
      </c>
    </row>
    <row r="120" customFormat="false" ht="15" hidden="false" customHeight="false" outlineLevel="0" collapsed="false">
      <c r="A120" s="12" t="s">
        <v>304</v>
      </c>
      <c r="B120" s="12" t="s">
        <v>259</v>
      </c>
      <c r="C120" s="12" t="s">
        <v>260</v>
      </c>
      <c r="D120" s="12" t="s">
        <v>214</v>
      </c>
      <c r="E120" s="12" t="s">
        <v>305</v>
      </c>
      <c r="F120" s="13" t="n">
        <v>1101698</v>
      </c>
      <c r="G120" s="13" t="n">
        <v>1602157</v>
      </c>
      <c r="H120" s="14" t="n">
        <v>136788</v>
      </c>
      <c r="I120" s="14" t="n">
        <v>155011</v>
      </c>
      <c r="J120" s="15" t="n">
        <f aca="false">I120/H120</f>
        <v>1.13322075035822</v>
      </c>
      <c r="K120" s="16" t="n">
        <f aca="false">ROUND(I120*J120^($F$8-1),0)</f>
        <v>150599</v>
      </c>
      <c r="L120" s="16" t="n">
        <f aca="false">ROUND(I120*J120^($F$9-1),0)</f>
        <v>154007</v>
      </c>
      <c r="M120" s="17" t="n">
        <f aca="false">G120*$F$7</f>
        <v>1543361.41973702</v>
      </c>
      <c r="N120" s="18" t="n">
        <f aca="false">F120/K120</f>
        <v>7.31544034156933</v>
      </c>
      <c r="O120" s="18" t="n">
        <f aca="false">G120/L120</f>
        <v>10.4031440129345</v>
      </c>
      <c r="P120" s="18" t="n">
        <f aca="false">M120/L120</f>
        <v>10.0213718839859</v>
      </c>
      <c r="Q120" s="19" t="n">
        <f aca="false">IF(N120=0,"n.a.",P120/N120-1)</f>
        <v>0.369893187022573</v>
      </c>
    </row>
    <row r="121" customFormat="false" ht="15" hidden="false" customHeight="false" outlineLevel="0" collapsed="false">
      <c r="A121" s="12" t="s">
        <v>306</v>
      </c>
      <c r="B121" s="12" t="s">
        <v>259</v>
      </c>
      <c r="C121" s="12" t="s">
        <v>260</v>
      </c>
      <c r="D121" s="12" t="s">
        <v>217</v>
      </c>
      <c r="E121" s="12" t="s">
        <v>307</v>
      </c>
      <c r="F121" s="13" t="n">
        <v>1941211</v>
      </c>
      <c r="G121" s="13" t="n">
        <v>1513542</v>
      </c>
      <c r="H121" s="14" t="n">
        <v>30884</v>
      </c>
      <c r="I121" s="14" t="n">
        <v>31316</v>
      </c>
      <c r="J121" s="15" t="n">
        <f aca="false">I121/H121</f>
        <v>1.01398782541122</v>
      </c>
      <c r="K121" s="16" t="n">
        <f aca="false">ROUND(I121*J121^($F$8-1),0)</f>
        <v>31216</v>
      </c>
      <c r="L121" s="16" t="n">
        <f aca="false">ROUND(I121*J121^($F$9-1),0)</f>
        <v>31293</v>
      </c>
      <c r="M121" s="17" t="n">
        <f aca="false">G121*$F$7</f>
        <v>1457998.39213735</v>
      </c>
      <c r="N121" s="18" t="n">
        <f aca="false">F121/K121</f>
        <v>62.1864108149667</v>
      </c>
      <c r="O121" s="18" t="n">
        <f aca="false">G121/L121</f>
        <v>48.3667912951778</v>
      </c>
      <c r="P121" s="18" t="n">
        <f aca="false">M121/L121</f>
        <v>46.5918381790609</v>
      </c>
      <c r="Q121" s="19" t="n">
        <f aca="false">IF(N121=0,"n.a.",P121/N121-1)</f>
        <v>-0.250771389304117</v>
      </c>
    </row>
    <row r="122" customFormat="false" ht="15" hidden="false" customHeight="false" outlineLevel="0" collapsed="false">
      <c r="A122" s="12" t="s">
        <v>308</v>
      </c>
      <c r="B122" s="12" t="s">
        <v>259</v>
      </c>
      <c r="C122" s="12" t="s">
        <v>260</v>
      </c>
      <c r="D122" s="12" t="s">
        <v>220</v>
      </c>
      <c r="E122" s="12" t="s">
        <v>309</v>
      </c>
      <c r="F122" s="13" t="n">
        <v>171379</v>
      </c>
      <c r="G122" s="13" t="n">
        <v>179780</v>
      </c>
      <c r="H122" s="14" t="n">
        <v>7245</v>
      </c>
      <c r="I122" s="14" t="n">
        <v>7152</v>
      </c>
      <c r="J122" s="15" t="n">
        <f aca="false">I122/H122</f>
        <v>0.987163561076605</v>
      </c>
      <c r="K122" s="16" t="n">
        <f aca="false">ROUND(I122*J122^($F$8-1),0)</f>
        <v>7173</v>
      </c>
      <c r="L122" s="16" t="n">
        <f aca="false">ROUND(I122*J122^($F$9-1),0)</f>
        <v>7157</v>
      </c>
      <c r="M122" s="17" t="n">
        <f aca="false">G122*$F$7</f>
        <v>173182.475899878</v>
      </c>
      <c r="N122" s="18" t="n">
        <f aca="false">F122/K122</f>
        <v>23.8922347692737</v>
      </c>
      <c r="O122" s="18" t="n">
        <f aca="false">G122/L122</f>
        <v>25.1194634623446</v>
      </c>
      <c r="P122" s="18" t="n">
        <f aca="false">M122/L122</f>
        <v>24.197635308073</v>
      </c>
      <c r="Q122" s="19" t="n">
        <f aca="false">IF(N122=0,"n.a.",P122/N122-1)</f>
        <v>0.0127824182939995</v>
      </c>
    </row>
    <row r="123" customFormat="false" ht="15" hidden="false" customHeight="false" outlineLevel="0" collapsed="false">
      <c r="A123" s="12" t="s">
        <v>310</v>
      </c>
      <c r="B123" s="12" t="s">
        <v>259</v>
      </c>
      <c r="C123" s="12" t="s">
        <v>260</v>
      </c>
      <c r="D123" s="12" t="s">
        <v>226</v>
      </c>
      <c r="E123" s="12" t="s">
        <v>311</v>
      </c>
      <c r="F123" s="13" t="n">
        <v>1354661</v>
      </c>
      <c r="G123" s="13" t="n">
        <v>1119295</v>
      </c>
      <c r="H123" s="14" t="n">
        <v>14456</v>
      </c>
      <c r="I123" s="14" t="n">
        <v>14869</v>
      </c>
      <c r="J123" s="15" t="n">
        <f aca="false">I123/H123</f>
        <v>1.0285694521306</v>
      </c>
      <c r="K123" s="16" t="n">
        <f aca="false">ROUND(I123*J123^($F$8-1),0)</f>
        <v>14773</v>
      </c>
      <c r="L123" s="16" t="n">
        <f aca="false">ROUND(I123*J123^($F$9-1),0)</f>
        <v>14847</v>
      </c>
      <c r="M123" s="17" t="n">
        <f aca="false">G123*$F$7</f>
        <v>1078219.37569448</v>
      </c>
      <c r="N123" s="18" t="n">
        <f aca="false">F123/K123</f>
        <v>91.6984363365599</v>
      </c>
      <c r="O123" s="18" t="n">
        <f aca="false">G123/L123</f>
        <v>75.3886306998047</v>
      </c>
      <c r="P123" s="18" t="n">
        <f aca="false">M123/L123</f>
        <v>72.6220364851137</v>
      </c>
      <c r="Q123" s="19" t="n">
        <f aca="false">IF(N123=0,"n.a.",P123/N123-1)</f>
        <v>-0.20803408011703</v>
      </c>
    </row>
    <row r="124" customFormat="false" ht="15" hidden="false" customHeight="false" outlineLevel="0" collapsed="false">
      <c r="A124" s="12" t="s">
        <v>312</v>
      </c>
      <c r="B124" s="12" t="s">
        <v>259</v>
      </c>
      <c r="C124" s="12" t="s">
        <v>260</v>
      </c>
      <c r="D124" s="12" t="s">
        <v>229</v>
      </c>
      <c r="E124" s="12" t="s">
        <v>313</v>
      </c>
      <c r="F124" s="13" t="n">
        <v>0</v>
      </c>
      <c r="G124" s="13" t="n">
        <v>70954</v>
      </c>
      <c r="H124" s="14" t="n">
        <v>7685</v>
      </c>
      <c r="I124" s="14" t="n">
        <v>6585</v>
      </c>
      <c r="J124" s="15" t="n">
        <f aca="false">I124/H124</f>
        <v>0.856864020819779</v>
      </c>
      <c r="K124" s="16" t="n">
        <f aca="false">ROUND(I124*J124^($F$8-1),0)</f>
        <v>6824</v>
      </c>
      <c r="L124" s="16" t="n">
        <f aca="false">ROUND(I124*J124^($F$9-1),0)</f>
        <v>6638</v>
      </c>
      <c r="M124" s="17" t="n">
        <f aca="false">G124*$F$7</f>
        <v>68350.1468183333</v>
      </c>
      <c r="N124" s="18" t="n">
        <f aca="false">F124/K124</f>
        <v>0</v>
      </c>
      <c r="O124" s="18" t="n">
        <f aca="false">G124/L124</f>
        <v>10.6890629707743</v>
      </c>
      <c r="P124" s="18" t="n">
        <f aca="false">M124/L124</f>
        <v>10.2967982552476</v>
      </c>
      <c r="Q124" s="19" t="str">
        <f aca="false">IF(N124=0,"n.a.",P124/N124-1)</f>
        <v>n.a.</v>
      </c>
    </row>
    <row r="125" customFormat="false" ht="15" hidden="false" customHeight="false" outlineLevel="0" collapsed="false">
      <c r="A125" s="12" t="s">
        <v>314</v>
      </c>
      <c r="B125" s="12" t="s">
        <v>259</v>
      </c>
      <c r="C125" s="12" t="s">
        <v>260</v>
      </c>
      <c r="D125" s="12" t="s">
        <v>232</v>
      </c>
      <c r="E125" s="12" t="s">
        <v>315</v>
      </c>
      <c r="F125" s="13" t="n">
        <v>3367887</v>
      </c>
      <c r="G125" s="13" t="n">
        <v>2749521</v>
      </c>
      <c r="H125" s="14" t="n">
        <v>36331</v>
      </c>
      <c r="I125" s="14" t="n">
        <v>36625</v>
      </c>
      <c r="J125" s="15" t="n">
        <f aca="false">I125/H125</f>
        <v>1.00809226280587</v>
      </c>
      <c r="K125" s="16" t="n">
        <f aca="false">ROUND(I125*J125^($F$8-1),0)</f>
        <v>36557</v>
      </c>
      <c r="L125" s="16" t="n">
        <f aca="false">ROUND(I125*J125^($F$9-1),0)</f>
        <v>36610</v>
      </c>
      <c r="M125" s="17" t="n">
        <f aca="false">G125*$F$7</f>
        <v>2648619.72588001</v>
      </c>
      <c r="N125" s="18" t="n">
        <f aca="false">F125/K125</f>
        <v>92.1270071395355</v>
      </c>
      <c r="O125" s="18" t="n">
        <f aca="false">G125/L125</f>
        <v>75.10300464354</v>
      </c>
      <c r="P125" s="18" t="n">
        <f aca="false">M125/L125</f>
        <v>72.3468922665942</v>
      </c>
      <c r="Q125" s="19" t="n">
        <f aca="false">IF(N125=0,"n.a.",P125/N125-1)</f>
        <v>-0.214704845919746</v>
      </c>
    </row>
    <row r="126" customFormat="false" ht="15" hidden="false" customHeight="false" outlineLevel="0" collapsed="false">
      <c r="A126" s="12" t="s">
        <v>316</v>
      </c>
      <c r="B126" s="12" t="s">
        <v>259</v>
      </c>
      <c r="C126" s="12" t="s">
        <v>260</v>
      </c>
      <c r="D126" s="12" t="s">
        <v>317</v>
      </c>
      <c r="E126" s="12" t="s">
        <v>318</v>
      </c>
      <c r="F126" s="13" t="n">
        <v>303690</v>
      </c>
      <c r="G126" s="13" t="n">
        <v>305780</v>
      </c>
      <c r="H126" s="14" t="n">
        <v>27870</v>
      </c>
      <c r="I126" s="14" t="n">
        <v>31333</v>
      </c>
      <c r="J126" s="15" t="n">
        <f aca="false">I126/H126</f>
        <v>1.12425547183351</v>
      </c>
      <c r="K126" s="16" t="n">
        <f aca="false">ROUND(I126*J126^($F$8-1),0)</f>
        <v>30497</v>
      </c>
      <c r="L126" s="16" t="n">
        <f aca="false">ROUND(I126*J126^($F$9-1),0)</f>
        <v>31143</v>
      </c>
      <c r="M126" s="17" t="n">
        <f aca="false">G126*$F$7</f>
        <v>294558.557574061</v>
      </c>
      <c r="N126" s="18" t="n">
        <f aca="false">F126/K126</f>
        <v>9.95802865855658</v>
      </c>
      <c r="O126" s="18" t="n">
        <f aca="false">G126/L126</f>
        <v>9.81857881385865</v>
      </c>
      <c r="P126" s="18" t="n">
        <f aca="false">M126/L126</f>
        <v>9.45825892091518</v>
      </c>
      <c r="Q126" s="19" t="n">
        <f aca="false">IF(N126=0,"n.a.",P126/N126-1)</f>
        <v>-0.050187617928973</v>
      </c>
    </row>
    <row r="127" customFormat="false" ht="15" hidden="false" customHeight="false" outlineLevel="0" collapsed="false">
      <c r="A127" s="12" t="s">
        <v>319</v>
      </c>
      <c r="B127" s="12" t="s">
        <v>259</v>
      </c>
      <c r="C127" s="12" t="s">
        <v>260</v>
      </c>
      <c r="D127" s="12" t="s">
        <v>320</v>
      </c>
      <c r="E127" s="12" t="s">
        <v>321</v>
      </c>
      <c r="F127" s="13" t="n">
        <v>16115268</v>
      </c>
      <c r="G127" s="13" t="n">
        <v>12937667</v>
      </c>
      <c r="H127" s="14" t="n">
        <v>52535</v>
      </c>
      <c r="I127" s="14" t="n">
        <v>53105</v>
      </c>
      <c r="J127" s="15" t="n">
        <f aca="false">I127/H127</f>
        <v>1.01084990958409</v>
      </c>
      <c r="K127" s="16" t="n">
        <f aca="false">ROUND(I127*J127^($F$8-1),0)</f>
        <v>52973</v>
      </c>
      <c r="L127" s="16" t="n">
        <f aca="false">ROUND(I127*J127^($F$9-1),0)</f>
        <v>53075</v>
      </c>
      <c r="M127" s="17" t="n">
        <f aca="false">G127*$F$7</f>
        <v>12462883.5433761</v>
      </c>
      <c r="N127" s="18" t="n">
        <f aca="false">F127/K127</f>
        <v>304.21663866498</v>
      </c>
      <c r="O127" s="18" t="n">
        <f aca="false">G127/L127</f>
        <v>243.761978332548</v>
      </c>
      <c r="P127" s="18" t="n">
        <f aca="false">M127/L127</f>
        <v>234.816458659935</v>
      </c>
      <c r="Q127" s="19" t="n">
        <f aca="false">IF(N127=0,"n.a.",P127/N127-1)</f>
        <v>-0.228127495950253</v>
      </c>
    </row>
    <row r="128" customFormat="false" ht="15" hidden="false" customHeight="false" outlineLevel="0" collapsed="false">
      <c r="A128" s="12" t="s">
        <v>322</v>
      </c>
      <c r="B128" s="12" t="s">
        <v>259</v>
      </c>
      <c r="C128" s="12" t="s">
        <v>260</v>
      </c>
      <c r="D128" s="12" t="s">
        <v>323</v>
      </c>
      <c r="E128" s="12" t="s">
        <v>324</v>
      </c>
      <c r="F128" s="13" t="n">
        <v>233283</v>
      </c>
      <c r="G128" s="13" t="n">
        <v>310568</v>
      </c>
      <c r="H128" s="14" t="n">
        <v>46341</v>
      </c>
      <c r="I128" s="14" t="n">
        <v>47635</v>
      </c>
      <c r="J128" s="15" t="n">
        <f aca="false">I128/H128</f>
        <v>1.02792343712911</v>
      </c>
      <c r="K128" s="16" t="n">
        <f aca="false">ROUND(I128*J128^($F$8-1),0)</f>
        <v>47333</v>
      </c>
      <c r="L128" s="16" t="n">
        <f aca="false">ROUND(I128*J128^($F$9-1),0)</f>
        <v>47567</v>
      </c>
      <c r="M128" s="17" t="n">
        <f aca="false">G128*$F$7</f>
        <v>299170.84867768</v>
      </c>
      <c r="N128" s="18" t="n">
        <f aca="false">F128/K128</f>
        <v>4.92854879259713</v>
      </c>
      <c r="O128" s="18" t="n">
        <f aca="false">G128/L128</f>
        <v>6.5290642672441</v>
      </c>
      <c r="P128" s="18" t="n">
        <f aca="false">M128/L128</f>
        <v>6.28946220442072</v>
      </c>
      <c r="Q128" s="19" t="n">
        <f aca="false">IF(N128=0,"n.a.",P128/N128-1)</f>
        <v>0.276128627126048</v>
      </c>
    </row>
    <row r="129" customFormat="false" ht="15" hidden="false" customHeight="false" outlineLevel="0" collapsed="false">
      <c r="A129" s="12" t="s">
        <v>325</v>
      </c>
      <c r="B129" s="12" t="s">
        <v>259</v>
      </c>
      <c r="C129" s="12" t="s">
        <v>260</v>
      </c>
      <c r="D129" s="12" t="s">
        <v>326</v>
      </c>
      <c r="E129" s="12" t="s">
        <v>327</v>
      </c>
      <c r="F129" s="13" t="n">
        <v>244808</v>
      </c>
      <c r="G129" s="13" t="n">
        <v>175418</v>
      </c>
      <c r="H129" s="14" t="n">
        <v>11306</v>
      </c>
      <c r="I129" s="14" t="n">
        <v>10485</v>
      </c>
      <c r="J129" s="15" t="n">
        <f aca="false">I129/H129</f>
        <v>0.927383690076066</v>
      </c>
      <c r="K129" s="16" t="n">
        <f aca="false">ROUND(I129*J129^($F$8-1),0)</f>
        <v>10669</v>
      </c>
      <c r="L129" s="16" t="n">
        <f aca="false">ROUND(I129*J129^($F$9-1),0)</f>
        <v>10526</v>
      </c>
      <c r="M129" s="17" t="n">
        <f aca="false">G129*$F$7</f>
        <v>168980.551548586</v>
      </c>
      <c r="N129" s="18" t="n">
        <f aca="false">F129/K129</f>
        <v>22.9457306214266</v>
      </c>
      <c r="O129" s="18" t="n">
        <f aca="false">G129/L129</f>
        <v>16.6652099562987</v>
      </c>
      <c r="P129" s="18" t="n">
        <f aca="false">M129/L129</f>
        <v>16.0536340061359</v>
      </c>
      <c r="Q129" s="19" t="n">
        <f aca="false">IF(N129=0,"n.a.",P129/N129-1)</f>
        <v>-0.300365097499005</v>
      </c>
    </row>
    <row r="130" customFormat="false" ht="15" hidden="false" customHeight="false" outlineLevel="0" collapsed="false">
      <c r="A130" s="12" t="s">
        <v>328</v>
      </c>
      <c r="B130" s="12" t="s">
        <v>259</v>
      </c>
      <c r="C130" s="12" t="s">
        <v>260</v>
      </c>
      <c r="D130" s="12" t="s">
        <v>329</v>
      </c>
      <c r="E130" s="12" t="s">
        <v>330</v>
      </c>
      <c r="F130" s="13" t="n">
        <v>476896</v>
      </c>
      <c r="G130" s="13" t="n">
        <v>569706</v>
      </c>
      <c r="H130" s="14" t="n">
        <v>28984</v>
      </c>
      <c r="I130" s="14" t="n">
        <v>31775</v>
      </c>
      <c r="J130" s="15" t="n">
        <f aca="false">I130/H130</f>
        <v>1.09629450731438</v>
      </c>
      <c r="K130" s="16" t="n">
        <f aca="false">ROUND(I130*J130^($F$8-1),0)</f>
        <v>31108</v>
      </c>
      <c r="L130" s="16" t="n">
        <f aca="false">ROUND(I130*J130^($F$9-1),0)</f>
        <v>31624</v>
      </c>
      <c r="M130" s="17" t="n">
        <f aca="false">G130*$F$7</f>
        <v>548799.063383113</v>
      </c>
      <c r="N130" s="18" t="n">
        <f aca="false">F130/K130</f>
        <v>15.3303330333033</v>
      </c>
      <c r="O130" s="18" t="n">
        <f aca="false">G130/L130</f>
        <v>18.0149886162408</v>
      </c>
      <c r="P130" s="18" t="n">
        <f aca="false">M130/L130</f>
        <v>17.353878806701</v>
      </c>
      <c r="Q130" s="19" t="n">
        <f aca="false">IF(N130=0,"n.a.",P130/N130-1)</f>
        <v>0.131996204453078</v>
      </c>
    </row>
    <row r="131" customFormat="false" ht="15" hidden="false" customHeight="false" outlineLevel="0" collapsed="false">
      <c r="A131" s="12" t="s">
        <v>331</v>
      </c>
      <c r="B131" s="12" t="s">
        <v>259</v>
      </c>
      <c r="C131" s="12" t="s">
        <v>260</v>
      </c>
      <c r="D131" s="12" t="s">
        <v>332</v>
      </c>
      <c r="E131" s="12" t="s">
        <v>333</v>
      </c>
      <c r="F131" s="13" t="n">
        <v>303030</v>
      </c>
      <c r="G131" s="13" t="n">
        <v>345865</v>
      </c>
      <c r="H131" s="14" t="n">
        <v>6177</v>
      </c>
      <c r="I131" s="14" t="n">
        <v>6512</v>
      </c>
      <c r="J131" s="15" t="n">
        <f aca="false">I131/H131</f>
        <v>1.05423344665695</v>
      </c>
      <c r="K131" s="16" t="n">
        <f aca="false">ROUND(I131*J131^($F$8-1),0)</f>
        <v>6433</v>
      </c>
      <c r="L131" s="16" t="n">
        <f aca="false">ROUND(I131*J131^($F$9-1),0)</f>
        <v>6494</v>
      </c>
      <c r="M131" s="17" t="n">
        <f aca="false">G131*$F$7</f>
        <v>333172.527684455</v>
      </c>
      <c r="N131" s="18" t="n">
        <f aca="false">F131/K131</f>
        <v>47.1055495103373</v>
      </c>
      <c r="O131" s="18" t="n">
        <f aca="false">G131/L131</f>
        <v>53.2591623036649</v>
      </c>
      <c r="P131" s="18" t="n">
        <f aca="false">M131/L131</f>
        <v>51.3046701084779</v>
      </c>
      <c r="Q131" s="19" t="n">
        <f aca="false">IF(N131=0,"n.a.",P131/N131-1)</f>
        <v>0.0891428004086661</v>
      </c>
    </row>
    <row r="132" customFormat="false" ht="15" hidden="false" customHeight="false" outlineLevel="0" collapsed="false">
      <c r="A132" s="12" t="s">
        <v>334</v>
      </c>
      <c r="B132" s="12" t="s">
        <v>259</v>
      </c>
      <c r="C132" s="12" t="s">
        <v>260</v>
      </c>
      <c r="D132" s="12" t="s">
        <v>335</v>
      </c>
      <c r="E132" s="12" t="s">
        <v>336</v>
      </c>
      <c r="F132" s="13" t="n">
        <v>3020437</v>
      </c>
      <c r="G132" s="13" t="n">
        <v>3473309</v>
      </c>
      <c r="H132" s="14" t="n">
        <v>41063</v>
      </c>
      <c r="I132" s="14" t="n">
        <v>42163</v>
      </c>
      <c r="J132" s="15" t="n">
        <f aca="false">I132/H132</f>
        <v>1.0267881060809</v>
      </c>
      <c r="K132" s="16" t="n">
        <f aca="false">ROUND(I132*J132^($F$8-1),0)</f>
        <v>41906</v>
      </c>
      <c r="L132" s="16" t="n">
        <f aca="false">ROUND(I132*J132^($F$9-1),0)</f>
        <v>42105</v>
      </c>
      <c r="M132" s="17" t="n">
        <f aca="false">G132*$F$7</f>
        <v>3345846.32431489</v>
      </c>
      <c r="N132" s="18" t="n">
        <f aca="false">F132/K132</f>
        <v>72.0764806948886</v>
      </c>
      <c r="O132" s="18" t="n">
        <f aca="false">G132/L132</f>
        <v>82.491604322527</v>
      </c>
      <c r="P132" s="18" t="n">
        <f aca="false">M132/L132</f>
        <v>79.4643468546464</v>
      </c>
      <c r="Q132" s="19" t="n">
        <f aca="false">IF(N132=0,"n.a.",P132/N132-1)</f>
        <v>0.102500373055558</v>
      </c>
    </row>
    <row r="133" customFormat="false" ht="15" hidden="false" customHeight="false" outlineLevel="0" collapsed="false">
      <c r="A133" s="12" t="s">
        <v>337</v>
      </c>
      <c r="B133" s="12" t="s">
        <v>259</v>
      </c>
      <c r="C133" s="12" t="s">
        <v>260</v>
      </c>
      <c r="D133" s="12" t="s">
        <v>338</v>
      </c>
      <c r="E133" s="12" t="s">
        <v>167</v>
      </c>
      <c r="F133" s="13" t="n">
        <v>7183575</v>
      </c>
      <c r="G133" s="13" t="n">
        <v>6828921</v>
      </c>
      <c r="H133" s="14" t="n">
        <v>21764</v>
      </c>
      <c r="I133" s="14" t="n">
        <v>24102</v>
      </c>
      <c r="J133" s="15" t="n">
        <f aca="false">I133/H133</f>
        <v>1.1074251056791</v>
      </c>
      <c r="K133" s="16" t="n">
        <f aca="false">ROUND(I133*J133^($F$8-1),0)</f>
        <v>23541</v>
      </c>
      <c r="L133" s="16" t="n">
        <f aca="false">ROUND(I133*J133^($F$9-1),0)</f>
        <v>23975</v>
      </c>
      <c r="M133" s="17" t="n">
        <f aca="false">G133*$F$7</f>
        <v>6578314.86541702</v>
      </c>
      <c r="N133" s="18" t="n">
        <f aca="false">F133/K133</f>
        <v>305.151650312221</v>
      </c>
      <c r="O133" s="18" t="n">
        <f aca="false">G133/L133</f>
        <v>284.835078206465</v>
      </c>
      <c r="P133" s="18" t="n">
        <f aca="false">M133/L133</f>
        <v>274.38226758778</v>
      </c>
      <c r="Q133" s="19" t="n">
        <f aca="false">IF(N133=0,"n.a.",P133/N133-1)</f>
        <v>-0.100833086411164</v>
      </c>
    </row>
    <row r="134" customFormat="false" ht="15" hidden="false" customHeight="false" outlineLevel="0" collapsed="false">
      <c r="A134" s="12" t="s">
        <v>339</v>
      </c>
      <c r="B134" s="12" t="s">
        <v>259</v>
      </c>
      <c r="C134" s="12" t="s">
        <v>260</v>
      </c>
      <c r="D134" s="12" t="s">
        <v>340</v>
      </c>
      <c r="E134" s="12" t="s">
        <v>341</v>
      </c>
      <c r="F134" s="13" t="n">
        <v>933259</v>
      </c>
      <c r="G134" s="13" t="n">
        <v>925465</v>
      </c>
      <c r="H134" s="14" t="n">
        <v>5232</v>
      </c>
      <c r="I134" s="14" t="n">
        <v>5794</v>
      </c>
      <c r="J134" s="15" t="n">
        <f aca="false">I134/H134</f>
        <v>1.10741590214067</v>
      </c>
      <c r="K134" s="16" t="n">
        <f aca="false">ROUND(I134*J134^($F$8-1),0)</f>
        <v>5659</v>
      </c>
      <c r="L134" s="16" t="n">
        <f aca="false">ROUND(I134*J134^($F$9-1),0)</f>
        <v>5763</v>
      </c>
      <c r="M134" s="17" t="n">
        <f aca="false">G134*$F$7</f>
        <v>891502.503385698</v>
      </c>
      <c r="N134" s="18" t="n">
        <f aca="false">F134/K134</f>
        <v>164.915886198975</v>
      </c>
      <c r="O134" s="18" t="n">
        <f aca="false">G134/L134</f>
        <v>160.587367690439</v>
      </c>
      <c r="P134" s="18" t="n">
        <f aca="false">M134/L134</f>
        <v>154.694170290768</v>
      </c>
      <c r="Q134" s="19" t="n">
        <f aca="false">IF(N134=0,"n.a.",P134/N134-1)</f>
        <v>-0.0619813902941647</v>
      </c>
    </row>
    <row r="135" customFormat="false" ht="15" hidden="false" customHeight="false" outlineLevel="0" collapsed="false">
      <c r="A135" s="12" t="s">
        <v>342</v>
      </c>
      <c r="B135" s="12" t="s">
        <v>259</v>
      </c>
      <c r="C135" s="12" t="s">
        <v>260</v>
      </c>
      <c r="D135" s="12" t="s">
        <v>343</v>
      </c>
      <c r="E135" s="12" t="s">
        <v>344</v>
      </c>
      <c r="F135" s="13" t="n">
        <v>3597398</v>
      </c>
      <c r="G135" s="13" t="n">
        <v>5536503</v>
      </c>
      <c r="H135" s="14" t="n">
        <v>46095</v>
      </c>
      <c r="I135" s="14" t="n">
        <v>43642</v>
      </c>
      <c r="J135" s="15" t="n">
        <f aca="false">I135/H135</f>
        <v>0.946783816032108</v>
      </c>
      <c r="K135" s="16" t="n">
        <f aca="false">ROUND(I135*J135^($F$8-1),0)</f>
        <v>44197</v>
      </c>
      <c r="L135" s="16" t="n">
        <f aca="false">ROUND(I135*J135^($F$9-1),0)</f>
        <v>43766</v>
      </c>
      <c r="M135" s="17" t="n">
        <f aca="false">G135*$F$7</f>
        <v>5333325.71680445</v>
      </c>
      <c r="N135" s="18" t="n">
        <f aca="false">F135/K135</f>
        <v>81.394619544313</v>
      </c>
      <c r="O135" s="18" t="n">
        <f aca="false">G135/L135</f>
        <v>126.50237627382</v>
      </c>
      <c r="P135" s="18" t="n">
        <f aca="false">M135/L135</f>
        <v>121.860021861821</v>
      </c>
      <c r="Q135" s="19" t="n">
        <f aca="false">IF(N135=0,"n.a.",P135/N135-1)</f>
        <v>0.497150825743187</v>
      </c>
    </row>
    <row r="136" customFormat="false" ht="15" hidden="false" customHeight="false" outlineLevel="0" collapsed="false">
      <c r="A136" s="12" t="s">
        <v>345</v>
      </c>
      <c r="B136" s="12" t="s">
        <v>259</v>
      </c>
      <c r="C136" s="12" t="s">
        <v>260</v>
      </c>
      <c r="D136" s="12" t="s">
        <v>346</v>
      </c>
      <c r="E136" s="12" t="s">
        <v>347</v>
      </c>
      <c r="F136" s="13" t="n">
        <v>5606378</v>
      </c>
      <c r="G136" s="13" t="n">
        <v>6268162</v>
      </c>
      <c r="H136" s="14" t="n">
        <v>140962</v>
      </c>
      <c r="I136" s="14" t="n">
        <v>157559</v>
      </c>
      <c r="J136" s="15" t="n">
        <f aca="false">I136/H136</f>
        <v>1.1177409514621</v>
      </c>
      <c r="K136" s="16" t="n">
        <f aca="false">ROUND(I136*J136^($F$8-1),0)</f>
        <v>153561</v>
      </c>
      <c r="L136" s="16" t="n">
        <f aca="false">ROUND(I136*J136^($F$9-1),0)</f>
        <v>156650</v>
      </c>
      <c r="M136" s="17" t="n">
        <f aca="false">G136*$F$7</f>
        <v>6038134.46713501</v>
      </c>
      <c r="N136" s="18" t="n">
        <f aca="false">F136/K136</f>
        <v>36.5091266662759</v>
      </c>
      <c r="O136" s="18" t="n">
        <f aca="false">G136/L136</f>
        <v>40.0138014682413</v>
      </c>
      <c r="P136" s="18" t="n">
        <f aca="false">M136/L136</f>
        <v>38.5453844055858</v>
      </c>
      <c r="Q136" s="19" t="n">
        <f aca="false">IF(N136=0,"n.a.",P136/N136-1)</f>
        <v>0.0557739372382948</v>
      </c>
    </row>
    <row r="137" customFormat="false" ht="15" hidden="false" customHeight="false" outlineLevel="0" collapsed="false">
      <c r="A137" s="12" t="s">
        <v>348</v>
      </c>
      <c r="B137" s="12" t="s">
        <v>259</v>
      </c>
      <c r="C137" s="12" t="s">
        <v>260</v>
      </c>
      <c r="D137" s="12" t="s">
        <v>349</v>
      </c>
      <c r="E137" s="12" t="s">
        <v>350</v>
      </c>
      <c r="F137" s="13" t="n">
        <v>116298</v>
      </c>
      <c r="G137" s="13" t="n">
        <v>118366</v>
      </c>
      <c r="H137" s="14" t="n">
        <v>7901</v>
      </c>
      <c r="I137" s="14" t="n">
        <v>7551</v>
      </c>
      <c r="J137" s="15" t="n">
        <f aca="false">I137/H137</f>
        <v>0.955701809897481</v>
      </c>
      <c r="K137" s="16" t="n">
        <f aca="false">ROUND(I137*J137^($F$8-1),0)</f>
        <v>7630</v>
      </c>
      <c r="L137" s="16" t="n">
        <f aca="false">ROUND(I137*J137^($F$9-1),0)</f>
        <v>7569</v>
      </c>
      <c r="M137" s="17" t="n">
        <f aca="false">G137*$F$7</f>
        <v>114022.232408305</v>
      </c>
      <c r="N137" s="18" t="n">
        <f aca="false">F137/K137</f>
        <v>15.2422018348624</v>
      </c>
      <c r="O137" s="18" t="n">
        <f aca="false">G137/L137</f>
        <v>15.6382613291056</v>
      </c>
      <c r="P137" s="18" t="n">
        <f aca="false">M137/L137</f>
        <v>15.0643720978074</v>
      </c>
      <c r="Q137" s="19" t="n">
        <f aca="false">IF(N137=0,"n.a.",P137/N137-1)</f>
        <v>-0.0116669323094916</v>
      </c>
    </row>
    <row r="138" customFormat="false" ht="15" hidden="false" customHeight="false" outlineLevel="0" collapsed="false">
      <c r="A138" s="12" t="s">
        <v>351</v>
      </c>
      <c r="B138" s="12" t="s">
        <v>259</v>
      </c>
      <c r="C138" s="12" t="s">
        <v>260</v>
      </c>
      <c r="D138" s="12" t="s">
        <v>352</v>
      </c>
      <c r="E138" s="12" t="s">
        <v>353</v>
      </c>
      <c r="F138" s="13" t="n">
        <v>1928437</v>
      </c>
      <c r="G138" s="13" t="n">
        <v>1753156</v>
      </c>
      <c r="H138" s="14" t="n">
        <v>28100</v>
      </c>
      <c r="I138" s="14" t="n">
        <v>30408</v>
      </c>
      <c r="J138" s="15" t="n">
        <f aca="false">I138/H138</f>
        <v>1.08213523131673</v>
      </c>
      <c r="K138" s="16" t="n">
        <f aca="false">ROUND(I138*J138^($F$8-1),0)</f>
        <v>29859</v>
      </c>
      <c r="L138" s="16" t="n">
        <f aca="false">ROUND(I138*J138^($F$9-1),0)</f>
        <v>30284</v>
      </c>
      <c r="M138" s="17" t="n">
        <f aca="false">G138*$F$7</f>
        <v>1688819.0939967</v>
      </c>
      <c r="N138" s="18" t="n">
        <f aca="false">F138/K138</f>
        <v>64.5847818078301</v>
      </c>
      <c r="O138" s="18" t="n">
        <f aca="false">G138/L138</f>
        <v>57.8905032360322</v>
      </c>
      <c r="P138" s="18" t="n">
        <f aca="false">M138/L138</f>
        <v>55.7660511820334</v>
      </c>
      <c r="Q138" s="19" t="n">
        <f aca="false">IF(N138=0,"n.a.",P138/N138-1)</f>
        <v>-0.136545024678361</v>
      </c>
    </row>
    <row r="139" customFormat="false" ht="15" hidden="false" customHeight="false" outlineLevel="0" collapsed="false">
      <c r="A139" s="12" t="s">
        <v>354</v>
      </c>
      <c r="B139" s="12" t="s">
        <v>259</v>
      </c>
      <c r="C139" s="12" t="s">
        <v>260</v>
      </c>
      <c r="D139" s="12" t="s">
        <v>355</v>
      </c>
      <c r="E139" s="12" t="s">
        <v>356</v>
      </c>
      <c r="F139" s="13" t="n">
        <v>609396</v>
      </c>
      <c r="G139" s="13" t="n">
        <v>573235</v>
      </c>
      <c r="H139" s="14" t="n">
        <v>5876</v>
      </c>
      <c r="I139" s="14" t="n">
        <v>6832</v>
      </c>
      <c r="J139" s="15" t="n">
        <f aca="false">I139/H139</f>
        <v>1.16269571136828</v>
      </c>
      <c r="K139" s="16" t="n">
        <f aca="false">ROUND(I139*J139^($F$8-1),0)</f>
        <v>6598</v>
      </c>
      <c r="L139" s="16" t="n">
        <f aca="false">ROUND(I139*J139^($F$9-1),0)</f>
        <v>6779</v>
      </c>
      <c r="M139" s="17" t="n">
        <f aca="false">G139*$F$7</f>
        <v>552198.556972225</v>
      </c>
      <c r="N139" s="18" t="n">
        <f aca="false">F139/K139</f>
        <v>92.3607153682934</v>
      </c>
      <c r="O139" s="18" t="n">
        <f aca="false">G139/L139</f>
        <v>84.5604071396961</v>
      </c>
      <c r="P139" s="18" t="n">
        <f aca="false">M139/L139</f>
        <v>81.4572292332535</v>
      </c>
      <c r="Q139" s="19" t="n">
        <f aca="false">IF(N139=0,"n.a.",P139/N139-1)</f>
        <v>-0.118053288040935</v>
      </c>
    </row>
    <row r="140" customFormat="false" ht="15" hidden="false" customHeight="false" outlineLevel="0" collapsed="false">
      <c r="A140" s="12" t="s">
        <v>357</v>
      </c>
      <c r="B140" s="12" t="s">
        <v>259</v>
      </c>
      <c r="C140" s="12" t="s">
        <v>260</v>
      </c>
      <c r="D140" s="12" t="s">
        <v>358</v>
      </c>
      <c r="E140" s="12" t="s">
        <v>359</v>
      </c>
      <c r="F140" s="13" t="n">
        <v>0</v>
      </c>
      <c r="G140" s="13" t="n">
        <v>1683</v>
      </c>
      <c r="H140" s="14" t="n">
        <v>13607</v>
      </c>
      <c r="I140" s="14" t="n">
        <v>17849</v>
      </c>
      <c r="J140" s="15" t="n">
        <f aca="false">I140/H140</f>
        <v>1.31175130447564</v>
      </c>
      <c r="K140" s="16" t="n">
        <f aca="false">ROUND(I140*J140^($F$8-1),0)</f>
        <v>16765</v>
      </c>
      <c r="L140" s="16" t="n">
        <f aca="false">ROUND(I140*J140^($F$9-1),0)</f>
        <v>17599</v>
      </c>
      <c r="M140" s="17" t="n">
        <f aca="false">G140*$F$7</f>
        <v>1621.2376623623</v>
      </c>
      <c r="N140" s="18" t="n">
        <f aca="false">F140/K140</f>
        <v>0</v>
      </c>
      <c r="O140" s="18" t="n">
        <f aca="false">G140/L140</f>
        <v>0.0956304335473606</v>
      </c>
      <c r="P140" s="18" t="n">
        <f aca="false">M140/L140</f>
        <v>0.0921210104189047</v>
      </c>
      <c r="Q140" s="19" t="str">
        <f aca="false">IF(N140=0,"n.a.",P140/N140-1)</f>
        <v>n.a.</v>
      </c>
    </row>
    <row r="141" customFormat="false" ht="15" hidden="false" customHeight="false" outlineLevel="0" collapsed="false">
      <c r="A141" s="12" t="s">
        <v>360</v>
      </c>
      <c r="B141" s="12" t="s">
        <v>259</v>
      </c>
      <c r="C141" s="12" t="s">
        <v>260</v>
      </c>
      <c r="D141" s="12" t="s">
        <v>361</v>
      </c>
      <c r="E141" s="12" t="s">
        <v>362</v>
      </c>
      <c r="F141" s="13" t="n">
        <v>3247636</v>
      </c>
      <c r="G141" s="13" t="n">
        <v>3789677</v>
      </c>
      <c r="H141" s="14" t="n">
        <v>76258</v>
      </c>
      <c r="I141" s="14" t="n">
        <v>80684</v>
      </c>
      <c r="J141" s="15" t="n">
        <f aca="false">I141/H141</f>
        <v>1.05803981221642</v>
      </c>
      <c r="K141" s="16" t="n">
        <f aca="false">ROUND(I141*J141^($F$8-1),0)</f>
        <v>79640</v>
      </c>
      <c r="L141" s="16" t="n">
        <f aca="false">ROUND(I141*J141^($F$9-1),0)</f>
        <v>80448</v>
      </c>
      <c r="M141" s="17" t="n">
        <f aca="false">G141*$F$7</f>
        <v>3650604.32595852</v>
      </c>
      <c r="N141" s="18" t="n">
        <f aca="false">F141/K141</f>
        <v>40.7789552988448</v>
      </c>
      <c r="O141" s="18" t="n">
        <f aca="false">G141/L141</f>
        <v>47.1071623906126</v>
      </c>
      <c r="P141" s="18" t="n">
        <f aca="false">M141/L141</f>
        <v>45.378434839381</v>
      </c>
      <c r="Q141" s="19" t="n">
        <f aca="false">IF(N141=0,"n.a.",P141/N141-1)</f>
        <v>0.112790519198673</v>
      </c>
    </row>
    <row r="142" customFormat="false" ht="15" hidden="false" customHeight="false" outlineLevel="0" collapsed="false">
      <c r="A142" s="12" t="s">
        <v>363</v>
      </c>
      <c r="B142" s="12" t="s">
        <v>259</v>
      </c>
      <c r="C142" s="12" t="s">
        <v>260</v>
      </c>
      <c r="D142" s="12" t="s">
        <v>364</v>
      </c>
      <c r="E142" s="12" t="s">
        <v>365</v>
      </c>
      <c r="F142" s="13" t="n">
        <v>24161</v>
      </c>
      <c r="G142" s="13" t="n">
        <v>6665</v>
      </c>
      <c r="H142" s="14" t="n">
        <v>4765</v>
      </c>
      <c r="I142" s="14" t="n">
        <v>4860</v>
      </c>
      <c r="J142" s="15" t="n">
        <f aca="false">I142/H142</f>
        <v>1.0199370409234</v>
      </c>
      <c r="K142" s="16" t="n">
        <f aca="false">ROUND(I142*J142^($F$8-1),0)</f>
        <v>4838</v>
      </c>
      <c r="L142" s="16" t="n">
        <f aca="false">ROUND(I142*J142^($F$9-1),0)</f>
        <v>4855</v>
      </c>
      <c r="M142" s="17" t="n">
        <f aca="false">G142*$F$7</f>
        <v>6420.40939967009</v>
      </c>
      <c r="N142" s="18" t="n">
        <f aca="false">F142/K142</f>
        <v>4.9940057875155</v>
      </c>
      <c r="O142" s="18" t="n">
        <f aca="false">G142/L142</f>
        <v>1.37281153450052</v>
      </c>
      <c r="P142" s="18" t="n">
        <f aca="false">M142/L142</f>
        <v>1.32243242011742</v>
      </c>
      <c r="Q142" s="19" t="n">
        <f aca="false">IF(N142=0,"n.a.",P142/N142-1)</f>
        <v>-0.735196057757208</v>
      </c>
    </row>
    <row r="143" customFormat="false" ht="15" hidden="false" customHeight="false" outlineLevel="0" collapsed="false">
      <c r="A143" s="12" t="s">
        <v>366</v>
      </c>
      <c r="B143" s="12" t="s">
        <v>259</v>
      </c>
      <c r="C143" s="12" t="s">
        <v>260</v>
      </c>
      <c r="D143" s="12" t="s">
        <v>367</v>
      </c>
      <c r="E143" s="12" t="s">
        <v>368</v>
      </c>
      <c r="F143" s="13" t="n">
        <v>27406255</v>
      </c>
      <c r="G143" s="13" t="n">
        <v>29114823</v>
      </c>
      <c r="H143" s="14" t="n">
        <v>233758</v>
      </c>
      <c r="I143" s="14" t="n">
        <v>270029</v>
      </c>
      <c r="J143" s="15" t="n">
        <f aca="false">I143/H143</f>
        <v>1.15516474302484</v>
      </c>
      <c r="K143" s="16" t="n">
        <f aca="false">ROUND(I143*J143^($F$8-1),0)</f>
        <v>261184</v>
      </c>
      <c r="L143" s="16" t="n">
        <f aca="false">ROUND(I143*J143^($F$9-1),0)</f>
        <v>268013</v>
      </c>
      <c r="M143" s="17" t="n">
        <f aca="false">G143*$F$7</f>
        <v>28046374.0823602</v>
      </c>
      <c r="N143" s="18" t="n">
        <f aca="false">F143/K143</f>
        <v>104.930834201176</v>
      </c>
      <c r="O143" s="18" t="n">
        <f aca="false">G143/L143</f>
        <v>108.632129784749</v>
      </c>
      <c r="P143" s="18" t="n">
        <f aca="false">M143/L143</f>
        <v>104.645573469795</v>
      </c>
      <c r="Q143" s="19" t="n">
        <f aca="false">IF(N143=0,"n.a.",P143/N143-1)</f>
        <v>-0.00271855964505241</v>
      </c>
    </row>
    <row r="144" customFormat="false" ht="15" hidden="false" customHeight="false" outlineLevel="0" collapsed="false">
      <c r="A144" s="12" t="s">
        <v>369</v>
      </c>
      <c r="B144" s="12" t="s">
        <v>259</v>
      </c>
      <c r="C144" s="12" t="s">
        <v>260</v>
      </c>
      <c r="D144" s="12" t="s">
        <v>370</v>
      </c>
      <c r="E144" s="12" t="s">
        <v>371</v>
      </c>
      <c r="F144" s="13" t="n">
        <v>218189</v>
      </c>
      <c r="G144" s="13" t="n">
        <v>203436</v>
      </c>
      <c r="H144" s="14" t="n">
        <v>14022</v>
      </c>
      <c r="I144" s="14" t="n">
        <v>13852</v>
      </c>
      <c r="J144" s="15" t="n">
        <f aca="false">I144/H144</f>
        <v>0.987876194551419</v>
      </c>
      <c r="K144" s="16" t="n">
        <f aca="false">ROUND(I144*J144^($F$8-1),0)</f>
        <v>13891</v>
      </c>
      <c r="L144" s="16" t="n">
        <f aca="false">ROUND(I144*J144^($F$9-1),0)</f>
        <v>13861</v>
      </c>
      <c r="M144" s="17" t="n">
        <f aca="false">G144*$F$7</f>
        <v>195970.353583088</v>
      </c>
      <c r="N144" s="18" t="n">
        <f aca="false">F144/K144</f>
        <v>15.7072205024836</v>
      </c>
      <c r="O144" s="18" t="n">
        <f aca="false">G144/L144</f>
        <v>14.6768631411875</v>
      </c>
      <c r="P144" s="18" t="n">
        <f aca="false">M144/L144</f>
        <v>14.1382550741713</v>
      </c>
      <c r="Q144" s="19" t="n">
        <f aca="false">IF(N144=0,"n.a.",P144/N144-1)</f>
        <v>-0.099888164686059</v>
      </c>
    </row>
    <row r="145" customFormat="false" ht="15" hidden="false" customHeight="false" outlineLevel="0" collapsed="false">
      <c r="A145" s="12" t="s">
        <v>372</v>
      </c>
      <c r="B145" s="12" t="s">
        <v>259</v>
      </c>
      <c r="C145" s="12" t="s">
        <v>260</v>
      </c>
      <c r="D145" s="12" t="s">
        <v>373</v>
      </c>
      <c r="E145" s="12" t="s">
        <v>374</v>
      </c>
      <c r="F145" s="13" t="n">
        <v>12649136</v>
      </c>
      <c r="G145" s="13" t="n">
        <v>12679473</v>
      </c>
      <c r="H145" s="14" t="n">
        <v>97003</v>
      </c>
      <c r="I145" s="14" t="n">
        <v>103091</v>
      </c>
      <c r="J145" s="15" t="n">
        <f aca="false">I145/H145</f>
        <v>1.06276094553777</v>
      </c>
      <c r="K145" s="16" t="n">
        <f aca="false">ROUND(I145*J145^($F$8-1),0)</f>
        <v>101652</v>
      </c>
      <c r="L145" s="16" t="n">
        <f aca="false">ROUND(I145*J145^($F$9-1),0)</f>
        <v>102765</v>
      </c>
      <c r="M145" s="17" t="n">
        <f aca="false">G145*$F$7</f>
        <v>12214164.685981</v>
      </c>
      <c r="N145" s="18" t="n">
        <f aca="false">F145/K145</f>
        <v>124.435682524692</v>
      </c>
      <c r="O145" s="18" t="n">
        <f aca="false">G145/L145</f>
        <v>123.383184936506</v>
      </c>
      <c r="P145" s="18" t="n">
        <f aca="false">M145/L145</f>
        <v>118.855297873604</v>
      </c>
      <c r="Q145" s="19" t="n">
        <f aca="false">IF(N145=0,"n.a.",P145/N145-1)</f>
        <v>-0.0448455341576189</v>
      </c>
    </row>
    <row r="146" customFormat="false" ht="15" hidden="false" customHeight="false" outlineLevel="0" collapsed="false">
      <c r="A146" s="12" t="s">
        <v>375</v>
      </c>
      <c r="B146" s="12" t="s">
        <v>259</v>
      </c>
      <c r="C146" s="12" t="s">
        <v>260</v>
      </c>
      <c r="D146" s="12" t="s">
        <v>376</v>
      </c>
      <c r="E146" s="12" t="s">
        <v>377</v>
      </c>
      <c r="F146" s="13" t="n">
        <v>1129572</v>
      </c>
      <c r="G146" s="13" t="n">
        <v>1633005</v>
      </c>
      <c r="H146" s="14" t="n">
        <v>18469</v>
      </c>
      <c r="I146" s="14" t="n">
        <v>19914</v>
      </c>
      <c r="J146" s="15" t="n">
        <f aca="false">I146/H146</f>
        <v>1.07823921165196</v>
      </c>
      <c r="K146" s="16" t="n">
        <f aca="false">ROUND(I146*J146^($F$8-1),0)</f>
        <v>19571</v>
      </c>
      <c r="L146" s="16" t="n">
        <f aca="false">ROUND(I146*J146^($F$9-1),0)</f>
        <v>19836</v>
      </c>
      <c r="M146" s="17" t="n">
        <f aca="false">G146*$F$7</f>
        <v>1573077.36709801</v>
      </c>
      <c r="N146" s="18" t="n">
        <f aca="false">F146/K146</f>
        <v>57.7166215318584</v>
      </c>
      <c r="O146" s="18" t="n">
        <f aca="false">G146/L146</f>
        <v>82.3253176043557</v>
      </c>
      <c r="P146" s="18" t="n">
        <f aca="false">M146/L146</f>
        <v>79.3041624872964</v>
      </c>
      <c r="Q146" s="19" t="n">
        <f aca="false">IF(N146=0,"n.a.",P146/N146-1)</f>
        <v>0.374026413578664</v>
      </c>
    </row>
    <row r="147" customFormat="false" ht="15" hidden="false" customHeight="false" outlineLevel="0" collapsed="false">
      <c r="A147" s="12" t="s">
        <v>378</v>
      </c>
      <c r="B147" s="12" t="s">
        <v>259</v>
      </c>
      <c r="C147" s="12" t="s">
        <v>260</v>
      </c>
      <c r="D147" s="12" t="s">
        <v>379</v>
      </c>
      <c r="E147" s="12" t="s">
        <v>380</v>
      </c>
      <c r="F147" s="13" t="n">
        <v>90615</v>
      </c>
      <c r="G147" s="13" t="n">
        <v>93043</v>
      </c>
      <c r="H147" s="14" t="n">
        <v>3983</v>
      </c>
      <c r="I147" s="14" t="n">
        <v>3972</v>
      </c>
      <c r="J147" s="15" t="n">
        <f aca="false">I147/H147</f>
        <v>0.997238262616119</v>
      </c>
      <c r="K147" s="16" t="n">
        <f aca="false">ROUND(I147*J147^($F$8-1),0)</f>
        <v>3975</v>
      </c>
      <c r="L147" s="16" t="n">
        <f aca="false">ROUND(I147*J147^($F$9-1),0)</f>
        <v>3973</v>
      </c>
      <c r="M147" s="17" t="n">
        <f aca="false">G147*$F$7</f>
        <v>89628.5298985002</v>
      </c>
      <c r="N147" s="18" t="n">
        <f aca="false">F147/K147</f>
        <v>22.7962264150943</v>
      </c>
      <c r="O147" s="18" t="n">
        <f aca="false">G147/L147</f>
        <v>23.418827082809</v>
      </c>
      <c r="P147" s="18" t="n">
        <f aca="false">M147/L147</f>
        <v>22.5594084818777</v>
      </c>
      <c r="Q147" s="19" t="n">
        <f aca="false">IF(N147=0,"n.a.",P147/N147-1)</f>
        <v>-0.0103884708330413</v>
      </c>
    </row>
    <row r="148" customFormat="false" ht="15" hidden="false" customHeight="false" outlineLevel="0" collapsed="false">
      <c r="A148" s="12" t="s">
        <v>381</v>
      </c>
      <c r="B148" s="12" t="s">
        <v>259</v>
      </c>
      <c r="C148" s="12" t="s">
        <v>260</v>
      </c>
      <c r="D148" s="12" t="s">
        <v>382</v>
      </c>
      <c r="E148" s="12" t="s">
        <v>383</v>
      </c>
      <c r="F148" s="13" t="n">
        <v>107536</v>
      </c>
      <c r="G148" s="13" t="n">
        <v>132612</v>
      </c>
      <c r="H148" s="14" t="n">
        <v>54781</v>
      </c>
      <c r="I148" s="14" t="n">
        <v>58719</v>
      </c>
      <c r="J148" s="15" t="n">
        <f aca="false">I148/H148</f>
        <v>1.07188623792921</v>
      </c>
      <c r="K148" s="16" t="n">
        <f aca="false">ROUND(I148*J148^($F$8-1),0)</f>
        <v>57785</v>
      </c>
      <c r="L148" s="16" t="n">
        <f aca="false">ROUND(I148*J148^($F$9-1),0)</f>
        <v>58508</v>
      </c>
      <c r="M148" s="17" t="n">
        <f aca="false">G148*$F$7</f>
        <v>127745.436055371</v>
      </c>
      <c r="N148" s="18" t="n">
        <f aca="false">F148/K148</f>
        <v>1.86096737907762</v>
      </c>
      <c r="O148" s="18" t="n">
        <f aca="false">G148/L148</f>
        <v>2.26656183769741</v>
      </c>
      <c r="P148" s="18" t="n">
        <f aca="false">M148/L148</f>
        <v>2.18338408517419</v>
      </c>
      <c r="Q148" s="19" t="n">
        <f aca="false">IF(N148=0,"n.a.",P148/N148-1)</f>
        <v>0.173252207277473</v>
      </c>
    </row>
    <row r="149" customFormat="false" ht="15" hidden="false" customHeight="false" outlineLevel="0" collapsed="false">
      <c r="A149" s="12" t="s">
        <v>384</v>
      </c>
      <c r="B149" s="12" t="s">
        <v>259</v>
      </c>
      <c r="C149" s="12" t="s">
        <v>260</v>
      </c>
      <c r="D149" s="12" t="s">
        <v>385</v>
      </c>
      <c r="E149" s="12" t="s">
        <v>386</v>
      </c>
      <c r="F149" s="13" t="n">
        <v>24079427</v>
      </c>
      <c r="G149" s="13" t="n">
        <v>20862052</v>
      </c>
      <c r="H149" s="14" t="n">
        <v>131790</v>
      </c>
      <c r="I149" s="14" t="n">
        <v>144331</v>
      </c>
      <c r="J149" s="15" t="n">
        <f aca="false">I149/H149</f>
        <v>1.09515896502011</v>
      </c>
      <c r="K149" s="16" t="n">
        <f aca="false">ROUND(I149*J149^($F$8-1),0)</f>
        <v>141333</v>
      </c>
      <c r="L149" s="16" t="n">
        <f aca="false">ROUND(I149*J149^($F$9-1),0)</f>
        <v>143651</v>
      </c>
      <c r="M149" s="17" t="n">
        <f aca="false">G149*$F$7</f>
        <v>20096461.3289132</v>
      </c>
      <c r="N149" s="18" t="n">
        <f aca="false">F149/K149</f>
        <v>170.373706070061</v>
      </c>
      <c r="O149" s="18" t="n">
        <f aca="false">G149/L149</f>
        <v>145.22733569554</v>
      </c>
      <c r="P149" s="18" t="n">
        <f aca="false">M149/L149</f>
        <v>139.897817132586</v>
      </c>
      <c r="Q149" s="19" t="n">
        <f aca="false">IF(N149=0,"n.a.",P149/N149-1)</f>
        <v>-0.178876715430155</v>
      </c>
    </row>
    <row r="150" customFormat="false" ht="15" hidden="false" customHeight="false" outlineLevel="0" collapsed="false">
      <c r="A150" s="12" t="s">
        <v>387</v>
      </c>
      <c r="B150" s="12" t="s">
        <v>259</v>
      </c>
      <c r="C150" s="12" t="s">
        <v>260</v>
      </c>
      <c r="D150" s="12" t="s">
        <v>388</v>
      </c>
      <c r="E150" s="12" t="s">
        <v>389</v>
      </c>
      <c r="F150" s="13" t="n">
        <v>356257</v>
      </c>
      <c r="G150" s="13" t="n">
        <v>44773</v>
      </c>
      <c r="H150" s="14" t="n">
        <v>12187</v>
      </c>
      <c r="I150" s="14" t="n">
        <v>12335</v>
      </c>
      <c r="J150" s="15" t="n">
        <f aca="false">I150/H150</f>
        <v>1.01214408796258</v>
      </c>
      <c r="K150" s="16" t="n">
        <f aca="false">ROUND(I150*J150^($F$8-1),0)</f>
        <v>12301</v>
      </c>
      <c r="L150" s="16" t="n">
        <f aca="false">ROUND(I150*J150^($F$9-1),0)</f>
        <v>12327</v>
      </c>
      <c r="M150" s="17" t="n">
        <f aca="false">G150*$F$7</f>
        <v>43129.9309904619</v>
      </c>
      <c r="N150" s="18" t="n">
        <f aca="false">F150/K150</f>
        <v>28.9616291358426</v>
      </c>
      <c r="O150" s="18" t="n">
        <f aca="false">G150/L150</f>
        <v>3.63210837997891</v>
      </c>
      <c r="P150" s="18" t="n">
        <f aca="false">M150/L150</f>
        <v>3.49881812204607</v>
      </c>
      <c r="Q150" s="19" t="n">
        <f aca="false">IF(N150=0,"n.a.",P150/N150-1)</f>
        <v>-0.879191253170355</v>
      </c>
    </row>
    <row r="151" customFormat="false" ht="15" hidden="false" customHeight="false" outlineLevel="0" collapsed="false">
      <c r="A151" s="12" t="s">
        <v>390</v>
      </c>
      <c r="B151" s="12" t="s">
        <v>259</v>
      </c>
      <c r="C151" s="12" t="s">
        <v>260</v>
      </c>
      <c r="D151" s="12" t="s">
        <v>391</v>
      </c>
      <c r="E151" s="12" t="s">
        <v>392</v>
      </c>
      <c r="F151" s="13" t="n">
        <v>6343358</v>
      </c>
      <c r="G151" s="13" t="n">
        <v>7054250</v>
      </c>
      <c r="H151" s="14" t="n">
        <v>31846</v>
      </c>
      <c r="I151" s="14" t="n">
        <v>31253</v>
      </c>
      <c r="J151" s="15" t="n">
        <f aca="false">I151/H151</f>
        <v>0.981379137097281</v>
      </c>
      <c r="K151" s="16" t="n">
        <f aca="false">ROUND(I151*J151^($F$8-1),0)</f>
        <v>31389</v>
      </c>
      <c r="L151" s="16" t="n">
        <f aca="false">ROUND(I151*J151^($F$9-1),0)</f>
        <v>31284</v>
      </c>
      <c r="M151" s="17" t="n">
        <f aca="false">G151*$F$7</f>
        <v>6795374.79484212</v>
      </c>
      <c r="N151" s="18" t="n">
        <f aca="false">F151/K151</f>
        <v>202.088566058173</v>
      </c>
      <c r="O151" s="18" t="n">
        <f aca="false">G151/L151</f>
        <v>225.490666155223</v>
      </c>
      <c r="P151" s="18" t="n">
        <f aca="false">M151/L151</f>
        <v>217.215662793828</v>
      </c>
      <c r="Q151" s="19" t="n">
        <f aca="false">IF(N151=0,"n.a.",P151/N151-1)</f>
        <v>0.0748537981673851</v>
      </c>
    </row>
    <row r="152" customFormat="false" ht="15" hidden="false" customHeight="false" outlineLevel="0" collapsed="false">
      <c r="A152" s="12" t="s">
        <v>393</v>
      </c>
      <c r="B152" s="12" t="s">
        <v>259</v>
      </c>
      <c r="C152" s="12" t="s">
        <v>260</v>
      </c>
      <c r="D152" s="12" t="s">
        <v>394</v>
      </c>
      <c r="E152" s="12" t="s">
        <v>395</v>
      </c>
      <c r="F152" s="13" t="n">
        <v>616552</v>
      </c>
      <c r="G152" s="13" t="n">
        <v>0</v>
      </c>
      <c r="H152" s="14" t="n">
        <v>12263</v>
      </c>
      <c r="I152" s="14" t="n">
        <v>12815</v>
      </c>
      <c r="J152" s="15" t="n">
        <f aca="false">I152/H152</f>
        <v>1.04501345510886</v>
      </c>
      <c r="K152" s="16" t="n">
        <f aca="false">ROUND(I152*J152^($F$8-1),0)</f>
        <v>12685</v>
      </c>
      <c r="L152" s="16" t="n">
        <f aca="false">ROUND(I152*J152^($F$9-1),0)</f>
        <v>12786</v>
      </c>
      <c r="M152" s="17" t="n">
        <f aca="false">G152*$F$7</f>
        <v>0</v>
      </c>
      <c r="N152" s="18" t="n">
        <f aca="false">F152/K152</f>
        <v>48.604808829326</v>
      </c>
      <c r="O152" s="18" t="n">
        <f aca="false">G152/L152</f>
        <v>0</v>
      </c>
      <c r="P152" s="18" t="n">
        <f aca="false">M152/L152</f>
        <v>0</v>
      </c>
      <c r="Q152" s="19" t="n">
        <f aca="false">IF(N152=0,"n.a.",P152/N152-1)</f>
        <v>-1</v>
      </c>
    </row>
    <row r="153" customFormat="false" ht="15" hidden="false" customHeight="false" outlineLevel="0" collapsed="false">
      <c r="A153" s="12" t="s">
        <v>396</v>
      </c>
      <c r="B153" s="12" t="s">
        <v>259</v>
      </c>
      <c r="C153" s="12" t="s">
        <v>260</v>
      </c>
      <c r="D153" s="12" t="s">
        <v>397</v>
      </c>
      <c r="E153" s="12" t="s">
        <v>398</v>
      </c>
      <c r="F153" s="13" t="n">
        <v>551983</v>
      </c>
      <c r="G153" s="13" t="n">
        <v>551610</v>
      </c>
      <c r="H153" s="14" t="n">
        <v>29324</v>
      </c>
      <c r="I153" s="14" t="n">
        <v>28021</v>
      </c>
      <c r="J153" s="15" t="n">
        <f aca="false">I153/H153</f>
        <v>0.95556540717501</v>
      </c>
      <c r="K153" s="16" t="n">
        <f aca="false">ROUND(I153*J153^($F$8-1),0)</f>
        <v>28317</v>
      </c>
      <c r="L153" s="16" t="n">
        <f aca="false">ROUND(I153*J153^($F$9-1),0)</f>
        <v>28087</v>
      </c>
      <c r="M153" s="17" t="n">
        <f aca="false">G153*$F$7</f>
        <v>531367.146129335</v>
      </c>
      <c r="N153" s="18" t="n">
        <f aca="false">F153/K153</f>
        <v>19.4929900766324</v>
      </c>
      <c r="O153" s="18" t="n">
        <f aca="false">G153/L153</f>
        <v>19.6393349236301</v>
      </c>
      <c r="P153" s="18" t="n">
        <f aca="false">M153/L153</f>
        <v>18.9186152358506</v>
      </c>
      <c r="Q153" s="19" t="n">
        <f aca="false">IF(N153=0,"n.a.",P153/N153-1)</f>
        <v>-0.0294657124701661</v>
      </c>
    </row>
    <row r="154" customFormat="false" ht="15" hidden="false" customHeight="false" outlineLevel="0" collapsed="false">
      <c r="A154" s="12" t="s">
        <v>399</v>
      </c>
      <c r="B154" s="12" t="s">
        <v>259</v>
      </c>
      <c r="C154" s="12" t="s">
        <v>260</v>
      </c>
      <c r="D154" s="12" t="s">
        <v>400</v>
      </c>
      <c r="E154" s="12" t="s">
        <v>401</v>
      </c>
      <c r="F154" s="13" t="n">
        <v>64297</v>
      </c>
      <c r="G154" s="13" t="n">
        <v>1322455</v>
      </c>
      <c r="H154" s="14" t="n">
        <v>10629</v>
      </c>
      <c r="I154" s="14" t="n">
        <v>11918</v>
      </c>
      <c r="J154" s="15" t="n">
        <f aca="false">I154/H154</f>
        <v>1.12127199172076</v>
      </c>
      <c r="K154" s="16" t="n">
        <f aca="false">ROUND(I154*J154^($F$8-1),0)</f>
        <v>11607</v>
      </c>
      <c r="L154" s="16" t="n">
        <f aca="false">ROUND(I154*J154^($F$9-1),0)</f>
        <v>11847</v>
      </c>
      <c r="M154" s="17" t="n">
        <f aca="false">G154*$F$7</f>
        <v>1273923.85786057</v>
      </c>
      <c r="N154" s="18" t="n">
        <f aca="false">F154/K154</f>
        <v>5.5395020246403</v>
      </c>
      <c r="O154" s="18" t="n">
        <f aca="false">G154/L154</f>
        <v>111.627838271292</v>
      </c>
      <c r="P154" s="18" t="n">
        <f aca="false">M154/L154</f>
        <v>107.531346151817</v>
      </c>
      <c r="Q154" s="19" t="n">
        <f aca="false">IF(N154=0,"n.a.",P154/N154-1)</f>
        <v>18.4117351475829</v>
      </c>
    </row>
    <row r="155" customFormat="false" ht="15" hidden="false" customHeight="false" outlineLevel="0" collapsed="false">
      <c r="A155" s="12" t="s">
        <v>402</v>
      </c>
      <c r="B155" s="12" t="s">
        <v>259</v>
      </c>
      <c r="C155" s="12" t="s">
        <v>260</v>
      </c>
      <c r="D155" s="12" t="s">
        <v>403</v>
      </c>
      <c r="E155" s="12" t="s">
        <v>404</v>
      </c>
      <c r="F155" s="13" t="n">
        <v>6950569</v>
      </c>
      <c r="G155" s="13" t="n">
        <v>14976284</v>
      </c>
      <c r="H155" s="14" t="n">
        <v>44819</v>
      </c>
      <c r="I155" s="14" t="n">
        <v>45392</v>
      </c>
      <c r="J155" s="15" t="n">
        <f aca="false">I155/H155</f>
        <v>1.01278475646489</v>
      </c>
      <c r="K155" s="16" t="n">
        <f aca="false">ROUND(I155*J155^($F$8-1),0)</f>
        <v>45259</v>
      </c>
      <c r="L155" s="16" t="n">
        <f aca="false">ROUND(I155*J155^($F$9-1),0)</f>
        <v>45362</v>
      </c>
      <c r="M155" s="17" t="n">
        <f aca="false">G155*$F$7</f>
        <v>14426687.8568235</v>
      </c>
      <c r="N155" s="18" t="n">
        <f aca="false">F155/K155</f>
        <v>153.57318986279</v>
      </c>
      <c r="O155" s="18" t="n">
        <f aca="false">G155/L155</f>
        <v>330.150434284203</v>
      </c>
      <c r="P155" s="18" t="n">
        <f aca="false">M155/L155</f>
        <v>318.034651400368</v>
      </c>
      <c r="Q155" s="19" t="n">
        <f aca="false">IF(N155=0,"n.a.",P155/N155-1)</f>
        <v>1.07089956055818</v>
      </c>
    </row>
    <row r="156" customFormat="false" ht="15" hidden="false" customHeight="false" outlineLevel="0" collapsed="false">
      <c r="A156" s="12" t="s">
        <v>405</v>
      </c>
      <c r="B156" s="12" t="s">
        <v>259</v>
      </c>
      <c r="C156" s="12" t="s">
        <v>260</v>
      </c>
      <c r="D156" s="12" t="s">
        <v>406</v>
      </c>
      <c r="E156" s="12" t="s">
        <v>407</v>
      </c>
      <c r="F156" s="13" t="n">
        <v>677300</v>
      </c>
      <c r="G156" s="13" t="n">
        <v>756680</v>
      </c>
      <c r="H156" s="14" t="n">
        <v>28800</v>
      </c>
      <c r="I156" s="14" t="n">
        <v>29654</v>
      </c>
      <c r="J156" s="15" t="n">
        <f aca="false">I156/H156</f>
        <v>1.02965277777778</v>
      </c>
      <c r="K156" s="16" t="n">
        <f aca="false">ROUND(I156*J156^($F$8-1),0)</f>
        <v>29455</v>
      </c>
      <c r="L156" s="16" t="n">
        <f aca="false">ROUND(I156*J156^($F$9-1),0)</f>
        <v>29609</v>
      </c>
      <c r="M156" s="17" t="n">
        <f aca="false">G156*$F$7</f>
        <v>728911.535565245</v>
      </c>
      <c r="N156" s="18" t="n">
        <f aca="false">F156/K156</f>
        <v>22.9943982345951</v>
      </c>
      <c r="O156" s="18" t="n">
        <f aca="false">G156/L156</f>
        <v>25.5557431861934</v>
      </c>
      <c r="P156" s="18" t="n">
        <f aca="false">M156/L156</f>
        <v>24.617904541364</v>
      </c>
      <c r="Q156" s="19" t="n">
        <f aca="false">IF(N156=0,"n.a.",P156/N156-1)</f>
        <v>0.0706044267914889</v>
      </c>
    </row>
    <row r="157" customFormat="false" ht="15" hidden="false" customHeight="false" outlineLevel="0" collapsed="false">
      <c r="A157" s="12" t="s">
        <v>408</v>
      </c>
      <c r="B157" s="12" t="s">
        <v>259</v>
      </c>
      <c r="C157" s="12" t="s">
        <v>260</v>
      </c>
      <c r="D157" s="12" t="s">
        <v>409</v>
      </c>
      <c r="E157" s="12" t="s">
        <v>410</v>
      </c>
      <c r="F157" s="13" t="n">
        <v>2719703</v>
      </c>
      <c r="G157" s="13" t="n">
        <v>3084321</v>
      </c>
      <c r="H157" s="14" t="n">
        <v>63765</v>
      </c>
      <c r="I157" s="14" t="n">
        <v>71271</v>
      </c>
      <c r="J157" s="15" t="n">
        <f aca="false">I157/H157</f>
        <v>1.11771347918137</v>
      </c>
      <c r="K157" s="16" t="n">
        <f aca="false">ROUND(I157*J157^($F$8-1),0)</f>
        <v>69463</v>
      </c>
      <c r="L157" s="16" t="n">
        <f aca="false">ROUND(I157*J157^($F$9-1),0)</f>
        <v>70860</v>
      </c>
      <c r="M157" s="17" t="n">
        <f aca="false">G157*$F$7</f>
        <v>2971133.31432856</v>
      </c>
      <c r="N157" s="18" t="n">
        <f aca="false">F157/K157</f>
        <v>39.153261448541</v>
      </c>
      <c r="O157" s="18" t="n">
        <f aca="false">G157/L157</f>
        <v>43.5269686706181</v>
      </c>
      <c r="P157" s="18" t="n">
        <f aca="false">M157/L157</f>
        <v>41.9296262253536</v>
      </c>
      <c r="Q157" s="19" t="n">
        <f aca="false">IF(N157=0,"n.a.",P157/N157-1)</f>
        <v>0.0709101789760642</v>
      </c>
    </row>
    <row r="158" customFormat="false" ht="15" hidden="false" customHeight="false" outlineLevel="0" collapsed="false">
      <c r="A158" s="12" t="s">
        <v>411</v>
      </c>
      <c r="B158" s="12" t="s">
        <v>259</v>
      </c>
      <c r="C158" s="12" t="s">
        <v>260</v>
      </c>
      <c r="D158" s="12" t="s">
        <v>412</v>
      </c>
      <c r="E158" s="12" t="s">
        <v>413</v>
      </c>
      <c r="F158" s="13" t="n">
        <v>89356769</v>
      </c>
      <c r="G158" s="13" t="n">
        <v>76112459</v>
      </c>
      <c r="H158" s="14" t="n">
        <v>214862</v>
      </c>
      <c r="I158" s="14" t="n">
        <v>230382</v>
      </c>
      <c r="J158" s="15" t="n">
        <f aca="false">I158/H158</f>
        <v>1.07223240963968</v>
      </c>
      <c r="K158" s="16" t="n">
        <f aca="false">ROUND(I158*J158^($F$8-1),0)</f>
        <v>226702</v>
      </c>
      <c r="L158" s="16" t="n">
        <f aca="false">ROUND(I158*J158^($F$9-1),0)</f>
        <v>229549</v>
      </c>
      <c r="M158" s="17" t="n">
        <f aca="false">G158*$F$7</f>
        <v>73319301.9048168</v>
      </c>
      <c r="N158" s="18" t="n">
        <f aca="false">F158/K158</f>
        <v>394.15959718044</v>
      </c>
      <c r="O158" s="18" t="n">
        <f aca="false">G158/L158</f>
        <v>331.573907967362</v>
      </c>
      <c r="P158" s="18" t="n">
        <f aca="false">M158/L158</f>
        <v>319.405886781545</v>
      </c>
      <c r="Q158" s="19" t="n">
        <f aca="false">IF(N158=0,"n.a.",P158/N158-1)</f>
        <v>-0.189653406725687</v>
      </c>
    </row>
    <row r="159" customFormat="false" ht="15" hidden="false" customHeight="false" outlineLevel="0" collapsed="false">
      <c r="A159" s="12" t="s">
        <v>414</v>
      </c>
      <c r="B159" s="12" t="s">
        <v>259</v>
      </c>
      <c r="C159" s="12" t="s">
        <v>260</v>
      </c>
      <c r="D159" s="12" t="s">
        <v>415</v>
      </c>
      <c r="E159" s="12" t="s">
        <v>416</v>
      </c>
      <c r="F159" s="13" t="n">
        <v>2740178</v>
      </c>
      <c r="G159" s="13" t="n">
        <v>2893916</v>
      </c>
      <c r="H159" s="14" t="n">
        <v>41791</v>
      </c>
      <c r="I159" s="14" t="n">
        <v>47206</v>
      </c>
      <c r="J159" s="15" t="n">
        <f aca="false">I159/H159</f>
        <v>1.12957335311431</v>
      </c>
      <c r="K159" s="16" t="n">
        <f aca="false">ROUND(I159*J159^($F$8-1),0)</f>
        <v>45897</v>
      </c>
      <c r="L159" s="16" t="n">
        <f aca="false">ROUND(I159*J159^($F$9-1),0)</f>
        <v>46908</v>
      </c>
      <c r="M159" s="17" t="n">
        <f aca="false">G159*$F$7</f>
        <v>2787715.75217639</v>
      </c>
      <c r="N159" s="18" t="n">
        <f aca="false">F159/K159</f>
        <v>59.7027692441772</v>
      </c>
      <c r="O159" s="18" t="n">
        <f aca="false">G159/L159</f>
        <v>61.6934424831585</v>
      </c>
      <c r="P159" s="18" t="n">
        <f aca="false">M159/L159</f>
        <v>59.4294310602966</v>
      </c>
      <c r="Q159" s="19" t="n">
        <f aca="false">IF(N159=0,"n.a.",P159/N159-1)</f>
        <v>-0.00457831667343023</v>
      </c>
    </row>
    <row r="160" customFormat="false" ht="15" hidden="false" customHeight="false" outlineLevel="0" collapsed="false">
      <c r="A160" s="12" t="s">
        <v>417</v>
      </c>
      <c r="B160" s="12" t="s">
        <v>259</v>
      </c>
      <c r="C160" s="12" t="s">
        <v>260</v>
      </c>
      <c r="D160" s="12" t="s">
        <v>418</v>
      </c>
      <c r="E160" s="12" t="s">
        <v>419</v>
      </c>
      <c r="F160" s="13" t="n">
        <v>625504</v>
      </c>
      <c r="G160" s="13" t="n">
        <v>641237</v>
      </c>
      <c r="H160" s="14" t="n">
        <v>19092</v>
      </c>
      <c r="I160" s="14" t="n">
        <v>20087</v>
      </c>
      <c r="J160" s="15" t="n">
        <f aca="false">I160/H160</f>
        <v>1.05211606955793</v>
      </c>
      <c r="K160" s="16" t="n">
        <f aca="false">ROUND(I160*J160^($F$8-1),0)</f>
        <v>19853</v>
      </c>
      <c r="L160" s="16" t="n">
        <f aca="false">ROUND(I160*J160^($F$9-1),0)</f>
        <v>20034</v>
      </c>
      <c r="M160" s="17" t="n">
        <f aca="false">G160*$F$7</f>
        <v>617705.035591335</v>
      </c>
      <c r="N160" s="18" t="n">
        <f aca="false">F160/K160</f>
        <v>31.5067747947414</v>
      </c>
      <c r="O160" s="18" t="n">
        <f aca="false">G160/L160</f>
        <v>32.007437356494</v>
      </c>
      <c r="P160" s="18" t="n">
        <f aca="false">M160/L160</f>
        <v>30.8328359584374</v>
      </c>
      <c r="Q160" s="19" t="n">
        <f aca="false">IF(N160=0,"n.a.",P160/N160-1)</f>
        <v>-0.0213902832230366</v>
      </c>
    </row>
    <row r="161" customFormat="false" ht="15" hidden="false" customHeight="false" outlineLevel="0" collapsed="false">
      <c r="A161" s="12" t="s">
        <v>420</v>
      </c>
      <c r="B161" s="12" t="s">
        <v>259</v>
      </c>
      <c r="C161" s="12" t="s">
        <v>260</v>
      </c>
      <c r="D161" s="12" t="s">
        <v>421</v>
      </c>
      <c r="E161" s="12" t="s">
        <v>422</v>
      </c>
      <c r="F161" s="13" t="n">
        <v>859451</v>
      </c>
      <c r="G161" s="13" t="n">
        <v>567706</v>
      </c>
      <c r="H161" s="14" t="n">
        <v>8498</v>
      </c>
      <c r="I161" s="14" t="n">
        <v>8903</v>
      </c>
      <c r="J161" s="15" t="n">
        <f aca="false">I161/H161</f>
        <v>1.04765827253471</v>
      </c>
      <c r="K161" s="16" t="n">
        <f aca="false">ROUND(I161*J161^($F$8-1),0)</f>
        <v>8808</v>
      </c>
      <c r="L161" s="16" t="n">
        <f aca="false">ROUND(I161*J161^($F$9-1),0)</f>
        <v>8881</v>
      </c>
      <c r="M161" s="17" t="n">
        <f aca="false">G161*$F$7</f>
        <v>546872.458912094</v>
      </c>
      <c r="N161" s="18" t="n">
        <f aca="false">F161/K161</f>
        <v>97.5761807447775</v>
      </c>
      <c r="O161" s="18" t="n">
        <f aca="false">G161/L161</f>
        <v>63.9236572458057</v>
      </c>
      <c r="P161" s="18" t="n">
        <f aca="false">M161/L161</f>
        <v>61.5778019268206</v>
      </c>
      <c r="Q161" s="19" t="n">
        <f aca="false">IF(N161=0,"n.a.",P161/N161-1)</f>
        <v>-0.36892588481317</v>
      </c>
    </row>
    <row r="162" customFormat="false" ht="15" hidden="false" customHeight="false" outlineLevel="0" collapsed="false">
      <c r="A162" s="12" t="s">
        <v>423</v>
      </c>
      <c r="B162" s="12" t="s">
        <v>259</v>
      </c>
      <c r="C162" s="12" t="s">
        <v>260</v>
      </c>
      <c r="D162" s="12" t="s">
        <v>424</v>
      </c>
      <c r="E162" s="12" t="s">
        <v>425</v>
      </c>
      <c r="F162" s="13" t="n">
        <v>81478</v>
      </c>
      <c r="G162" s="13" t="n">
        <v>2750</v>
      </c>
      <c r="H162" s="14" t="n">
        <v>10890</v>
      </c>
      <c r="I162" s="14" t="n">
        <v>10702</v>
      </c>
      <c r="J162" s="15" t="n">
        <f aca="false">I162/H162</f>
        <v>0.982736455463728</v>
      </c>
      <c r="K162" s="16" t="n">
        <f aca="false">ROUND(I162*J162^($F$8-1),0)</f>
        <v>10745</v>
      </c>
      <c r="L162" s="16" t="n">
        <f aca="false">ROUND(I162*J162^($F$9-1),0)</f>
        <v>10712</v>
      </c>
      <c r="M162" s="17" t="n">
        <f aca="false">G162*$F$7</f>
        <v>2649.08114765082</v>
      </c>
      <c r="N162" s="18" t="n">
        <f aca="false">F162/K162</f>
        <v>7.58287575616566</v>
      </c>
      <c r="O162" s="18" t="n">
        <f aca="false">G162/L162</f>
        <v>0.2567214339059</v>
      </c>
      <c r="P162" s="18" t="n">
        <f aca="false">M162/L162</f>
        <v>0.24730033118473</v>
      </c>
      <c r="Q162" s="19" t="n">
        <f aca="false">IF(N162=0,"n.a.",P162/N162-1)</f>
        <v>-0.967386999452859</v>
      </c>
    </row>
    <row r="163" customFormat="false" ht="15" hidden="false" customHeight="false" outlineLevel="0" collapsed="false">
      <c r="A163" s="12" t="s">
        <v>426</v>
      </c>
      <c r="B163" s="12" t="s">
        <v>259</v>
      </c>
      <c r="C163" s="12" t="s">
        <v>260</v>
      </c>
      <c r="D163" s="12" t="s">
        <v>427</v>
      </c>
      <c r="E163" s="12" t="s">
        <v>428</v>
      </c>
      <c r="F163" s="13" t="n">
        <v>1590548</v>
      </c>
      <c r="G163" s="13" t="n">
        <v>1140482</v>
      </c>
      <c r="H163" s="14" t="n">
        <v>25625</v>
      </c>
      <c r="I163" s="14" t="n">
        <v>26998</v>
      </c>
      <c r="J163" s="15" t="n">
        <f aca="false">I163/H163</f>
        <v>1.05358048780488</v>
      </c>
      <c r="K163" s="16" t="n">
        <f aca="false">ROUND(I163*J163^($F$8-1),0)</f>
        <v>26675</v>
      </c>
      <c r="L163" s="16" t="n">
        <f aca="false">ROUND(I163*J163^($F$9-1),0)</f>
        <v>26925</v>
      </c>
      <c r="M163" s="17" t="n">
        <f aca="false">G163*$F$7</f>
        <v>1098628.86015822</v>
      </c>
      <c r="N163" s="18" t="n">
        <f aca="false">F163/K163</f>
        <v>59.6269165885661</v>
      </c>
      <c r="O163" s="18" t="n">
        <f aca="false">G163/L163</f>
        <v>42.3577344475395</v>
      </c>
      <c r="P163" s="18" t="n">
        <f aca="false">M163/L163</f>
        <v>40.8033002844279</v>
      </c>
      <c r="Q163" s="19" t="n">
        <f aca="false">IF(N163=0,"n.a.",P163/N163-1)</f>
        <v>-0.315689916250806</v>
      </c>
    </row>
    <row r="164" customFormat="false" ht="15" hidden="false" customHeight="false" outlineLevel="0" collapsed="false">
      <c r="A164" s="12" t="s">
        <v>429</v>
      </c>
      <c r="B164" s="12" t="s">
        <v>259</v>
      </c>
      <c r="C164" s="12" t="s">
        <v>260</v>
      </c>
      <c r="D164" s="12" t="s">
        <v>430</v>
      </c>
      <c r="E164" s="12" t="s">
        <v>431</v>
      </c>
      <c r="F164" s="13" t="n">
        <v>2017734</v>
      </c>
      <c r="G164" s="13" t="n">
        <v>2171924</v>
      </c>
      <c r="H164" s="14" t="n">
        <v>41587</v>
      </c>
      <c r="I164" s="14" t="n">
        <v>45220</v>
      </c>
      <c r="J164" s="15" t="n">
        <f aca="false">I164/H164</f>
        <v>1.08735903046625</v>
      </c>
      <c r="K164" s="16" t="n">
        <f aca="false">ROUND(I164*J164^($F$8-1),0)</f>
        <v>44354</v>
      </c>
      <c r="L164" s="16" t="n">
        <f aca="false">ROUND(I164*J164^($F$9-1),0)</f>
        <v>45024</v>
      </c>
      <c r="M164" s="17" t="n">
        <f aca="false">G164*$F$7</f>
        <v>2092219.2445565</v>
      </c>
      <c r="N164" s="18" t="n">
        <f aca="false">F164/K164</f>
        <v>45.4915903864364</v>
      </c>
      <c r="O164" s="18" t="n">
        <f aca="false">G164/L164</f>
        <v>48.239250177683</v>
      </c>
      <c r="P164" s="18" t="n">
        <f aca="false">M164/L164</f>
        <v>46.4689775354588</v>
      </c>
      <c r="Q164" s="19" t="n">
        <f aca="false">IF(N164=0,"n.a.",P164/N164-1)</f>
        <v>0.0214850072446318</v>
      </c>
    </row>
    <row r="165" customFormat="false" ht="15" hidden="false" customHeight="false" outlineLevel="0" collapsed="false">
      <c r="A165" s="12" t="s">
        <v>432</v>
      </c>
      <c r="B165" s="12" t="s">
        <v>259</v>
      </c>
      <c r="C165" s="12" t="s">
        <v>260</v>
      </c>
      <c r="D165" s="12" t="s">
        <v>433</v>
      </c>
      <c r="E165" s="12" t="s">
        <v>434</v>
      </c>
      <c r="F165" s="13" t="n">
        <v>157077</v>
      </c>
      <c r="G165" s="13" t="n">
        <v>215581</v>
      </c>
      <c r="H165" s="14" t="n">
        <v>2308</v>
      </c>
      <c r="I165" s="14" t="n">
        <v>2382</v>
      </c>
      <c r="J165" s="15" t="n">
        <f aca="false">I165/H165</f>
        <v>1.03206239168111</v>
      </c>
      <c r="K165" s="16" t="n">
        <f aca="false">ROUND(I165*J165^($F$8-1),0)</f>
        <v>2365</v>
      </c>
      <c r="L165" s="16" t="n">
        <f aca="false">ROUND(I165*J165^($F$9-1),0)</f>
        <v>2378</v>
      </c>
      <c r="M165" s="17" t="n">
        <f aca="false">G165*$F$7</f>
        <v>207669.65923335</v>
      </c>
      <c r="N165" s="18" t="n">
        <f aca="false">F165/K165</f>
        <v>66.4173361522199</v>
      </c>
      <c r="O165" s="18" t="n">
        <f aca="false">G165/L165</f>
        <v>90.6564339781329</v>
      </c>
      <c r="P165" s="18" t="n">
        <f aca="false">M165/L165</f>
        <v>87.3295455144449</v>
      </c>
      <c r="Q165" s="19" t="n">
        <f aca="false">IF(N165=0,"n.a.",P165/N165-1)</f>
        <v>0.314860706161068</v>
      </c>
    </row>
    <row r="166" customFormat="false" ht="15" hidden="false" customHeight="false" outlineLevel="0" collapsed="false">
      <c r="A166" s="12" t="s">
        <v>435</v>
      </c>
      <c r="B166" s="12" t="s">
        <v>259</v>
      </c>
      <c r="C166" s="12" t="s">
        <v>260</v>
      </c>
      <c r="D166" s="12" t="s">
        <v>436</v>
      </c>
      <c r="E166" s="12" t="s">
        <v>437</v>
      </c>
      <c r="F166" s="13" t="n">
        <v>87682040</v>
      </c>
      <c r="G166" s="13" t="n">
        <v>114069313</v>
      </c>
      <c r="H166" s="14" t="n">
        <v>350322</v>
      </c>
      <c r="I166" s="14" t="n">
        <v>403839</v>
      </c>
      <c r="J166" s="15" t="n">
        <f aca="false">I166/H166</f>
        <v>1.15276517032901</v>
      </c>
      <c r="K166" s="16" t="n">
        <f aca="false">ROUND(I166*J166^($F$8-1),0)</f>
        <v>390799</v>
      </c>
      <c r="L166" s="16" t="n">
        <f aca="false">ROUND(I166*J166^($F$9-1),0)</f>
        <v>400867</v>
      </c>
      <c r="M166" s="17" t="n">
        <f aca="false">G166*$F$7</f>
        <v>109883224.21592</v>
      </c>
      <c r="N166" s="18" t="n">
        <f aca="false">F166/K166</f>
        <v>224.366080772981</v>
      </c>
      <c r="O166" s="18" t="n">
        <f aca="false">G166/L166</f>
        <v>284.556506272654</v>
      </c>
      <c r="P166" s="18" t="n">
        <f aca="false">M166/L166</f>
        <v>274.113918621189</v>
      </c>
      <c r="Q166" s="19" t="n">
        <f aca="false">IF(N166=0,"n.a.",P166/N166-1)</f>
        <v>0.221726197100823</v>
      </c>
    </row>
    <row r="167" customFormat="false" ht="15" hidden="false" customHeight="false" outlineLevel="0" collapsed="false">
      <c r="A167" s="12" t="s">
        <v>438</v>
      </c>
      <c r="B167" s="12" t="s">
        <v>259</v>
      </c>
      <c r="C167" s="12" t="s">
        <v>260</v>
      </c>
      <c r="D167" s="12" t="s">
        <v>439</v>
      </c>
      <c r="E167" s="12" t="s">
        <v>440</v>
      </c>
      <c r="F167" s="13" t="n">
        <v>46198</v>
      </c>
      <c r="G167" s="13" t="n">
        <v>44661</v>
      </c>
      <c r="H167" s="14" t="n">
        <v>4439</v>
      </c>
      <c r="I167" s="14" t="n">
        <v>4275</v>
      </c>
      <c r="J167" s="15" t="n">
        <f aca="false">I167/H167</f>
        <v>0.963054742059022</v>
      </c>
      <c r="K167" s="16" t="n">
        <f aca="false">ROUND(I167*J167^($F$8-1),0)</f>
        <v>4312</v>
      </c>
      <c r="L167" s="16" t="n">
        <f aca="false">ROUND(I167*J167^($F$9-1),0)</f>
        <v>4283</v>
      </c>
      <c r="M167" s="17" t="n">
        <f aca="false">G167*$F$7</f>
        <v>43022.0411400849</v>
      </c>
      <c r="N167" s="18" t="n">
        <f aca="false">F167/K167</f>
        <v>10.7138218923933</v>
      </c>
      <c r="O167" s="18" t="n">
        <f aca="false">G167/L167</f>
        <v>10.4275040859211</v>
      </c>
      <c r="P167" s="18" t="n">
        <f aca="false">M167/L167</f>
        <v>10.0448379967511</v>
      </c>
      <c r="Q167" s="19" t="n">
        <f aca="false">IF(N167=0,"n.a.",P167/N167-1)</f>
        <v>-0.0624412000088606</v>
      </c>
    </row>
    <row r="168" customFormat="false" ht="15" hidden="false" customHeight="false" outlineLevel="0" collapsed="false">
      <c r="A168" s="12" t="s">
        <v>441</v>
      </c>
      <c r="B168" s="12" t="s">
        <v>259</v>
      </c>
      <c r="C168" s="12" t="s">
        <v>260</v>
      </c>
      <c r="D168" s="12" t="s">
        <v>442</v>
      </c>
      <c r="E168" s="12" t="s">
        <v>443</v>
      </c>
      <c r="F168" s="13" t="n">
        <v>395325</v>
      </c>
      <c r="G168" s="13" t="n">
        <v>292693</v>
      </c>
      <c r="H168" s="14" t="n">
        <v>13478</v>
      </c>
      <c r="I168" s="14" t="n">
        <v>14552</v>
      </c>
      <c r="J168" s="15" t="n">
        <f aca="false">I168/H168</f>
        <v>1.07968541326606</v>
      </c>
      <c r="K168" s="16" t="n">
        <f aca="false">ROUND(I168*J168^($F$8-1),0)</f>
        <v>14297</v>
      </c>
      <c r="L168" s="16" t="n">
        <f aca="false">ROUND(I168*J168^($F$9-1),0)</f>
        <v>14494</v>
      </c>
      <c r="M168" s="17" t="n">
        <f aca="false">G168*$F$7</f>
        <v>281951.82121795</v>
      </c>
      <c r="N168" s="18" t="n">
        <f aca="false">F168/K168</f>
        <v>27.6509057844303</v>
      </c>
      <c r="O168" s="18" t="n">
        <f aca="false">G168/L168</f>
        <v>20.1940803090934</v>
      </c>
      <c r="P168" s="18" t="n">
        <f aca="false">M168/L168</f>
        <v>19.4530027058058</v>
      </c>
      <c r="Q168" s="19" t="n">
        <f aca="false">IF(N168=0,"n.a.",P168/N168-1)</f>
        <v>-0.296478644950595</v>
      </c>
    </row>
    <row r="169" customFormat="false" ht="15" hidden="false" customHeight="false" outlineLevel="0" collapsed="false">
      <c r="A169" s="12" t="s">
        <v>444</v>
      </c>
      <c r="B169" s="12" t="s">
        <v>259</v>
      </c>
      <c r="C169" s="12" t="s">
        <v>260</v>
      </c>
      <c r="D169" s="12" t="s">
        <v>445</v>
      </c>
      <c r="E169" s="12" t="s">
        <v>446</v>
      </c>
      <c r="F169" s="13" t="n">
        <v>2024794</v>
      </c>
      <c r="G169" s="13" t="n">
        <v>2528014</v>
      </c>
      <c r="H169" s="14" t="n">
        <v>21299</v>
      </c>
      <c r="I169" s="14" t="n">
        <v>19296</v>
      </c>
      <c r="J169" s="15" t="n">
        <f aca="false">I169/H169</f>
        <v>0.905958026198413</v>
      </c>
      <c r="K169" s="16" t="n">
        <f aca="false">ROUND(I169*J169^($F$8-1),0)</f>
        <v>19741</v>
      </c>
      <c r="L169" s="16" t="n">
        <f aca="false">ROUND(I169*J169^($F$9-1),0)</f>
        <v>19395</v>
      </c>
      <c r="M169" s="17" t="n">
        <f aca="false">G169*$F$7</f>
        <v>2435241.53759904</v>
      </c>
      <c r="N169" s="18" t="n">
        <f aca="false">F169/K169</f>
        <v>102.567955017476</v>
      </c>
      <c r="O169" s="18" t="n">
        <f aca="false">G169/L169</f>
        <v>130.343593709719</v>
      </c>
      <c r="P169" s="18" t="n">
        <f aca="false">M169/L169</f>
        <v>125.5602752049</v>
      </c>
      <c r="Q169" s="19" t="n">
        <f aca="false">IF(N169=0,"n.a.",P169/N169-1)</f>
        <v>0.224166701807656</v>
      </c>
    </row>
    <row r="170" customFormat="false" ht="15" hidden="false" customHeight="false" outlineLevel="0" collapsed="false">
      <c r="A170" s="12" t="s">
        <v>447</v>
      </c>
      <c r="B170" s="12" t="s">
        <v>259</v>
      </c>
      <c r="C170" s="12" t="s">
        <v>260</v>
      </c>
      <c r="D170" s="12" t="s">
        <v>448</v>
      </c>
      <c r="E170" s="12" t="s">
        <v>449</v>
      </c>
      <c r="F170" s="13" t="n">
        <v>79585</v>
      </c>
      <c r="G170" s="13" t="n">
        <v>83807</v>
      </c>
      <c r="H170" s="14" t="n">
        <v>48110</v>
      </c>
      <c r="I170" s="14" t="n">
        <v>50623</v>
      </c>
      <c r="J170" s="15" t="n">
        <f aca="false">I170/H170</f>
        <v>1.05223446268967</v>
      </c>
      <c r="K170" s="16" t="n">
        <f aca="false">ROUND(I170*J170^($F$8-1),0)</f>
        <v>50031</v>
      </c>
      <c r="L170" s="16" t="n">
        <f aca="false">ROUND(I170*J170^($F$9-1),0)</f>
        <v>50489</v>
      </c>
      <c r="M170" s="17" t="n">
        <f aca="false">G170*$F$7</f>
        <v>80731.4704513355</v>
      </c>
      <c r="N170" s="18" t="n">
        <f aca="false">F170/K170</f>
        <v>1.59071375747037</v>
      </c>
      <c r="O170" s="18" t="n">
        <f aca="false">G170/L170</f>
        <v>1.65990611816435</v>
      </c>
      <c r="P170" s="18" t="n">
        <f aca="false">M170/L170</f>
        <v>1.59899127436344</v>
      </c>
      <c r="Q170" s="19" t="n">
        <f aca="false">IF(N170=0,"n.a.",P170/N170-1)</f>
        <v>0.00520364952788865</v>
      </c>
    </row>
    <row r="171" customFormat="false" ht="15" hidden="false" customHeight="false" outlineLevel="0" collapsed="false">
      <c r="A171" s="12" t="s">
        <v>450</v>
      </c>
      <c r="B171" s="12" t="s">
        <v>259</v>
      </c>
      <c r="C171" s="12" t="s">
        <v>260</v>
      </c>
      <c r="D171" s="12" t="s">
        <v>451</v>
      </c>
      <c r="E171" s="12" t="s">
        <v>452</v>
      </c>
      <c r="F171" s="13" t="n">
        <v>676442</v>
      </c>
      <c r="G171" s="13" t="n">
        <v>715247</v>
      </c>
      <c r="H171" s="14" t="n">
        <v>83262</v>
      </c>
      <c r="I171" s="14" t="n">
        <v>83341</v>
      </c>
      <c r="J171" s="15" t="n">
        <f aca="false">I171/H171</f>
        <v>1.00094881218323</v>
      </c>
      <c r="K171" s="16" t="n">
        <f aca="false">ROUND(I171*J171^($F$8-1),0)</f>
        <v>83323</v>
      </c>
      <c r="L171" s="16" t="n">
        <f aca="false">ROUND(I171*J171^($F$9-1),0)</f>
        <v>83337</v>
      </c>
      <c r="M171" s="17" t="n">
        <f aca="false">G171*$F$7</f>
        <v>688999.034041385</v>
      </c>
      <c r="N171" s="18" t="n">
        <f aca="false">F171/K171</f>
        <v>8.11831067052315</v>
      </c>
      <c r="O171" s="18" t="n">
        <f aca="false">G171/L171</f>
        <v>8.58258636619989</v>
      </c>
      <c r="P171" s="18" t="n">
        <f aca="false">M171/L171</f>
        <v>8.26762463301277</v>
      </c>
      <c r="Q171" s="19" t="n">
        <f aca="false">IF(N171=0,"n.a.",P171/N171-1)</f>
        <v>0.0183922454497543</v>
      </c>
    </row>
    <row r="172" customFormat="false" ht="15" hidden="false" customHeight="false" outlineLevel="0" collapsed="false">
      <c r="A172" s="12" t="s">
        <v>453</v>
      </c>
      <c r="B172" s="12" t="s">
        <v>259</v>
      </c>
      <c r="C172" s="12" t="s">
        <v>260</v>
      </c>
      <c r="D172" s="12" t="s">
        <v>454</v>
      </c>
      <c r="E172" s="12" t="s">
        <v>455</v>
      </c>
      <c r="F172" s="13" t="n">
        <v>23335994</v>
      </c>
      <c r="G172" s="13" t="n">
        <v>27126077</v>
      </c>
      <c r="H172" s="14" t="n">
        <v>91701</v>
      </c>
      <c r="I172" s="14" t="n">
        <v>91758</v>
      </c>
      <c r="J172" s="15" t="n">
        <f aca="false">I172/H172</f>
        <v>1.00062158536984</v>
      </c>
      <c r="K172" s="16" t="n">
        <f aca="false">ROUND(I172*J172^($F$8-1),0)</f>
        <v>91745</v>
      </c>
      <c r="L172" s="16" t="n">
        <f aca="false">ROUND(I172*J172^($F$9-1),0)</f>
        <v>91755</v>
      </c>
      <c r="M172" s="17" t="n">
        <f aca="false">G172*$F$7</f>
        <v>26130610.6146999</v>
      </c>
      <c r="N172" s="18" t="n">
        <f aca="false">F172/K172</f>
        <v>254.357120279034</v>
      </c>
      <c r="O172" s="18" t="n">
        <f aca="false">G172/L172</f>
        <v>295.6359544439</v>
      </c>
      <c r="P172" s="18" t="n">
        <f aca="false">M172/L172</f>
        <v>284.786775812761</v>
      </c>
      <c r="Q172" s="19" t="n">
        <f aca="false">IF(N172=0,"n.a.",P172/N172-1)</f>
        <v>0.119633590364384</v>
      </c>
    </row>
    <row r="173" customFormat="false" ht="15" hidden="false" customHeight="false" outlineLevel="0" collapsed="false">
      <c r="A173" s="12" t="s">
        <v>456</v>
      </c>
      <c r="B173" s="12" t="s">
        <v>259</v>
      </c>
      <c r="C173" s="12" t="s">
        <v>260</v>
      </c>
      <c r="D173" s="12" t="s">
        <v>457</v>
      </c>
      <c r="E173" s="12" t="s">
        <v>458</v>
      </c>
      <c r="F173" s="13" t="n">
        <v>96130</v>
      </c>
      <c r="G173" s="13" t="n">
        <v>128639</v>
      </c>
      <c r="H173" s="14" t="n">
        <v>7211</v>
      </c>
      <c r="I173" s="14" t="n">
        <v>8322</v>
      </c>
      <c r="J173" s="15" t="n">
        <f aca="false">I173/H173</f>
        <v>1.15407017057274</v>
      </c>
      <c r="K173" s="16" t="n">
        <f aca="false">ROUND(I173*J173^($F$8-1),0)</f>
        <v>8051</v>
      </c>
      <c r="L173" s="16" t="n">
        <f aca="false">ROUND(I173*J173^($F$9-1),0)</f>
        <v>8260</v>
      </c>
      <c r="M173" s="17" t="n">
        <f aca="false">G173*$F$7</f>
        <v>123918.236273692</v>
      </c>
      <c r="N173" s="18" t="n">
        <f aca="false">F173/K173</f>
        <v>11.9401316606633</v>
      </c>
      <c r="O173" s="18" t="n">
        <f aca="false">G173/L173</f>
        <v>15.5737288135593</v>
      </c>
      <c r="P173" s="18" t="n">
        <f aca="false">M173/L173</f>
        <v>15.0022077813187</v>
      </c>
      <c r="Q173" s="19" t="n">
        <f aca="false">IF(N173=0,"n.a.",P173/N173-1)</f>
        <v>0.256452458622666</v>
      </c>
    </row>
    <row r="174" customFormat="false" ht="15" hidden="false" customHeight="false" outlineLevel="0" collapsed="false">
      <c r="A174" s="12" t="s">
        <v>459</v>
      </c>
      <c r="B174" s="12" t="s">
        <v>259</v>
      </c>
      <c r="C174" s="12" t="s">
        <v>260</v>
      </c>
      <c r="D174" s="12" t="s">
        <v>460</v>
      </c>
      <c r="E174" s="12" t="s">
        <v>461</v>
      </c>
      <c r="F174" s="13" t="n">
        <v>3277616</v>
      </c>
      <c r="G174" s="13" t="n">
        <v>3208571</v>
      </c>
      <c r="H174" s="14" t="n">
        <v>82979</v>
      </c>
      <c r="I174" s="14" t="n">
        <v>83339</v>
      </c>
      <c r="J174" s="15" t="n">
        <f aca="false">I174/H174</f>
        <v>1.00433844707697</v>
      </c>
      <c r="K174" s="16" t="n">
        <f aca="false">ROUND(I174*J174^($F$8-1),0)</f>
        <v>83256</v>
      </c>
      <c r="L174" s="16" t="n">
        <f aca="false">ROUND(I174*J174^($F$9-1),0)</f>
        <v>83320</v>
      </c>
      <c r="M174" s="17" t="n">
        <f aca="false">G174*$F$7</f>
        <v>3090823.6170906</v>
      </c>
      <c r="N174" s="18" t="n">
        <f aca="false">F174/K174</f>
        <v>39.3679254348035</v>
      </c>
      <c r="O174" s="18" t="n">
        <f aca="false">G174/L174</f>
        <v>38.5090134421507</v>
      </c>
      <c r="P174" s="18" t="n">
        <f aca="false">M174/L174</f>
        <v>37.095818736085</v>
      </c>
      <c r="Q174" s="19" t="n">
        <f aca="false">IF(N174=0,"n.a.",P174/N174-1)</f>
        <v>-0.057714666790896</v>
      </c>
    </row>
    <row r="175" customFormat="false" ht="15" hidden="false" customHeight="false" outlineLevel="0" collapsed="false">
      <c r="A175" s="12" t="s">
        <v>462</v>
      </c>
      <c r="B175" s="12" t="s">
        <v>259</v>
      </c>
      <c r="C175" s="12" t="s">
        <v>260</v>
      </c>
      <c r="D175" s="12" t="s">
        <v>463</v>
      </c>
      <c r="E175" s="12" t="s">
        <v>464</v>
      </c>
      <c r="F175" s="13" t="n">
        <v>742605</v>
      </c>
      <c r="G175" s="13" t="n">
        <v>763694</v>
      </c>
      <c r="H175" s="14" t="n">
        <v>37801</v>
      </c>
      <c r="I175" s="14" t="n">
        <v>41885</v>
      </c>
      <c r="J175" s="15" t="n">
        <f aca="false">I175/H175</f>
        <v>1.1080394698553</v>
      </c>
      <c r="K175" s="16" t="n">
        <f aca="false">ROUND(I175*J175^($F$8-1),0)</f>
        <v>40905</v>
      </c>
      <c r="L175" s="16" t="n">
        <f aca="false">ROUND(I175*J175^($F$9-1),0)</f>
        <v>41662</v>
      </c>
      <c r="M175" s="17" t="n">
        <f aca="false">G175*$F$7</f>
        <v>735668.137445108</v>
      </c>
      <c r="N175" s="18" t="n">
        <f aca="false">F175/K175</f>
        <v>18.1543821048772</v>
      </c>
      <c r="O175" s="18" t="n">
        <f aca="false">G175/L175</f>
        <v>18.3307090394124</v>
      </c>
      <c r="P175" s="18" t="n">
        <f aca="false">M175/L175</f>
        <v>17.6580129961382</v>
      </c>
      <c r="Q175" s="19" t="n">
        <f aca="false">IF(N175=0,"n.a.",P175/N175-1)</f>
        <v>-0.0273415589619895</v>
      </c>
    </row>
    <row r="176" customFormat="false" ht="15" hidden="false" customHeight="false" outlineLevel="0" collapsed="false">
      <c r="A176" s="12" t="s">
        <v>465</v>
      </c>
      <c r="B176" s="12" t="s">
        <v>259</v>
      </c>
      <c r="C176" s="12" t="s">
        <v>260</v>
      </c>
      <c r="D176" s="12" t="s">
        <v>466</v>
      </c>
      <c r="E176" s="12" t="s">
        <v>467</v>
      </c>
      <c r="F176" s="13" t="n">
        <v>413709977</v>
      </c>
      <c r="G176" s="13" t="n">
        <v>468992184</v>
      </c>
      <c r="H176" s="14" t="n">
        <v>602604</v>
      </c>
      <c r="I176" s="14" t="n">
        <v>617499</v>
      </c>
      <c r="J176" s="15" t="n">
        <f aca="false">I176/H176</f>
        <v>1.02471772507318</v>
      </c>
      <c r="K176" s="16" t="n">
        <f aca="false">ROUND(I176*J176^($F$8-1),0)</f>
        <v>614028</v>
      </c>
      <c r="L176" s="16" t="n">
        <f aca="false">ROUND(I176*J176^($F$9-1),0)</f>
        <v>616716</v>
      </c>
      <c r="M176" s="17" t="n">
        <f aca="false">G176*$F$7</f>
        <v>451781219.283631</v>
      </c>
      <c r="N176" s="18" t="n">
        <f aca="false">F176/K176</f>
        <v>673.764025419036</v>
      </c>
      <c r="O176" s="18" t="n">
        <f aca="false">G176/L176</f>
        <v>760.467028583659</v>
      </c>
      <c r="P176" s="18" t="n">
        <f aca="false">M176/L176</f>
        <v>732.559588665822</v>
      </c>
      <c r="Q176" s="19" t="n">
        <f aca="false">IF(N176=0,"n.a.",P176/N176-1)</f>
        <v>0.0872643255332892</v>
      </c>
    </row>
    <row r="177" customFormat="false" ht="15" hidden="false" customHeight="false" outlineLevel="0" collapsed="false">
      <c r="A177" s="12" t="s">
        <v>468</v>
      </c>
      <c r="B177" s="12" t="s">
        <v>259</v>
      </c>
      <c r="C177" s="12" t="s">
        <v>260</v>
      </c>
      <c r="D177" s="12" t="s">
        <v>469</v>
      </c>
      <c r="E177" s="12" t="s">
        <v>470</v>
      </c>
      <c r="F177" s="13" t="n">
        <v>4581297</v>
      </c>
      <c r="G177" s="13" t="n">
        <v>6860343</v>
      </c>
      <c r="H177" s="14" t="n">
        <v>41020</v>
      </c>
      <c r="I177" s="14" t="n">
        <v>49261</v>
      </c>
      <c r="J177" s="15" t="n">
        <f aca="false">I177/H177</f>
        <v>1.20090199902487</v>
      </c>
      <c r="K177" s="16" t="n">
        <f aca="false">ROUND(I177*J177^($F$8-1),0)</f>
        <v>47222</v>
      </c>
      <c r="L177" s="16" t="n">
        <f aca="false">ROUND(I177*J177^($F$9-1),0)</f>
        <v>48795</v>
      </c>
      <c r="M177" s="17" t="n">
        <f aca="false">G177*$F$7</f>
        <v>6608583.7482612</v>
      </c>
      <c r="N177" s="18" t="n">
        <f aca="false">F177/K177</f>
        <v>97.0161577230952</v>
      </c>
      <c r="O177" s="18" t="n">
        <f aca="false">G177/L177</f>
        <v>140.595204426683</v>
      </c>
      <c r="P177" s="18" t="n">
        <f aca="false">M177/L177</f>
        <v>135.435674726124</v>
      </c>
      <c r="Q177" s="19" t="n">
        <f aca="false">IF(N177=0,"n.a.",P177/N177-1)</f>
        <v>0.396011529467966</v>
      </c>
    </row>
    <row r="178" customFormat="false" ht="15" hidden="false" customHeight="false" outlineLevel="0" collapsed="false">
      <c r="A178" s="12" t="s">
        <v>471</v>
      </c>
      <c r="B178" s="12" t="s">
        <v>259</v>
      </c>
      <c r="C178" s="12" t="s">
        <v>260</v>
      </c>
      <c r="D178" s="12" t="s">
        <v>472</v>
      </c>
      <c r="E178" s="12" t="s">
        <v>473</v>
      </c>
      <c r="F178" s="13" t="n">
        <v>1370054</v>
      </c>
      <c r="G178" s="13" t="n">
        <v>1559716</v>
      </c>
      <c r="H178" s="14" t="n">
        <v>30286</v>
      </c>
      <c r="I178" s="14" t="n">
        <v>32506</v>
      </c>
      <c r="J178" s="15" t="n">
        <f aca="false">I178/H178</f>
        <v>1.07330119527174</v>
      </c>
      <c r="K178" s="16" t="n">
        <f aca="false">ROUND(I178*J178^($F$8-1),0)</f>
        <v>31979</v>
      </c>
      <c r="L178" s="16" t="n">
        <f aca="false">ROUND(I178*J178^($F$9-1),0)</f>
        <v>32387</v>
      </c>
      <c r="M178" s="17" t="n">
        <f aca="false">G178*$F$7</f>
        <v>1502477.90955976</v>
      </c>
      <c r="N178" s="18" t="n">
        <f aca="false">F178/K178</f>
        <v>42.842302761187</v>
      </c>
      <c r="O178" s="18" t="n">
        <f aca="false">G178/L178</f>
        <v>48.158705653503</v>
      </c>
      <c r="P178" s="18" t="n">
        <f aca="false">M178/L178</f>
        <v>46.3913888152581</v>
      </c>
      <c r="Q178" s="19" t="n">
        <f aca="false">IF(N178=0,"n.a.",P178/N178-1)</f>
        <v>0.0828406930844616</v>
      </c>
    </row>
    <row r="179" customFormat="false" ht="15" hidden="false" customHeight="false" outlineLevel="0" collapsed="false">
      <c r="A179" s="12" t="s">
        <v>474</v>
      </c>
      <c r="B179" s="12" t="s">
        <v>259</v>
      </c>
      <c r="C179" s="12" t="s">
        <v>260</v>
      </c>
      <c r="D179" s="12" t="s">
        <v>475</v>
      </c>
      <c r="E179" s="12" t="s">
        <v>476</v>
      </c>
      <c r="F179" s="13" t="n">
        <v>781920</v>
      </c>
      <c r="G179" s="13" t="n">
        <v>970442</v>
      </c>
      <c r="H179" s="14" t="n">
        <v>16548</v>
      </c>
      <c r="I179" s="14" t="n">
        <v>17532</v>
      </c>
      <c r="J179" s="15" t="n">
        <f aca="false">I179/H179</f>
        <v>1.05946337926033</v>
      </c>
      <c r="K179" s="16" t="n">
        <f aca="false">ROUND(I179*J179^($F$8-1),0)</f>
        <v>17300</v>
      </c>
      <c r="L179" s="16" t="n">
        <f aca="false">ROUND(I179*J179^($F$9-1),0)</f>
        <v>17479</v>
      </c>
      <c r="M179" s="17" t="n">
        <f aca="false">G179*$F$7</f>
        <v>934828.948032204</v>
      </c>
      <c r="N179" s="18" t="n">
        <f aca="false">F179/K179</f>
        <v>45.1976878612717</v>
      </c>
      <c r="O179" s="18" t="n">
        <f aca="false">G179/L179</f>
        <v>55.5204531151668</v>
      </c>
      <c r="P179" s="18" t="n">
        <f aca="false">M179/L179</f>
        <v>53.4829766023344</v>
      </c>
      <c r="Q179" s="19" t="n">
        <f aca="false">IF(N179=0,"n.a.",P179/N179-1)</f>
        <v>0.183312225317661</v>
      </c>
    </row>
    <row r="180" customFormat="false" ht="15" hidden="false" customHeight="false" outlineLevel="0" collapsed="false">
      <c r="A180" s="12" t="s">
        <v>477</v>
      </c>
      <c r="B180" s="12" t="s">
        <v>259</v>
      </c>
      <c r="C180" s="12" t="s">
        <v>260</v>
      </c>
      <c r="D180" s="12" t="s">
        <v>478</v>
      </c>
      <c r="E180" s="12" t="s">
        <v>479</v>
      </c>
      <c r="F180" s="13" t="n">
        <v>284902</v>
      </c>
      <c r="G180" s="13" t="n">
        <v>82500</v>
      </c>
      <c r="H180" s="14" t="n">
        <v>15968</v>
      </c>
      <c r="I180" s="14" t="n">
        <v>16089</v>
      </c>
      <c r="J180" s="15" t="n">
        <f aca="false">I180/H180</f>
        <v>1.00757765531062</v>
      </c>
      <c r="K180" s="16" t="n">
        <f aca="false">ROUND(I180*J180^($F$8-1),0)</f>
        <v>16061</v>
      </c>
      <c r="L180" s="16" t="n">
        <f aca="false">ROUND(I180*J180^($F$9-1),0)</f>
        <v>16083</v>
      </c>
      <c r="M180" s="17" t="n">
        <f aca="false">G180*$F$7</f>
        <v>79472.4344295247</v>
      </c>
      <c r="N180" s="18" t="n">
        <f aca="false">F180/K180</f>
        <v>17.7387460307577</v>
      </c>
      <c r="O180" s="18" t="n">
        <f aca="false">G180/L180</f>
        <v>5.12963999253871</v>
      </c>
      <c r="P180" s="18" t="n">
        <f aca="false">M180/L180</f>
        <v>4.94139367217091</v>
      </c>
      <c r="Q180" s="19" t="n">
        <f aca="false">IF(N180=0,"n.a.",P180/N180-1)</f>
        <v>-0.721435006532994</v>
      </c>
    </row>
    <row r="181" customFormat="false" ht="15" hidden="false" customHeight="false" outlineLevel="0" collapsed="false">
      <c r="A181" s="12" t="s">
        <v>480</v>
      </c>
      <c r="B181" s="12" t="s">
        <v>259</v>
      </c>
      <c r="C181" s="12" t="s">
        <v>260</v>
      </c>
      <c r="D181" s="12" t="s">
        <v>481</v>
      </c>
      <c r="E181" s="12" t="s">
        <v>482</v>
      </c>
      <c r="F181" s="13" t="n">
        <v>1723808</v>
      </c>
      <c r="G181" s="13" t="n">
        <v>3494769</v>
      </c>
      <c r="H181" s="14" t="n">
        <v>67257</v>
      </c>
      <c r="I181" s="14" t="n">
        <v>68934</v>
      </c>
      <c r="J181" s="15" t="n">
        <f aca="false">I181/H181</f>
        <v>1.02493420759178</v>
      </c>
      <c r="K181" s="16" t="n">
        <f aca="false">ROUND(I181*J181^($F$8-1),0)</f>
        <v>68543</v>
      </c>
      <c r="L181" s="16" t="n">
        <f aca="false">ROUND(I181*J181^($F$9-1),0)</f>
        <v>68846</v>
      </c>
      <c r="M181" s="17" t="n">
        <f aca="false">G181*$F$7</f>
        <v>3366518.79028892</v>
      </c>
      <c r="N181" s="18" t="n">
        <f aca="false">F181/K181</f>
        <v>25.1492931444495</v>
      </c>
      <c r="O181" s="18" t="n">
        <f aca="false">G181/L181</f>
        <v>50.7621212561369</v>
      </c>
      <c r="P181" s="18" t="n">
        <f aca="false">M181/L181</f>
        <v>48.8992648852354</v>
      </c>
      <c r="Q181" s="19" t="n">
        <f aca="false">IF(N181=0,"n.a.",P181/N181-1)</f>
        <v>0.944359414174137</v>
      </c>
    </row>
    <row r="182" customFormat="false" ht="15" hidden="false" customHeight="false" outlineLevel="0" collapsed="false">
      <c r="A182" s="12" t="s">
        <v>483</v>
      </c>
      <c r="B182" s="12" t="s">
        <v>259</v>
      </c>
      <c r="C182" s="12" t="s">
        <v>260</v>
      </c>
      <c r="D182" s="12" t="s">
        <v>484</v>
      </c>
      <c r="E182" s="12" t="s">
        <v>485</v>
      </c>
      <c r="F182" s="13" t="n">
        <v>2432916</v>
      </c>
      <c r="G182" s="13" t="n">
        <v>2919498</v>
      </c>
      <c r="H182" s="14" t="n">
        <v>65628</v>
      </c>
      <c r="I182" s="14" t="n">
        <v>62460</v>
      </c>
      <c r="J182" s="15" t="n">
        <f aca="false">I182/H182</f>
        <v>0.951727921009325</v>
      </c>
      <c r="K182" s="16" t="n">
        <f aca="false">ROUND(I182*J182^($F$8-1),0)</f>
        <v>63178</v>
      </c>
      <c r="L182" s="16" t="n">
        <f aca="false">ROUND(I182*J182^($F$9-1),0)</f>
        <v>62621</v>
      </c>
      <c r="M182" s="17" t="n">
        <f aca="false">G182*$F$7</f>
        <v>2812358.94996519</v>
      </c>
      <c r="N182" s="18" t="n">
        <f aca="false">F182/K182</f>
        <v>38.5089113298933</v>
      </c>
      <c r="O182" s="18" t="n">
        <f aca="false">G182/L182</f>
        <v>46.6217083725907</v>
      </c>
      <c r="P182" s="18" t="n">
        <f aca="false">M182/L182</f>
        <v>44.9107958985834</v>
      </c>
      <c r="Q182" s="19" t="n">
        <f aca="false">IF(N182=0,"n.a.",P182/N182-1)</f>
        <v>0.166244236661153</v>
      </c>
    </row>
    <row r="183" customFormat="false" ht="15" hidden="false" customHeight="false" outlineLevel="0" collapsed="false">
      <c r="A183" s="12" t="s">
        <v>486</v>
      </c>
      <c r="B183" s="12" t="s">
        <v>259</v>
      </c>
      <c r="C183" s="12" t="s">
        <v>260</v>
      </c>
      <c r="D183" s="12" t="s">
        <v>487</v>
      </c>
      <c r="E183" s="12" t="s">
        <v>488</v>
      </c>
      <c r="F183" s="13" t="n">
        <v>2689409</v>
      </c>
      <c r="G183" s="13" t="n">
        <v>3310442</v>
      </c>
      <c r="H183" s="14" t="n">
        <v>40126</v>
      </c>
      <c r="I183" s="14" t="n">
        <v>44900</v>
      </c>
      <c r="J183" s="15" t="n">
        <f aca="false">I183/H183</f>
        <v>1.1189752280317</v>
      </c>
      <c r="K183" s="16" t="n">
        <f aca="false">ROUND(I183*J183^($F$8-1),0)</f>
        <v>43750</v>
      </c>
      <c r="L183" s="16" t="n">
        <f aca="false">ROUND(I183*J183^($F$9-1),0)</f>
        <v>44638</v>
      </c>
      <c r="M183" s="17" t="n">
        <f aca="false">G183*$F$7</f>
        <v>3188956.17912418</v>
      </c>
      <c r="N183" s="18" t="n">
        <f aca="false">F183/K183</f>
        <v>61.4722057142857</v>
      </c>
      <c r="O183" s="18" t="n">
        <f aca="false">G183/L183</f>
        <v>74.1619696222949</v>
      </c>
      <c r="P183" s="18" t="n">
        <f aca="false">M183/L183</f>
        <v>71.4403911269362</v>
      </c>
      <c r="Q183" s="19" t="n">
        <f aca="false">IF(N183=0,"n.a.",P183/N183-1)</f>
        <v>0.162157601095058</v>
      </c>
    </row>
    <row r="184" customFormat="false" ht="15" hidden="false" customHeight="false" outlineLevel="0" collapsed="false">
      <c r="A184" s="12" t="s">
        <v>489</v>
      </c>
      <c r="B184" s="12" t="s">
        <v>259</v>
      </c>
      <c r="C184" s="12" t="s">
        <v>260</v>
      </c>
      <c r="D184" s="12" t="s">
        <v>490</v>
      </c>
      <c r="E184" s="12" t="s">
        <v>491</v>
      </c>
      <c r="F184" s="13" t="n">
        <v>62104</v>
      </c>
      <c r="G184" s="13" t="n">
        <v>66650</v>
      </c>
      <c r="H184" s="14" t="n">
        <v>7526</v>
      </c>
      <c r="I184" s="14" t="n">
        <v>7412</v>
      </c>
      <c r="J184" s="15" t="n">
        <f aca="false">I184/H184</f>
        <v>0.98485251129418</v>
      </c>
      <c r="K184" s="16" t="n">
        <f aca="false">ROUND(I184*J184^($F$8-1),0)</f>
        <v>7438</v>
      </c>
      <c r="L184" s="16" t="n">
        <f aca="false">ROUND(I184*J184^($F$9-1),0)</f>
        <v>7418</v>
      </c>
      <c r="M184" s="17" t="n">
        <f aca="false">G184*$F$7</f>
        <v>64204.0939967009</v>
      </c>
      <c r="N184" s="18" t="n">
        <f aca="false">F184/K184</f>
        <v>8.3495563323474</v>
      </c>
      <c r="O184" s="18" t="n">
        <f aca="false">G184/L184</f>
        <v>8.98490159072526</v>
      </c>
      <c r="P184" s="18" t="n">
        <f aca="false">M184/L184</f>
        <v>8.65517578817752</v>
      </c>
      <c r="Q184" s="19" t="n">
        <f aca="false">IF(N184=0,"n.a.",P184/N184-1)</f>
        <v>0.0366030772971857</v>
      </c>
    </row>
    <row r="185" customFormat="false" ht="15" hidden="false" customHeight="false" outlineLevel="0" collapsed="false">
      <c r="A185" s="12" t="s">
        <v>492</v>
      </c>
      <c r="B185" s="12" t="s">
        <v>259</v>
      </c>
      <c r="C185" s="12" t="s">
        <v>260</v>
      </c>
      <c r="D185" s="12" t="s">
        <v>493</v>
      </c>
      <c r="E185" s="12" t="s">
        <v>494</v>
      </c>
      <c r="F185" s="13" t="n">
        <v>213559</v>
      </c>
      <c r="G185" s="13" t="n">
        <v>209298</v>
      </c>
      <c r="H185" s="14" t="n">
        <v>45209</v>
      </c>
      <c r="I185" s="14" t="n">
        <v>48274</v>
      </c>
      <c r="J185" s="15" t="n">
        <f aca="false">I185/H185</f>
        <v>1.06779623526289</v>
      </c>
      <c r="K185" s="16" t="n">
        <f aca="false">ROUND(I185*J185^($F$8-1),0)</f>
        <v>47548</v>
      </c>
      <c r="L185" s="16" t="n">
        <f aca="false">ROUND(I185*J185^($F$9-1),0)</f>
        <v>48110</v>
      </c>
      <c r="M185" s="17" t="n">
        <f aca="false">G185*$F$7</f>
        <v>201617.231287644</v>
      </c>
      <c r="N185" s="18" t="n">
        <f aca="false">F185/K185</f>
        <v>4.4914402288214</v>
      </c>
      <c r="O185" s="18" t="n">
        <f aca="false">G185/L185</f>
        <v>4.35040532113906</v>
      </c>
      <c r="P185" s="18" t="n">
        <f aca="false">M185/L185</f>
        <v>4.1907551712252</v>
      </c>
      <c r="Q185" s="19" t="n">
        <f aca="false">IF(N185=0,"n.a.",P185/N185-1)</f>
        <v>-0.0669462449186605</v>
      </c>
    </row>
    <row r="186" customFormat="false" ht="15" hidden="false" customHeight="false" outlineLevel="0" collapsed="false">
      <c r="A186" s="12" t="s">
        <v>495</v>
      </c>
      <c r="B186" s="12" t="s">
        <v>259</v>
      </c>
      <c r="C186" s="12" t="s">
        <v>260</v>
      </c>
      <c r="D186" s="12" t="s">
        <v>496</v>
      </c>
      <c r="E186" s="12" t="s">
        <v>497</v>
      </c>
      <c r="F186" s="13" t="n">
        <v>39080</v>
      </c>
      <c r="G186" s="13" t="n">
        <v>50687</v>
      </c>
      <c r="H186" s="14" t="n">
        <v>37948</v>
      </c>
      <c r="I186" s="14" t="n">
        <v>45175</v>
      </c>
      <c r="J186" s="15" t="n">
        <f aca="false">I186/H186</f>
        <v>1.19044481922631</v>
      </c>
      <c r="K186" s="16" t="n">
        <f aca="false">ROUND(I186*J186^($F$8-1),0)</f>
        <v>43393</v>
      </c>
      <c r="L186" s="16" t="n">
        <f aca="false">ROUND(I186*J186^($F$9-1),0)</f>
        <v>44768</v>
      </c>
      <c r="M186" s="17" t="n">
        <f aca="false">G186*$F$7</f>
        <v>48826.9004112645</v>
      </c>
      <c r="N186" s="18" t="n">
        <f aca="false">F186/K186</f>
        <v>0.900606088539626</v>
      </c>
      <c r="O186" s="18" t="n">
        <f aca="false">G186/L186</f>
        <v>1.13221497498213</v>
      </c>
      <c r="P186" s="18" t="n">
        <f aca="false">M186/L186</f>
        <v>1.09066521647749</v>
      </c>
      <c r="Q186" s="19" t="n">
        <f aca="false">IF(N186=0,"n.a.",P186/N186-1)</f>
        <v>0.21103469136663</v>
      </c>
    </row>
    <row r="187" customFormat="false" ht="15" hidden="false" customHeight="false" outlineLevel="0" collapsed="false">
      <c r="A187" s="12" t="s">
        <v>498</v>
      </c>
      <c r="B187" s="12" t="s">
        <v>259</v>
      </c>
      <c r="C187" s="12" t="s">
        <v>260</v>
      </c>
      <c r="D187" s="12" t="s">
        <v>499</v>
      </c>
      <c r="E187" s="12" t="s">
        <v>500</v>
      </c>
      <c r="F187" s="13" t="n">
        <v>983272</v>
      </c>
      <c r="G187" s="13" t="n">
        <v>1144866</v>
      </c>
      <c r="H187" s="14" t="n">
        <v>23469</v>
      </c>
      <c r="I187" s="14" t="n">
        <v>23867</v>
      </c>
      <c r="J187" s="15" t="n">
        <f aca="false">I187/H187</f>
        <v>1.01695854105416</v>
      </c>
      <c r="K187" s="16" t="n">
        <f aca="false">ROUND(I187*J187^($F$8-1),0)</f>
        <v>23775</v>
      </c>
      <c r="L187" s="16" t="n">
        <f aca="false">ROUND(I187*J187^($F$9-1),0)</f>
        <v>23846</v>
      </c>
      <c r="M187" s="17" t="n">
        <f aca="false">G187*$F$7</f>
        <v>1102851.97715869</v>
      </c>
      <c r="N187" s="18" t="n">
        <f aca="false">F187/K187</f>
        <v>41.3573922187171</v>
      </c>
      <c r="O187" s="18" t="n">
        <f aca="false">G187/L187</f>
        <v>48.0108194246415</v>
      </c>
      <c r="P187" s="18" t="n">
        <f aca="false">M187/L187</f>
        <v>46.2489296803948</v>
      </c>
      <c r="Q187" s="19" t="n">
        <f aca="false">IF(N187=0,"n.a.",P187/N187-1)</f>
        <v>0.118274804073934</v>
      </c>
    </row>
    <row r="188" customFormat="false" ht="15" hidden="false" customHeight="false" outlineLevel="0" collapsed="false">
      <c r="A188" s="12" t="s">
        <v>501</v>
      </c>
      <c r="B188" s="12" t="s">
        <v>259</v>
      </c>
      <c r="C188" s="12" t="s">
        <v>260</v>
      </c>
      <c r="D188" s="12" t="s">
        <v>502</v>
      </c>
      <c r="E188" s="12" t="s">
        <v>503</v>
      </c>
      <c r="F188" s="13" t="n">
        <v>272035</v>
      </c>
      <c r="G188" s="13" t="n">
        <v>300611</v>
      </c>
      <c r="H188" s="14" t="n">
        <v>14639</v>
      </c>
      <c r="I188" s="14" t="n">
        <v>13775</v>
      </c>
      <c r="J188" s="15" t="n">
        <f aca="false">I188/H188</f>
        <v>0.940979575107589</v>
      </c>
      <c r="K188" s="16" t="n">
        <f aca="false">ROUND(I188*J188^($F$8-1),0)</f>
        <v>13970</v>
      </c>
      <c r="L188" s="16" t="n">
        <f aca="false">ROUND(I188*J188^($F$9-1),0)</f>
        <v>13819</v>
      </c>
      <c r="M188" s="17" t="n">
        <f aca="false">G188*$F$7</f>
        <v>289579.248318713</v>
      </c>
      <c r="N188" s="18" t="n">
        <f aca="false">F188/K188</f>
        <v>19.4727988546886</v>
      </c>
      <c r="O188" s="18" t="n">
        <f aca="false">G188/L188</f>
        <v>21.75345538751</v>
      </c>
      <c r="P188" s="18" t="n">
        <f aca="false">M188/L188</f>
        <v>20.9551522048421</v>
      </c>
      <c r="Q188" s="19" t="n">
        <f aca="false">IF(N188=0,"n.a.",P188/N188-1)</f>
        <v>0.0761243086428014</v>
      </c>
    </row>
    <row r="189" customFormat="false" ht="15" hidden="false" customHeight="false" outlineLevel="0" collapsed="false">
      <c r="A189" s="12" t="s">
        <v>504</v>
      </c>
      <c r="B189" s="12" t="s">
        <v>259</v>
      </c>
      <c r="C189" s="12" t="s">
        <v>260</v>
      </c>
      <c r="D189" s="12" t="s">
        <v>505</v>
      </c>
      <c r="E189" s="12" t="s">
        <v>506</v>
      </c>
      <c r="F189" s="13" t="n">
        <v>0</v>
      </c>
      <c r="G189" s="13" t="n">
        <v>204312</v>
      </c>
      <c r="H189" s="14" t="n">
        <v>8412</v>
      </c>
      <c r="I189" s="14" t="n">
        <v>8359</v>
      </c>
      <c r="J189" s="15" t="n">
        <f aca="false">I189/H189</f>
        <v>0.993699476937708</v>
      </c>
      <c r="K189" s="16" t="n">
        <f aca="false">ROUND(I189*J189^($F$8-1),0)</f>
        <v>8371</v>
      </c>
      <c r="L189" s="16" t="n">
        <f aca="false">ROUND(I189*J189^($F$9-1),0)</f>
        <v>8362</v>
      </c>
      <c r="M189" s="17" t="n">
        <f aca="false">G189*$F$7</f>
        <v>196814.206341395</v>
      </c>
      <c r="N189" s="18" t="n">
        <f aca="false">F189/K189</f>
        <v>0</v>
      </c>
      <c r="O189" s="18" t="n">
        <f aca="false">G189/L189</f>
        <v>24.4333891413537</v>
      </c>
      <c r="P189" s="18" t="n">
        <f aca="false">M189/L189</f>
        <v>23.5367383809369</v>
      </c>
      <c r="Q189" s="19" t="str">
        <f aca="false">IF(N189=0,"n.a.",P189/N189-1)</f>
        <v>n.a.</v>
      </c>
    </row>
    <row r="190" customFormat="false" ht="15" hidden="false" customHeight="false" outlineLevel="0" collapsed="false">
      <c r="A190" s="12" t="s">
        <v>507</v>
      </c>
      <c r="B190" s="12" t="s">
        <v>259</v>
      </c>
      <c r="C190" s="12" t="s">
        <v>260</v>
      </c>
      <c r="D190" s="12" t="s">
        <v>508</v>
      </c>
      <c r="E190" s="12" t="s">
        <v>509</v>
      </c>
      <c r="F190" s="13" t="n">
        <v>0</v>
      </c>
      <c r="G190" s="13" t="n">
        <v>0</v>
      </c>
      <c r="H190" s="14" t="n">
        <v>6047</v>
      </c>
      <c r="I190" s="14" t="n">
        <v>6048</v>
      </c>
      <c r="J190" s="15" t="n">
        <f aca="false">I190/H190</f>
        <v>1.00016537125848</v>
      </c>
      <c r="K190" s="16" t="n">
        <f aca="false">ROUND(I190*J190^($F$8-1),0)</f>
        <v>6048</v>
      </c>
      <c r="L190" s="16" t="n">
        <f aca="false">ROUND(I190*J190^($F$9-1),0)</f>
        <v>6048</v>
      </c>
      <c r="M190" s="17" t="n">
        <f aca="false">G190*$F$7</f>
        <v>0</v>
      </c>
      <c r="N190" s="18" t="n">
        <f aca="false">F190/K190</f>
        <v>0</v>
      </c>
      <c r="O190" s="18" t="n">
        <f aca="false">G190/L190</f>
        <v>0</v>
      </c>
      <c r="P190" s="18" t="n">
        <f aca="false">M190/L190</f>
        <v>0</v>
      </c>
      <c r="Q190" s="19" t="str">
        <f aca="false">IF(N190=0,"n.a.",P190/N190-1)</f>
        <v>n.a.</v>
      </c>
    </row>
    <row r="191" customFormat="false" ht="15" hidden="false" customHeight="false" outlineLevel="0" collapsed="false">
      <c r="A191" s="12" t="s">
        <v>510</v>
      </c>
      <c r="B191" s="12" t="s">
        <v>259</v>
      </c>
      <c r="C191" s="12" t="s">
        <v>260</v>
      </c>
      <c r="D191" s="12" t="s">
        <v>511</v>
      </c>
      <c r="E191" s="12" t="s">
        <v>512</v>
      </c>
      <c r="F191" s="13" t="n">
        <v>102455</v>
      </c>
      <c r="G191" s="13" t="n">
        <v>0</v>
      </c>
      <c r="H191" s="14" t="n">
        <v>4315</v>
      </c>
      <c r="I191" s="14" t="n">
        <v>3918</v>
      </c>
      <c r="J191" s="15" t="n">
        <f aca="false">I191/H191</f>
        <v>0.907995365005794</v>
      </c>
      <c r="K191" s="16" t="n">
        <f aca="false">ROUND(I191*J191^($F$8-1),0)</f>
        <v>4006</v>
      </c>
      <c r="L191" s="16" t="n">
        <f aca="false">ROUND(I191*J191^($F$9-1),0)</f>
        <v>3938</v>
      </c>
      <c r="M191" s="17" t="n">
        <f aca="false">G191*$F$7</f>
        <v>0</v>
      </c>
      <c r="N191" s="18" t="n">
        <f aca="false">F191/K191</f>
        <v>25.5753869196206</v>
      </c>
      <c r="O191" s="18" t="n">
        <f aca="false">G191/L191</f>
        <v>0</v>
      </c>
      <c r="P191" s="18" t="n">
        <f aca="false">M191/L191</f>
        <v>0</v>
      </c>
      <c r="Q191" s="19" t="n">
        <f aca="false">IF(N191=0,"n.a.",P191/N191-1)</f>
        <v>-1</v>
      </c>
    </row>
    <row r="192" customFormat="false" ht="15" hidden="false" customHeight="false" outlineLevel="0" collapsed="false">
      <c r="A192" s="12" t="s">
        <v>513</v>
      </c>
      <c r="B192" s="12" t="s">
        <v>259</v>
      </c>
      <c r="C192" s="12" t="s">
        <v>260</v>
      </c>
      <c r="D192" s="12" t="s">
        <v>514</v>
      </c>
      <c r="E192" s="12" t="s">
        <v>515</v>
      </c>
      <c r="F192" s="13" t="n">
        <v>0</v>
      </c>
      <c r="G192" s="13" t="n">
        <v>0</v>
      </c>
      <c r="H192" s="14" t="n">
        <v>8718</v>
      </c>
      <c r="I192" s="14" t="n">
        <v>8662</v>
      </c>
      <c r="J192" s="15" t="n">
        <f aca="false">I192/H192</f>
        <v>0.99357650837348</v>
      </c>
      <c r="K192" s="16" t="n">
        <f aca="false">ROUND(I192*J192^($F$8-1),0)</f>
        <v>8675</v>
      </c>
      <c r="L192" s="16" t="n">
        <f aca="false">ROUND(I192*J192^($F$9-1),0)</f>
        <v>8665</v>
      </c>
      <c r="M192" s="17" t="n">
        <f aca="false">G192*$F$7</f>
        <v>0</v>
      </c>
      <c r="N192" s="18" t="n">
        <f aca="false">F192/K192</f>
        <v>0</v>
      </c>
      <c r="O192" s="18" t="n">
        <f aca="false">G192/L192</f>
        <v>0</v>
      </c>
      <c r="P192" s="18" t="n">
        <f aca="false">M192/L192</f>
        <v>0</v>
      </c>
      <c r="Q192" s="19" t="str">
        <f aca="false">IF(N192=0,"n.a.",P192/N192-1)</f>
        <v>n.a.</v>
      </c>
    </row>
    <row r="193" customFormat="false" ht="15" hidden="false" customHeight="false" outlineLevel="0" collapsed="false">
      <c r="A193" s="12" t="s">
        <v>516</v>
      </c>
      <c r="B193" s="12" t="s">
        <v>259</v>
      </c>
      <c r="C193" s="12" t="s">
        <v>260</v>
      </c>
      <c r="D193" s="12" t="s">
        <v>517</v>
      </c>
      <c r="E193" s="12" t="s">
        <v>518</v>
      </c>
      <c r="F193" s="13" t="n">
        <v>356165</v>
      </c>
      <c r="G193" s="13" t="n">
        <v>429858</v>
      </c>
      <c r="H193" s="14" t="n">
        <v>15581</v>
      </c>
      <c r="I193" s="14" t="n">
        <v>15711</v>
      </c>
      <c r="J193" s="15" t="n">
        <f aca="false">I193/H193</f>
        <v>1.00834349528272</v>
      </c>
      <c r="K193" s="16" t="n">
        <f aca="false">ROUND(I193*J193^($F$8-1),0)</f>
        <v>15681</v>
      </c>
      <c r="L193" s="16" t="n">
        <f aca="false">ROUND(I193*J193^($F$9-1),0)</f>
        <v>15704</v>
      </c>
      <c r="M193" s="17" t="n">
        <f aca="false">G193*$F$7</f>
        <v>414083.172351596</v>
      </c>
      <c r="N193" s="18" t="n">
        <f aca="false">F193/K193</f>
        <v>22.7131560487214</v>
      </c>
      <c r="O193" s="18" t="n">
        <f aca="false">G193/L193</f>
        <v>27.3725165562914</v>
      </c>
      <c r="P193" s="18" t="n">
        <f aca="false">M193/L193</f>
        <v>26.3680063901933</v>
      </c>
      <c r="Q193" s="19" t="n">
        <f aca="false">IF(N193=0,"n.a.",P193/N193-1)</f>
        <v>0.160913363762922</v>
      </c>
    </row>
    <row r="194" customFormat="false" ht="15" hidden="false" customHeight="false" outlineLevel="0" collapsed="false">
      <c r="A194" s="12" t="s">
        <v>519</v>
      </c>
      <c r="B194" s="12" t="s">
        <v>259</v>
      </c>
      <c r="C194" s="12" t="s">
        <v>260</v>
      </c>
      <c r="D194" s="12" t="s">
        <v>520</v>
      </c>
      <c r="E194" s="12" t="s">
        <v>521</v>
      </c>
      <c r="F194" s="13" t="n">
        <v>22655</v>
      </c>
      <c r="G194" s="13" t="n">
        <v>47770</v>
      </c>
      <c r="H194" s="14" t="n">
        <v>10783</v>
      </c>
      <c r="I194" s="14" t="n">
        <v>10800</v>
      </c>
      <c r="J194" s="15" t="n">
        <f aca="false">I194/H194</f>
        <v>1.00157655568951</v>
      </c>
      <c r="K194" s="16" t="n">
        <f aca="false">ROUND(I194*J194^($F$8-1),0)</f>
        <v>10796</v>
      </c>
      <c r="L194" s="16" t="n">
        <f aca="false">ROUND(I194*J194^($F$9-1),0)</f>
        <v>10799</v>
      </c>
      <c r="M194" s="17" t="n">
        <f aca="false">G194*$F$7</f>
        <v>46016.9477902836</v>
      </c>
      <c r="N194" s="18" t="n">
        <f aca="false">F194/K194</f>
        <v>2.09846239347907</v>
      </c>
      <c r="O194" s="18" t="n">
        <f aca="false">G194/L194</f>
        <v>4.42355773682748</v>
      </c>
      <c r="P194" s="18" t="n">
        <f aca="false">M194/L194</f>
        <v>4.26122305679078</v>
      </c>
      <c r="Q194" s="19" t="n">
        <f aca="false">IF(N194=0,"n.a.",P194/N194-1)</f>
        <v>1.0306406586234</v>
      </c>
    </row>
    <row r="195" customFormat="false" ht="15" hidden="false" customHeight="false" outlineLevel="0" collapsed="false">
      <c r="A195" s="12" t="s">
        <v>522</v>
      </c>
      <c r="B195" s="12" t="s">
        <v>259</v>
      </c>
      <c r="C195" s="12" t="s">
        <v>260</v>
      </c>
      <c r="D195" s="12" t="s">
        <v>523</v>
      </c>
      <c r="E195" s="12" t="s">
        <v>524</v>
      </c>
      <c r="F195" s="13" t="n">
        <v>122700</v>
      </c>
      <c r="G195" s="13" t="n">
        <v>258061</v>
      </c>
      <c r="H195" s="14" t="n">
        <v>11650</v>
      </c>
      <c r="I195" s="14" t="n">
        <v>10579</v>
      </c>
      <c r="J195" s="15" t="n">
        <f aca="false">I195/H195</f>
        <v>0.908068669527897</v>
      </c>
      <c r="K195" s="16" t="n">
        <f aca="false">ROUND(I195*J195^($F$8-1),0)</f>
        <v>10817</v>
      </c>
      <c r="L195" s="16" t="n">
        <f aca="false">ROUND(I195*J195^($F$9-1),0)</f>
        <v>10632</v>
      </c>
      <c r="M195" s="17" t="n">
        <f aca="false">G195*$F$7</f>
        <v>248590.738197789</v>
      </c>
      <c r="N195" s="18" t="n">
        <f aca="false">F195/K195</f>
        <v>11.343255985948</v>
      </c>
      <c r="O195" s="18" t="n">
        <f aca="false">G195/L195</f>
        <v>24.2721030850263</v>
      </c>
      <c r="P195" s="18" t="n">
        <f aca="false">M195/L195</f>
        <v>23.3813711623202</v>
      </c>
      <c r="Q195" s="19" t="n">
        <f aca="false">IF(N195=0,"n.a.",P195/N195-1)</f>
        <v>1.06125747239461</v>
      </c>
    </row>
    <row r="196" customFormat="false" ht="15" hidden="false" customHeight="false" outlineLevel="0" collapsed="false">
      <c r="A196" s="12" t="s">
        <v>525</v>
      </c>
      <c r="B196" s="12" t="s">
        <v>526</v>
      </c>
      <c r="C196" s="12" t="s">
        <v>527</v>
      </c>
      <c r="D196" s="12" t="s">
        <v>46</v>
      </c>
      <c r="E196" s="12" t="s">
        <v>528</v>
      </c>
      <c r="F196" s="13" t="n">
        <v>15812518</v>
      </c>
      <c r="G196" s="13" t="n">
        <v>14351364</v>
      </c>
      <c r="H196" s="14" t="n">
        <v>14623</v>
      </c>
      <c r="I196" s="14" t="n">
        <v>15610</v>
      </c>
      <c r="J196" s="15" t="n">
        <f aca="false">I196/H196</f>
        <v>1.06749640976544</v>
      </c>
      <c r="K196" s="16" t="n">
        <f aca="false">ROUND(I196*J196^($F$8-1),0)</f>
        <v>15376</v>
      </c>
      <c r="L196" s="16" t="n">
        <f aca="false">ROUND(I196*J196^($F$9-1),0)</f>
        <v>15557</v>
      </c>
      <c r="M196" s="17" t="n">
        <f aca="false">G196*$F$7</f>
        <v>13824701.023809</v>
      </c>
      <c r="N196" s="18" t="n">
        <f aca="false">F196/K196</f>
        <v>1028.38956815817</v>
      </c>
      <c r="O196" s="18" t="n">
        <f aca="false">G196/L196</f>
        <v>922.502024811982</v>
      </c>
      <c r="P196" s="18" t="n">
        <f aca="false">M196/L196</f>
        <v>888.648262763321</v>
      </c>
      <c r="Q196" s="19" t="n">
        <f aca="false">IF(N196=0,"n.a.",P196/N196-1)</f>
        <v>-0.135883627879581</v>
      </c>
    </row>
    <row r="197" customFormat="false" ht="15" hidden="false" customHeight="false" outlineLevel="0" collapsed="false">
      <c r="A197" s="12" t="s">
        <v>529</v>
      </c>
      <c r="B197" s="12" t="s">
        <v>526</v>
      </c>
      <c r="C197" s="12" t="s">
        <v>527</v>
      </c>
      <c r="D197" s="12" t="s">
        <v>48</v>
      </c>
      <c r="E197" s="12" t="s">
        <v>530</v>
      </c>
      <c r="F197" s="13" t="n">
        <v>23317491</v>
      </c>
      <c r="G197" s="13" t="n">
        <v>21153524</v>
      </c>
      <c r="H197" s="14" t="n">
        <v>25962</v>
      </c>
      <c r="I197" s="14" t="n">
        <v>29776</v>
      </c>
      <c r="J197" s="15" t="n">
        <f aca="false">I197/H197</f>
        <v>1.14690701794931</v>
      </c>
      <c r="K197" s="16" t="n">
        <f aca="false">ROUND(I197*J197^($F$8-1),0)</f>
        <v>28848</v>
      </c>
      <c r="L197" s="16" t="n">
        <f aca="false">ROUND(I197*J197^($F$9-1),0)</f>
        <v>29565</v>
      </c>
      <c r="M197" s="17" t="n">
        <f aca="false">G197*$F$7</f>
        <v>20377236.9581015</v>
      </c>
      <c r="N197" s="18" t="n">
        <f aca="false">F197/K197</f>
        <v>808.287957570715</v>
      </c>
      <c r="O197" s="18" t="n">
        <f aca="false">G197/L197</f>
        <v>715.49210214781</v>
      </c>
      <c r="P197" s="18" t="n">
        <f aca="false">M197/L197</f>
        <v>689.235141488298</v>
      </c>
      <c r="Q197" s="19" t="n">
        <f aca="false">IF(N197=0,"n.a.",P197/N197-1)</f>
        <v>-0.147290102453371</v>
      </c>
    </row>
    <row r="198" customFormat="false" ht="15" hidden="false" customHeight="false" outlineLevel="0" collapsed="false">
      <c r="A198" s="12" t="s">
        <v>531</v>
      </c>
      <c r="B198" s="12" t="s">
        <v>526</v>
      </c>
      <c r="C198" s="12" t="s">
        <v>527</v>
      </c>
      <c r="D198" s="12" t="s">
        <v>51</v>
      </c>
      <c r="E198" s="12" t="s">
        <v>141</v>
      </c>
      <c r="F198" s="13" t="n">
        <v>3272193</v>
      </c>
      <c r="G198" s="13" t="n">
        <v>5230928</v>
      </c>
      <c r="H198" s="14" t="n">
        <v>8487</v>
      </c>
      <c r="I198" s="14" t="n">
        <v>8166</v>
      </c>
      <c r="J198" s="15" t="n">
        <f aca="false">I198/H198</f>
        <v>0.962177447861435</v>
      </c>
      <c r="K198" s="16" t="n">
        <f aca="false">ROUND(I198*J198^($F$8-1),0)</f>
        <v>8239</v>
      </c>
      <c r="L198" s="16" t="n">
        <f aca="false">ROUND(I198*J198^($F$9-1),0)</f>
        <v>8182</v>
      </c>
      <c r="M198" s="17" t="n">
        <f aca="false">G198*$F$7</f>
        <v>5038964.63618866</v>
      </c>
      <c r="N198" s="18" t="n">
        <f aca="false">F198/K198</f>
        <v>397.158999878626</v>
      </c>
      <c r="O198" s="18" t="n">
        <f aca="false">G198/L198</f>
        <v>639.321437301393</v>
      </c>
      <c r="P198" s="18" t="n">
        <f aca="false">M198/L198</f>
        <v>615.859769761509</v>
      </c>
      <c r="Q198" s="19" t="n">
        <f aca="false">IF(N198=0,"n.a.",P198/N198-1)</f>
        <v>0.550663008894974</v>
      </c>
    </row>
    <row r="199" customFormat="false" ht="15" hidden="false" customHeight="false" outlineLevel="0" collapsed="false">
      <c r="A199" s="12" t="s">
        <v>532</v>
      </c>
      <c r="B199" s="12" t="s">
        <v>526</v>
      </c>
      <c r="C199" s="12" t="s">
        <v>527</v>
      </c>
      <c r="D199" s="12" t="s">
        <v>54</v>
      </c>
      <c r="E199" s="12" t="s">
        <v>533</v>
      </c>
      <c r="F199" s="13" t="n">
        <v>16486089</v>
      </c>
      <c r="G199" s="13" t="n">
        <v>21242956</v>
      </c>
      <c r="H199" s="14" t="n">
        <v>21377</v>
      </c>
      <c r="I199" s="14" t="n">
        <v>29810</v>
      </c>
      <c r="J199" s="15" t="n">
        <f aca="false">I199/H199</f>
        <v>1.39448940450016</v>
      </c>
      <c r="K199" s="16" t="n">
        <f aca="false">ROUND(I199*J199^($F$8-1),0)</f>
        <v>27607</v>
      </c>
      <c r="L199" s="16" t="n">
        <f aca="false">ROUND(I199*J199^($F$9-1),0)</f>
        <v>29299</v>
      </c>
      <c r="M199" s="17" t="n">
        <f aca="false">G199*$F$7</f>
        <v>20463387.0036276</v>
      </c>
      <c r="N199" s="18" t="n">
        <f aca="false">F199/K199</f>
        <v>597.170608903539</v>
      </c>
      <c r="O199" s="18" t="n">
        <f aca="false">G199/L199</f>
        <v>725.040308542954</v>
      </c>
      <c r="P199" s="18" t="n">
        <f aca="false">M199/L199</f>
        <v>698.432950053845</v>
      </c>
      <c r="Q199" s="19" t="n">
        <f aca="false">IF(N199=0,"n.a.",P199/N199-1)</f>
        <v>0.169570202619706</v>
      </c>
    </row>
    <row r="200" customFormat="false" ht="15" hidden="false" customHeight="false" outlineLevel="0" collapsed="false">
      <c r="A200" s="12" t="s">
        <v>534</v>
      </c>
      <c r="B200" s="12" t="s">
        <v>526</v>
      </c>
      <c r="C200" s="12" t="s">
        <v>527</v>
      </c>
      <c r="D200" s="12" t="s">
        <v>57</v>
      </c>
      <c r="E200" s="12" t="s">
        <v>535</v>
      </c>
      <c r="F200" s="13" t="n">
        <v>10795992</v>
      </c>
      <c r="G200" s="13" t="n">
        <v>13765688</v>
      </c>
      <c r="H200" s="14" t="n">
        <v>26079</v>
      </c>
      <c r="I200" s="14" t="n">
        <v>28291</v>
      </c>
      <c r="J200" s="15" t="n">
        <f aca="false">I200/H200</f>
        <v>1.08481920319031</v>
      </c>
      <c r="K200" s="16" t="n">
        <f aca="false">ROUND(I200*J200^($F$8-1),0)</f>
        <v>27764</v>
      </c>
      <c r="L200" s="16" t="n">
        <f aca="false">ROUND(I200*J200^($F$9-1),0)</f>
        <v>28172</v>
      </c>
      <c r="M200" s="17" t="n">
        <f aca="false">G200*$F$7</f>
        <v>13260518.0237248</v>
      </c>
      <c r="N200" s="18" t="n">
        <f aca="false">F200/K200</f>
        <v>388.848580896125</v>
      </c>
      <c r="O200" s="18" t="n">
        <f aca="false">G200/L200</f>
        <v>488.630129206304</v>
      </c>
      <c r="P200" s="18" t="n">
        <f aca="false">M200/L200</f>
        <v>470.698495801675</v>
      </c>
      <c r="Q200" s="19" t="n">
        <f aca="false">IF(N200=0,"n.a.",P200/N200-1)</f>
        <v>0.210493027175058</v>
      </c>
    </row>
    <row r="201" customFormat="false" ht="15" hidden="false" customHeight="false" outlineLevel="0" collapsed="false">
      <c r="A201" s="12" t="s">
        <v>536</v>
      </c>
      <c r="B201" s="12" t="s">
        <v>526</v>
      </c>
      <c r="C201" s="12" t="s">
        <v>527</v>
      </c>
      <c r="D201" s="12" t="s">
        <v>60</v>
      </c>
      <c r="E201" s="12" t="s">
        <v>537</v>
      </c>
      <c r="F201" s="13" t="n">
        <v>1679725</v>
      </c>
      <c r="G201" s="13" t="n">
        <v>1719244</v>
      </c>
      <c r="H201" s="14" t="n">
        <v>5793</v>
      </c>
      <c r="I201" s="14" t="n">
        <v>5744</v>
      </c>
      <c r="J201" s="15" t="n">
        <f aca="false">I201/H201</f>
        <v>0.991541515622303</v>
      </c>
      <c r="K201" s="16" t="n">
        <f aca="false">ROUND(I201*J201^($F$8-1),0)</f>
        <v>5755</v>
      </c>
      <c r="L201" s="16" t="n">
        <f aca="false">ROUND(I201*J201^($F$9-1),0)</f>
        <v>5747</v>
      </c>
      <c r="M201" s="17" t="n">
        <f aca="false">G201*$F$7</f>
        <v>1656151.58858611</v>
      </c>
      <c r="N201" s="18" t="n">
        <f aca="false">F201/K201</f>
        <v>291.872284969592</v>
      </c>
      <c r="O201" s="18" t="n">
        <f aca="false">G201/L201</f>
        <v>299.155037410823</v>
      </c>
      <c r="P201" s="18" t="n">
        <f aca="false">M201/L201</f>
        <v>288.176716301741</v>
      </c>
      <c r="Q201" s="19" t="n">
        <f aca="false">IF(N201=0,"n.a.",P201/N201-1)</f>
        <v>-0.0126615950131598</v>
      </c>
    </row>
    <row r="202" customFormat="false" ht="15" hidden="false" customHeight="false" outlineLevel="0" collapsed="false">
      <c r="A202" s="12" t="s">
        <v>538</v>
      </c>
      <c r="B202" s="12" t="s">
        <v>526</v>
      </c>
      <c r="C202" s="12" t="s">
        <v>527</v>
      </c>
      <c r="D202" s="12" t="s">
        <v>63</v>
      </c>
      <c r="E202" s="12" t="s">
        <v>539</v>
      </c>
      <c r="F202" s="13" t="n">
        <v>1227538</v>
      </c>
      <c r="G202" s="13" t="n">
        <v>1300786</v>
      </c>
      <c r="H202" s="14" t="n">
        <v>16314</v>
      </c>
      <c r="I202" s="14" t="n">
        <v>12998</v>
      </c>
      <c r="J202" s="15" t="n">
        <f aca="false">I202/H202</f>
        <v>0.796738997180336</v>
      </c>
      <c r="K202" s="16" t="n">
        <f aca="false">ROUND(I202*J202^($F$8-1),0)</f>
        <v>13698</v>
      </c>
      <c r="L202" s="16" t="n">
        <f aca="false">ROUND(I202*J202^($F$9-1),0)</f>
        <v>13152</v>
      </c>
      <c r="M202" s="17" t="n">
        <f aca="false">G202*$F$7</f>
        <v>1253050.06171932</v>
      </c>
      <c r="N202" s="18" t="n">
        <f aca="false">F202/K202</f>
        <v>89.6143962622281</v>
      </c>
      <c r="O202" s="18" t="n">
        <f aca="false">G202/L202</f>
        <v>98.9040450121655</v>
      </c>
      <c r="P202" s="18" t="n">
        <f aca="false">M202/L202</f>
        <v>95.2744876611403</v>
      </c>
      <c r="Q202" s="19" t="n">
        <f aca="false">IF(N202=0,"n.a.",P202/N202-1)</f>
        <v>0.0631605147720888</v>
      </c>
    </row>
    <row r="203" customFormat="false" ht="15" hidden="false" customHeight="false" outlineLevel="0" collapsed="false">
      <c r="A203" s="12" t="s">
        <v>540</v>
      </c>
      <c r="B203" s="12" t="s">
        <v>526</v>
      </c>
      <c r="C203" s="12" t="s">
        <v>527</v>
      </c>
      <c r="D203" s="12" t="s">
        <v>66</v>
      </c>
      <c r="E203" s="12" t="s">
        <v>541</v>
      </c>
      <c r="F203" s="13" t="n">
        <v>782657</v>
      </c>
      <c r="G203" s="13" t="n">
        <v>228842</v>
      </c>
      <c r="H203" s="14" t="n">
        <v>11238</v>
      </c>
      <c r="I203" s="14" t="n">
        <v>9900</v>
      </c>
      <c r="J203" s="15" t="n">
        <f aca="false">I203/H203</f>
        <v>0.880939668980246</v>
      </c>
      <c r="K203" s="16" t="n">
        <f aca="false">ROUND(I203*J203^($F$8-1),0)</f>
        <v>10194</v>
      </c>
      <c r="L203" s="16" t="n">
        <f aca="false">ROUND(I203*J203^($F$9-1),0)</f>
        <v>9965</v>
      </c>
      <c r="M203" s="17" t="n">
        <f aca="false">G203*$F$7</f>
        <v>220444.01017844</v>
      </c>
      <c r="N203" s="18" t="n">
        <f aca="false">F203/K203</f>
        <v>76.7762409260349</v>
      </c>
      <c r="O203" s="18" t="n">
        <f aca="false">G203/L203</f>
        <v>22.9645760160562</v>
      </c>
      <c r="P203" s="18" t="n">
        <f aca="false">M203/L203</f>
        <v>22.1218274137923</v>
      </c>
      <c r="Q203" s="19" t="n">
        <f aca="false">IF(N203=0,"n.a.",P203/N203-1)</f>
        <v>-0.711866234306729</v>
      </c>
    </row>
    <row r="204" customFormat="false" ht="15" hidden="false" customHeight="false" outlineLevel="0" collapsed="false">
      <c r="A204" s="12" t="s">
        <v>542</v>
      </c>
      <c r="B204" s="12" t="s">
        <v>526</v>
      </c>
      <c r="C204" s="12" t="s">
        <v>527</v>
      </c>
      <c r="D204" s="12" t="s">
        <v>69</v>
      </c>
      <c r="E204" s="12" t="s">
        <v>543</v>
      </c>
      <c r="F204" s="13" t="n">
        <v>2789900</v>
      </c>
      <c r="G204" s="13" t="n">
        <v>3195088</v>
      </c>
      <c r="H204" s="14" t="n">
        <v>23093</v>
      </c>
      <c r="I204" s="14" t="n">
        <v>22091</v>
      </c>
      <c r="J204" s="15" t="n">
        <f aca="false">I204/H204</f>
        <v>0.956610228207682</v>
      </c>
      <c r="K204" s="16" t="n">
        <f aca="false">ROUND(I204*J204^($F$8-1),0)</f>
        <v>22318</v>
      </c>
      <c r="L204" s="16" t="n">
        <f aca="false">ROUND(I204*J204^($F$9-1),0)</f>
        <v>22142</v>
      </c>
      <c r="M204" s="17" t="n">
        <f aca="false">G204*$F$7</f>
        <v>3077835.41304923</v>
      </c>
      <c r="N204" s="18" t="n">
        <f aca="false">F204/K204</f>
        <v>125.006721032351</v>
      </c>
      <c r="O204" s="18" t="n">
        <f aca="false">G204/L204</f>
        <v>144.2998825761</v>
      </c>
      <c r="P204" s="18" t="n">
        <f aca="false">M204/L204</f>
        <v>139.004399469299</v>
      </c>
      <c r="Q204" s="19" t="n">
        <f aca="false">IF(N204=0,"n.a.",P204/N204-1)</f>
        <v>0.111975406772939</v>
      </c>
    </row>
    <row r="205" customFormat="false" ht="15" hidden="false" customHeight="false" outlineLevel="0" collapsed="false">
      <c r="A205" s="12" t="s">
        <v>544</v>
      </c>
      <c r="B205" s="12" t="s">
        <v>526</v>
      </c>
      <c r="C205" s="12" t="s">
        <v>527</v>
      </c>
      <c r="D205" s="12" t="s">
        <v>72</v>
      </c>
      <c r="E205" s="12" t="s">
        <v>545</v>
      </c>
      <c r="F205" s="13" t="n">
        <v>14192551</v>
      </c>
      <c r="G205" s="13" t="n">
        <v>13621615</v>
      </c>
      <c r="H205" s="14" t="n">
        <v>25131</v>
      </c>
      <c r="I205" s="14" t="n">
        <v>28415</v>
      </c>
      <c r="J205" s="15" t="n">
        <f aca="false">I205/H205</f>
        <v>1.13067526162906</v>
      </c>
      <c r="K205" s="16" t="n">
        <f aca="false">ROUND(I205*J205^($F$8-1),0)</f>
        <v>27621</v>
      </c>
      <c r="L205" s="16" t="n">
        <f aca="false">ROUND(I205*J205^($F$9-1),0)</f>
        <v>28234</v>
      </c>
      <c r="M205" s="17" t="n">
        <f aca="false">G205*$F$7</f>
        <v>13121732.1807482</v>
      </c>
      <c r="N205" s="18" t="n">
        <f aca="false">F205/K205</f>
        <v>513.831903262011</v>
      </c>
      <c r="O205" s="18" t="n">
        <f aca="false">G205/L205</f>
        <v>482.454310405894</v>
      </c>
      <c r="P205" s="18" t="n">
        <f aca="false">M205/L205</f>
        <v>464.749315745139</v>
      </c>
      <c r="Q205" s="19" t="n">
        <f aca="false">IF(N205=0,"n.a.",P205/N205-1)</f>
        <v>-0.0955226547928929</v>
      </c>
    </row>
    <row r="206" customFormat="false" ht="15" hidden="false" customHeight="false" outlineLevel="0" collapsed="false">
      <c r="A206" s="12" t="s">
        <v>546</v>
      </c>
      <c r="B206" s="12" t="s">
        <v>526</v>
      </c>
      <c r="C206" s="12" t="s">
        <v>527</v>
      </c>
      <c r="D206" s="12" t="s">
        <v>75</v>
      </c>
      <c r="E206" s="12" t="s">
        <v>547</v>
      </c>
      <c r="F206" s="13" t="n">
        <v>30391431</v>
      </c>
      <c r="G206" s="13" t="n">
        <v>35012730</v>
      </c>
      <c r="H206" s="14" t="n">
        <v>49405</v>
      </c>
      <c r="I206" s="14" t="n">
        <v>52256</v>
      </c>
      <c r="J206" s="15" t="n">
        <f aca="false">I206/H206</f>
        <v>1.05770670984718</v>
      </c>
      <c r="K206" s="16" t="n">
        <f aca="false">ROUND(I206*J206^($F$8-1),0)</f>
        <v>51583</v>
      </c>
      <c r="L206" s="16" t="n">
        <f aca="false">ROUND(I206*J206^($F$9-1),0)</f>
        <v>52104</v>
      </c>
      <c r="M206" s="17" t="n">
        <f aca="false">G206*$F$7</f>
        <v>33727841.0802867</v>
      </c>
      <c r="N206" s="18" t="n">
        <f aca="false">F206/K206</f>
        <v>589.175329081287</v>
      </c>
      <c r="O206" s="18" t="n">
        <f aca="false">G206/L206</f>
        <v>671.977775218793</v>
      </c>
      <c r="P206" s="18" t="n">
        <f aca="false">M206/L206</f>
        <v>647.31769308089</v>
      </c>
      <c r="Q206" s="19" t="n">
        <f aca="false">IF(N206=0,"n.a.",P206/N206-1)</f>
        <v>0.0986843153977037</v>
      </c>
    </row>
    <row r="207" customFormat="false" ht="15" hidden="false" customHeight="false" outlineLevel="0" collapsed="false">
      <c r="A207" s="12" t="s">
        <v>548</v>
      </c>
      <c r="B207" s="12" t="s">
        <v>526</v>
      </c>
      <c r="C207" s="12" t="s">
        <v>527</v>
      </c>
      <c r="D207" s="12" t="s">
        <v>129</v>
      </c>
      <c r="E207" s="12" t="s">
        <v>549</v>
      </c>
      <c r="F207" s="13" t="n">
        <v>575776</v>
      </c>
      <c r="G207" s="13" t="n">
        <v>326590</v>
      </c>
      <c r="H207" s="14" t="n">
        <v>8103</v>
      </c>
      <c r="I207" s="14" t="n">
        <v>7860</v>
      </c>
      <c r="J207" s="15" t="n">
        <f aca="false">I207/H207</f>
        <v>0.970011106997408</v>
      </c>
      <c r="K207" s="16" t="n">
        <f aca="false">ROUND(I207*J207^($F$8-1),0)</f>
        <v>7915</v>
      </c>
      <c r="L207" s="16" t="n">
        <f aca="false">ROUND(I207*J207^($F$9-1),0)</f>
        <v>7872</v>
      </c>
      <c r="M207" s="17" t="n">
        <f aca="false">G207*$F$7</f>
        <v>314604.877095012</v>
      </c>
      <c r="N207" s="18" t="n">
        <f aca="false">F207/K207</f>
        <v>72.7449147188882</v>
      </c>
      <c r="O207" s="18" t="n">
        <f aca="false">G207/L207</f>
        <v>41.4875508130081</v>
      </c>
      <c r="P207" s="18" t="n">
        <f aca="false">M207/L207</f>
        <v>39.9650504439802</v>
      </c>
      <c r="Q207" s="19" t="n">
        <f aca="false">IF(N207=0,"n.a.",P207/N207-1)</f>
        <v>-0.450613825056788</v>
      </c>
    </row>
    <row r="208" customFormat="false" ht="15" hidden="false" customHeight="false" outlineLevel="0" collapsed="false">
      <c r="A208" s="12" t="s">
        <v>550</v>
      </c>
      <c r="B208" s="12" t="s">
        <v>526</v>
      </c>
      <c r="C208" s="12" t="s">
        <v>527</v>
      </c>
      <c r="D208" s="12" t="s">
        <v>132</v>
      </c>
      <c r="E208" s="12" t="s">
        <v>551</v>
      </c>
      <c r="F208" s="13" t="n">
        <v>5129058</v>
      </c>
      <c r="G208" s="13" t="n">
        <v>5853702</v>
      </c>
      <c r="H208" s="14" t="n">
        <v>11792</v>
      </c>
      <c r="I208" s="14" t="n">
        <v>13096</v>
      </c>
      <c r="J208" s="15" t="n">
        <f aca="false">I208/H208</f>
        <v>1.11058344640434</v>
      </c>
      <c r="K208" s="16" t="n">
        <f aca="false">ROUND(I208*J208^($F$8-1),0)</f>
        <v>12783</v>
      </c>
      <c r="L208" s="16" t="n">
        <f aca="false">ROUND(I208*J208^($F$9-1),0)</f>
        <v>13025</v>
      </c>
      <c r="M208" s="17" t="n">
        <f aca="false">G208*$F$7</f>
        <v>5638884.22260579</v>
      </c>
      <c r="N208" s="18" t="n">
        <f aca="false">F208/K208</f>
        <v>401.240553860596</v>
      </c>
      <c r="O208" s="18" t="n">
        <f aca="false">G208/L208</f>
        <v>449.420499040307</v>
      </c>
      <c r="P208" s="18" t="n">
        <f aca="false">M208/L208</f>
        <v>432.927771409274</v>
      </c>
      <c r="Q208" s="19" t="n">
        <f aca="false">IF(N208=0,"n.a.",P208/N208-1)</f>
        <v>0.0789731178560946</v>
      </c>
    </row>
    <row r="209" customFormat="false" ht="15" hidden="false" customHeight="false" outlineLevel="0" collapsed="false">
      <c r="A209" s="12" t="s">
        <v>552</v>
      </c>
      <c r="B209" s="12" t="s">
        <v>526</v>
      </c>
      <c r="C209" s="12" t="s">
        <v>527</v>
      </c>
      <c r="D209" s="12" t="s">
        <v>163</v>
      </c>
      <c r="E209" s="12" t="s">
        <v>553</v>
      </c>
      <c r="F209" s="13" t="n">
        <v>640523</v>
      </c>
      <c r="G209" s="13" t="n">
        <v>611056</v>
      </c>
      <c r="H209" s="14" t="n">
        <v>2034</v>
      </c>
      <c r="I209" s="14" t="n">
        <v>1855</v>
      </c>
      <c r="J209" s="15" t="n">
        <f aca="false">I209/H209</f>
        <v>0.911996066863324</v>
      </c>
      <c r="K209" s="16" t="n">
        <f aca="false">ROUND(I209*J209^($F$8-1),0)</f>
        <v>1895</v>
      </c>
      <c r="L209" s="16" t="n">
        <f aca="false">ROUND(I209*J209^($F$9-1),0)</f>
        <v>1864</v>
      </c>
      <c r="M209" s="17" t="n">
        <f aca="false">G209*$F$7</f>
        <v>588631.610821426</v>
      </c>
      <c r="N209" s="18" t="n">
        <f aca="false">F209/K209</f>
        <v>338.006860158311</v>
      </c>
      <c r="O209" s="18" t="n">
        <f aca="false">G209/L209</f>
        <v>327.81974248927</v>
      </c>
      <c r="P209" s="18" t="n">
        <f aca="false">M209/L209</f>
        <v>315.789490784027</v>
      </c>
      <c r="Q209" s="19" t="n">
        <f aca="false">IF(N209=0,"n.a.",P209/N209-1)</f>
        <v>-0.0657305279658484</v>
      </c>
    </row>
    <row r="210" customFormat="false" ht="15" hidden="false" customHeight="false" outlineLevel="0" collapsed="false">
      <c r="A210" s="12" t="s">
        <v>554</v>
      </c>
      <c r="B210" s="12" t="s">
        <v>526</v>
      </c>
      <c r="C210" s="12" t="s">
        <v>527</v>
      </c>
      <c r="D210" s="12" t="s">
        <v>166</v>
      </c>
      <c r="E210" s="12" t="s">
        <v>555</v>
      </c>
      <c r="F210" s="13" t="n">
        <v>1013292</v>
      </c>
      <c r="G210" s="13" t="n">
        <v>1334524</v>
      </c>
      <c r="H210" s="14" t="n">
        <v>1230</v>
      </c>
      <c r="I210" s="14" t="n">
        <v>1555</v>
      </c>
      <c r="J210" s="15" t="n">
        <f aca="false">I210/H210</f>
        <v>1.26422764227642</v>
      </c>
      <c r="K210" s="16" t="n">
        <f aca="false">ROUND(I210*J210^($F$8-1),0)</f>
        <v>1473</v>
      </c>
      <c r="L210" s="16" t="n">
        <f aca="false">ROUND(I210*J210^($F$9-1),0)</f>
        <v>1536</v>
      </c>
      <c r="M210" s="17" t="n">
        <f aca="false">G210*$F$7</f>
        <v>1285549.95254093</v>
      </c>
      <c r="N210" s="18" t="n">
        <f aca="false">F210/K210</f>
        <v>687.910386965377</v>
      </c>
      <c r="O210" s="18" t="n">
        <f aca="false">G210/L210</f>
        <v>868.830729166667</v>
      </c>
      <c r="P210" s="18" t="n">
        <f aca="false">M210/L210</f>
        <v>836.946583685504</v>
      </c>
      <c r="Q210" s="19" t="n">
        <f aca="false">IF(N210=0,"n.a.",P210/N210-1)</f>
        <v>0.216650598019867</v>
      </c>
    </row>
    <row r="211" customFormat="false" ht="15" hidden="false" customHeight="false" outlineLevel="0" collapsed="false">
      <c r="A211" s="12" t="s">
        <v>556</v>
      </c>
      <c r="B211" s="12" t="s">
        <v>526</v>
      </c>
      <c r="C211" s="12" t="s">
        <v>527</v>
      </c>
      <c r="D211" s="12" t="s">
        <v>169</v>
      </c>
      <c r="E211" s="12" t="s">
        <v>557</v>
      </c>
      <c r="F211" s="13" t="n">
        <v>727129</v>
      </c>
      <c r="G211" s="13" t="n">
        <v>1076751</v>
      </c>
      <c r="H211" s="14" t="n">
        <v>3695</v>
      </c>
      <c r="I211" s="14" t="n">
        <v>3394</v>
      </c>
      <c r="J211" s="15" t="n">
        <f aca="false">I211/H211</f>
        <v>0.918538565629229</v>
      </c>
      <c r="K211" s="16" t="n">
        <f aca="false">ROUND(I211*J211^($F$8-1),0)</f>
        <v>3461</v>
      </c>
      <c r="L211" s="16" t="n">
        <f aca="false">ROUND(I211*J211^($F$9-1),0)</f>
        <v>3409</v>
      </c>
      <c r="M211" s="17" t="n">
        <f aca="false">G211*$F$7</f>
        <v>1037236.64538697</v>
      </c>
      <c r="N211" s="18" t="n">
        <f aca="false">F211/K211</f>
        <v>210.092169893094</v>
      </c>
      <c r="O211" s="18" t="n">
        <f aca="false">G211/L211</f>
        <v>315.855382810208</v>
      </c>
      <c r="P211" s="18" t="n">
        <f aca="false">M211/L211</f>
        <v>304.264196358748</v>
      </c>
      <c r="Q211" s="19" t="n">
        <f aca="false">IF(N211=0,"n.a.",P211/N211-1)</f>
        <v>0.448241486170441</v>
      </c>
    </row>
    <row r="212" customFormat="false" ht="15" hidden="false" customHeight="false" outlineLevel="0" collapsed="false">
      <c r="A212" s="12" t="s">
        <v>558</v>
      </c>
      <c r="B212" s="12" t="s">
        <v>526</v>
      </c>
      <c r="C212" s="12" t="s">
        <v>527</v>
      </c>
      <c r="D212" s="12" t="s">
        <v>172</v>
      </c>
      <c r="E212" s="12" t="s">
        <v>247</v>
      </c>
      <c r="F212" s="13" t="n">
        <v>145998700</v>
      </c>
      <c r="G212" s="13" t="n">
        <v>160690003</v>
      </c>
      <c r="H212" s="14" t="n">
        <v>179506</v>
      </c>
      <c r="I212" s="14" t="n">
        <v>199567</v>
      </c>
      <c r="J212" s="15" t="n">
        <f aca="false">I212/H212</f>
        <v>1.11175671008211</v>
      </c>
      <c r="K212" s="16" t="n">
        <f aca="false">ROUND(I212*J212^($F$8-1),0)</f>
        <v>194745</v>
      </c>
      <c r="L212" s="16" t="n">
        <f aca="false">ROUND(I212*J212^($F$9-1),0)</f>
        <v>198471</v>
      </c>
      <c r="M212" s="17" t="n">
        <f aca="false">G212*$F$7</f>
        <v>154793039.113911</v>
      </c>
      <c r="N212" s="18" t="n">
        <f aca="false">F212/K212</f>
        <v>749.691648052582</v>
      </c>
      <c r="O212" s="18" t="n">
        <f aca="false">G212/L212</f>
        <v>809.639710587441</v>
      </c>
      <c r="P212" s="18" t="n">
        <f aca="false">M212/L212</f>
        <v>779.927743166058</v>
      </c>
      <c r="Q212" s="19" t="n">
        <f aca="false">IF(N212=0,"n.a.",P212/N212-1)</f>
        <v>0.040331375162066</v>
      </c>
    </row>
    <row r="213" customFormat="false" ht="15" hidden="false" customHeight="false" outlineLevel="0" collapsed="false">
      <c r="A213" s="12" t="s">
        <v>559</v>
      </c>
      <c r="B213" s="12" t="s">
        <v>526</v>
      </c>
      <c r="C213" s="12" t="s">
        <v>527</v>
      </c>
      <c r="D213" s="12" t="s">
        <v>175</v>
      </c>
      <c r="E213" s="12" t="s">
        <v>560</v>
      </c>
      <c r="F213" s="13" t="n">
        <v>3357218</v>
      </c>
      <c r="G213" s="13" t="n">
        <v>2898684</v>
      </c>
      <c r="H213" s="14" t="n">
        <v>5099</v>
      </c>
      <c r="I213" s="14" t="n">
        <v>5254</v>
      </c>
      <c r="J213" s="15" t="n">
        <f aca="false">I213/H213</f>
        <v>1.0303981172779</v>
      </c>
      <c r="K213" s="16" t="n">
        <f aca="false">ROUND(I213*J213^($F$8-1),0)</f>
        <v>5218</v>
      </c>
      <c r="L213" s="16" t="n">
        <f aca="false">ROUND(I213*J213^($F$9-1),0)</f>
        <v>5246</v>
      </c>
      <c r="M213" s="17" t="n">
        <f aca="false">G213*$F$7</f>
        <v>2792308.7772353</v>
      </c>
      <c r="N213" s="18" t="n">
        <f aca="false">F213/K213</f>
        <v>643.391720965887</v>
      </c>
      <c r="O213" s="18" t="n">
        <f aca="false">G213/L213</f>
        <v>552.551277163553</v>
      </c>
      <c r="P213" s="18" t="n">
        <f aca="false">M213/L213</f>
        <v>532.27388052522</v>
      </c>
      <c r="Q213" s="19" t="n">
        <f aca="false">IF(N213=0,"n.a.",P213/N213-1)</f>
        <v>-0.172706357293272</v>
      </c>
    </row>
    <row r="214" customFormat="false" ht="15" hidden="false" customHeight="false" outlineLevel="0" collapsed="false">
      <c r="A214" s="12" t="s">
        <v>561</v>
      </c>
      <c r="B214" s="12" t="s">
        <v>526</v>
      </c>
      <c r="C214" s="12" t="s">
        <v>527</v>
      </c>
      <c r="D214" s="12" t="s">
        <v>178</v>
      </c>
      <c r="E214" s="12" t="s">
        <v>527</v>
      </c>
      <c r="F214" s="13" t="n">
        <v>1760099378</v>
      </c>
      <c r="G214" s="13" t="n">
        <v>2011851377</v>
      </c>
      <c r="H214" s="14" t="n">
        <v>935250</v>
      </c>
      <c r="I214" s="14" t="n">
        <v>965350</v>
      </c>
      <c r="J214" s="15" t="n">
        <f aca="false">I214/H214</f>
        <v>1.03218390804598</v>
      </c>
      <c r="K214" s="16" t="n">
        <f aca="false">ROUND(I214*J214^($F$8-1),0)</f>
        <v>958316</v>
      </c>
      <c r="L214" s="16" t="n">
        <f aca="false">ROUND(I214*J214^($F$9-1),0)</f>
        <v>963762</v>
      </c>
      <c r="M214" s="17" t="n">
        <f aca="false">G214*$F$7</f>
        <v>1938020928.97675</v>
      </c>
      <c r="N214" s="18" t="n">
        <f aca="false">F214/K214</f>
        <v>1836.65865747833</v>
      </c>
      <c r="O214" s="18" t="n">
        <f aca="false">G214/L214</f>
        <v>2087.49813439418</v>
      </c>
      <c r="P214" s="18" t="n">
        <f aca="false">M214/L214</f>
        <v>2010.89161948359</v>
      </c>
      <c r="Q214" s="19" t="n">
        <f aca="false">IF(N214=0,"n.a.",P214/N214-1)</f>
        <v>0.0948640953482784</v>
      </c>
    </row>
    <row r="215" customFormat="false" ht="15" hidden="false" customHeight="false" outlineLevel="0" collapsed="false">
      <c r="A215" s="12" t="s">
        <v>562</v>
      </c>
      <c r="B215" s="12" t="s">
        <v>526</v>
      </c>
      <c r="C215" s="12" t="s">
        <v>527</v>
      </c>
      <c r="D215" s="12" t="s">
        <v>184</v>
      </c>
      <c r="E215" s="12" t="s">
        <v>563</v>
      </c>
      <c r="F215" s="13" t="n">
        <v>113216077</v>
      </c>
      <c r="G215" s="13" t="n">
        <v>124001692</v>
      </c>
      <c r="H215" s="14" t="n">
        <v>150304</v>
      </c>
      <c r="I215" s="14" t="n">
        <v>158185</v>
      </c>
      <c r="J215" s="15" t="n">
        <f aca="false">I215/H215</f>
        <v>1.05243373429849</v>
      </c>
      <c r="K215" s="16" t="n">
        <f aca="false">ROUND(I215*J215^($F$8-1),0)</f>
        <v>156329</v>
      </c>
      <c r="L215" s="16" t="n">
        <f aca="false">ROUND(I215*J215^($F$9-1),0)</f>
        <v>157766</v>
      </c>
      <c r="M215" s="17" t="n">
        <f aca="false">G215*$F$7</f>
        <v>119451107.110547</v>
      </c>
      <c r="N215" s="18" t="n">
        <f aca="false">F215/K215</f>
        <v>724.216728821908</v>
      </c>
      <c r="O215" s="18" t="n">
        <f aca="false">G215/L215</f>
        <v>785.984889012842</v>
      </c>
      <c r="P215" s="18" t="n">
        <f aca="false">M215/L215</f>
        <v>757.141000662671</v>
      </c>
      <c r="Q215" s="19" t="n">
        <f aca="false">IF(N215=0,"n.a.",P215/N215-1)</f>
        <v>0.0454619046073697</v>
      </c>
    </row>
    <row r="216" customFormat="false" ht="15" hidden="false" customHeight="false" outlineLevel="0" collapsed="false">
      <c r="A216" s="12" t="s">
        <v>564</v>
      </c>
      <c r="B216" s="12" t="s">
        <v>526</v>
      </c>
      <c r="C216" s="12" t="s">
        <v>527</v>
      </c>
      <c r="D216" s="12" t="s">
        <v>187</v>
      </c>
      <c r="E216" s="12" t="s">
        <v>565</v>
      </c>
      <c r="F216" s="13" t="n">
        <v>456780</v>
      </c>
      <c r="G216" s="13" t="n">
        <v>551038</v>
      </c>
      <c r="H216" s="14" t="n">
        <v>2456</v>
      </c>
      <c r="I216" s="14" t="n">
        <v>2384</v>
      </c>
      <c r="J216" s="15" t="n">
        <f aca="false">I216/H216</f>
        <v>0.970684039087948</v>
      </c>
      <c r="K216" s="16" t="n">
        <f aca="false">ROUND(I216*J216^($F$8-1),0)</f>
        <v>2400</v>
      </c>
      <c r="L216" s="16" t="n">
        <f aca="false">ROUND(I216*J216^($F$9-1),0)</f>
        <v>2388</v>
      </c>
      <c r="M216" s="17" t="n">
        <f aca="false">G216*$F$7</f>
        <v>530816.137250623</v>
      </c>
      <c r="N216" s="18" t="n">
        <f aca="false">F216/K216</f>
        <v>190.325</v>
      </c>
      <c r="O216" s="18" t="n">
        <f aca="false">G216/L216</f>
        <v>230.752931323283</v>
      </c>
      <c r="P216" s="18" t="n">
        <f aca="false">M216/L216</f>
        <v>222.284814594063</v>
      </c>
      <c r="Q216" s="19" t="n">
        <f aca="false">IF(N216=0,"n.a.",P216/N216-1)</f>
        <v>0.16792231495633</v>
      </c>
    </row>
    <row r="217" customFormat="false" ht="15" hidden="false" customHeight="false" outlineLevel="0" collapsed="false">
      <c r="A217" s="12" t="s">
        <v>566</v>
      </c>
      <c r="B217" s="12" t="s">
        <v>526</v>
      </c>
      <c r="C217" s="12" t="s">
        <v>527</v>
      </c>
      <c r="D217" s="12" t="s">
        <v>190</v>
      </c>
      <c r="E217" s="12" t="s">
        <v>567</v>
      </c>
      <c r="F217" s="13" t="n">
        <v>8945594</v>
      </c>
      <c r="G217" s="13" t="n">
        <v>3643249</v>
      </c>
      <c r="H217" s="14" t="n">
        <v>6656</v>
      </c>
      <c r="I217" s="14" t="n">
        <v>6450</v>
      </c>
      <c r="J217" s="15" t="n">
        <f aca="false">I217/H217</f>
        <v>0.969050480769231</v>
      </c>
      <c r="K217" s="16" t="n">
        <f aca="false">ROUND(I217*J217^($F$8-1),0)</f>
        <v>6497</v>
      </c>
      <c r="L217" s="16" t="n">
        <f aca="false">ROUND(I217*J217^($F$9-1),0)</f>
        <v>6461</v>
      </c>
      <c r="M217" s="17" t="n">
        <f aca="false">G217*$F$7</f>
        <v>3509549.90621735</v>
      </c>
      <c r="N217" s="18" t="n">
        <f aca="false">F217/K217</f>
        <v>1376.88071417577</v>
      </c>
      <c r="O217" s="18" t="n">
        <f aca="false">G217/L217</f>
        <v>563.88314502399</v>
      </c>
      <c r="P217" s="18" t="n">
        <f aca="false">M217/L217</f>
        <v>543.189894167675</v>
      </c>
      <c r="Q217" s="19" t="n">
        <f aca="false">IF(N217=0,"n.a.",P217/N217-1)</f>
        <v>-0.605492408619552</v>
      </c>
    </row>
    <row r="218" customFormat="false" ht="15" hidden="false" customHeight="false" outlineLevel="0" collapsed="false">
      <c r="A218" s="12" t="s">
        <v>568</v>
      </c>
      <c r="B218" s="12" t="s">
        <v>526</v>
      </c>
      <c r="C218" s="12" t="s">
        <v>527</v>
      </c>
      <c r="D218" s="12" t="s">
        <v>193</v>
      </c>
      <c r="E218" s="12" t="s">
        <v>569</v>
      </c>
      <c r="F218" s="13" t="n">
        <v>3093259</v>
      </c>
      <c r="G218" s="13" t="n">
        <v>3473452</v>
      </c>
      <c r="H218" s="14" t="n">
        <v>3791</v>
      </c>
      <c r="I218" s="14" t="n">
        <v>4044</v>
      </c>
      <c r="J218" s="15" t="n">
        <f aca="false">I218/H218</f>
        <v>1.06673700870483</v>
      </c>
      <c r="K218" s="16" t="n">
        <f aca="false">ROUND(I218*J218^($F$8-1),0)</f>
        <v>3984</v>
      </c>
      <c r="L218" s="16" t="n">
        <f aca="false">ROUND(I218*J218^($F$9-1),0)</f>
        <v>4030</v>
      </c>
      <c r="M218" s="17" t="n">
        <f aca="false">G218*$F$7</f>
        <v>3345984.07653456</v>
      </c>
      <c r="N218" s="18" t="n">
        <f aca="false">F218/K218</f>
        <v>776.420431726908</v>
      </c>
      <c r="O218" s="18" t="n">
        <f aca="false">G218/L218</f>
        <v>861.898759305211</v>
      </c>
      <c r="P218" s="18" t="n">
        <f aca="false">M218/L218</f>
        <v>830.26900162148</v>
      </c>
      <c r="Q218" s="19" t="n">
        <f aca="false">IF(N218=0,"n.a.",P218/N218-1)</f>
        <v>0.0693549109402007</v>
      </c>
    </row>
    <row r="219" customFormat="false" ht="15" hidden="false" customHeight="false" outlineLevel="0" collapsed="false">
      <c r="A219" s="12" t="s">
        <v>570</v>
      </c>
      <c r="B219" s="12" t="s">
        <v>526</v>
      </c>
      <c r="C219" s="12" t="s">
        <v>527</v>
      </c>
      <c r="D219" s="12" t="s">
        <v>196</v>
      </c>
      <c r="E219" s="12" t="s">
        <v>571</v>
      </c>
      <c r="F219" s="13" t="n">
        <v>1368612</v>
      </c>
      <c r="G219" s="13" t="n">
        <v>756014</v>
      </c>
      <c r="H219" s="14" t="n">
        <v>7002</v>
      </c>
      <c r="I219" s="14" t="n">
        <v>7332</v>
      </c>
      <c r="J219" s="15" t="n">
        <f aca="false">I219/H219</f>
        <v>1.0471293916024</v>
      </c>
      <c r="K219" s="16" t="n">
        <f aca="false">ROUND(I219*J219^($F$8-1),0)</f>
        <v>7254</v>
      </c>
      <c r="L219" s="16" t="n">
        <f aca="false">ROUND(I219*J219^($F$9-1),0)</f>
        <v>7314</v>
      </c>
      <c r="M219" s="17" t="n">
        <f aca="false">G219*$F$7</f>
        <v>728269.976276396</v>
      </c>
      <c r="N219" s="18" t="n">
        <f aca="false">F219/K219</f>
        <v>188.669975186104</v>
      </c>
      <c r="O219" s="18" t="n">
        <f aca="false">G219/L219</f>
        <v>103.365326770577</v>
      </c>
      <c r="P219" s="18" t="n">
        <f aca="false">M219/L219</f>
        <v>99.5720503522554</v>
      </c>
      <c r="Q219" s="19" t="n">
        <f aca="false">IF(N219=0,"n.a.",P219/N219-1)</f>
        <v>-0.472242203593669</v>
      </c>
    </row>
    <row r="220" customFormat="false" ht="15" hidden="false" customHeight="false" outlineLevel="0" collapsed="false">
      <c r="A220" s="12" t="s">
        <v>572</v>
      </c>
      <c r="B220" s="12" t="s">
        <v>526</v>
      </c>
      <c r="C220" s="12" t="s">
        <v>527</v>
      </c>
      <c r="D220" s="12" t="s">
        <v>199</v>
      </c>
      <c r="E220" s="12" t="s">
        <v>573</v>
      </c>
      <c r="F220" s="13" t="n">
        <v>622597</v>
      </c>
      <c r="G220" s="13" t="n">
        <v>735961</v>
      </c>
      <c r="H220" s="14" t="n">
        <v>2448</v>
      </c>
      <c r="I220" s="14" t="n">
        <v>2409</v>
      </c>
      <c r="J220" s="15" t="n">
        <f aca="false">I220/H220</f>
        <v>0.98406862745098</v>
      </c>
      <c r="K220" s="16" t="n">
        <f aca="false">ROUND(I220*J220^($F$8-1),0)</f>
        <v>2418</v>
      </c>
      <c r="L220" s="16" t="n">
        <f aca="false">ROUND(I220*J220^($F$9-1),0)</f>
        <v>2411</v>
      </c>
      <c r="M220" s="17" t="n">
        <f aca="false">G220*$F$7</f>
        <v>708952.876547727</v>
      </c>
      <c r="N220" s="18" t="n">
        <f aca="false">F220/K220</f>
        <v>257.484284532672</v>
      </c>
      <c r="O220" s="18" t="n">
        <f aca="false">G220/L220</f>
        <v>305.251347988387</v>
      </c>
      <c r="P220" s="18" t="n">
        <f aca="false">M220/L220</f>
        <v>294.049305909468</v>
      </c>
      <c r="Q220" s="19" t="n">
        <f aca="false">IF(N220=0,"n.a.",P220/N220-1)</f>
        <v>0.142008749944335</v>
      </c>
    </row>
    <row r="221" customFormat="false" ht="15" hidden="false" customHeight="false" outlineLevel="0" collapsed="false">
      <c r="A221" s="12" t="s">
        <v>574</v>
      </c>
      <c r="B221" s="12" t="s">
        <v>526</v>
      </c>
      <c r="C221" s="12" t="s">
        <v>527</v>
      </c>
      <c r="D221" s="12" t="s">
        <v>202</v>
      </c>
      <c r="E221" s="12" t="s">
        <v>575</v>
      </c>
      <c r="F221" s="13" t="n">
        <v>5208600</v>
      </c>
      <c r="G221" s="13" t="n">
        <v>3796688</v>
      </c>
      <c r="H221" s="14" t="n">
        <v>49510</v>
      </c>
      <c r="I221" s="14" t="n">
        <v>50005</v>
      </c>
      <c r="J221" s="15" t="n">
        <f aca="false">I221/H221</f>
        <v>1.00999798020602</v>
      </c>
      <c r="K221" s="16" t="n">
        <f aca="false">ROUND(I221*J221^($F$8-1),0)</f>
        <v>49890</v>
      </c>
      <c r="L221" s="16" t="n">
        <f aca="false">ROUND(I221*J221^($F$9-1),0)</f>
        <v>49979</v>
      </c>
      <c r="M221" s="17" t="n">
        <f aca="false">G221*$F$7</f>
        <v>3657358.03793168</v>
      </c>
      <c r="N221" s="18" t="n">
        <f aca="false">F221/K221</f>
        <v>104.401683704149</v>
      </c>
      <c r="O221" s="18" t="n">
        <f aca="false">G221/L221</f>
        <v>75.9656655795434</v>
      </c>
      <c r="P221" s="18" t="n">
        <f aca="false">M221/L221</f>
        <v>73.1778954747329</v>
      </c>
      <c r="Q221" s="19" t="n">
        <f aca="false">IF(N221=0,"n.a.",P221/N221-1)</f>
        <v>-0.29907360802626</v>
      </c>
    </row>
    <row r="222" customFormat="false" ht="15" hidden="false" customHeight="false" outlineLevel="0" collapsed="false">
      <c r="A222" s="12" t="s">
        <v>576</v>
      </c>
      <c r="B222" s="12" t="s">
        <v>526</v>
      </c>
      <c r="C222" s="12" t="s">
        <v>527</v>
      </c>
      <c r="D222" s="12" t="s">
        <v>205</v>
      </c>
      <c r="E222" s="12" t="s">
        <v>577</v>
      </c>
      <c r="F222" s="13" t="n">
        <v>2679390</v>
      </c>
      <c r="G222" s="13" t="n">
        <v>1790506</v>
      </c>
      <c r="H222" s="14" t="n">
        <v>4178</v>
      </c>
      <c r="I222" s="14" t="n">
        <v>5062</v>
      </c>
      <c r="J222" s="15" t="n">
        <f aca="false">I222/H222</f>
        <v>1.21158449018669</v>
      </c>
      <c r="K222" s="16" t="n">
        <f aca="false">ROUND(I222*J222^($F$8-1),0)</f>
        <v>4843</v>
      </c>
      <c r="L222" s="16" t="n">
        <f aca="false">ROUND(I222*J222^($F$9-1),0)</f>
        <v>5012</v>
      </c>
      <c r="M222" s="17" t="n">
        <f aca="false">G222*$F$7</f>
        <v>1724798.43249298</v>
      </c>
      <c r="N222" s="18" t="n">
        <f aca="false">F222/K222</f>
        <v>553.250051620896</v>
      </c>
      <c r="O222" s="18" t="n">
        <f aca="false">G222/L222</f>
        <v>357.243814844374</v>
      </c>
      <c r="P222" s="18" t="n">
        <f aca="false">M222/L222</f>
        <v>344.133765461488</v>
      </c>
      <c r="Q222" s="19" t="n">
        <f aca="false">IF(N222=0,"n.a.",P222/N222-1)</f>
        <v>-0.377977888202171</v>
      </c>
    </row>
    <row r="223" customFormat="false" ht="15" hidden="false" customHeight="false" outlineLevel="0" collapsed="false">
      <c r="A223" s="12" t="s">
        <v>578</v>
      </c>
      <c r="B223" s="12" t="s">
        <v>526</v>
      </c>
      <c r="C223" s="12" t="s">
        <v>527</v>
      </c>
      <c r="D223" s="12" t="s">
        <v>211</v>
      </c>
      <c r="E223" s="12" t="s">
        <v>579</v>
      </c>
      <c r="F223" s="13" t="n">
        <v>481823</v>
      </c>
      <c r="G223" s="13" t="n">
        <v>771297</v>
      </c>
      <c r="H223" s="14" t="n">
        <v>8195</v>
      </c>
      <c r="I223" s="14" t="n">
        <v>7413</v>
      </c>
      <c r="J223" s="15" t="n">
        <f aca="false">I223/H223</f>
        <v>0.9045759609518</v>
      </c>
      <c r="K223" s="16" t="n">
        <f aca="false">ROUND(I223*J223^($F$8-1),0)</f>
        <v>7587</v>
      </c>
      <c r="L223" s="16" t="n">
        <f aca="false">ROUND(I223*J223^($F$9-1),0)</f>
        <v>7452</v>
      </c>
      <c r="M223" s="17" t="n">
        <f aca="false">G223*$F$7</f>
        <v>742992.124341686</v>
      </c>
      <c r="N223" s="18" t="n">
        <f aca="false">F223/K223</f>
        <v>63.50639251351</v>
      </c>
      <c r="O223" s="18" t="n">
        <f aca="false">G223/L223</f>
        <v>103.502012882448</v>
      </c>
      <c r="P223" s="18" t="n">
        <f aca="false">M223/L223</f>
        <v>99.7037203893836</v>
      </c>
      <c r="Q223" s="19" t="n">
        <f aca="false">IF(N223=0,"n.a.",P223/N223-1)</f>
        <v>0.569979279931122</v>
      </c>
    </row>
    <row r="224" customFormat="false" ht="15" hidden="false" customHeight="false" outlineLevel="0" collapsed="false">
      <c r="A224" s="12" t="s">
        <v>580</v>
      </c>
      <c r="B224" s="12" t="s">
        <v>526</v>
      </c>
      <c r="C224" s="12" t="s">
        <v>527</v>
      </c>
      <c r="D224" s="12" t="s">
        <v>214</v>
      </c>
      <c r="E224" s="12" t="s">
        <v>159</v>
      </c>
      <c r="F224" s="13" t="n">
        <v>9229875</v>
      </c>
      <c r="G224" s="13" t="n">
        <v>9610761</v>
      </c>
      <c r="H224" s="14" t="n">
        <v>35358</v>
      </c>
      <c r="I224" s="14" t="n">
        <v>35820</v>
      </c>
      <c r="J224" s="15" t="n">
        <f aca="false">I224/H224</f>
        <v>1.01306634990667</v>
      </c>
      <c r="K224" s="16" t="n">
        <f aca="false">ROUND(I224*J224^($F$8-1),0)</f>
        <v>35713</v>
      </c>
      <c r="L224" s="16" t="n">
        <f aca="false">ROUND(I224*J224^($F$9-1),0)</f>
        <v>35796</v>
      </c>
      <c r="M224" s="17" t="n">
        <f aca="false">G224*$F$7</f>
        <v>9258067.55624646</v>
      </c>
      <c r="N224" s="18" t="n">
        <f aca="false">F224/K224</f>
        <v>258.445804048946</v>
      </c>
      <c r="O224" s="18" t="n">
        <f aca="false">G224/L224</f>
        <v>268.487009721757</v>
      </c>
      <c r="P224" s="18" t="n">
        <f aca="false">M224/L224</f>
        <v>258.6341366702</v>
      </c>
      <c r="Q224" s="19" t="n">
        <f aca="false">IF(N224=0,"n.a.",P224/N224-1)</f>
        <v>0.000728712241805596</v>
      </c>
    </row>
    <row r="225" customFormat="false" ht="15" hidden="false" customHeight="false" outlineLevel="0" collapsed="false">
      <c r="A225" s="12" t="s">
        <v>581</v>
      </c>
      <c r="B225" s="12" t="s">
        <v>526</v>
      </c>
      <c r="C225" s="12" t="s">
        <v>527</v>
      </c>
      <c r="D225" s="12" t="s">
        <v>217</v>
      </c>
      <c r="E225" s="12" t="s">
        <v>582</v>
      </c>
      <c r="F225" s="13" t="n">
        <v>69480527</v>
      </c>
      <c r="G225" s="13" t="n">
        <v>67282610</v>
      </c>
      <c r="H225" s="14" t="n">
        <v>116197</v>
      </c>
      <c r="I225" s="14" t="n">
        <v>118578</v>
      </c>
      <c r="J225" s="15" t="n">
        <f aca="false">I225/H225</f>
        <v>1.02049106259198</v>
      </c>
      <c r="K225" s="16" t="n">
        <f aca="false">ROUND(I225*J225^($F$8-1),0)</f>
        <v>118024</v>
      </c>
      <c r="L225" s="16" t="n">
        <f aca="false">ROUND(I225*J225^($F$9-1),0)</f>
        <v>118453</v>
      </c>
      <c r="M225" s="17" t="n">
        <f aca="false">G225*$F$7</f>
        <v>64813488.6239065</v>
      </c>
      <c r="N225" s="18" t="n">
        <f aca="false">F225/K225</f>
        <v>588.698290178269</v>
      </c>
      <c r="O225" s="18" t="n">
        <f aca="false">G225/L225</f>
        <v>568.011025470018</v>
      </c>
      <c r="P225" s="18" t="n">
        <f aca="false">M225/L225</f>
        <v>547.166290629249</v>
      </c>
      <c r="Q225" s="19" t="n">
        <f aca="false">IF(N225=0,"n.a.",P225/N225-1)</f>
        <v>-0.0705488706896752</v>
      </c>
    </row>
    <row r="226" customFormat="false" ht="15" hidden="false" customHeight="false" outlineLevel="0" collapsed="false">
      <c r="A226" s="12" t="s">
        <v>583</v>
      </c>
      <c r="B226" s="12" t="s">
        <v>526</v>
      </c>
      <c r="C226" s="12" t="s">
        <v>527</v>
      </c>
      <c r="D226" s="12" t="s">
        <v>220</v>
      </c>
      <c r="E226" s="12" t="s">
        <v>584</v>
      </c>
      <c r="F226" s="13" t="n">
        <v>194117</v>
      </c>
      <c r="G226" s="13" t="n">
        <v>189291</v>
      </c>
      <c r="H226" s="14" t="n">
        <v>824</v>
      </c>
      <c r="I226" s="14" t="n">
        <v>839</v>
      </c>
      <c r="J226" s="15" t="n">
        <f aca="false">I226/H226</f>
        <v>1.01820388349515</v>
      </c>
      <c r="K226" s="16" t="n">
        <f aca="false">ROUND(I226*J226^($F$8-1),0)</f>
        <v>836</v>
      </c>
      <c r="L226" s="16" t="n">
        <f aca="false">ROUND(I226*J226^($F$9-1),0)</f>
        <v>838</v>
      </c>
      <c r="M226" s="17" t="n">
        <f aca="false">G226*$F$7</f>
        <v>182344.443461808</v>
      </c>
      <c r="N226" s="18" t="n">
        <f aca="false">F226/K226</f>
        <v>232.197368421053</v>
      </c>
      <c r="O226" s="18" t="n">
        <f aca="false">G226/L226</f>
        <v>225.884248210024</v>
      </c>
      <c r="P226" s="18" t="n">
        <f aca="false">M226/L226</f>
        <v>217.594801267074</v>
      </c>
      <c r="Q226" s="19" t="n">
        <f aca="false">IF(N226=0,"n.a.",P226/N226-1)</f>
        <v>-0.0628885988384641</v>
      </c>
    </row>
    <row r="227" customFormat="false" ht="15" hidden="false" customHeight="false" outlineLevel="0" collapsed="false">
      <c r="A227" s="12" t="s">
        <v>585</v>
      </c>
      <c r="B227" s="12" t="s">
        <v>526</v>
      </c>
      <c r="C227" s="12" t="s">
        <v>527</v>
      </c>
      <c r="D227" s="12" t="s">
        <v>226</v>
      </c>
      <c r="E227" s="12" t="s">
        <v>586</v>
      </c>
      <c r="F227" s="13" t="n">
        <v>4072190</v>
      </c>
      <c r="G227" s="13" t="n">
        <v>6618935</v>
      </c>
      <c r="H227" s="14" t="n">
        <v>10936</v>
      </c>
      <c r="I227" s="14" t="n">
        <v>10121</v>
      </c>
      <c r="J227" s="15" t="n">
        <f aca="false">I227/H227</f>
        <v>0.925475493782004</v>
      </c>
      <c r="K227" s="16" t="n">
        <f aca="false">ROUND(I227*J227^($F$8-1),0)</f>
        <v>10304</v>
      </c>
      <c r="L227" s="16" t="n">
        <f aca="false">ROUND(I227*J227^($F$9-1),0)</f>
        <v>10162</v>
      </c>
      <c r="M227" s="17" t="n">
        <f aca="false">G227*$F$7</f>
        <v>6376034.88219135</v>
      </c>
      <c r="N227" s="18" t="n">
        <f aca="false">F227/K227</f>
        <v>395.204774844721</v>
      </c>
      <c r="O227" s="18" t="n">
        <f aca="false">G227/L227</f>
        <v>651.341763432395</v>
      </c>
      <c r="P227" s="18" t="n">
        <f aca="false">M227/L227</f>
        <v>627.438976795055</v>
      </c>
      <c r="Q227" s="19" t="n">
        <f aca="false">IF(N227=0,"n.a.",P227/N227-1)</f>
        <v>0.58763005088079</v>
      </c>
    </row>
    <row r="228" customFormat="false" ht="15" hidden="false" customHeight="false" outlineLevel="0" collapsed="false">
      <c r="A228" s="12" t="s">
        <v>587</v>
      </c>
      <c r="B228" s="12" t="s">
        <v>526</v>
      </c>
      <c r="C228" s="12" t="s">
        <v>527</v>
      </c>
      <c r="D228" s="12" t="s">
        <v>229</v>
      </c>
      <c r="E228" s="12" t="s">
        <v>164</v>
      </c>
      <c r="F228" s="13" t="n">
        <v>17871474</v>
      </c>
      <c r="G228" s="13" t="n">
        <v>19517532</v>
      </c>
      <c r="H228" s="14" t="n">
        <v>40774</v>
      </c>
      <c r="I228" s="14" t="n">
        <v>39901</v>
      </c>
      <c r="J228" s="15" t="n">
        <f aca="false">I228/H228</f>
        <v>0.978589297101094</v>
      </c>
      <c r="K228" s="16" t="n">
        <f aca="false">ROUND(I228*J228^($F$8-1),0)</f>
        <v>40101</v>
      </c>
      <c r="L228" s="16" t="n">
        <f aca="false">ROUND(I228*J228^($F$9-1),0)</f>
        <v>39946</v>
      </c>
      <c r="M228" s="17" t="n">
        <f aca="false">G228*$F$7</f>
        <v>18801282.2072261</v>
      </c>
      <c r="N228" s="18" t="n">
        <f aca="false">F228/K228</f>
        <v>445.661554574699</v>
      </c>
      <c r="O228" s="18" t="n">
        <f aca="false">G228/L228</f>
        <v>488.597907174686</v>
      </c>
      <c r="P228" s="18" t="n">
        <f aca="false">M228/L228</f>
        <v>470.667456246584</v>
      </c>
      <c r="Q228" s="19" t="n">
        <f aca="false">IF(N228=0,"n.a.",P228/N228-1)</f>
        <v>0.0561096226838524</v>
      </c>
    </row>
    <row r="229" customFormat="false" ht="15" hidden="false" customHeight="false" outlineLevel="0" collapsed="false">
      <c r="A229" s="12" t="s">
        <v>588</v>
      </c>
      <c r="B229" s="12" t="s">
        <v>526</v>
      </c>
      <c r="C229" s="12" t="s">
        <v>527</v>
      </c>
      <c r="D229" s="12" t="s">
        <v>232</v>
      </c>
      <c r="E229" s="12" t="s">
        <v>167</v>
      </c>
      <c r="F229" s="13" t="n">
        <v>2323014977</v>
      </c>
      <c r="G229" s="13" t="n">
        <v>2632024374</v>
      </c>
      <c r="H229" s="14" t="n">
        <v>1505714</v>
      </c>
      <c r="I229" s="14" t="n">
        <v>1602603</v>
      </c>
      <c r="J229" s="15" t="n">
        <f aca="false">I229/H229</f>
        <v>1.06434754541699</v>
      </c>
      <c r="K229" s="16" t="n">
        <f aca="false">ROUND(I229*J229^($F$8-1),0)</f>
        <v>1579694</v>
      </c>
      <c r="L229" s="16" t="n">
        <f aca="false">ROUND(I229*J229^($F$9-1),0)</f>
        <v>1597418</v>
      </c>
      <c r="M229" s="17" t="n">
        <f aca="false">G229*$F$7</f>
        <v>2535434963.3894</v>
      </c>
      <c r="N229" s="18" t="n">
        <f aca="false">F229/K229</f>
        <v>1470.54744589775</v>
      </c>
      <c r="O229" s="18" t="n">
        <f aca="false">G229/L229</f>
        <v>1647.67416793851</v>
      </c>
      <c r="P229" s="18" t="n">
        <f aca="false">M229/L229</f>
        <v>1587.20820936624</v>
      </c>
      <c r="Q229" s="19" t="n">
        <f aca="false">IF(N229=0,"n.a.",P229/N229-1)</f>
        <v>0.079331519560236</v>
      </c>
    </row>
    <row r="230" customFormat="false" ht="15" hidden="false" customHeight="false" outlineLevel="0" collapsed="false">
      <c r="A230" s="12" t="s">
        <v>589</v>
      </c>
      <c r="B230" s="12" t="s">
        <v>526</v>
      </c>
      <c r="C230" s="12" t="s">
        <v>527</v>
      </c>
      <c r="D230" s="12" t="s">
        <v>235</v>
      </c>
      <c r="E230" s="12" t="s">
        <v>590</v>
      </c>
      <c r="F230" s="13" t="n">
        <v>1981007</v>
      </c>
      <c r="G230" s="13" t="n">
        <v>1982738</v>
      </c>
      <c r="H230" s="14" t="n">
        <v>4980</v>
      </c>
      <c r="I230" s="14" t="n">
        <v>4679</v>
      </c>
      <c r="J230" s="15" t="n">
        <f aca="false">I230/H230</f>
        <v>0.939558232931727</v>
      </c>
      <c r="K230" s="16" t="n">
        <f aca="false">ROUND(I230*J230^($F$8-1),0)</f>
        <v>4747</v>
      </c>
      <c r="L230" s="16" t="n">
        <f aca="false">ROUND(I230*J230^($F$9-1),0)</f>
        <v>4694</v>
      </c>
      <c r="M230" s="17" t="n">
        <f aca="false">G230*$F$7</f>
        <v>1909975.94782942</v>
      </c>
      <c r="N230" s="18" t="n">
        <f aca="false">F230/K230</f>
        <v>417.317674320624</v>
      </c>
      <c r="O230" s="18" t="n">
        <f aca="false">G230/L230</f>
        <v>422.398380911802</v>
      </c>
      <c r="P230" s="18" t="n">
        <f aca="false">M230/L230</f>
        <v>406.897304607886</v>
      </c>
      <c r="Q230" s="19" t="n">
        <f aca="false">IF(N230=0,"n.a.",P230/N230-1)</f>
        <v>-0.0249698739208719</v>
      </c>
    </row>
    <row r="231" customFormat="false" ht="15" hidden="false" customHeight="false" outlineLevel="0" collapsed="false">
      <c r="A231" s="12" t="s">
        <v>591</v>
      </c>
      <c r="B231" s="12" t="s">
        <v>526</v>
      </c>
      <c r="C231" s="12" t="s">
        <v>527</v>
      </c>
      <c r="D231" s="12" t="s">
        <v>317</v>
      </c>
      <c r="E231" s="12" t="s">
        <v>592</v>
      </c>
      <c r="F231" s="13" t="n">
        <v>1433575</v>
      </c>
      <c r="G231" s="13" t="n">
        <v>1287237</v>
      </c>
      <c r="H231" s="14" t="n">
        <v>4028</v>
      </c>
      <c r="I231" s="14" t="n">
        <v>3664</v>
      </c>
      <c r="J231" s="15" t="n">
        <f aca="false">I231/H231</f>
        <v>0.909632571996028</v>
      </c>
      <c r="K231" s="16" t="n">
        <f aca="false">ROUND(I231*J231^($F$8-1),0)</f>
        <v>3745</v>
      </c>
      <c r="L231" s="16" t="n">
        <f aca="false">ROUND(I231*J231^($F$9-1),0)</f>
        <v>3682</v>
      </c>
      <c r="M231" s="17" t="n">
        <f aca="false">G231*$F$7</f>
        <v>1239998.2797304</v>
      </c>
      <c r="N231" s="18" t="n">
        <f aca="false">F231/K231</f>
        <v>382.797062750334</v>
      </c>
      <c r="O231" s="18" t="n">
        <f aca="false">G231/L231</f>
        <v>349.602661596958</v>
      </c>
      <c r="P231" s="18" t="n">
        <f aca="false">M231/L231</f>
        <v>336.773025456383</v>
      </c>
      <c r="Q231" s="19" t="n">
        <f aca="false">IF(N231=0,"n.a.",P231/N231-1)</f>
        <v>-0.120230905021256</v>
      </c>
    </row>
    <row r="232" customFormat="false" ht="15" hidden="false" customHeight="false" outlineLevel="0" collapsed="false">
      <c r="A232" s="12" t="s">
        <v>593</v>
      </c>
      <c r="B232" s="12" t="s">
        <v>526</v>
      </c>
      <c r="C232" s="12" t="s">
        <v>527</v>
      </c>
      <c r="D232" s="12" t="s">
        <v>320</v>
      </c>
      <c r="E232" s="12" t="s">
        <v>594</v>
      </c>
      <c r="F232" s="13" t="n">
        <v>7433820</v>
      </c>
      <c r="G232" s="13" t="n">
        <v>8131729</v>
      </c>
      <c r="H232" s="14" t="n">
        <v>25077</v>
      </c>
      <c r="I232" s="14" t="n">
        <v>25596</v>
      </c>
      <c r="J232" s="15" t="n">
        <f aca="false">I232/H232</f>
        <v>1.02069625553296</v>
      </c>
      <c r="K232" s="16" t="n">
        <f aca="false">ROUND(I232*J232^($F$8-1),0)</f>
        <v>25475</v>
      </c>
      <c r="L232" s="16" t="n">
        <f aca="false">ROUND(I232*J232^($F$9-1),0)</f>
        <v>25569</v>
      </c>
      <c r="M232" s="17" t="n">
        <f aca="false">G232*$F$7</f>
        <v>7833312.72425654</v>
      </c>
      <c r="N232" s="18" t="n">
        <f aca="false">F232/K232</f>
        <v>291.808439646713</v>
      </c>
      <c r="O232" s="18" t="n">
        <f aca="false">G232/L232</f>
        <v>318.030779459502</v>
      </c>
      <c r="P232" s="18" t="n">
        <f aca="false">M232/L232</f>
        <v>306.359760814132</v>
      </c>
      <c r="Q232" s="19" t="n">
        <f aca="false">IF(N232=0,"n.a.",P232/N232-1)</f>
        <v>0.0498660051951769</v>
      </c>
    </row>
    <row r="233" customFormat="false" ht="15" hidden="false" customHeight="false" outlineLevel="0" collapsed="false">
      <c r="A233" s="12" t="s">
        <v>595</v>
      </c>
      <c r="B233" s="12" t="s">
        <v>526</v>
      </c>
      <c r="C233" s="12" t="s">
        <v>527</v>
      </c>
      <c r="D233" s="12" t="s">
        <v>323</v>
      </c>
      <c r="E233" s="12" t="s">
        <v>596</v>
      </c>
      <c r="F233" s="13" t="n">
        <v>200536</v>
      </c>
      <c r="G233" s="13" t="n">
        <v>267235</v>
      </c>
      <c r="H233" s="14" t="n">
        <v>1294</v>
      </c>
      <c r="I233" s="14" t="n">
        <v>1198</v>
      </c>
      <c r="J233" s="15" t="n">
        <f aca="false">I233/H233</f>
        <v>0.9258114374034</v>
      </c>
      <c r="K233" s="16" t="n">
        <f aca="false">ROUND(I233*J233^($F$8-1),0)</f>
        <v>1220</v>
      </c>
      <c r="L233" s="16" t="n">
        <f aca="false">ROUND(I233*J233^($F$9-1),0)</f>
        <v>1203</v>
      </c>
      <c r="M233" s="17" t="n">
        <f aca="false">G233*$F$7</f>
        <v>257428.072906352</v>
      </c>
      <c r="N233" s="18" t="n">
        <f aca="false">F233/K233</f>
        <v>164.373770491803</v>
      </c>
      <c r="O233" s="18" t="n">
        <f aca="false">G233/L233</f>
        <v>222.140482128013</v>
      </c>
      <c r="P233" s="18" t="n">
        <f aca="false">M233/L233</f>
        <v>213.988423031049</v>
      </c>
      <c r="Q233" s="19" t="n">
        <f aca="false">IF(N233=0,"n.a.",P233/N233-1)</f>
        <v>0.301840448088522</v>
      </c>
    </row>
    <row r="234" customFormat="false" ht="15" hidden="false" customHeight="false" outlineLevel="0" collapsed="false">
      <c r="A234" s="12" t="s">
        <v>597</v>
      </c>
      <c r="B234" s="12" t="s">
        <v>526</v>
      </c>
      <c r="C234" s="12" t="s">
        <v>527</v>
      </c>
      <c r="D234" s="12" t="s">
        <v>326</v>
      </c>
      <c r="E234" s="12" t="s">
        <v>598</v>
      </c>
      <c r="F234" s="13" t="n">
        <v>775348</v>
      </c>
      <c r="G234" s="13" t="n">
        <v>674133</v>
      </c>
      <c r="H234" s="14" t="n">
        <v>1178</v>
      </c>
      <c r="I234" s="14" t="n">
        <v>1058</v>
      </c>
      <c r="J234" s="15" t="n">
        <f aca="false">I234/H234</f>
        <v>0.898132427843803</v>
      </c>
      <c r="K234" s="16" t="n">
        <f aca="false">ROUND(I234*J234^($F$8-1),0)</f>
        <v>1085</v>
      </c>
      <c r="L234" s="16" t="n">
        <f aca="false">ROUND(I234*J234^($F$9-1),0)</f>
        <v>1064</v>
      </c>
      <c r="M234" s="17" t="n">
        <f aca="false">G234*$F$7</f>
        <v>649393.825930652</v>
      </c>
      <c r="N234" s="18" t="n">
        <f aca="false">F234/K234</f>
        <v>714.606451612903</v>
      </c>
      <c r="O234" s="18" t="n">
        <f aca="false">G234/L234</f>
        <v>633.583646616541</v>
      </c>
      <c r="P234" s="18" t="n">
        <f aca="false">M234/L234</f>
        <v>610.332543167906</v>
      </c>
      <c r="Q234" s="19" t="n">
        <f aca="false">IF(N234=0,"n.a.",P234/N234-1)</f>
        <v>-0.145917949956435</v>
      </c>
    </row>
    <row r="235" customFormat="false" ht="15" hidden="false" customHeight="false" outlineLevel="0" collapsed="false">
      <c r="A235" s="12" t="s">
        <v>599</v>
      </c>
      <c r="B235" s="12" t="s">
        <v>526</v>
      </c>
      <c r="C235" s="12" t="s">
        <v>527</v>
      </c>
      <c r="D235" s="12" t="s">
        <v>600</v>
      </c>
      <c r="E235" s="12" t="s">
        <v>601</v>
      </c>
      <c r="F235" s="13" t="n">
        <v>419149</v>
      </c>
      <c r="G235" s="13" t="n">
        <v>697155</v>
      </c>
      <c r="H235" s="14" t="n">
        <v>2742</v>
      </c>
      <c r="I235" s="14" t="n">
        <v>2385</v>
      </c>
      <c r="J235" s="15" t="n">
        <f aca="false">I235/H235</f>
        <v>0.86980306345733</v>
      </c>
      <c r="K235" s="16" t="n">
        <f aca="false">ROUND(I235*J235^($F$8-1),0)</f>
        <v>2463</v>
      </c>
      <c r="L235" s="16" t="n">
        <f aca="false">ROUND(I235*J235^($F$9-1),0)</f>
        <v>2402</v>
      </c>
      <c r="M235" s="17" t="n">
        <f aca="false">G235*$F$7</f>
        <v>671570.969996549</v>
      </c>
      <c r="N235" s="18" t="n">
        <f aca="false">F235/K235</f>
        <v>170.178237921234</v>
      </c>
      <c r="O235" s="18" t="n">
        <f aca="false">G235/L235</f>
        <v>290.239383846794</v>
      </c>
      <c r="P235" s="18" t="n">
        <f aca="false">M235/L235</f>
        <v>279.588247292485</v>
      </c>
      <c r="Q235" s="19" t="n">
        <f aca="false">IF(N235=0,"n.a.",P235/N235-1)</f>
        <v>0.642914221628563</v>
      </c>
    </row>
    <row r="236" customFormat="false" ht="15" hidden="false" customHeight="false" outlineLevel="0" collapsed="false">
      <c r="A236" s="12" t="s">
        <v>602</v>
      </c>
      <c r="B236" s="12" t="s">
        <v>526</v>
      </c>
      <c r="C236" s="12" t="s">
        <v>527</v>
      </c>
      <c r="D236" s="12" t="s">
        <v>329</v>
      </c>
      <c r="E236" s="12" t="s">
        <v>173</v>
      </c>
      <c r="F236" s="13" t="n">
        <v>1999444</v>
      </c>
      <c r="G236" s="13" t="n">
        <v>1276366</v>
      </c>
      <c r="H236" s="14" t="n">
        <v>4265</v>
      </c>
      <c r="I236" s="14" t="n">
        <v>4559</v>
      </c>
      <c r="J236" s="15" t="n">
        <f aca="false">I236/H236</f>
        <v>1.06893317702227</v>
      </c>
      <c r="K236" s="16" t="n">
        <f aca="false">ROUND(I236*J236^($F$8-1),0)</f>
        <v>4489</v>
      </c>
      <c r="L236" s="16" t="n">
        <f aca="false">ROUND(I236*J236^($F$9-1),0)</f>
        <v>4543</v>
      </c>
      <c r="M236" s="17" t="n">
        <f aca="false">G236*$F$7</f>
        <v>1229526.22112818</v>
      </c>
      <c r="N236" s="18" t="n">
        <f aca="false">F236/K236</f>
        <v>445.409668077523</v>
      </c>
      <c r="O236" s="18" t="n">
        <f aca="false">G236/L236</f>
        <v>280.952234206472</v>
      </c>
      <c r="P236" s="18" t="n">
        <f aca="false">M236/L236</f>
        <v>270.641915282452</v>
      </c>
      <c r="Q236" s="19" t="n">
        <f aca="false">IF(N236=0,"n.a.",P236/N236-1)</f>
        <v>-0.392375301482349</v>
      </c>
    </row>
    <row r="237" customFormat="false" ht="15" hidden="false" customHeight="false" outlineLevel="0" collapsed="false">
      <c r="A237" s="12" t="s">
        <v>603</v>
      </c>
      <c r="B237" s="12" t="s">
        <v>526</v>
      </c>
      <c r="C237" s="12" t="s">
        <v>527</v>
      </c>
      <c r="D237" s="12" t="s">
        <v>332</v>
      </c>
      <c r="E237" s="12" t="s">
        <v>604</v>
      </c>
      <c r="F237" s="13" t="n">
        <v>19714000</v>
      </c>
      <c r="G237" s="13" t="n">
        <v>27430469</v>
      </c>
      <c r="H237" s="14" t="n">
        <v>44731</v>
      </c>
      <c r="I237" s="14" t="n">
        <v>40211</v>
      </c>
      <c r="J237" s="15" t="n">
        <f aca="false">I237/H237</f>
        <v>0.898951510138383</v>
      </c>
      <c r="K237" s="16" t="n">
        <f aca="false">ROUND(I237*J237^($F$8-1),0)</f>
        <v>41212</v>
      </c>
      <c r="L237" s="16" t="n">
        <f aca="false">ROUND(I237*J237^($F$9-1),0)</f>
        <v>40434</v>
      </c>
      <c r="M237" s="17" t="n">
        <f aca="false">G237*$F$7</f>
        <v>26423832.108771</v>
      </c>
      <c r="N237" s="18" t="n">
        <f aca="false">F237/K237</f>
        <v>478.355818693584</v>
      </c>
      <c r="O237" s="18" t="n">
        <f aca="false">G237/L237</f>
        <v>678.401073354108</v>
      </c>
      <c r="P237" s="18" t="n">
        <f aca="false">M237/L237</f>
        <v>653.505270533982</v>
      </c>
      <c r="Q237" s="19" t="n">
        <f aca="false">IF(N237=0,"n.a.",P237/N237-1)</f>
        <v>0.366148889583366</v>
      </c>
    </row>
    <row r="238" customFormat="false" ht="15" hidden="false" customHeight="false" outlineLevel="0" collapsed="false">
      <c r="A238" s="12" t="s">
        <v>605</v>
      </c>
      <c r="B238" s="12" t="s">
        <v>526</v>
      </c>
      <c r="C238" s="12" t="s">
        <v>527</v>
      </c>
      <c r="D238" s="12" t="s">
        <v>335</v>
      </c>
      <c r="E238" s="12" t="s">
        <v>179</v>
      </c>
      <c r="F238" s="13" t="n">
        <v>21025</v>
      </c>
      <c r="G238" s="13" t="n">
        <v>48914</v>
      </c>
      <c r="H238" s="14" t="n">
        <v>7161</v>
      </c>
      <c r="I238" s="14" t="n">
        <v>5531</v>
      </c>
      <c r="J238" s="15" t="n">
        <f aca="false">I238/H238</f>
        <v>0.772378159474934</v>
      </c>
      <c r="K238" s="16" t="n">
        <f aca="false">ROUND(I238*J238^($F$8-1),0)</f>
        <v>5871</v>
      </c>
      <c r="L238" s="16" t="n">
        <f aca="false">ROUND(I238*J238^($F$9-1),0)</f>
        <v>5606</v>
      </c>
      <c r="M238" s="17" t="n">
        <f aca="false">G238*$F$7</f>
        <v>47118.9655477063</v>
      </c>
      <c r="N238" s="18" t="n">
        <f aca="false">F238/K238</f>
        <v>3.581161641969</v>
      </c>
      <c r="O238" s="18" t="n">
        <f aca="false">G238/L238</f>
        <v>8.72529432750624</v>
      </c>
      <c r="P238" s="18" t="n">
        <f aca="false">M238/L238</f>
        <v>8.40509553116417</v>
      </c>
      <c r="Q238" s="19" t="n">
        <f aca="false">IF(N238=0,"n.a.",P238/N238-1)</f>
        <v>1.34703048102092</v>
      </c>
    </row>
    <row r="239" customFormat="false" ht="15" hidden="false" customHeight="false" outlineLevel="0" collapsed="false">
      <c r="A239" s="12" t="s">
        <v>606</v>
      </c>
      <c r="B239" s="12" t="s">
        <v>526</v>
      </c>
      <c r="C239" s="12" t="s">
        <v>527</v>
      </c>
      <c r="D239" s="12" t="s">
        <v>607</v>
      </c>
      <c r="E239" s="12" t="s">
        <v>608</v>
      </c>
      <c r="F239" s="13" t="n">
        <v>258814</v>
      </c>
      <c r="G239" s="13" t="n">
        <v>179187</v>
      </c>
      <c r="H239" s="14" t="n">
        <v>4447</v>
      </c>
      <c r="I239" s="14" t="n">
        <v>3080</v>
      </c>
      <c r="J239" s="15" t="n">
        <f aca="false">I239/H239</f>
        <v>0.692601753991455</v>
      </c>
      <c r="K239" s="16" t="n">
        <f aca="false">ROUND(I239*J239^($F$8-1),0)</f>
        <v>3353</v>
      </c>
      <c r="L239" s="16" t="n">
        <f aca="false">ROUND(I239*J239^($F$9-1),0)</f>
        <v>3139</v>
      </c>
      <c r="M239" s="17" t="n">
        <f aca="false">G239*$F$7</f>
        <v>172611.237674221</v>
      </c>
      <c r="N239" s="18" t="n">
        <f aca="false">F239/K239</f>
        <v>77.1887861616463</v>
      </c>
      <c r="O239" s="18" t="n">
        <f aca="false">G239/L239</f>
        <v>57.0841032175852</v>
      </c>
      <c r="P239" s="18" t="n">
        <f aca="false">M239/L239</f>
        <v>54.9892442415486</v>
      </c>
      <c r="Q239" s="19" t="n">
        <f aca="false">IF(N239=0,"n.a.",P239/N239-1)</f>
        <v>-0.287600609155948</v>
      </c>
    </row>
    <row r="240" customFormat="false" ht="15" hidden="false" customHeight="false" outlineLevel="0" collapsed="false">
      <c r="A240" s="12" t="s">
        <v>609</v>
      </c>
      <c r="B240" s="12" t="s">
        <v>526</v>
      </c>
      <c r="C240" s="12" t="s">
        <v>527</v>
      </c>
      <c r="D240" s="12" t="s">
        <v>338</v>
      </c>
      <c r="E240" s="12" t="s">
        <v>610</v>
      </c>
      <c r="F240" s="13" t="n">
        <v>5145338</v>
      </c>
      <c r="G240" s="13" t="n">
        <v>5934180</v>
      </c>
      <c r="H240" s="14" t="n">
        <v>22655</v>
      </c>
      <c r="I240" s="14" t="n">
        <v>24296</v>
      </c>
      <c r="J240" s="15" t="n">
        <f aca="false">I240/H240</f>
        <v>1.07243434120503</v>
      </c>
      <c r="K240" s="16" t="n">
        <f aca="false">ROUND(I240*J240^($F$8-1),0)</f>
        <v>23907</v>
      </c>
      <c r="L240" s="16" t="n">
        <f aca="false">ROUND(I240*J240^($F$9-1),0)</f>
        <v>24208</v>
      </c>
      <c r="M240" s="17" t="n">
        <f aca="false">G240*$F$7</f>
        <v>5716408.85991511</v>
      </c>
      <c r="N240" s="18" t="n">
        <f aca="false">F240/K240</f>
        <v>215.223072740202</v>
      </c>
      <c r="O240" s="18" t="n">
        <f aca="false">G240/L240</f>
        <v>245.133013879709</v>
      </c>
      <c r="P240" s="18" t="n">
        <f aca="false">M240/L240</f>
        <v>236.137180267478</v>
      </c>
      <c r="Q240" s="19" t="n">
        <f aca="false">IF(N240=0,"n.a.",P240/N240-1)</f>
        <v>0.0971740959786516</v>
      </c>
    </row>
    <row r="241" customFormat="false" ht="15" hidden="false" customHeight="false" outlineLevel="0" collapsed="false">
      <c r="A241" s="12" t="s">
        <v>611</v>
      </c>
      <c r="B241" s="12" t="s">
        <v>526</v>
      </c>
      <c r="C241" s="12" t="s">
        <v>527</v>
      </c>
      <c r="D241" s="12" t="s">
        <v>612</v>
      </c>
      <c r="E241" s="12" t="s">
        <v>613</v>
      </c>
      <c r="F241" s="13" t="n">
        <v>405860</v>
      </c>
      <c r="G241" s="13" t="n">
        <v>527077</v>
      </c>
      <c r="H241" s="14" t="n">
        <v>2753</v>
      </c>
      <c r="I241" s="14" t="n">
        <v>2242</v>
      </c>
      <c r="J241" s="15" t="n">
        <f aca="false">I241/H241</f>
        <v>0.814384308027606</v>
      </c>
      <c r="K241" s="16" t="n">
        <f aca="false">ROUND(I241*J241^($F$8-1),0)</f>
        <v>2351</v>
      </c>
      <c r="L241" s="16" t="n">
        <f aca="false">ROUND(I241*J241^($F$9-1),0)</f>
        <v>2266</v>
      </c>
      <c r="M241" s="17" t="n">
        <f aca="false">G241*$F$7</f>
        <v>507734.452385583</v>
      </c>
      <c r="N241" s="18" t="n">
        <f aca="false">F241/K241</f>
        <v>172.632922160783</v>
      </c>
      <c r="O241" s="18" t="n">
        <f aca="false">G241/L241</f>
        <v>232.602383053839</v>
      </c>
      <c r="P241" s="18" t="n">
        <f aca="false">M241/L241</f>
        <v>224.066395580575</v>
      </c>
      <c r="Q241" s="19" t="n">
        <f aca="false">IF(N241=0,"n.a.",P241/N241-1)</f>
        <v>0.297935485167131</v>
      </c>
    </row>
    <row r="242" customFormat="false" ht="15" hidden="false" customHeight="false" outlineLevel="0" collapsed="false">
      <c r="A242" s="12" t="s">
        <v>614</v>
      </c>
      <c r="B242" s="12" t="s">
        <v>526</v>
      </c>
      <c r="C242" s="12" t="s">
        <v>527</v>
      </c>
      <c r="D242" s="12" t="s">
        <v>340</v>
      </c>
      <c r="E242" s="12" t="s">
        <v>615</v>
      </c>
      <c r="F242" s="13" t="n">
        <v>28179333</v>
      </c>
      <c r="G242" s="13" t="n">
        <v>36190798</v>
      </c>
      <c r="H242" s="14" t="n">
        <v>65498</v>
      </c>
      <c r="I242" s="14" t="n">
        <v>71207</v>
      </c>
      <c r="J242" s="15" t="n">
        <f aca="false">I242/H242</f>
        <v>1.08716296680815</v>
      </c>
      <c r="K242" s="16" t="n">
        <f aca="false">ROUND(I242*J242^($F$8-1),0)</f>
        <v>69846</v>
      </c>
      <c r="L242" s="16" t="n">
        <f aca="false">ROUND(I242*J242^($F$9-1),0)</f>
        <v>70898</v>
      </c>
      <c r="M242" s="17" t="n">
        <f aca="false">G242*$F$7</f>
        <v>34862676.6182688</v>
      </c>
      <c r="N242" s="18" t="n">
        <f aca="false">F242/K242</f>
        <v>403.449488875526</v>
      </c>
      <c r="O242" s="18" t="n">
        <f aca="false">G242/L242</f>
        <v>510.462890349516</v>
      </c>
      <c r="P242" s="18" t="n">
        <f aca="false">M242/L242</f>
        <v>491.730043418274</v>
      </c>
      <c r="Q242" s="19" t="n">
        <f aca="false">IF(N242=0,"n.a.",P242/N242-1)</f>
        <v>0.218814391830805</v>
      </c>
    </row>
    <row r="243" customFormat="false" ht="15" hidden="false" customHeight="false" outlineLevel="0" collapsed="false">
      <c r="A243" s="12" t="s">
        <v>616</v>
      </c>
      <c r="B243" s="12" t="s">
        <v>526</v>
      </c>
      <c r="C243" s="12" t="s">
        <v>527</v>
      </c>
      <c r="D243" s="12" t="s">
        <v>343</v>
      </c>
      <c r="E243" s="12" t="s">
        <v>191</v>
      </c>
      <c r="F243" s="13" t="n">
        <v>4750434</v>
      </c>
      <c r="G243" s="13" t="n">
        <v>4750432</v>
      </c>
      <c r="H243" s="14" t="n">
        <v>8123</v>
      </c>
      <c r="I243" s="14" t="n">
        <v>8894</v>
      </c>
      <c r="J243" s="15" t="n">
        <f aca="false">I243/H243</f>
        <v>1.09491567154992</v>
      </c>
      <c r="K243" s="16" t="n">
        <f aca="false">ROUND(I243*J243^($F$8-1),0)</f>
        <v>8710</v>
      </c>
      <c r="L243" s="16" t="n">
        <f aca="false">ROUND(I243*J243^($F$9-1),0)</f>
        <v>8852</v>
      </c>
      <c r="M243" s="17" t="n">
        <f aca="false">G243*$F$7</f>
        <v>4576101.76523534</v>
      </c>
      <c r="N243" s="18" t="n">
        <f aca="false">F243/K243</f>
        <v>545.4</v>
      </c>
      <c r="O243" s="18" t="n">
        <f aca="false">G243/L243</f>
        <v>536.650700406688</v>
      </c>
      <c r="P243" s="18" t="n">
        <f aca="false">M243/L243</f>
        <v>516.956819389442</v>
      </c>
      <c r="Q243" s="19" t="n">
        <f aca="false">IF(N243=0,"n.a.",P243/N243-1)</f>
        <v>-0.052151046223978</v>
      </c>
    </row>
    <row r="244" customFormat="false" ht="15" hidden="false" customHeight="false" outlineLevel="0" collapsed="false">
      <c r="A244" s="12" t="s">
        <v>617</v>
      </c>
      <c r="B244" s="12" t="s">
        <v>526</v>
      </c>
      <c r="C244" s="12" t="s">
        <v>527</v>
      </c>
      <c r="D244" s="12" t="s">
        <v>346</v>
      </c>
      <c r="E244" s="12" t="s">
        <v>618</v>
      </c>
      <c r="F244" s="13" t="n">
        <v>18113063</v>
      </c>
      <c r="G244" s="13" t="n">
        <v>22176313</v>
      </c>
      <c r="H244" s="14" t="n">
        <v>24497</v>
      </c>
      <c r="I244" s="14" t="n">
        <v>23862</v>
      </c>
      <c r="J244" s="15" t="n">
        <f aca="false">I244/H244</f>
        <v>0.974078458586766</v>
      </c>
      <c r="K244" s="16" t="n">
        <f aca="false">ROUND(I244*J244^($F$8-1),0)</f>
        <v>24007</v>
      </c>
      <c r="L244" s="16" t="n">
        <f aca="false">ROUND(I244*J244^($F$9-1),0)</f>
        <v>23895</v>
      </c>
      <c r="M244" s="17" t="n">
        <f aca="false">G244*$F$7</f>
        <v>21362491.888256</v>
      </c>
      <c r="N244" s="18" t="n">
        <f aca="false">F244/K244</f>
        <v>754.490898487941</v>
      </c>
      <c r="O244" s="18" t="n">
        <f aca="false">G244/L244</f>
        <v>928.073362628165</v>
      </c>
      <c r="P244" s="18" t="n">
        <f aca="false">M244/L244</f>
        <v>894.015144936428</v>
      </c>
      <c r="Q244" s="19" t="n">
        <f aca="false">IF(N244=0,"n.a.",P244/N244-1)</f>
        <v>0.184925022592194</v>
      </c>
    </row>
    <row r="245" customFormat="false" ht="15" hidden="false" customHeight="false" outlineLevel="0" collapsed="false">
      <c r="A245" s="12" t="s">
        <v>619</v>
      </c>
      <c r="B245" s="12" t="s">
        <v>526</v>
      </c>
      <c r="C245" s="12" t="s">
        <v>527</v>
      </c>
      <c r="D245" s="12" t="s">
        <v>349</v>
      </c>
      <c r="E245" s="12" t="s">
        <v>620</v>
      </c>
      <c r="F245" s="13" t="n">
        <v>1335563</v>
      </c>
      <c r="G245" s="13" t="n">
        <v>1420981</v>
      </c>
      <c r="H245" s="14" t="n">
        <v>5089</v>
      </c>
      <c r="I245" s="14" t="n">
        <v>5941</v>
      </c>
      <c r="J245" s="15" t="n">
        <f aca="false">I245/H245</f>
        <v>1.16741992532914</v>
      </c>
      <c r="K245" s="16" t="n">
        <f aca="false">ROUND(I245*J245^($F$8-1),0)</f>
        <v>5732</v>
      </c>
      <c r="L245" s="16" t="n">
        <f aca="false">ROUND(I245*J245^($F$9-1),0)</f>
        <v>5893</v>
      </c>
      <c r="M245" s="17" t="n">
        <f aca="false">G245*$F$7</f>
        <v>1368834.17391637</v>
      </c>
      <c r="N245" s="18" t="n">
        <f aca="false">F245/K245</f>
        <v>233.001221214236</v>
      </c>
      <c r="O245" s="18" t="n">
        <f aca="false">G245/L245</f>
        <v>241.130324113355</v>
      </c>
      <c r="P245" s="18" t="n">
        <f aca="false">M245/L245</f>
        <v>232.281380267499</v>
      </c>
      <c r="Q245" s="19" t="n">
        <f aca="false">IF(N245=0,"n.a.",P245/N245-1)</f>
        <v>-0.00308942993082195</v>
      </c>
    </row>
    <row r="246" customFormat="false" ht="15" hidden="false" customHeight="false" outlineLevel="0" collapsed="false">
      <c r="A246" s="12" t="s">
        <v>621</v>
      </c>
      <c r="B246" s="12" t="s">
        <v>526</v>
      </c>
      <c r="C246" s="12" t="s">
        <v>527</v>
      </c>
      <c r="D246" s="12" t="s">
        <v>352</v>
      </c>
      <c r="E246" s="12" t="s">
        <v>622</v>
      </c>
      <c r="F246" s="13" t="n">
        <v>3313663</v>
      </c>
      <c r="G246" s="13" t="n">
        <v>4333830</v>
      </c>
      <c r="H246" s="14" t="n">
        <v>7695</v>
      </c>
      <c r="I246" s="14" t="n">
        <v>8989</v>
      </c>
      <c r="J246" s="15" t="n">
        <f aca="false">I246/H246</f>
        <v>1.16816114359974</v>
      </c>
      <c r="K246" s="16" t="n">
        <f aca="false">ROUND(I246*J246^($F$8-1),0)</f>
        <v>8672</v>
      </c>
      <c r="L246" s="16" t="n">
        <f aca="false">ROUND(I246*J246^($F$9-1),0)</f>
        <v>8917</v>
      </c>
      <c r="M246" s="17" t="n">
        <f aca="false">G246*$F$7</f>
        <v>4174788.12731766</v>
      </c>
      <c r="N246" s="18" t="n">
        <f aca="false">F246/K246</f>
        <v>382.110585793358</v>
      </c>
      <c r="O246" s="18" t="n">
        <f aca="false">G246/L246</f>
        <v>486.018840417181</v>
      </c>
      <c r="P246" s="18" t="n">
        <f aca="false">M246/L246</f>
        <v>468.183035473552</v>
      </c>
      <c r="Q246" s="19" t="n">
        <f aca="false">IF(N246=0,"n.a.",P246/N246-1)</f>
        <v>0.225255339371155</v>
      </c>
    </row>
    <row r="247" customFormat="false" ht="15" hidden="false" customHeight="false" outlineLevel="0" collapsed="false">
      <c r="A247" s="12" t="s">
        <v>623</v>
      </c>
      <c r="B247" s="12" t="s">
        <v>526</v>
      </c>
      <c r="C247" s="12" t="s">
        <v>527</v>
      </c>
      <c r="D247" s="12" t="s">
        <v>355</v>
      </c>
      <c r="E247" s="12" t="s">
        <v>624</v>
      </c>
      <c r="F247" s="13" t="n">
        <v>7731880</v>
      </c>
      <c r="G247" s="13" t="n">
        <v>7524061</v>
      </c>
      <c r="H247" s="14" t="n">
        <v>16775</v>
      </c>
      <c r="I247" s="14" t="n">
        <v>16424</v>
      </c>
      <c r="J247" s="15" t="n">
        <f aca="false">I247/H247</f>
        <v>0.979076005961252</v>
      </c>
      <c r="K247" s="16" t="n">
        <f aca="false">ROUND(I247*J247^($F$8-1),0)</f>
        <v>16504</v>
      </c>
      <c r="L247" s="16" t="n">
        <f aca="false">ROUND(I247*J247^($F$9-1),0)</f>
        <v>16442</v>
      </c>
      <c r="M247" s="17" t="n">
        <f aca="false">G247*$F$7</f>
        <v>7247944.78140902</v>
      </c>
      <c r="N247" s="18" t="n">
        <f aca="false">F247/K247</f>
        <v>468.485215705284</v>
      </c>
      <c r="O247" s="18" t="n">
        <f aca="false">G247/L247</f>
        <v>457.612273446053</v>
      </c>
      <c r="P247" s="18" t="n">
        <f aca="false">M247/L247</f>
        <v>440.818926007117</v>
      </c>
      <c r="Q247" s="19" t="n">
        <f aca="false">IF(N247=0,"n.a.",P247/N247-1)</f>
        <v>-0.0590547764810809</v>
      </c>
    </row>
    <row r="248" customFormat="false" ht="15" hidden="false" customHeight="false" outlineLevel="0" collapsed="false">
      <c r="A248" s="12" t="s">
        <v>625</v>
      </c>
      <c r="B248" s="12" t="s">
        <v>526</v>
      </c>
      <c r="C248" s="12" t="s">
        <v>527</v>
      </c>
      <c r="D248" s="12" t="s">
        <v>358</v>
      </c>
      <c r="E248" s="12" t="s">
        <v>626</v>
      </c>
      <c r="F248" s="13" t="n">
        <v>373688</v>
      </c>
      <c r="G248" s="13" t="n">
        <v>1098453</v>
      </c>
      <c r="H248" s="14" t="n">
        <v>2079</v>
      </c>
      <c r="I248" s="14" t="n">
        <v>1805</v>
      </c>
      <c r="J248" s="15" t="n">
        <f aca="false">I248/H248</f>
        <v>0.868205868205868</v>
      </c>
      <c r="K248" s="16" t="n">
        <f aca="false">ROUND(I248*J248^($F$8-1),0)</f>
        <v>1865</v>
      </c>
      <c r="L248" s="16" t="n">
        <f aca="false">ROUND(I248*J248^($F$9-1),0)</f>
        <v>1818</v>
      </c>
      <c r="M248" s="17" t="n">
        <f aca="false">G248*$F$7</f>
        <v>1058142.230502</v>
      </c>
      <c r="N248" s="18" t="n">
        <f aca="false">F248/K248</f>
        <v>200.36890080429</v>
      </c>
      <c r="O248" s="18" t="n">
        <f aca="false">G248/L248</f>
        <v>604.209570957096</v>
      </c>
      <c r="P248" s="18" t="n">
        <f aca="false">M248/L248</f>
        <v>582.03643041914</v>
      </c>
      <c r="Q248" s="19" t="n">
        <f aca="false">IF(N248=0,"n.a.",P248/N248-1)</f>
        <v>1.9048241921916</v>
      </c>
    </row>
    <row r="249" customFormat="false" ht="15" hidden="false" customHeight="false" outlineLevel="0" collapsed="false">
      <c r="A249" s="12" t="s">
        <v>627</v>
      </c>
      <c r="B249" s="12" t="s">
        <v>526</v>
      </c>
      <c r="C249" s="12" t="s">
        <v>527</v>
      </c>
      <c r="D249" s="12" t="s">
        <v>361</v>
      </c>
      <c r="E249" s="12" t="s">
        <v>628</v>
      </c>
      <c r="F249" s="13" t="n">
        <v>595192</v>
      </c>
      <c r="G249" s="13" t="n">
        <v>653756</v>
      </c>
      <c r="H249" s="14" t="n">
        <v>2191</v>
      </c>
      <c r="I249" s="14" t="n">
        <v>1996</v>
      </c>
      <c r="J249" s="15" t="n">
        <f aca="false">I249/H249</f>
        <v>0.910999543587403</v>
      </c>
      <c r="K249" s="16" t="n">
        <f aca="false">ROUND(I249*J249^($F$8-1),0)</f>
        <v>2039</v>
      </c>
      <c r="L249" s="16" t="n">
        <f aca="false">ROUND(I249*J249^($F$9-1),0)</f>
        <v>2006</v>
      </c>
      <c r="M249" s="17" t="n">
        <f aca="false">G249*$F$7</f>
        <v>629764.616277677</v>
      </c>
      <c r="N249" s="18" t="n">
        <f aca="false">F249/K249</f>
        <v>291.903874448259</v>
      </c>
      <c r="O249" s="18" t="n">
        <f aca="false">G249/L249</f>
        <v>325.900299102692</v>
      </c>
      <c r="P249" s="18" t="n">
        <f aca="false">M249/L249</f>
        <v>313.940486678802</v>
      </c>
      <c r="Q249" s="19" t="n">
        <f aca="false">IF(N249=0,"n.a.",P249/N249-1)</f>
        <v>0.0754927020828196</v>
      </c>
    </row>
    <row r="250" customFormat="false" ht="15" hidden="false" customHeight="false" outlineLevel="0" collapsed="false">
      <c r="A250" s="12" t="s">
        <v>629</v>
      </c>
      <c r="B250" s="12" t="s">
        <v>526</v>
      </c>
      <c r="C250" s="12" t="s">
        <v>527</v>
      </c>
      <c r="D250" s="12" t="s">
        <v>364</v>
      </c>
      <c r="E250" s="12" t="s">
        <v>630</v>
      </c>
      <c r="F250" s="13" t="n">
        <v>2041469</v>
      </c>
      <c r="G250" s="13" t="n">
        <v>2350364</v>
      </c>
      <c r="H250" s="14" t="n">
        <v>2696</v>
      </c>
      <c r="I250" s="14" t="n">
        <v>1931</v>
      </c>
      <c r="J250" s="15" t="n">
        <f aca="false">I250/H250</f>
        <v>0.716246290801187</v>
      </c>
      <c r="K250" s="16" t="n">
        <f aca="false">ROUND(I250*J250^($F$8-1),0)</f>
        <v>2086</v>
      </c>
      <c r="L250" s="16" t="n">
        <f aca="false">ROUND(I250*J250^($F$9-1),0)</f>
        <v>1965</v>
      </c>
      <c r="M250" s="17" t="n">
        <f aca="false">G250*$F$7</f>
        <v>2264110.89546079</v>
      </c>
      <c r="N250" s="18" t="n">
        <f aca="false">F250/K250</f>
        <v>978.652444870566</v>
      </c>
      <c r="O250" s="18" t="n">
        <f aca="false">G250/L250</f>
        <v>1196.11399491094</v>
      </c>
      <c r="P250" s="18" t="n">
        <f aca="false">M250/L250</f>
        <v>1152.21928522178</v>
      </c>
      <c r="Q250" s="19" t="n">
        <f aca="false">IF(N250=0,"n.a.",P250/N250-1)</f>
        <v>0.177352890968527</v>
      </c>
    </row>
    <row r="251" customFormat="false" ht="15" hidden="false" customHeight="false" outlineLevel="0" collapsed="false">
      <c r="A251" s="12" t="s">
        <v>631</v>
      </c>
      <c r="B251" s="12" t="s">
        <v>526</v>
      </c>
      <c r="C251" s="12" t="s">
        <v>527</v>
      </c>
      <c r="D251" s="12" t="s">
        <v>367</v>
      </c>
      <c r="E251" s="12" t="s">
        <v>632</v>
      </c>
      <c r="F251" s="13" t="n">
        <v>2222117</v>
      </c>
      <c r="G251" s="13" t="n">
        <v>2394709</v>
      </c>
      <c r="H251" s="14" t="n">
        <v>5004</v>
      </c>
      <c r="I251" s="14" t="n">
        <v>5021</v>
      </c>
      <c r="J251" s="15" t="n">
        <f aca="false">I251/H251</f>
        <v>1.00339728217426</v>
      </c>
      <c r="K251" s="16" t="n">
        <f aca="false">ROUND(I251*J251^($F$8-1),0)</f>
        <v>5017</v>
      </c>
      <c r="L251" s="16" t="n">
        <f aca="false">ROUND(I251*J251^($F$9-1),0)</f>
        <v>5020</v>
      </c>
      <c r="M251" s="17" t="n">
        <f aca="false">G251*$F$7</f>
        <v>2306828.53309446</v>
      </c>
      <c r="N251" s="18" t="n">
        <f aca="false">F251/K251</f>
        <v>442.917480566075</v>
      </c>
      <c r="O251" s="18" t="n">
        <f aca="false">G251/L251</f>
        <v>477.033665338645</v>
      </c>
      <c r="P251" s="18" t="n">
        <f aca="false">M251/L251</f>
        <v>459.527596233956</v>
      </c>
      <c r="Q251" s="19" t="n">
        <f aca="false">IF(N251=0,"n.a.",P251/N251-1)</f>
        <v>0.0375016033385076</v>
      </c>
    </row>
    <row r="252" customFormat="false" ht="15" hidden="false" customHeight="false" outlineLevel="0" collapsed="false">
      <c r="A252" s="12" t="s">
        <v>633</v>
      </c>
      <c r="B252" s="12" t="s">
        <v>526</v>
      </c>
      <c r="C252" s="12" t="s">
        <v>527</v>
      </c>
      <c r="D252" s="12" t="s">
        <v>370</v>
      </c>
      <c r="E252" s="12" t="s">
        <v>634</v>
      </c>
      <c r="F252" s="13" t="n">
        <v>16038391</v>
      </c>
      <c r="G252" s="13" t="n">
        <v>12656320</v>
      </c>
      <c r="H252" s="14" t="n">
        <v>11566</v>
      </c>
      <c r="I252" s="14" t="n">
        <v>12556</v>
      </c>
      <c r="J252" s="15" t="n">
        <f aca="false">I252/H252</f>
        <v>1.08559571156839</v>
      </c>
      <c r="K252" s="16" t="n">
        <f aca="false">ROUND(I252*J252^($F$8-1),0)</f>
        <v>12320</v>
      </c>
      <c r="L252" s="16" t="n">
        <f aca="false">ROUND(I252*J252^($F$9-1),0)</f>
        <v>12503</v>
      </c>
      <c r="M252" s="17" t="n">
        <f aca="false">G252*$F$7</f>
        <v>12191861.3493222</v>
      </c>
      <c r="N252" s="18" t="n">
        <f aca="false">F252/K252</f>
        <v>1301.8174512987</v>
      </c>
      <c r="O252" s="18" t="n">
        <f aca="false">G252/L252</f>
        <v>1012.26265696233</v>
      </c>
      <c r="P252" s="18" t="n">
        <f aca="false">M252/L252</f>
        <v>975.114880374487</v>
      </c>
      <c r="Q252" s="19" t="n">
        <f aca="false">IF(N252=0,"n.a.",P252/N252-1)</f>
        <v>-0.25095881960892</v>
      </c>
    </row>
    <row r="253" customFormat="false" ht="15" hidden="false" customHeight="false" outlineLevel="0" collapsed="false">
      <c r="A253" s="12" t="s">
        <v>635</v>
      </c>
      <c r="B253" s="12" t="s">
        <v>526</v>
      </c>
      <c r="C253" s="12" t="s">
        <v>527</v>
      </c>
      <c r="D253" s="12" t="s">
        <v>373</v>
      </c>
      <c r="E253" s="12" t="s">
        <v>636</v>
      </c>
      <c r="F253" s="13" t="n">
        <v>3245161</v>
      </c>
      <c r="G253" s="13" t="n">
        <v>4232958</v>
      </c>
      <c r="H253" s="14" t="n">
        <v>3414</v>
      </c>
      <c r="I253" s="14" t="n">
        <v>3045</v>
      </c>
      <c r="J253" s="15" t="n">
        <f aca="false">I253/H253</f>
        <v>0.891915641476274</v>
      </c>
      <c r="K253" s="16" t="n">
        <f aca="false">ROUND(I253*J253^($F$8-1),0)</f>
        <v>3126</v>
      </c>
      <c r="L253" s="16" t="n">
        <f aca="false">ROUND(I253*J253^($F$9-1),0)</f>
        <v>3063</v>
      </c>
      <c r="M253" s="17" t="n">
        <f aca="false">G253*$F$7</f>
        <v>4077617.90421736</v>
      </c>
      <c r="N253" s="18" t="n">
        <f aca="false">F253/K253</f>
        <v>1038.11932181702</v>
      </c>
      <c r="O253" s="18" t="n">
        <f aca="false">G253/L253</f>
        <v>1381.96474045054</v>
      </c>
      <c r="P253" s="18" t="n">
        <f aca="false">M253/L253</f>
        <v>1331.24972387116</v>
      </c>
      <c r="Q253" s="19" t="n">
        <f aca="false">IF(N253=0,"n.a.",P253/N253-1)</f>
        <v>0.282366772194428</v>
      </c>
    </row>
    <row r="254" customFormat="false" ht="15" hidden="false" customHeight="false" outlineLevel="0" collapsed="false">
      <c r="A254" s="12" t="s">
        <v>637</v>
      </c>
      <c r="B254" s="12" t="s">
        <v>526</v>
      </c>
      <c r="C254" s="12" t="s">
        <v>527</v>
      </c>
      <c r="D254" s="12" t="s">
        <v>376</v>
      </c>
      <c r="E254" s="12" t="s">
        <v>638</v>
      </c>
      <c r="F254" s="13" t="n">
        <v>9339273</v>
      </c>
      <c r="G254" s="13" t="n">
        <v>10776854</v>
      </c>
      <c r="H254" s="14" t="n">
        <v>29797</v>
      </c>
      <c r="I254" s="14" t="n">
        <v>31800</v>
      </c>
      <c r="J254" s="15" t="n">
        <f aca="false">I254/H254</f>
        <v>1.06722153236903</v>
      </c>
      <c r="K254" s="16" t="n">
        <f aca="false">ROUND(I254*J254^($F$8-1),0)</f>
        <v>31326</v>
      </c>
      <c r="L254" s="16" t="n">
        <f aca="false">ROUND(I254*J254^($F$9-1),0)</f>
        <v>31693</v>
      </c>
      <c r="M254" s="17" t="n">
        <f aca="false">G254*$F$7</f>
        <v>10381367.5499583</v>
      </c>
      <c r="N254" s="18" t="n">
        <f aca="false">F254/K254</f>
        <v>298.131679754836</v>
      </c>
      <c r="O254" s="18" t="n">
        <f aca="false">G254/L254</f>
        <v>340.038936042659</v>
      </c>
      <c r="P254" s="18" t="n">
        <f aca="false">M254/L254</f>
        <v>327.560267250128</v>
      </c>
      <c r="Q254" s="19" t="n">
        <f aca="false">IF(N254=0,"n.a.",P254/N254-1)</f>
        <v>0.0987100314850544</v>
      </c>
    </row>
    <row r="255" customFormat="false" ht="15" hidden="false" customHeight="false" outlineLevel="0" collapsed="false">
      <c r="A255" s="12" t="s">
        <v>639</v>
      </c>
      <c r="B255" s="12" t="s">
        <v>526</v>
      </c>
      <c r="C255" s="12" t="s">
        <v>527</v>
      </c>
      <c r="D255" s="12" t="s">
        <v>379</v>
      </c>
      <c r="E255" s="12" t="s">
        <v>640</v>
      </c>
      <c r="F255" s="13" t="n">
        <v>2080098</v>
      </c>
      <c r="G255" s="13" t="n">
        <v>2229930</v>
      </c>
      <c r="H255" s="14" t="n">
        <v>5320</v>
      </c>
      <c r="I255" s="14" t="n">
        <v>4154</v>
      </c>
      <c r="J255" s="15" t="n">
        <f aca="false">I255/H255</f>
        <v>0.780827067669173</v>
      </c>
      <c r="K255" s="16" t="n">
        <f aca="false">ROUND(I255*J255^($F$8-1),0)</f>
        <v>4398</v>
      </c>
      <c r="L255" s="16" t="n">
        <f aca="false">ROUND(I255*J255^($F$9-1),0)</f>
        <v>4208</v>
      </c>
      <c r="M255" s="17" t="n">
        <f aca="false">G255*$F$7</f>
        <v>2148096.55402946</v>
      </c>
      <c r="N255" s="18" t="n">
        <f aca="false">F255/K255</f>
        <v>472.964529331514</v>
      </c>
      <c r="O255" s="18" t="n">
        <f aca="false">G255/L255</f>
        <v>529.926330798479</v>
      </c>
      <c r="P255" s="18" t="n">
        <f aca="false">M255/L255</f>
        <v>510.479219113464</v>
      </c>
      <c r="Q255" s="19" t="n">
        <f aca="false">IF(N255=0,"n.a.",P255/N255-1)</f>
        <v>0.0793181886915968</v>
      </c>
    </row>
    <row r="256" customFormat="false" ht="15" hidden="false" customHeight="false" outlineLevel="0" collapsed="false">
      <c r="A256" s="12" t="s">
        <v>641</v>
      </c>
      <c r="B256" s="12" t="s">
        <v>526</v>
      </c>
      <c r="C256" s="12" t="s">
        <v>527</v>
      </c>
      <c r="D256" s="12" t="s">
        <v>382</v>
      </c>
      <c r="E256" s="12" t="s">
        <v>642</v>
      </c>
      <c r="F256" s="13" t="n">
        <v>204843</v>
      </c>
      <c r="G256" s="13" t="n">
        <v>177953</v>
      </c>
      <c r="H256" s="14" t="n">
        <v>1448</v>
      </c>
      <c r="I256" s="14" t="n">
        <v>1530</v>
      </c>
      <c r="J256" s="15" t="n">
        <f aca="false">I256/H256</f>
        <v>1.05662983425414</v>
      </c>
      <c r="K256" s="16" t="n">
        <f aca="false">ROUND(I256*J256^($F$8-1),0)</f>
        <v>1511</v>
      </c>
      <c r="L256" s="16" t="n">
        <f aca="false">ROUND(I256*J256^($F$9-1),0)</f>
        <v>1526</v>
      </c>
      <c r="M256" s="17" t="n">
        <f aca="false">G256*$F$7</f>
        <v>171422.522715603</v>
      </c>
      <c r="N256" s="18" t="n">
        <f aca="false">F256/K256</f>
        <v>135.567835870285</v>
      </c>
      <c r="O256" s="18" t="n">
        <f aca="false">G256/L256</f>
        <v>116.614023591088</v>
      </c>
      <c r="P256" s="18" t="n">
        <f aca="false">M256/L256</f>
        <v>112.33454961704</v>
      </c>
      <c r="Q256" s="19" t="n">
        <f aca="false">IF(N256=0,"n.a.",P256/N256-1)</f>
        <v>-0.171377569790781</v>
      </c>
    </row>
    <row r="257" customFormat="false" ht="15" hidden="false" customHeight="false" outlineLevel="0" collapsed="false">
      <c r="A257" s="12" t="s">
        <v>643</v>
      </c>
      <c r="B257" s="12" t="s">
        <v>526</v>
      </c>
      <c r="C257" s="12" t="s">
        <v>527</v>
      </c>
      <c r="D257" s="12" t="s">
        <v>385</v>
      </c>
      <c r="E257" s="12" t="s">
        <v>644</v>
      </c>
      <c r="F257" s="13" t="n">
        <v>3037217</v>
      </c>
      <c r="G257" s="13" t="n">
        <v>4076038</v>
      </c>
      <c r="H257" s="14" t="n">
        <v>17029</v>
      </c>
      <c r="I257" s="14" t="n">
        <v>15759</v>
      </c>
      <c r="J257" s="15" t="n">
        <f aca="false">I257/H257</f>
        <v>0.925421340066945</v>
      </c>
      <c r="K257" s="16" t="n">
        <f aca="false">ROUND(I257*J257^($F$8-1),0)</f>
        <v>16044</v>
      </c>
      <c r="L257" s="16" t="n">
        <f aca="false">ROUND(I257*J257^($F$9-1),0)</f>
        <v>15823</v>
      </c>
      <c r="M257" s="17" t="n">
        <f aca="false">G257*$F$7</f>
        <v>3926456.51742122</v>
      </c>
      <c r="N257" s="18" t="n">
        <f aca="false">F257/K257</f>
        <v>189.30547245076</v>
      </c>
      <c r="O257" s="18" t="n">
        <f aca="false">G257/L257</f>
        <v>257.602098211464</v>
      </c>
      <c r="P257" s="18" t="n">
        <f aca="false">M257/L257</f>
        <v>248.148677079013</v>
      </c>
      <c r="Q257" s="19" t="n">
        <f aca="false">IF(N257=0,"n.a.",P257/N257-1)</f>
        <v>0.310837314243824</v>
      </c>
    </row>
    <row r="258" customFormat="false" ht="15" hidden="false" customHeight="false" outlineLevel="0" collapsed="false">
      <c r="A258" s="12" t="s">
        <v>645</v>
      </c>
      <c r="B258" s="12" t="s">
        <v>526</v>
      </c>
      <c r="C258" s="12" t="s">
        <v>527</v>
      </c>
      <c r="D258" s="12" t="s">
        <v>646</v>
      </c>
      <c r="E258" s="12" t="s">
        <v>647</v>
      </c>
      <c r="F258" s="13" t="n">
        <v>322754</v>
      </c>
      <c r="G258" s="13" t="n">
        <v>260048</v>
      </c>
      <c r="H258" s="14" t="n">
        <v>6512</v>
      </c>
      <c r="I258" s="14" t="n">
        <v>5531</v>
      </c>
      <c r="J258" s="15" t="n">
        <f aca="false">I258/H258</f>
        <v>0.849355036855037</v>
      </c>
      <c r="K258" s="16" t="n">
        <f aca="false">ROUND(I258*J258^($F$8-1),0)</f>
        <v>5743</v>
      </c>
      <c r="L258" s="16" t="n">
        <f aca="false">ROUND(I258*J258^($F$9-1),0)</f>
        <v>5578</v>
      </c>
      <c r="M258" s="17" t="n">
        <f aca="false">G258*$F$7</f>
        <v>250504.819739746</v>
      </c>
      <c r="N258" s="18" t="n">
        <f aca="false">F258/K258</f>
        <v>56.1995472749434</v>
      </c>
      <c r="O258" s="18" t="n">
        <f aca="false">G258/L258</f>
        <v>46.6202940121908</v>
      </c>
      <c r="P258" s="18" t="n">
        <f aca="false">M258/L258</f>
        <v>44.9094334420484</v>
      </c>
      <c r="Q258" s="19" t="n">
        <f aca="false">IF(N258=0,"n.a.",P258/N258-1)</f>
        <v>-0.200893323529115</v>
      </c>
    </row>
    <row r="259" customFormat="false" ht="15" hidden="false" customHeight="false" outlineLevel="0" collapsed="false">
      <c r="A259" s="12" t="s">
        <v>648</v>
      </c>
      <c r="B259" s="12" t="s">
        <v>526</v>
      </c>
      <c r="C259" s="12" t="s">
        <v>527</v>
      </c>
      <c r="D259" s="12" t="s">
        <v>388</v>
      </c>
      <c r="E259" s="12" t="s">
        <v>649</v>
      </c>
      <c r="F259" s="13" t="n">
        <v>1563799</v>
      </c>
      <c r="G259" s="13" t="n">
        <v>1375702</v>
      </c>
      <c r="H259" s="14" t="n">
        <v>4768</v>
      </c>
      <c r="I259" s="14" t="n">
        <v>3761</v>
      </c>
      <c r="J259" s="15" t="n">
        <f aca="false">I259/H259</f>
        <v>0.78880033557047</v>
      </c>
      <c r="K259" s="16" t="n">
        <f aca="false">ROUND(I259*J259^($F$8-1),0)</f>
        <v>3973</v>
      </c>
      <c r="L259" s="16" t="n">
        <f aca="false">ROUND(I259*J259^($F$9-1),0)</f>
        <v>3808</v>
      </c>
      <c r="M259" s="17" t="n">
        <f aca="false">G259*$F$7</f>
        <v>1325216.81199474</v>
      </c>
      <c r="N259" s="18" t="n">
        <f aca="false">F259/K259</f>
        <v>393.606594512963</v>
      </c>
      <c r="O259" s="18" t="n">
        <f aca="false">G259/L259</f>
        <v>361.266281512605</v>
      </c>
      <c r="P259" s="18" t="n">
        <f aca="false">M259/L259</f>
        <v>348.008616595257</v>
      </c>
      <c r="Q259" s="19" t="n">
        <f aca="false">IF(N259=0,"n.a.",P259/N259-1)</f>
        <v>-0.115846580197994</v>
      </c>
    </row>
    <row r="260" customFormat="false" ht="15" hidden="false" customHeight="false" outlineLevel="0" collapsed="false">
      <c r="A260" s="12" t="s">
        <v>650</v>
      </c>
      <c r="B260" s="12" t="s">
        <v>651</v>
      </c>
      <c r="C260" s="12" t="s">
        <v>652</v>
      </c>
      <c r="D260" s="12" t="s">
        <v>57</v>
      </c>
      <c r="E260" s="12" t="s">
        <v>652</v>
      </c>
      <c r="F260" s="13" t="n">
        <v>665936872</v>
      </c>
      <c r="G260" s="13" t="n">
        <v>787314712</v>
      </c>
      <c r="H260" s="14" t="n">
        <v>683730</v>
      </c>
      <c r="I260" s="14" t="n">
        <v>762181</v>
      </c>
      <c r="J260" s="15" t="n">
        <f aca="false">I260/H260</f>
        <v>1.11473973644567</v>
      </c>
      <c r="K260" s="16" t="n">
        <f aca="false">ROUND(I260*J260^($F$8-1),0)</f>
        <v>743304</v>
      </c>
      <c r="L260" s="16" t="n">
        <f aca="false">ROUND(I260*J260^($F$9-1),0)</f>
        <v>757891</v>
      </c>
      <c r="M260" s="17" t="n">
        <f aca="false">G260*$F$7</f>
        <v>758422022.119032</v>
      </c>
      <c r="N260" s="18" t="n">
        <f aca="false">F260/K260</f>
        <v>895.914554475692</v>
      </c>
      <c r="O260" s="18" t="n">
        <f aca="false">G260/L260</f>
        <v>1038.82314475301</v>
      </c>
      <c r="P260" s="18" t="n">
        <f aca="false">M260/L260</f>
        <v>1000.70065763947</v>
      </c>
      <c r="Q260" s="19" t="n">
        <f aca="false">IF(N260=0,"n.a.",P260/N260-1)</f>
        <v>0.116959929538254</v>
      </c>
    </row>
    <row r="261" customFormat="false" ht="15" hidden="false" customHeight="false" outlineLevel="0" collapsed="false">
      <c r="A261" s="12" t="s">
        <v>653</v>
      </c>
      <c r="B261" s="12" t="s">
        <v>651</v>
      </c>
      <c r="C261" s="12" t="s">
        <v>652</v>
      </c>
      <c r="D261" s="12" t="s">
        <v>63</v>
      </c>
      <c r="E261" s="12" t="s">
        <v>654</v>
      </c>
      <c r="F261" s="13" t="n">
        <v>207347835</v>
      </c>
      <c r="G261" s="13" t="n">
        <v>235296304</v>
      </c>
      <c r="H261" s="14" t="n">
        <v>370412</v>
      </c>
      <c r="I261" s="14" t="n">
        <v>402487</v>
      </c>
      <c r="J261" s="15" t="n">
        <f aca="false">I261/H261</f>
        <v>1.08659276697299</v>
      </c>
      <c r="K261" s="16" t="n">
        <f aca="false">ROUND(I261*J261^($F$8-1),0)</f>
        <v>394843</v>
      </c>
      <c r="L261" s="16" t="n">
        <f aca="false">ROUND(I261*J261^($F$9-1),0)</f>
        <v>400754</v>
      </c>
      <c r="M261" s="17" t="n">
        <f aca="false">G261*$F$7</f>
        <v>226661455.650297</v>
      </c>
      <c r="N261" s="18" t="n">
        <f aca="false">F261/K261</f>
        <v>525.139954361607</v>
      </c>
      <c r="O261" s="18" t="n">
        <f aca="false">G261/L261</f>
        <v>587.134012386651</v>
      </c>
      <c r="P261" s="18" t="n">
        <f aca="false">M261/L261</f>
        <v>565.587506675659</v>
      </c>
      <c r="Q261" s="19" t="n">
        <f aca="false">IF(N261=0,"n.a.",P261/N261-1)</f>
        <v>0.0770224241711388</v>
      </c>
    </row>
    <row r="262" customFormat="false" ht="15" hidden="false" customHeight="false" outlineLevel="0" collapsed="false">
      <c r="A262" s="12" t="s">
        <v>655</v>
      </c>
      <c r="B262" s="12" t="s">
        <v>651</v>
      </c>
      <c r="C262" s="12" t="s">
        <v>652</v>
      </c>
      <c r="D262" s="12" t="s">
        <v>129</v>
      </c>
      <c r="E262" s="12" t="s">
        <v>656</v>
      </c>
      <c r="F262" s="13" t="n">
        <v>128854524</v>
      </c>
      <c r="G262" s="13" t="n">
        <v>195190304</v>
      </c>
      <c r="H262" s="14" t="n">
        <v>163177</v>
      </c>
      <c r="I262" s="14" t="n">
        <v>165001</v>
      </c>
      <c r="J262" s="15" t="n">
        <f aca="false">I262/H262</f>
        <v>1.01117804592559</v>
      </c>
      <c r="K262" s="16" t="n">
        <f aca="false">ROUND(I262*J262^($F$8-1),0)</f>
        <v>164578</v>
      </c>
      <c r="L262" s="16" t="n">
        <f aca="false">ROUND(I262*J262^($F$9-1),0)</f>
        <v>164906</v>
      </c>
      <c r="M262" s="17" t="n">
        <f aca="false">G262*$F$7</f>
        <v>188027256.192958</v>
      </c>
      <c r="N262" s="18" t="n">
        <f aca="false">F262/K262</f>
        <v>782.938934730037</v>
      </c>
      <c r="O262" s="18" t="n">
        <f aca="false">G262/L262</f>
        <v>1183.64585885292</v>
      </c>
      <c r="P262" s="18" t="n">
        <f aca="false">M262/L262</f>
        <v>1140.20870188445</v>
      </c>
      <c r="Q262" s="19" t="n">
        <f aca="false">IF(N262=0,"n.a.",P262/N262-1)</f>
        <v>0.456318815307869</v>
      </c>
    </row>
    <row r="263" customFormat="false" ht="15" hidden="false" customHeight="false" outlineLevel="0" collapsed="false">
      <c r="A263" s="12" t="s">
        <v>657</v>
      </c>
      <c r="B263" s="12" t="s">
        <v>658</v>
      </c>
      <c r="C263" s="12" t="s">
        <v>659</v>
      </c>
      <c r="D263" s="12" t="s">
        <v>46</v>
      </c>
      <c r="E263" s="12" t="s">
        <v>137</v>
      </c>
      <c r="F263" s="13" t="n">
        <v>44923108</v>
      </c>
      <c r="G263" s="13" t="n">
        <v>29869040</v>
      </c>
      <c r="H263" s="14" t="n">
        <v>91946</v>
      </c>
      <c r="I263" s="14" t="n">
        <v>95954</v>
      </c>
      <c r="J263" s="15" t="n">
        <f aca="false">I263/H263</f>
        <v>1.04359080329759</v>
      </c>
      <c r="K263" s="16" t="n">
        <f aca="false">ROUND(I263*J263^($F$8-1),0)</f>
        <v>95013</v>
      </c>
      <c r="L263" s="16" t="n">
        <f aca="false">ROUND(I263*J263^($F$9-1),0)</f>
        <v>95742</v>
      </c>
      <c r="M263" s="17" t="n">
        <f aca="false">G263*$F$7</f>
        <v>28772913.0045194</v>
      </c>
      <c r="N263" s="18" t="n">
        <f aca="false">F263/K263</f>
        <v>472.810120720322</v>
      </c>
      <c r="O263" s="18" t="n">
        <f aca="false">G263/L263</f>
        <v>311.974264168286</v>
      </c>
      <c r="P263" s="18" t="n">
        <f aca="false">M263/L263</f>
        <v>300.525506094707</v>
      </c>
      <c r="Q263" s="19" t="n">
        <f aca="false">IF(N263=0,"n.a.",P263/N263-1)</f>
        <v>-0.364384362930179</v>
      </c>
    </row>
    <row r="264" customFormat="false" ht="15" hidden="false" customHeight="false" outlineLevel="0" collapsed="false">
      <c r="A264" s="12" t="s">
        <v>660</v>
      </c>
      <c r="B264" s="12" t="s">
        <v>658</v>
      </c>
      <c r="C264" s="12" t="s">
        <v>659</v>
      </c>
      <c r="D264" s="12" t="s">
        <v>48</v>
      </c>
      <c r="E264" s="12" t="s">
        <v>661</v>
      </c>
      <c r="F264" s="13" t="n">
        <v>29126189</v>
      </c>
      <c r="G264" s="13" t="n">
        <v>30950617</v>
      </c>
      <c r="H264" s="14" t="n">
        <v>108269</v>
      </c>
      <c r="I264" s="14" t="n">
        <v>108140</v>
      </c>
      <c r="J264" s="15" t="n">
        <f aca="false">I264/H264</f>
        <v>0.998808523215325</v>
      </c>
      <c r="K264" s="16" t="n">
        <f aca="false">ROUND(I264*J264^($F$8-1),0)</f>
        <v>108170</v>
      </c>
      <c r="L264" s="16" t="n">
        <f aca="false">ROUND(I264*J264^($F$9-1),0)</f>
        <v>108147</v>
      </c>
      <c r="M264" s="17" t="n">
        <f aca="false">G264*$F$7</f>
        <v>29814798.5464949</v>
      </c>
      <c r="N264" s="18" t="n">
        <f aca="false">F264/K264</f>
        <v>269.263095128039</v>
      </c>
      <c r="O264" s="18" t="n">
        <f aca="false">G264/L264</f>
        <v>286.190250307452</v>
      </c>
      <c r="P264" s="18" t="n">
        <f aca="false">M264/L264</f>
        <v>275.68770790216</v>
      </c>
      <c r="Q264" s="19" t="n">
        <f aca="false">IF(N264=0,"n.a.",P264/N264-1)</f>
        <v>0.0238599826354449</v>
      </c>
    </row>
    <row r="265" customFormat="false" ht="15" hidden="false" customHeight="false" outlineLevel="0" collapsed="false">
      <c r="A265" s="12" t="s">
        <v>662</v>
      </c>
      <c r="B265" s="12" t="s">
        <v>658</v>
      </c>
      <c r="C265" s="12" t="s">
        <v>659</v>
      </c>
      <c r="D265" s="12" t="s">
        <v>51</v>
      </c>
      <c r="E265" s="12" t="s">
        <v>663</v>
      </c>
      <c r="F265" s="13" t="n">
        <v>520542510</v>
      </c>
      <c r="G265" s="13" t="n">
        <v>572847901</v>
      </c>
      <c r="H265" s="14" t="n">
        <v>173859</v>
      </c>
      <c r="I265" s="14" t="n">
        <v>190332</v>
      </c>
      <c r="J265" s="15" t="n">
        <f aca="false">I265/H265</f>
        <v>1.09474919331182</v>
      </c>
      <c r="K265" s="16" t="n">
        <f aca="false">ROUND(I265*J265^($F$8-1),0)</f>
        <v>186395</v>
      </c>
      <c r="L265" s="16" t="n">
        <f aca="false">ROUND(I265*J265^($F$9-1),0)</f>
        <v>189439</v>
      </c>
      <c r="M265" s="17" t="n">
        <f aca="false">G265*$F$7</f>
        <v>551825663.640162</v>
      </c>
      <c r="N265" s="18" t="n">
        <f aca="false">F265/K265</f>
        <v>2792.68494326565</v>
      </c>
      <c r="O265" s="18" t="n">
        <f aca="false">G265/L265</f>
        <v>3023.91746683629</v>
      </c>
      <c r="P265" s="18" t="n">
        <f aca="false">M265/L265</f>
        <v>2912.94645579929</v>
      </c>
      <c r="Q265" s="19" t="n">
        <f aca="false">IF(N265=0,"n.a.",P265/N265-1)</f>
        <v>0.0430630432636689</v>
      </c>
    </row>
    <row r="266" customFormat="false" ht="15" hidden="false" customHeight="false" outlineLevel="0" collapsed="false">
      <c r="A266" s="12" t="s">
        <v>664</v>
      </c>
      <c r="B266" s="12" t="s">
        <v>658</v>
      </c>
      <c r="C266" s="12" t="s">
        <v>659</v>
      </c>
      <c r="D266" s="12" t="s">
        <v>54</v>
      </c>
      <c r="E266" s="12" t="s">
        <v>665</v>
      </c>
      <c r="F266" s="13" t="n">
        <v>19959058</v>
      </c>
      <c r="G266" s="13" t="n">
        <v>21975347</v>
      </c>
      <c r="H266" s="14" t="n">
        <v>63376</v>
      </c>
      <c r="I266" s="14" t="n">
        <v>62951</v>
      </c>
      <c r="J266" s="15" t="n">
        <f aca="false">I266/H266</f>
        <v>0.993293991416309</v>
      </c>
      <c r="K266" s="16" t="n">
        <f aca="false">ROUND(I266*J266^($F$8-1),0)</f>
        <v>63049</v>
      </c>
      <c r="L266" s="16" t="n">
        <f aca="false">ROUND(I266*J266^($F$9-1),0)</f>
        <v>62973</v>
      </c>
      <c r="M266" s="17" t="n">
        <f aca="false">G266*$F$7</f>
        <v>21168900.8911946</v>
      </c>
      <c r="N266" s="18" t="n">
        <f aca="false">F266/K266</f>
        <v>316.564227822804</v>
      </c>
      <c r="O266" s="18" t="n">
        <f aca="false">G266/L266</f>
        <v>348.964587998031</v>
      </c>
      <c r="P266" s="18" t="n">
        <f aca="false">M266/L266</f>
        <v>336.158367732117</v>
      </c>
      <c r="Q266" s="19" t="n">
        <f aca="false">IF(N266=0,"n.a.",P266/N266-1)</f>
        <v>0.0618962541790407</v>
      </c>
    </row>
    <row r="267" customFormat="false" ht="15" hidden="false" customHeight="false" outlineLevel="0" collapsed="false">
      <c r="A267" s="12" t="s">
        <v>666</v>
      </c>
      <c r="B267" s="12" t="s">
        <v>658</v>
      </c>
      <c r="C267" s="12" t="s">
        <v>659</v>
      </c>
      <c r="D267" s="12" t="s">
        <v>57</v>
      </c>
      <c r="E267" s="12" t="s">
        <v>667</v>
      </c>
      <c r="F267" s="13" t="n">
        <v>107750933</v>
      </c>
      <c r="G267" s="13" t="n">
        <v>132824983</v>
      </c>
      <c r="H267" s="14" t="n">
        <v>117842</v>
      </c>
      <c r="I267" s="14" t="n">
        <v>123426</v>
      </c>
      <c r="J267" s="15" t="n">
        <f aca="false">I267/H267</f>
        <v>1.0473854822559</v>
      </c>
      <c r="K267" s="16" t="n">
        <f aca="false">ROUND(I267*J267^($F$8-1),0)</f>
        <v>122114</v>
      </c>
      <c r="L267" s="16" t="n">
        <f aca="false">ROUND(I267*J267^($F$9-1),0)</f>
        <v>123129</v>
      </c>
      <c r="M267" s="17" t="n">
        <f aca="false">G267*$F$7</f>
        <v>127950603.055397</v>
      </c>
      <c r="N267" s="18" t="n">
        <f aca="false">F267/K267</f>
        <v>882.379849976252</v>
      </c>
      <c r="O267" s="18" t="n">
        <f aca="false">G267/L267</f>
        <v>1078.74654224431</v>
      </c>
      <c r="P267" s="18" t="n">
        <f aca="false">M267/L267</f>
        <v>1039.15895569197</v>
      </c>
      <c r="Q267" s="19" t="n">
        <f aca="false">IF(N267=0,"n.a.",P267/N267-1)</f>
        <v>0.177677567909035</v>
      </c>
    </row>
    <row r="268" customFormat="false" ht="15" hidden="false" customHeight="false" outlineLevel="0" collapsed="false">
      <c r="A268" s="12" t="s">
        <v>668</v>
      </c>
      <c r="B268" s="12" t="s">
        <v>658</v>
      </c>
      <c r="C268" s="12" t="s">
        <v>659</v>
      </c>
      <c r="D268" s="12" t="s">
        <v>60</v>
      </c>
      <c r="E268" s="12" t="s">
        <v>669</v>
      </c>
      <c r="F268" s="13" t="n">
        <v>56678</v>
      </c>
      <c r="G268" s="13" t="n">
        <v>87762</v>
      </c>
      <c r="H268" s="14" t="n">
        <v>5287</v>
      </c>
      <c r="I268" s="14" t="n">
        <v>5407</v>
      </c>
      <c r="J268" s="15" t="n">
        <f aca="false">I268/H268</f>
        <v>1.0226971817666</v>
      </c>
      <c r="K268" s="16" t="n">
        <f aca="false">ROUND(I268*J268^($F$8-1),0)</f>
        <v>5379</v>
      </c>
      <c r="L268" s="16" t="n">
        <f aca="false">ROUND(I268*J268^($F$9-1),0)</f>
        <v>5401</v>
      </c>
      <c r="M268" s="17" t="n">
        <f aca="false">G268*$F$7</f>
        <v>84541.3307927751</v>
      </c>
      <c r="N268" s="18" t="n">
        <f aca="false">F268/K268</f>
        <v>10.5369027700316</v>
      </c>
      <c r="O268" s="18" t="n">
        <f aca="false">G268/L268</f>
        <v>16.2492131086836</v>
      </c>
      <c r="P268" s="18" t="n">
        <f aca="false">M268/L268</f>
        <v>15.6529033128634</v>
      </c>
      <c r="Q268" s="19" t="n">
        <f aca="false">IF(N268=0,"n.a.",P268/N268-1)</f>
        <v>0.485531721653766</v>
      </c>
    </row>
    <row r="269" customFormat="false" ht="15" hidden="false" customHeight="false" outlineLevel="0" collapsed="false">
      <c r="A269" s="12" t="s">
        <v>670</v>
      </c>
      <c r="B269" s="12" t="s">
        <v>658</v>
      </c>
      <c r="C269" s="12" t="s">
        <v>659</v>
      </c>
      <c r="D269" s="12" t="s">
        <v>63</v>
      </c>
      <c r="E269" s="12" t="s">
        <v>671</v>
      </c>
      <c r="F269" s="13" t="n">
        <v>514769576</v>
      </c>
      <c r="G269" s="13" t="n">
        <v>535105320</v>
      </c>
      <c r="H269" s="14" t="n">
        <v>519772</v>
      </c>
      <c r="I269" s="14" t="n">
        <v>510918</v>
      </c>
      <c r="J269" s="15" t="n">
        <f aca="false">I269/H269</f>
        <v>0.982965607997353</v>
      </c>
      <c r="K269" s="16" t="n">
        <f aca="false">ROUND(I269*J269^($F$8-1),0)</f>
        <v>512949</v>
      </c>
      <c r="L269" s="16" t="n">
        <f aca="false">ROUND(I269*J269^($F$9-1),0)</f>
        <v>511374</v>
      </c>
      <c r="M269" s="17" t="n">
        <f aca="false">G269*$F$7</f>
        <v>515468150.988968</v>
      </c>
      <c r="N269" s="18" t="n">
        <f aca="false">F269/K269</f>
        <v>1003.54923393944</v>
      </c>
      <c r="O269" s="18" t="n">
        <f aca="false">G269/L269</f>
        <v>1046.40697415199</v>
      </c>
      <c r="P269" s="18" t="n">
        <f aca="false">M269/L269</f>
        <v>1008.00617745323</v>
      </c>
      <c r="Q269" s="19" t="n">
        <f aca="false">IF(N269=0,"n.a.",P269/N269-1)</f>
        <v>0.00444118072443445</v>
      </c>
    </row>
    <row r="270" customFormat="false" ht="15" hidden="false" customHeight="false" outlineLevel="0" collapsed="false">
      <c r="A270" s="12" t="s">
        <v>672</v>
      </c>
      <c r="B270" s="12" t="s">
        <v>658</v>
      </c>
      <c r="C270" s="12" t="s">
        <v>659</v>
      </c>
      <c r="D270" s="12" t="s">
        <v>66</v>
      </c>
      <c r="E270" s="12" t="s">
        <v>673</v>
      </c>
      <c r="F270" s="13" t="n">
        <v>10600618</v>
      </c>
      <c r="G270" s="13" t="n">
        <v>12248301</v>
      </c>
      <c r="H270" s="14" t="n">
        <v>41222</v>
      </c>
      <c r="I270" s="14" t="n">
        <v>38449</v>
      </c>
      <c r="J270" s="15" t="n">
        <f aca="false">I270/H270</f>
        <v>0.93273009558003</v>
      </c>
      <c r="K270" s="16" t="n">
        <f aca="false">ROUND(I270*J270^($F$8-1),0)</f>
        <v>39072</v>
      </c>
      <c r="L270" s="16" t="n">
        <f aca="false">ROUND(I270*J270^($F$9-1),0)</f>
        <v>38588</v>
      </c>
      <c r="M270" s="17" t="n">
        <f aca="false">G270*$F$7</f>
        <v>11798815.7344919</v>
      </c>
      <c r="N270" s="18" t="n">
        <f aca="false">F270/K270</f>
        <v>271.309838247338</v>
      </c>
      <c r="O270" s="18" t="n">
        <f aca="false">G270/L270</f>
        <v>317.412174769358</v>
      </c>
      <c r="P270" s="18" t="n">
        <f aca="false">M270/L270</f>
        <v>305.76385753322</v>
      </c>
      <c r="Q270" s="19" t="n">
        <f aca="false">IF(N270=0,"n.a.",P270/N270-1)</f>
        <v>0.126991411400541</v>
      </c>
    </row>
    <row r="271" customFormat="false" ht="15" hidden="false" customHeight="false" outlineLevel="0" collapsed="false">
      <c r="A271" s="12" t="s">
        <v>674</v>
      </c>
      <c r="B271" s="12" t="s">
        <v>658</v>
      </c>
      <c r="C271" s="12" t="s">
        <v>659</v>
      </c>
      <c r="D271" s="12" t="s">
        <v>69</v>
      </c>
      <c r="E271" s="12" t="s">
        <v>675</v>
      </c>
      <c r="F271" s="13" t="n">
        <v>29645036</v>
      </c>
      <c r="G271" s="13" t="n">
        <v>30477132</v>
      </c>
      <c r="H271" s="14" t="n">
        <v>82195</v>
      </c>
      <c r="I271" s="14" t="n">
        <v>86615</v>
      </c>
      <c r="J271" s="15" t="n">
        <f aca="false">I271/H271</f>
        <v>1.05377456049638</v>
      </c>
      <c r="K271" s="16" t="n">
        <f aca="false">ROUND(I271*J271^($F$8-1),0)</f>
        <v>85574</v>
      </c>
      <c r="L271" s="16" t="n">
        <f aca="false">ROUND(I271*J271^($F$9-1),0)</f>
        <v>86380</v>
      </c>
      <c r="M271" s="17" t="n">
        <f aca="false">G271*$F$7</f>
        <v>29358689.3875148</v>
      </c>
      <c r="N271" s="18" t="n">
        <f aca="false">F271/K271</f>
        <v>346.425736789212</v>
      </c>
      <c r="O271" s="18" t="n">
        <f aca="false">G271/L271</f>
        <v>352.826256077796</v>
      </c>
      <c r="P271" s="18" t="n">
        <f aca="false">M271/L271</f>
        <v>339.878321226149</v>
      </c>
      <c r="Q271" s="19" t="n">
        <f aca="false">IF(N271=0,"n.a.",P271/N271-1)</f>
        <v>-0.0188999109123531</v>
      </c>
    </row>
    <row r="272" customFormat="false" ht="15" hidden="false" customHeight="false" outlineLevel="0" collapsed="false">
      <c r="A272" s="12" t="s">
        <v>676</v>
      </c>
      <c r="B272" s="12" t="s">
        <v>658</v>
      </c>
      <c r="C272" s="12" t="s">
        <v>659</v>
      </c>
      <c r="D272" s="12" t="s">
        <v>132</v>
      </c>
      <c r="E272" s="12" t="s">
        <v>677</v>
      </c>
      <c r="F272" s="13" t="n">
        <v>7901206</v>
      </c>
      <c r="G272" s="13" t="n">
        <v>8840186</v>
      </c>
      <c r="H272" s="14" t="n">
        <v>27364</v>
      </c>
      <c r="I272" s="14" t="n">
        <v>29464</v>
      </c>
      <c r="J272" s="15" t="n">
        <f aca="false">I272/H272</f>
        <v>1.07674316620377</v>
      </c>
      <c r="K272" s="16" t="n">
        <f aca="false">ROUND(I272*J272^($F$8-1),0)</f>
        <v>28965</v>
      </c>
      <c r="L272" s="16" t="n">
        <f aca="false">ROUND(I272*J272^($F$9-1),0)</f>
        <v>29351</v>
      </c>
      <c r="M272" s="17" t="n">
        <f aca="false">G272*$F$7</f>
        <v>8515770.93611882</v>
      </c>
      <c r="N272" s="18" t="n">
        <f aca="false">F272/K272</f>
        <v>272.78460210599</v>
      </c>
      <c r="O272" s="18" t="n">
        <f aca="false">G272/L272</f>
        <v>301.188579605465</v>
      </c>
      <c r="P272" s="18" t="n">
        <f aca="false">M272/L272</f>
        <v>290.135632043842</v>
      </c>
      <c r="Q272" s="19" t="n">
        <f aca="false">IF(N272=0,"n.a.",P272/N272-1)</f>
        <v>0.0636070724076669</v>
      </c>
    </row>
    <row r="273" customFormat="false" ht="15" hidden="false" customHeight="false" outlineLevel="0" collapsed="false">
      <c r="A273" s="12" t="s">
        <v>678</v>
      </c>
      <c r="B273" s="12" t="s">
        <v>658</v>
      </c>
      <c r="C273" s="12" t="s">
        <v>659</v>
      </c>
      <c r="D273" s="12" t="s">
        <v>163</v>
      </c>
      <c r="E273" s="12" t="s">
        <v>679</v>
      </c>
      <c r="F273" s="13" t="n">
        <v>57653440</v>
      </c>
      <c r="G273" s="13" t="n">
        <v>63317201</v>
      </c>
      <c r="H273" s="14" t="n">
        <v>161787</v>
      </c>
      <c r="I273" s="14" t="n">
        <v>171526</v>
      </c>
      <c r="J273" s="15" t="n">
        <f aca="false">I273/H273</f>
        <v>1.06019643111004</v>
      </c>
      <c r="K273" s="16" t="n">
        <f aca="false">ROUND(I273*J273^($F$8-1),0)</f>
        <v>169227</v>
      </c>
      <c r="L273" s="16" t="n">
        <f aca="false">ROUND(I273*J273^($F$9-1),0)</f>
        <v>171006</v>
      </c>
      <c r="M273" s="17" t="n">
        <f aca="false">G273*$F$7</f>
        <v>60993601.2694974</v>
      </c>
      <c r="N273" s="18" t="n">
        <f aca="false">F273/K273</f>
        <v>340.687006210593</v>
      </c>
      <c r="O273" s="18" t="n">
        <f aca="false">G273/L273</f>
        <v>370.263037554238</v>
      </c>
      <c r="P273" s="18" t="n">
        <f aca="false">M273/L273</f>
        <v>356.675211802495</v>
      </c>
      <c r="Q273" s="19" t="n">
        <f aca="false">IF(N273=0,"n.a.",P273/N273-1)</f>
        <v>0.0469293084280966</v>
      </c>
    </row>
    <row r="274" customFormat="false" ht="15" hidden="false" customHeight="false" outlineLevel="0" collapsed="false">
      <c r="A274" s="12" t="s">
        <v>680</v>
      </c>
      <c r="B274" s="12" t="s">
        <v>658</v>
      </c>
      <c r="C274" s="12" t="s">
        <v>659</v>
      </c>
      <c r="D274" s="12" t="s">
        <v>166</v>
      </c>
      <c r="E274" s="12" t="s">
        <v>659</v>
      </c>
      <c r="F274" s="13" t="n">
        <v>139416115</v>
      </c>
      <c r="G274" s="13" t="n">
        <v>143843621</v>
      </c>
      <c r="H274" s="14" t="n">
        <v>193690</v>
      </c>
      <c r="I274" s="14" t="n">
        <v>210581</v>
      </c>
      <c r="J274" s="15" t="n">
        <f aca="false">I274/H274</f>
        <v>1.08720636067944</v>
      </c>
      <c r="K274" s="16" t="n">
        <f aca="false">ROUND(I274*J274^($F$8-1),0)</f>
        <v>206555</v>
      </c>
      <c r="L274" s="16" t="n">
        <f aca="false">ROUND(I274*J274^($F$9-1),0)</f>
        <v>209668</v>
      </c>
      <c r="M274" s="17" t="n">
        <f aca="false">G274*$F$7</f>
        <v>138564881.673065</v>
      </c>
      <c r="N274" s="18" t="n">
        <f aca="false">F274/K274</f>
        <v>674.958800319528</v>
      </c>
      <c r="O274" s="18" t="n">
        <f aca="false">G274/L274</f>
        <v>686.054242898296</v>
      </c>
      <c r="P274" s="18" t="n">
        <f aca="false">M274/L274</f>
        <v>660.877585864631</v>
      </c>
      <c r="Q274" s="19" t="n">
        <f aca="false">IF(N274=0,"n.a.",P274/N274-1)</f>
        <v>-0.0208623318167425</v>
      </c>
    </row>
    <row r="275" customFormat="false" ht="15" hidden="false" customHeight="false" outlineLevel="0" collapsed="false">
      <c r="A275" s="12" t="s">
        <v>681</v>
      </c>
      <c r="B275" s="12" t="s">
        <v>658</v>
      </c>
      <c r="C275" s="12" t="s">
        <v>659</v>
      </c>
      <c r="D275" s="12" t="s">
        <v>169</v>
      </c>
      <c r="E275" s="12" t="s">
        <v>682</v>
      </c>
      <c r="F275" s="13" t="n">
        <v>3384466</v>
      </c>
      <c r="G275" s="13" t="n">
        <v>3434032</v>
      </c>
      <c r="H275" s="14" t="n">
        <v>21128</v>
      </c>
      <c r="I275" s="14" t="n">
        <v>21838</v>
      </c>
      <c r="J275" s="15" t="n">
        <f aca="false">I275/H275</f>
        <v>1.03360469519122</v>
      </c>
      <c r="K275" s="16" t="n">
        <f aca="false">ROUND(I275*J275^($F$8-1),0)</f>
        <v>21672</v>
      </c>
      <c r="L275" s="16" t="n">
        <f aca="false">ROUND(I275*J275^($F$9-1),0)</f>
        <v>21801</v>
      </c>
      <c r="M275" s="17" t="n">
        <f aca="false">G275*$F$7</f>
        <v>3308010.70241078</v>
      </c>
      <c r="N275" s="18" t="n">
        <f aca="false">F275/K275</f>
        <v>156.167681801403</v>
      </c>
      <c r="O275" s="18" t="n">
        <f aca="false">G275/L275</f>
        <v>157.517178111096</v>
      </c>
      <c r="P275" s="18" t="n">
        <f aca="false">M275/L275</f>
        <v>151.736649805549</v>
      </c>
      <c r="Q275" s="19" t="n">
        <f aca="false">IF(N275=0,"n.a.",P275/N275-1)</f>
        <v>-0.028373552995992</v>
      </c>
    </row>
    <row r="276" customFormat="false" ht="15" hidden="false" customHeight="false" outlineLevel="0" collapsed="false">
      <c r="A276" s="12" t="s">
        <v>683</v>
      </c>
      <c r="B276" s="12" t="s">
        <v>658</v>
      </c>
      <c r="C276" s="12" t="s">
        <v>659</v>
      </c>
      <c r="D276" s="12" t="s">
        <v>172</v>
      </c>
      <c r="E276" s="12" t="s">
        <v>684</v>
      </c>
      <c r="F276" s="13" t="n">
        <v>451580378</v>
      </c>
      <c r="G276" s="13" t="n">
        <v>464466466</v>
      </c>
      <c r="H276" s="14" t="n">
        <v>585681</v>
      </c>
      <c r="I276" s="14" t="n">
        <v>635788</v>
      </c>
      <c r="J276" s="15" t="n">
        <f aca="false">I276/H276</f>
        <v>1.0855533985224</v>
      </c>
      <c r="K276" s="16" t="n">
        <f aca="false">ROUND(I276*J276^($F$8-1),0)</f>
        <v>623851</v>
      </c>
      <c r="L276" s="16" t="n">
        <f aca="false">ROUND(I276*J276^($F$9-1),0)</f>
        <v>633082</v>
      </c>
      <c r="M276" s="17" t="n">
        <f aca="false">G276*$F$7</f>
        <v>447421585.016946</v>
      </c>
      <c r="N276" s="18" t="n">
        <f aca="false">F276/K276</f>
        <v>723.859347825042</v>
      </c>
      <c r="O276" s="18" t="n">
        <f aca="false">G276/L276</f>
        <v>733.659251092276</v>
      </c>
      <c r="P276" s="18" t="n">
        <f aca="false">M276/L276</f>
        <v>706.735596679334</v>
      </c>
      <c r="Q276" s="19" t="n">
        <f aca="false">IF(N276=0,"n.a.",P276/N276-1)</f>
        <v>-0.0236561856901601</v>
      </c>
    </row>
    <row r="277" customFormat="false" ht="15" hidden="false" customHeight="false" outlineLevel="0" collapsed="false">
      <c r="A277" s="12" t="s">
        <v>685</v>
      </c>
      <c r="B277" s="12" t="s">
        <v>658</v>
      </c>
      <c r="C277" s="12" t="s">
        <v>659</v>
      </c>
      <c r="D277" s="12" t="s">
        <v>178</v>
      </c>
      <c r="E277" s="12" t="s">
        <v>686</v>
      </c>
      <c r="F277" s="13" t="n">
        <v>9375084</v>
      </c>
      <c r="G277" s="13" t="n">
        <v>9217701</v>
      </c>
      <c r="H277" s="14" t="n">
        <v>49452</v>
      </c>
      <c r="I277" s="14" t="n">
        <v>51157</v>
      </c>
      <c r="J277" s="15" t="n">
        <f aca="false">I277/H277</f>
        <v>1.03447787753781</v>
      </c>
      <c r="K277" s="16" t="n">
        <f aca="false">ROUND(I277*J277^($F$8-1),0)</f>
        <v>50758</v>
      </c>
      <c r="L277" s="16" t="n">
        <f aca="false">ROUND(I277*J277^($F$9-1),0)</f>
        <v>51067</v>
      </c>
      <c r="M277" s="17" t="n">
        <f aca="false">G277*$F$7</f>
        <v>8879431.97955714</v>
      </c>
      <c r="N277" s="18" t="n">
        <f aca="false">F277/K277</f>
        <v>184.701603688089</v>
      </c>
      <c r="O277" s="18" t="n">
        <f aca="false">G277/L277</f>
        <v>180.502105077643</v>
      </c>
      <c r="P277" s="18" t="n">
        <f aca="false">M277/L277</f>
        <v>173.878081335444</v>
      </c>
      <c r="Q277" s="19" t="n">
        <f aca="false">IF(N277=0,"n.a.",P277/N277-1)</f>
        <v>-0.0586000453516479</v>
      </c>
    </row>
    <row r="278" customFormat="false" ht="15" hidden="false" customHeight="false" outlineLevel="0" collapsed="false">
      <c r="A278" s="12" t="s">
        <v>687</v>
      </c>
      <c r="B278" s="12" t="s">
        <v>658</v>
      </c>
      <c r="C278" s="12" t="s">
        <v>659</v>
      </c>
      <c r="D278" s="12" t="s">
        <v>181</v>
      </c>
      <c r="E278" s="12" t="s">
        <v>688</v>
      </c>
      <c r="F278" s="13" t="n">
        <v>1914671760</v>
      </c>
      <c r="G278" s="13" t="n">
        <v>2214172284</v>
      </c>
      <c r="H278" s="14" t="n">
        <v>1716812</v>
      </c>
      <c r="I278" s="14" t="n">
        <v>1811061</v>
      </c>
      <c r="J278" s="15" t="n">
        <f aca="false">I278/H278</f>
        <v>1.05489768244863</v>
      </c>
      <c r="K278" s="16" t="n">
        <f aca="false">ROUND(I278*J278^($F$8-1),0)</f>
        <v>1788851</v>
      </c>
      <c r="L278" s="16" t="n">
        <f aca="false">ROUND(I278*J278^($F$9-1),0)</f>
        <v>1806039</v>
      </c>
      <c r="M278" s="17" t="n">
        <f aca="false">G278*$F$7</f>
        <v>2132917110.98013</v>
      </c>
      <c r="N278" s="18" t="n">
        <f aca="false">F278/K278</f>
        <v>1070.33607606223</v>
      </c>
      <c r="O278" s="18" t="n">
        <f aca="false">G278/L278</f>
        <v>1225.98254190524</v>
      </c>
      <c r="P278" s="18" t="n">
        <f aca="false">M278/L278</f>
        <v>1180.9917233128</v>
      </c>
      <c r="Q278" s="19" t="n">
        <f aca="false">IF(N278=0,"n.a.",P278/N278-1)</f>
        <v>0.103384020893394</v>
      </c>
    </row>
    <row r="279" customFormat="false" ht="15" hidden="false" customHeight="false" outlineLevel="0" collapsed="false">
      <c r="A279" s="12" t="s">
        <v>689</v>
      </c>
      <c r="B279" s="12" t="s">
        <v>658</v>
      </c>
      <c r="C279" s="12" t="s">
        <v>659</v>
      </c>
      <c r="D279" s="12" t="s">
        <v>184</v>
      </c>
      <c r="E279" s="12" t="s">
        <v>690</v>
      </c>
      <c r="F279" s="13" t="n">
        <v>36371793</v>
      </c>
      <c r="G279" s="13" t="n">
        <v>38427957</v>
      </c>
      <c r="H279" s="14" t="n">
        <v>47212</v>
      </c>
      <c r="I279" s="14" t="n">
        <v>48418</v>
      </c>
      <c r="J279" s="15" t="n">
        <f aca="false">I279/H279</f>
        <v>1.02554435313056</v>
      </c>
      <c r="K279" s="16" t="n">
        <f aca="false">ROUND(I279*J279^($F$8-1),0)</f>
        <v>48137</v>
      </c>
      <c r="L279" s="16" t="n">
        <f aca="false">ROUND(I279*J279^($F$9-1),0)</f>
        <v>48355</v>
      </c>
      <c r="M279" s="17" t="n">
        <f aca="false">G279*$F$7</f>
        <v>37017736.8841587</v>
      </c>
      <c r="N279" s="18" t="n">
        <f aca="false">F279/K279</f>
        <v>755.589110247834</v>
      </c>
      <c r="O279" s="18" t="n">
        <f aca="false">G279/L279</f>
        <v>794.70493227174</v>
      </c>
      <c r="P279" s="18" t="n">
        <f aca="false">M279/L279</f>
        <v>765.541037827706</v>
      </c>
      <c r="Q279" s="19" t="n">
        <f aca="false">IF(N279=0,"n.a.",P279/N279-1)</f>
        <v>0.0131710839196815</v>
      </c>
    </row>
    <row r="280" customFormat="false" ht="15" hidden="false" customHeight="false" outlineLevel="0" collapsed="false">
      <c r="A280" s="12" t="s">
        <v>691</v>
      </c>
      <c r="B280" s="12" t="s">
        <v>658</v>
      </c>
      <c r="C280" s="12" t="s">
        <v>659</v>
      </c>
      <c r="D280" s="12" t="s">
        <v>187</v>
      </c>
      <c r="E280" s="12" t="s">
        <v>191</v>
      </c>
      <c r="F280" s="13" t="n">
        <v>8901746</v>
      </c>
      <c r="G280" s="13" t="n">
        <v>9763757</v>
      </c>
      <c r="H280" s="14" t="n">
        <v>24749</v>
      </c>
      <c r="I280" s="14" t="n">
        <v>25349</v>
      </c>
      <c r="J280" s="15" t="n">
        <f aca="false">I280/H280</f>
        <v>1.02424340377389</v>
      </c>
      <c r="K280" s="16" t="n">
        <f aca="false">ROUND(I280*J280^($F$8-1),0)</f>
        <v>25209</v>
      </c>
      <c r="L280" s="16" t="n">
        <f aca="false">ROUND(I280*J280^($F$9-1),0)</f>
        <v>25317</v>
      </c>
      <c r="M280" s="17" t="n">
        <f aca="false">G280*$F$7</f>
        <v>9405448.94507046</v>
      </c>
      <c r="N280" s="18" t="n">
        <f aca="false">F280/K280</f>
        <v>353.117775397675</v>
      </c>
      <c r="O280" s="18" t="n">
        <f aca="false">G280/L280</f>
        <v>385.660109807639</v>
      </c>
      <c r="P280" s="18" t="n">
        <f aca="false">M280/L280</f>
        <v>371.507245924496</v>
      </c>
      <c r="Q280" s="19" t="n">
        <f aca="false">IF(N280=0,"n.a.",P280/N280-1)</f>
        <v>0.052077442168156</v>
      </c>
    </row>
    <row r="281" customFormat="false" ht="15" hidden="false" customHeight="false" outlineLevel="0" collapsed="false">
      <c r="A281" s="12" t="s">
        <v>692</v>
      </c>
      <c r="B281" s="12" t="s">
        <v>658</v>
      </c>
      <c r="C281" s="12" t="s">
        <v>659</v>
      </c>
      <c r="D281" s="12" t="s">
        <v>190</v>
      </c>
      <c r="E281" s="12" t="s">
        <v>693</v>
      </c>
      <c r="F281" s="13" t="n">
        <v>48015097</v>
      </c>
      <c r="G281" s="13" t="n">
        <v>40812831</v>
      </c>
      <c r="H281" s="14" t="n">
        <v>154569</v>
      </c>
      <c r="I281" s="14" t="n">
        <v>166867</v>
      </c>
      <c r="J281" s="15" t="n">
        <f aca="false">I281/H281</f>
        <v>1.07956317243432</v>
      </c>
      <c r="K281" s="16" t="n">
        <f aca="false">ROUND(I281*J281^($F$8-1),0)</f>
        <v>163943</v>
      </c>
      <c r="L281" s="16" t="n">
        <f aca="false">ROUND(I281*J281^($F$9-1),0)</f>
        <v>166205</v>
      </c>
      <c r="M281" s="17" t="n">
        <f aca="false">G281*$F$7</f>
        <v>39315091.339767</v>
      </c>
      <c r="N281" s="18" t="n">
        <f aca="false">F281/K281</f>
        <v>292.876774244707</v>
      </c>
      <c r="O281" s="18" t="n">
        <f aca="false">G281/L281</f>
        <v>245.557179386902</v>
      </c>
      <c r="P281" s="18" t="n">
        <f aca="false">M281/L281</f>
        <v>236.545779848783</v>
      </c>
      <c r="Q281" s="19" t="n">
        <f aca="false">IF(N281=0,"n.a.",P281/N281-1)</f>
        <v>-0.192336843852487</v>
      </c>
    </row>
    <row r="282" customFormat="false" ht="15" hidden="false" customHeight="false" outlineLevel="0" collapsed="false">
      <c r="A282" s="12" t="s">
        <v>694</v>
      </c>
      <c r="B282" s="12" t="s">
        <v>658</v>
      </c>
      <c r="C282" s="12" t="s">
        <v>659</v>
      </c>
      <c r="D282" s="12" t="s">
        <v>202</v>
      </c>
      <c r="E282" s="12" t="s">
        <v>695</v>
      </c>
      <c r="F282" s="13" t="n">
        <v>136385965</v>
      </c>
      <c r="G282" s="13" t="n">
        <v>144490141</v>
      </c>
      <c r="H282" s="14" t="n">
        <v>272951</v>
      </c>
      <c r="I282" s="14" t="n">
        <v>288953</v>
      </c>
      <c r="J282" s="15" t="n">
        <f aca="false">I282/H282</f>
        <v>1.05862590721412</v>
      </c>
      <c r="K282" s="16" t="n">
        <f aca="false">ROUND(I282*J282^($F$8-1),0)</f>
        <v>285177</v>
      </c>
      <c r="L282" s="16" t="n">
        <f aca="false">ROUND(I282*J282^($F$9-1),0)</f>
        <v>288099</v>
      </c>
      <c r="M282" s="17" t="n">
        <f aca="false">G282*$F$7</f>
        <v>139187675.834367</v>
      </c>
      <c r="N282" s="18" t="n">
        <f aca="false">F282/K282</f>
        <v>478.250227051971</v>
      </c>
      <c r="O282" s="18" t="n">
        <f aca="false">G282/L282</f>
        <v>501.529477714258</v>
      </c>
      <c r="P282" s="18" t="n">
        <f aca="false">M282/L282</f>
        <v>483.124467056002</v>
      </c>
      <c r="Q282" s="19" t="n">
        <f aca="false">IF(N282=0,"n.a.",P282/N282-1)</f>
        <v>0.0101918195294461</v>
      </c>
    </row>
    <row r="283" customFormat="false" ht="15" hidden="false" customHeight="false" outlineLevel="0" collapsed="false">
      <c r="A283" s="12" t="s">
        <v>696</v>
      </c>
      <c r="B283" s="12" t="s">
        <v>658</v>
      </c>
      <c r="C283" s="12" t="s">
        <v>659</v>
      </c>
      <c r="D283" s="12" t="s">
        <v>208</v>
      </c>
      <c r="E283" s="12" t="s">
        <v>697</v>
      </c>
      <c r="F283" s="13" t="n">
        <v>4829368</v>
      </c>
      <c r="G283" s="13" t="n">
        <v>7909625</v>
      </c>
      <c r="H283" s="14" t="n">
        <v>41044</v>
      </c>
      <c r="I283" s="14" t="n">
        <v>43465</v>
      </c>
      <c r="J283" s="15" t="n">
        <f aca="false">I283/H283</f>
        <v>1.05898547899815</v>
      </c>
      <c r="K283" s="16" t="n">
        <f aca="false">ROUND(I283*J283^($F$8-1),0)</f>
        <v>42894</v>
      </c>
      <c r="L283" s="16" t="n">
        <f aca="false">ROUND(I283*J283^($F$9-1),0)</f>
        <v>43336</v>
      </c>
      <c r="M283" s="17" t="n">
        <f aca="false">G283*$F$7</f>
        <v>7619359.44454096</v>
      </c>
      <c r="N283" s="18" t="n">
        <f aca="false">F283/K283</f>
        <v>112.588427285867</v>
      </c>
      <c r="O283" s="18" t="n">
        <f aca="false">G283/L283</f>
        <v>182.518575779952</v>
      </c>
      <c r="P283" s="18" t="n">
        <f aca="false">M283/L283</f>
        <v>175.820552070818</v>
      </c>
      <c r="Q283" s="19" t="n">
        <f aca="false">IF(N283=0,"n.a.",P283/N283-1)</f>
        <v>0.561621885208512</v>
      </c>
    </row>
    <row r="284" customFormat="false" ht="15" hidden="false" customHeight="false" outlineLevel="0" collapsed="false">
      <c r="A284" s="12" t="s">
        <v>698</v>
      </c>
      <c r="B284" s="12" t="s">
        <v>658</v>
      </c>
      <c r="C284" s="12" t="s">
        <v>659</v>
      </c>
      <c r="D284" s="12" t="s">
        <v>211</v>
      </c>
      <c r="E284" s="12" t="s">
        <v>92</v>
      </c>
      <c r="F284" s="13" t="n">
        <v>30263312</v>
      </c>
      <c r="G284" s="13" t="n">
        <v>31152549</v>
      </c>
      <c r="H284" s="14" t="n">
        <v>119582</v>
      </c>
      <c r="I284" s="14" t="n">
        <v>125758</v>
      </c>
      <c r="J284" s="15" t="n">
        <f aca="false">I284/H284</f>
        <v>1.0516465688816</v>
      </c>
      <c r="K284" s="16" t="n">
        <f aca="false">ROUND(I284*J284^($F$8-1),0)</f>
        <v>124304</v>
      </c>
      <c r="L284" s="16" t="n">
        <f aca="false">ROUND(I284*J284^($F$9-1),0)</f>
        <v>125429</v>
      </c>
      <c r="M284" s="17" t="n">
        <f aca="false">G284*$F$7</f>
        <v>30009320.0935158</v>
      </c>
      <c r="N284" s="18" t="n">
        <f aca="false">F284/K284</f>
        <v>243.462092933453</v>
      </c>
      <c r="O284" s="18" t="n">
        <f aca="false">G284/L284</f>
        <v>248.36799304786</v>
      </c>
      <c r="P284" s="18" t="n">
        <f aca="false">M284/L284</f>
        <v>239.253442931984</v>
      </c>
      <c r="Q284" s="19" t="n">
        <f aca="false">IF(N284=0,"n.a.",P284/N284-1)</f>
        <v>-0.0172866746964991</v>
      </c>
    </row>
    <row r="285" customFormat="false" ht="15" hidden="false" customHeight="false" outlineLevel="0" collapsed="false">
      <c r="A285" s="12" t="s">
        <v>699</v>
      </c>
      <c r="B285" s="12" t="s">
        <v>658</v>
      </c>
      <c r="C285" s="12" t="s">
        <v>659</v>
      </c>
      <c r="D285" s="12" t="s">
        <v>217</v>
      </c>
      <c r="E285" s="12" t="s">
        <v>700</v>
      </c>
      <c r="F285" s="13" t="n">
        <v>61771829</v>
      </c>
      <c r="G285" s="13" t="n">
        <v>72607382</v>
      </c>
      <c r="H285" s="14" t="n">
        <v>89506</v>
      </c>
      <c r="I285" s="14" t="n">
        <v>92288</v>
      </c>
      <c r="J285" s="15" t="n">
        <f aca="false">I285/H285</f>
        <v>1.03108171519228</v>
      </c>
      <c r="K285" s="16" t="n">
        <f aca="false">ROUND(I285*J285^($F$8-1),0)</f>
        <v>91638</v>
      </c>
      <c r="L285" s="16" t="n">
        <f aca="false">ROUND(I285*J285^($F$9-1),0)</f>
        <v>92141</v>
      </c>
      <c r="M285" s="17" t="n">
        <f aca="false">G285*$F$7</f>
        <v>69942853.3950843</v>
      </c>
      <c r="N285" s="18" t="n">
        <f aca="false">F285/K285</f>
        <v>674.085303040224</v>
      </c>
      <c r="O285" s="18" t="n">
        <f aca="false">G285/L285</f>
        <v>788.002973703346</v>
      </c>
      <c r="P285" s="18" t="n">
        <f aca="false">M285/L285</f>
        <v>759.085026156481</v>
      </c>
      <c r="Q285" s="19" t="n">
        <f aca="false">IF(N285=0,"n.a.",P285/N285-1)</f>
        <v>0.126096389778706</v>
      </c>
    </row>
    <row r="286" customFormat="false" ht="15" hidden="false" customHeight="false" outlineLevel="0" collapsed="false">
      <c r="A286" s="12" t="s">
        <v>701</v>
      </c>
      <c r="B286" s="12" t="s">
        <v>658</v>
      </c>
      <c r="C286" s="12" t="s">
        <v>659</v>
      </c>
      <c r="D286" s="12" t="s">
        <v>220</v>
      </c>
      <c r="E286" s="12" t="s">
        <v>702</v>
      </c>
      <c r="F286" s="13" t="n">
        <v>37493212</v>
      </c>
      <c r="G286" s="13" t="n">
        <v>45098528</v>
      </c>
      <c r="H286" s="14" t="n">
        <v>128428</v>
      </c>
      <c r="I286" s="14" t="n">
        <v>130781</v>
      </c>
      <c r="J286" s="15" t="n">
        <f aca="false">I286/H286</f>
        <v>1.0183215498178</v>
      </c>
      <c r="K286" s="16" t="n">
        <f aca="false">ROUND(I286*J286^($F$8-1),0)</f>
        <v>130234</v>
      </c>
      <c r="L286" s="16" t="n">
        <f aca="false">ROUND(I286*J286^($F$9-1),0)</f>
        <v>130658</v>
      </c>
      <c r="M286" s="17" t="n">
        <f aca="false">G286*$F$7</f>
        <v>43443512.8405828</v>
      </c>
      <c r="N286" s="18" t="n">
        <f aca="false">F286/K286</f>
        <v>287.89111906261</v>
      </c>
      <c r="O286" s="18" t="n">
        <f aca="false">G286/L286</f>
        <v>345.164689494711</v>
      </c>
      <c r="P286" s="18" t="n">
        <f aca="false">M286/L286</f>
        <v>332.49791700916</v>
      </c>
      <c r="Q286" s="19" t="n">
        <f aca="false">IF(N286=0,"n.a.",P286/N286-1)</f>
        <v>0.154943292769127</v>
      </c>
    </row>
    <row r="287" customFormat="false" ht="15" hidden="false" customHeight="false" outlineLevel="0" collapsed="false">
      <c r="A287" s="12" t="s">
        <v>703</v>
      </c>
      <c r="B287" s="12" t="s">
        <v>658</v>
      </c>
      <c r="C287" s="12" t="s">
        <v>659</v>
      </c>
      <c r="D287" s="12" t="s">
        <v>223</v>
      </c>
      <c r="E287" s="12" t="s">
        <v>704</v>
      </c>
      <c r="F287" s="13" t="n">
        <v>1772663</v>
      </c>
      <c r="G287" s="13" t="n">
        <v>1930649</v>
      </c>
      <c r="H287" s="14" t="n">
        <v>5721</v>
      </c>
      <c r="I287" s="14" t="n">
        <v>5981</v>
      </c>
      <c r="J287" s="15" t="n">
        <f aca="false">I287/H287</f>
        <v>1.04544660024471</v>
      </c>
      <c r="K287" s="16" t="n">
        <f aca="false">ROUND(I287*J287^($F$8-1),0)</f>
        <v>5920</v>
      </c>
      <c r="L287" s="16" t="n">
        <f aca="false">ROUND(I287*J287^($F$9-1),0)</f>
        <v>5967</v>
      </c>
      <c r="M287" s="17" t="n">
        <f aca="false">G287*$F$7</f>
        <v>1859798.49768397</v>
      </c>
      <c r="N287" s="18" t="n">
        <f aca="false">F287/K287</f>
        <v>299.436317567568</v>
      </c>
      <c r="O287" s="18" t="n">
        <f aca="false">G287/L287</f>
        <v>323.554382436735</v>
      </c>
      <c r="P287" s="18" t="n">
        <f aca="false">M287/L287</f>
        <v>311.680659910167</v>
      </c>
      <c r="Q287" s="19" t="n">
        <f aca="false">IF(N287=0,"n.a.",P287/N287-1)</f>
        <v>0.040891306846361</v>
      </c>
    </row>
    <row r="288" customFormat="false" ht="15" hidden="false" customHeight="false" outlineLevel="0" collapsed="false">
      <c r="A288" s="12" t="s">
        <v>705</v>
      </c>
      <c r="B288" s="12" t="s">
        <v>658</v>
      </c>
      <c r="C288" s="12" t="s">
        <v>659</v>
      </c>
      <c r="D288" s="12" t="s">
        <v>226</v>
      </c>
      <c r="E288" s="12" t="s">
        <v>706</v>
      </c>
      <c r="F288" s="13" t="n">
        <v>27788258</v>
      </c>
      <c r="G288" s="13" t="n">
        <v>26573096</v>
      </c>
      <c r="H288" s="14" t="n">
        <v>82296</v>
      </c>
      <c r="I288" s="14" t="n">
        <v>88167</v>
      </c>
      <c r="J288" s="15" t="n">
        <f aca="false">I288/H288</f>
        <v>1.07134004082823</v>
      </c>
      <c r="K288" s="16" t="n">
        <f aca="false">ROUND(I288*J288^($F$8-1),0)</f>
        <v>86775</v>
      </c>
      <c r="L288" s="16" t="n">
        <f aca="false">ROUND(I288*J288^($F$9-1),0)</f>
        <v>87852</v>
      </c>
      <c r="M288" s="17" t="n">
        <f aca="false">G288*$F$7</f>
        <v>25597922.7812056</v>
      </c>
      <c r="N288" s="18" t="n">
        <f aca="false">F288/K288</f>
        <v>320.233454335926</v>
      </c>
      <c r="O288" s="18" t="n">
        <f aca="false">G288/L288</f>
        <v>302.475709147202</v>
      </c>
      <c r="P288" s="18" t="n">
        <f aca="false">M288/L288</f>
        <v>291.375526808788</v>
      </c>
      <c r="Q288" s="19" t="n">
        <f aca="false">IF(N288=0,"n.a.",P288/N288-1)</f>
        <v>-0.0901152803881201</v>
      </c>
    </row>
    <row r="289" customFormat="false" ht="15" hidden="false" customHeight="false" outlineLevel="0" collapsed="false">
      <c r="A289" s="12" t="s">
        <v>707</v>
      </c>
      <c r="B289" s="12" t="s">
        <v>658</v>
      </c>
      <c r="C289" s="12" t="s">
        <v>659</v>
      </c>
      <c r="D289" s="12" t="s">
        <v>232</v>
      </c>
      <c r="E289" s="12" t="s">
        <v>708</v>
      </c>
      <c r="F289" s="13" t="n">
        <v>212653563</v>
      </c>
      <c r="G289" s="13" t="n">
        <v>257560165</v>
      </c>
      <c r="H289" s="14" t="n">
        <v>203021</v>
      </c>
      <c r="I289" s="14" t="n">
        <v>221793</v>
      </c>
      <c r="J289" s="15" t="n">
        <f aca="false">I289/H289</f>
        <v>1.09246334123071</v>
      </c>
      <c r="K289" s="16" t="n">
        <f aca="false">ROUND(I289*J289^($F$8-1),0)</f>
        <v>217310</v>
      </c>
      <c r="L289" s="16" t="n">
        <f aca="false">ROUND(I289*J289^($F$9-1),0)</f>
        <v>220776</v>
      </c>
      <c r="M289" s="17" t="n">
        <f aca="false">G289*$F$7</f>
        <v>248108282.722667</v>
      </c>
      <c r="N289" s="18" t="n">
        <f aca="false">F289/K289</f>
        <v>978.572375868575</v>
      </c>
      <c r="O289" s="18" t="n">
        <f aca="false">G289/L289</f>
        <v>1166.61306029641</v>
      </c>
      <c r="P289" s="18" t="n">
        <f aca="false">M289/L289</f>
        <v>1123.80096895798</v>
      </c>
      <c r="Q289" s="19" t="n">
        <f aca="false">IF(N289=0,"n.a.",P289/N289-1)</f>
        <v>0.14840863759362</v>
      </c>
    </row>
    <row r="290" customFormat="false" ht="15" hidden="false" customHeight="false" outlineLevel="0" collapsed="false">
      <c r="A290" s="12" t="s">
        <v>709</v>
      </c>
      <c r="B290" s="12" t="s">
        <v>658</v>
      </c>
      <c r="C290" s="12" t="s">
        <v>659</v>
      </c>
      <c r="D290" s="12" t="s">
        <v>317</v>
      </c>
      <c r="E290" s="12" t="s">
        <v>710</v>
      </c>
      <c r="F290" s="13" t="n">
        <v>11949748</v>
      </c>
      <c r="G290" s="13" t="n">
        <v>12071811</v>
      </c>
      <c r="H290" s="14" t="n">
        <v>35846</v>
      </c>
      <c r="I290" s="14" t="n">
        <v>35135</v>
      </c>
      <c r="J290" s="15" t="n">
        <f aca="false">I290/H290</f>
        <v>0.980165150923395</v>
      </c>
      <c r="K290" s="16" t="n">
        <f aca="false">ROUND(I290*J290^($F$8-1),0)</f>
        <v>35298</v>
      </c>
      <c r="L290" s="16" t="n">
        <f aca="false">ROUND(I290*J290^($F$9-1),0)</f>
        <v>35172</v>
      </c>
      <c r="M290" s="17" t="n">
        <f aca="false">G290*$F$7</f>
        <v>11628802.5229469</v>
      </c>
      <c r="N290" s="18" t="n">
        <f aca="false">F290/K290</f>
        <v>338.538954048388</v>
      </c>
      <c r="O290" s="18" t="n">
        <f aca="false">G290/L290</f>
        <v>343.222193790515</v>
      </c>
      <c r="P290" s="18" t="n">
        <f aca="false">M290/L290</f>
        <v>330.626706554841</v>
      </c>
      <c r="Q290" s="19" t="n">
        <f aca="false">IF(N290=0,"n.a.",P290/N290-1)</f>
        <v>-0.0233717490969048</v>
      </c>
    </row>
    <row r="291" customFormat="false" ht="15" hidden="false" customHeight="false" outlineLevel="0" collapsed="false">
      <c r="A291" s="12" t="s">
        <v>711</v>
      </c>
      <c r="B291" s="12" t="s">
        <v>658</v>
      </c>
      <c r="C291" s="12" t="s">
        <v>659</v>
      </c>
      <c r="D291" s="12" t="s">
        <v>320</v>
      </c>
      <c r="E291" s="12" t="s">
        <v>712</v>
      </c>
      <c r="F291" s="13" t="n">
        <v>1429774</v>
      </c>
      <c r="G291" s="13" t="n">
        <v>1456271</v>
      </c>
      <c r="H291" s="14" t="n">
        <v>20007</v>
      </c>
      <c r="I291" s="14" t="n">
        <v>19309</v>
      </c>
      <c r="J291" s="15" t="n">
        <f aca="false">I291/H291</f>
        <v>0.965112210726246</v>
      </c>
      <c r="K291" s="16" t="n">
        <f aca="false">ROUND(I291*J291^($F$8-1),0)</f>
        <v>19468</v>
      </c>
      <c r="L291" s="16" t="n">
        <f aca="false">ROUND(I291*J291^($F$9-1),0)</f>
        <v>19345</v>
      </c>
      <c r="M291" s="17" t="n">
        <f aca="false">G291*$F$7</f>
        <v>1402829.1098075</v>
      </c>
      <c r="N291" s="18" t="n">
        <f aca="false">F291/K291</f>
        <v>73.4422642284775</v>
      </c>
      <c r="O291" s="18" t="n">
        <f aca="false">G291/L291</f>
        <v>75.2789351253554</v>
      </c>
      <c r="P291" s="18" t="n">
        <f aca="false">M291/L291</f>
        <v>72.5163664930212</v>
      </c>
      <c r="Q291" s="19" t="n">
        <f aca="false">IF(N291=0,"n.a.",P291/N291-1)</f>
        <v>-0.0126071512797569</v>
      </c>
    </row>
    <row r="292" customFormat="false" ht="15" hidden="false" customHeight="false" outlineLevel="0" collapsed="false">
      <c r="A292" s="12" t="s">
        <v>713</v>
      </c>
      <c r="B292" s="12" t="s">
        <v>658</v>
      </c>
      <c r="C292" s="12" t="s">
        <v>659</v>
      </c>
      <c r="D292" s="12" t="s">
        <v>323</v>
      </c>
      <c r="E292" s="12" t="s">
        <v>714</v>
      </c>
      <c r="F292" s="13" t="n">
        <v>28450757</v>
      </c>
      <c r="G292" s="13" t="n">
        <v>29825349</v>
      </c>
      <c r="H292" s="14" t="n">
        <v>61447</v>
      </c>
      <c r="I292" s="14" t="n">
        <v>57743</v>
      </c>
      <c r="J292" s="15" t="n">
        <f aca="false">I292/H292</f>
        <v>0.939720409458558</v>
      </c>
      <c r="K292" s="16" t="n">
        <f aca="false">ROUND(I292*J292^($F$8-1),0)</f>
        <v>58578</v>
      </c>
      <c r="L292" s="16" t="n">
        <f aca="false">ROUND(I292*J292^($F$9-1),0)</f>
        <v>57930</v>
      </c>
      <c r="M292" s="17" t="n">
        <f aca="false">G292*$F$7</f>
        <v>28730825.3665478</v>
      </c>
      <c r="N292" s="18" t="n">
        <f aca="false">F292/K292</f>
        <v>485.690139642869</v>
      </c>
      <c r="O292" s="18" t="n">
        <f aca="false">G292/L292</f>
        <v>514.851527705852</v>
      </c>
      <c r="P292" s="18" t="n">
        <f aca="false">M292/L292</f>
        <v>495.957627594472</v>
      </c>
      <c r="Q292" s="19" t="n">
        <f aca="false">IF(N292=0,"n.a.",P292/N292-1)</f>
        <v>0.0211399967047969</v>
      </c>
    </row>
    <row r="293" customFormat="false" ht="15" hidden="false" customHeight="false" outlineLevel="0" collapsed="false">
      <c r="A293" s="12" t="s">
        <v>715</v>
      </c>
      <c r="B293" s="12" t="s">
        <v>658</v>
      </c>
      <c r="C293" s="12" t="s">
        <v>659</v>
      </c>
      <c r="D293" s="12" t="s">
        <v>326</v>
      </c>
      <c r="E293" s="12" t="s">
        <v>716</v>
      </c>
      <c r="F293" s="13" t="n">
        <v>27416056</v>
      </c>
      <c r="G293" s="13" t="n">
        <v>29694658</v>
      </c>
      <c r="H293" s="14" t="n">
        <v>148627</v>
      </c>
      <c r="I293" s="14" t="n">
        <v>144508</v>
      </c>
      <c r="J293" s="15" t="n">
        <f aca="false">I293/H293</f>
        <v>0.97228632751788</v>
      </c>
      <c r="K293" s="16" t="n">
        <f aca="false">ROUND(I293*J293^($F$8-1),0)</f>
        <v>145449</v>
      </c>
      <c r="L293" s="16" t="n">
        <f aca="false">ROUND(I293*J293^($F$9-1),0)</f>
        <v>144719</v>
      </c>
      <c r="M293" s="17" t="n">
        <f aca="false">G293*$F$7</f>
        <v>28604930.4340868</v>
      </c>
      <c r="N293" s="18" t="n">
        <f aca="false">F293/K293</f>
        <v>188.49257127928</v>
      </c>
      <c r="O293" s="18" t="n">
        <f aca="false">G293/L293</f>
        <v>205.188385768282</v>
      </c>
      <c r="P293" s="18" t="n">
        <f aca="false">M293/L293</f>
        <v>197.658430711149</v>
      </c>
      <c r="Q293" s="19" t="n">
        <f aca="false">IF(N293=0,"n.a.",P293/N293-1)</f>
        <v>0.0486271653554375</v>
      </c>
    </row>
    <row r="294" customFormat="false" ht="15" hidden="false" customHeight="false" outlineLevel="0" collapsed="false">
      <c r="A294" s="12" t="s">
        <v>717</v>
      </c>
      <c r="B294" s="12" t="s">
        <v>658</v>
      </c>
      <c r="C294" s="12" t="s">
        <v>659</v>
      </c>
      <c r="D294" s="12" t="s">
        <v>600</v>
      </c>
      <c r="E294" s="12" t="s">
        <v>718</v>
      </c>
      <c r="F294" s="13" t="n">
        <v>3118769</v>
      </c>
      <c r="G294" s="13" t="n">
        <v>3633634</v>
      </c>
      <c r="H294" s="14" t="n">
        <v>21248</v>
      </c>
      <c r="I294" s="14" t="n">
        <v>23334</v>
      </c>
      <c r="J294" s="15" t="n">
        <f aca="false">I294/H294</f>
        <v>1.09817394578313</v>
      </c>
      <c r="K294" s="16" t="n">
        <f aca="false">ROUND(I294*J294^($F$8-1),0)</f>
        <v>22835</v>
      </c>
      <c r="L294" s="16" t="n">
        <f aca="false">ROUND(I294*J294^($F$9-1),0)</f>
        <v>23221</v>
      </c>
      <c r="M294" s="17" t="n">
        <f aca="false">G294*$F$7</f>
        <v>3500287.75522293</v>
      </c>
      <c r="N294" s="18" t="n">
        <f aca="false">F294/K294</f>
        <v>136.578454127436</v>
      </c>
      <c r="O294" s="18" t="n">
        <f aca="false">G294/L294</f>
        <v>156.480513328453</v>
      </c>
      <c r="P294" s="18" t="n">
        <f aca="false">M294/L294</f>
        <v>150.738028302955</v>
      </c>
      <c r="Q294" s="19" t="n">
        <f aca="false">IF(N294=0,"n.a.",P294/N294-1)</f>
        <v>0.103673557194517</v>
      </c>
    </row>
    <row r="295" customFormat="false" ht="15" hidden="false" customHeight="false" outlineLevel="0" collapsed="false">
      <c r="A295" s="12" t="s">
        <v>719</v>
      </c>
      <c r="B295" s="12" t="s">
        <v>658</v>
      </c>
      <c r="C295" s="12" t="s">
        <v>659</v>
      </c>
      <c r="D295" s="12" t="s">
        <v>332</v>
      </c>
      <c r="E295" s="12" t="s">
        <v>720</v>
      </c>
      <c r="F295" s="13" t="n">
        <v>619997</v>
      </c>
      <c r="G295" s="13" t="n">
        <v>714416</v>
      </c>
      <c r="H295" s="14" t="n">
        <v>11136</v>
      </c>
      <c r="I295" s="14" t="n">
        <v>11653</v>
      </c>
      <c r="J295" s="15" t="n">
        <f aca="false">I295/H295</f>
        <v>1.04642600574713</v>
      </c>
      <c r="K295" s="16" t="n">
        <f aca="false">ROUND(I295*J295^($F$8-1),0)</f>
        <v>11532</v>
      </c>
      <c r="L295" s="16" t="n">
        <f aca="false">ROUND(I295*J295^($F$9-1),0)</f>
        <v>11626</v>
      </c>
      <c r="M295" s="17" t="n">
        <f aca="false">G295*$F$7</f>
        <v>688198.529883677</v>
      </c>
      <c r="N295" s="18" t="n">
        <f aca="false">F295/K295</f>
        <v>53.7631807145335</v>
      </c>
      <c r="O295" s="18" t="n">
        <f aca="false">G295/L295</f>
        <v>61.4498537760193</v>
      </c>
      <c r="P295" s="18" t="n">
        <f aca="false">M295/L295</f>
        <v>59.1947815141645</v>
      </c>
      <c r="Q295" s="19" t="n">
        <f aca="false">IF(N295=0,"n.a.",P295/N295-1)</f>
        <v>0.101028263719575</v>
      </c>
    </row>
    <row r="296" customFormat="false" ht="15" hidden="false" customHeight="false" outlineLevel="0" collapsed="false">
      <c r="A296" s="12" t="s">
        <v>721</v>
      </c>
      <c r="B296" s="12" t="s">
        <v>658</v>
      </c>
      <c r="C296" s="12" t="s">
        <v>659</v>
      </c>
      <c r="D296" s="12" t="s">
        <v>335</v>
      </c>
      <c r="E296" s="12" t="s">
        <v>722</v>
      </c>
      <c r="F296" s="13" t="n">
        <v>16118906</v>
      </c>
      <c r="G296" s="13" t="n">
        <v>17233765</v>
      </c>
      <c r="H296" s="14" t="n">
        <v>68724</v>
      </c>
      <c r="I296" s="14" t="n">
        <v>67673</v>
      </c>
      <c r="J296" s="15" t="n">
        <f aca="false">I296/H296</f>
        <v>0.984706943716897</v>
      </c>
      <c r="K296" s="16" t="n">
        <f aca="false">ROUND(I296*J296^($F$8-1),0)</f>
        <v>67914</v>
      </c>
      <c r="L296" s="16" t="n">
        <f aca="false">ROUND(I296*J296^($F$9-1),0)</f>
        <v>67727</v>
      </c>
      <c r="M296" s="17" t="n">
        <f aca="false">G296*$F$7</f>
        <v>16601324.3507435</v>
      </c>
      <c r="N296" s="18" t="n">
        <f aca="false">F296/K296</f>
        <v>237.342904261272</v>
      </c>
      <c r="O296" s="18" t="n">
        <f aca="false">G296/L296</f>
        <v>254.459299836107</v>
      </c>
      <c r="P296" s="18" t="n">
        <f aca="false">M296/L296</f>
        <v>245.121212378276</v>
      </c>
      <c r="Q296" s="19" t="n">
        <f aca="false">IF(N296=0,"n.a.",P296/N296-1)</f>
        <v>0.0327724485432339</v>
      </c>
    </row>
    <row r="297" customFormat="false" ht="15" hidden="false" customHeight="false" outlineLevel="0" collapsed="false">
      <c r="A297" s="12" t="s">
        <v>723</v>
      </c>
      <c r="B297" s="12" t="s">
        <v>724</v>
      </c>
      <c r="C297" s="12" t="s">
        <v>159</v>
      </c>
      <c r="D297" s="12" t="s">
        <v>46</v>
      </c>
      <c r="E297" s="12" t="s">
        <v>725</v>
      </c>
      <c r="F297" s="13" t="n">
        <v>680938184</v>
      </c>
      <c r="G297" s="13" t="n">
        <v>772636311</v>
      </c>
      <c r="H297" s="14" t="n">
        <v>776521</v>
      </c>
      <c r="I297" s="14" t="n">
        <v>767454</v>
      </c>
      <c r="J297" s="15" t="n">
        <f aca="false">I297/H297</f>
        <v>0.988323561114252</v>
      </c>
      <c r="K297" s="16" t="n">
        <f aca="false">ROUND(I297*J297^($F$8-1),0)</f>
        <v>769538</v>
      </c>
      <c r="L297" s="16" t="n">
        <f aca="false">ROUND(I297*J297^($F$9-1),0)</f>
        <v>767923</v>
      </c>
      <c r="M297" s="17" t="n">
        <f aca="false">G297*$F$7</f>
        <v>744282285.622029</v>
      </c>
      <c r="N297" s="18" t="n">
        <f aca="false">F297/K297</f>
        <v>884.866223630282</v>
      </c>
      <c r="O297" s="18" t="n">
        <f aca="false">G297/L297</f>
        <v>1006.13773907019</v>
      </c>
      <c r="P297" s="18" t="n">
        <f aca="false">M297/L297</f>
        <v>969.214733276681</v>
      </c>
      <c r="Q297" s="19" t="n">
        <f aca="false">IF(N297=0,"n.a.",P297/N297-1)</f>
        <v>0.095323459517245</v>
      </c>
    </row>
    <row r="298" customFormat="false" ht="15" hidden="false" customHeight="false" outlineLevel="0" collapsed="false">
      <c r="A298" s="12" t="s">
        <v>726</v>
      </c>
      <c r="B298" s="12" t="s">
        <v>724</v>
      </c>
      <c r="C298" s="12" t="s">
        <v>159</v>
      </c>
      <c r="D298" s="12" t="s">
        <v>75</v>
      </c>
      <c r="E298" s="12" t="s">
        <v>727</v>
      </c>
      <c r="F298" s="13" t="n">
        <v>3755556</v>
      </c>
      <c r="G298" s="13" t="n">
        <v>3164018</v>
      </c>
      <c r="H298" s="14" t="n">
        <v>60655</v>
      </c>
      <c r="I298" s="14" t="n">
        <v>53726</v>
      </c>
      <c r="J298" s="15" t="n">
        <f aca="false">I298/H298</f>
        <v>0.885763745775287</v>
      </c>
      <c r="K298" s="16" t="n">
        <f aca="false">ROUND(I298*J298^($F$8-1),0)</f>
        <v>55252</v>
      </c>
      <c r="L298" s="16" t="n">
        <f aca="false">ROUND(I298*J298^($F$9-1),0)</f>
        <v>54066</v>
      </c>
      <c r="M298" s="17" t="n">
        <f aca="false">G298*$F$7</f>
        <v>3047905.61259195</v>
      </c>
      <c r="N298" s="18" t="n">
        <f aca="false">F298/K298</f>
        <v>67.9714037500905</v>
      </c>
      <c r="O298" s="18" t="n">
        <f aca="false">G298/L298</f>
        <v>58.5213997706507</v>
      </c>
      <c r="P298" s="18" t="n">
        <f aca="false">M298/L298</f>
        <v>56.3737952242065</v>
      </c>
      <c r="Q298" s="19" t="n">
        <f aca="false">IF(N298=0,"n.a.",P298/N298-1)</f>
        <v>-0.170624819939349</v>
      </c>
    </row>
    <row r="299" customFormat="false" ht="15" hidden="false" customHeight="false" outlineLevel="0" collapsed="false">
      <c r="A299" s="12" t="s">
        <v>728</v>
      </c>
      <c r="B299" s="12" t="s">
        <v>724</v>
      </c>
      <c r="C299" s="12" t="s">
        <v>159</v>
      </c>
      <c r="D299" s="12" t="s">
        <v>184</v>
      </c>
      <c r="E299" s="12" t="s">
        <v>729</v>
      </c>
      <c r="F299" s="13" t="n">
        <v>4188612</v>
      </c>
      <c r="G299" s="13" t="n">
        <v>5682296</v>
      </c>
      <c r="H299" s="14" t="n">
        <v>72924</v>
      </c>
      <c r="I299" s="14" t="n">
        <v>62993</v>
      </c>
      <c r="J299" s="15" t="n">
        <f aca="false">I299/H299</f>
        <v>0.863817124677747</v>
      </c>
      <c r="K299" s="16" t="n">
        <f aca="false">ROUND(I299*J299^($F$8-1),0)</f>
        <v>65159</v>
      </c>
      <c r="L299" s="16" t="n">
        <f aca="false">ROUND(I299*J299^($F$9-1),0)</f>
        <v>63474</v>
      </c>
      <c r="M299" s="17" t="n">
        <f aca="false">G299*$F$7</f>
        <v>5473768.43962607</v>
      </c>
      <c r="N299" s="18" t="n">
        <f aca="false">F299/K299</f>
        <v>64.2829386577449</v>
      </c>
      <c r="O299" s="18" t="n">
        <f aca="false">G299/L299</f>
        <v>89.5216309039922</v>
      </c>
      <c r="P299" s="18" t="n">
        <f aca="false">M299/L299</f>
        <v>86.2363871762622</v>
      </c>
      <c r="Q299" s="19" t="n">
        <f aca="false">IF(N299=0,"n.a.",P299/N299-1)</f>
        <v>0.341512833372503</v>
      </c>
    </row>
    <row r="300" customFormat="false" ht="15" hidden="false" customHeight="false" outlineLevel="0" collapsed="false">
      <c r="A300" s="12" t="s">
        <v>730</v>
      </c>
      <c r="B300" s="12" t="s">
        <v>724</v>
      </c>
      <c r="C300" s="12" t="s">
        <v>159</v>
      </c>
      <c r="D300" s="12" t="s">
        <v>205</v>
      </c>
      <c r="E300" s="12" t="s">
        <v>731</v>
      </c>
      <c r="F300" s="13" t="n">
        <v>8798147</v>
      </c>
      <c r="G300" s="13" t="n">
        <v>23046152</v>
      </c>
      <c r="H300" s="14" t="n">
        <v>123194</v>
      </c>
      <c r="I300" s="14" t="n">
        <v>114089</v>
      </c>
      <c r="J300" s="15" t="n">
        <f aca="false">I300/H300</f>
        <v>0.926092179813952</v>
      </c>
      <c r="K300" s="16" t="n">
        <f aca="false">ROUND(I300*J300^($F$8-1),0)</f>
        <v>116130</v>
      </c>
      <c r="L300" s="16" t="n">
        <f aca="false">ROUND(I300*J300^($F$9-1),0)</f>
        <v>114545</v>
      </c>
      <c r="M300" s="17" t="n">
        <f aca="false">G300*$F$7</f>
        <v>22200409.7414892</v>
      </c>
      <c r="N300" s="18" t="n">
        <f aca="false">F300/K300</f>
        <v>75.7611900456385</v>
      </c>
      <c r="O300" s="18" t="n">
        <f aca="false">G300/L300</f>
        <v>201.197363481601</v>
      </c>
      <c r="P300" s="18" t="n">
        <f aca="false">M300/L300</f>
        <v>193.813870020422</v>
      </c>
      <c r="Q300" s="19" t="n">
        <f aca="false">IF(N300=0,"n.a.",P300/N300-1)</f>
        <v>1.55822103511928</v>
      </c>
    </row>
    <row r="301" customFormat="false" ht="15" hidden="false" customHeight="false" outlineLevel="0" collapsed="false">
      <c r="A301" s="12" t="s">
        <v>732</v>
      </c>
      <c r="B301" s="12" t="s">
        <v>724</v>
      </c>
      <c r="C301" s="12" t="s">
        <v>159</v>
      </c>
      <c r="D301" s="12" t="s">
        <v>208</v>
      </c>
      <c r="E301" s="12" t="s">
        <v>733</v>
      </c>
      <c r="F301" s="13" t="n">
        <v>62753839</v>
      </c>
      <c r="G301" s="13" t="n">
        <v>70539672</v>
      </c>
      <c r="H301" s="14" t="n">
        <v>280820</v>
      </c>
      <c r="I301" s="14" t="n">
        <v>283196</v>
      </c>
      <c r="J301" s="15" t="n">
        <f aca="false">I301/H301</f>
        <v>1.00846093583078</v>
      </c>
      <c r="K301" s="16" t="n">
        <f aca="false">ROUND(I301*J301^($F$8-1),0)</f>
        <v>282646</v>
      </c>
      <c r="L301" s="16" t="n">
        <f aca="false">ROUND(I301*J301^($F$9-1),0)</f>
        <v>283072</v>
      </c>
      <c r="M301" s="17" t="n">
        <f aca="false">G301*$F$7</f>
        <v>67951023.7296992</v>
      </c>
      <c r="N301" s="18" t="n">
        <f aca="false">F301/K301</f>
        <v>222.022738690801</v>
      </c>
      <c r="O301" s="18" t="n">
        <f aca="false">G301/L301</f>
        <v>249.193392493783</v>
      </c>
      <c r="P301" s="18" t="n">
        <f aca="false">M301/L301</f>
        <v>240.04855206343</v>
      </c>
      <c r="Q301" s="19" t="n">
        <f aca="false">IF(N301=0,"n.a.",P301/N301-1)</f>
        <v>0.0811890416221408</v>
      </c>
    </row>
    <row r="302" customFormat="false" ht="15" hidden="false" customHeight="false" outlineLevel="0" collapsed="false">
      <c r="A302" s="12" t="s">
        <v>734</v>
      </c>
      <c r="B302" s="12" t="s">
        <v>724</v>
      </c>
      <c r="C302" s="12" t="s">
        <v>159</v>
      </c>
      <c r="D302" s="12" t="s">
        <v>226</v>
      </c>
      <c r="E302" s="12" t="s">
        <v>735</v>
      </c>
      <c r="F302" s="13" t="n">
        <v>47627115</v>
      </c>
      <c r="G302" s="13" t="n">
        <v>49593203</v>
      </c>
      <c r="H302" s="14" t="n">
        <v>153467</v>
      </c>
      <c r="I302" s="14" t="n">
        <v>154755</v>
      </c>
      <c r="J302" s="15" t="n">
        <f aca="false">I302/H302</f>
        <v>1.00839268376915</v>
      </c>
      <c r="K302" s="16" t="n">
        <f aca="false">ROUND(I302*J302^($F$8-1),0)</f>
        <v>154457</v>
      </c>
      <c r="L302" s="16" t="n">
        <f aca="false">ROUND(I302*J302^($F$9-1),0)</f>
        <v>154688</v>
      </c>
      <c r="M302" s="17" t="n">
        <f aca="false">G302*$F$7</f>
        <v>47773243.315971</v>
      </c>
      <c r="N302" s="18" t="n">
        <f aca="false">F302/K302</f>
        <v>308.351936137566</v>
      </c>
      <c r="O302" s="18" t="n">
        <f aca="false">G302/L302</f>
        <v>320.601488156806</v>
      </c>
      <c r="P302" s="18" t="n">
        <f aca="false">M302/L302</f>
        <v>308.836130249089</v>
      </c>
      <c r="Q302" s="19" t="n">
        <f aca="false">IF(N302=0,"n.a.",P302/N302-1)</f>
        <v>0.00157026454118547</v>
      </c>
    </row>
    <row r="303" customFormat="false" ht="15" hidden="false" customHeight="false" outlineLevel="0" collapsed="false">
      <c r="A303" s="12" t="s">
        <v>736</v>
      </c>
      <c r="B303" s="12" t="s">
        <v>724</v>
      </c>
      <c r="C303" s="12" t="s">
        <v>159</v>
      </c>
      <c r="D303" s="12" t="s">
        <v>235</v>
      </c>
      <c r="E303" s="12" t="s">
        <v>737</v>
      </c>
      <c r="F303" s="13" t="n">
        <v>324233037</v>
      </c>
      <c r="G303" s="13" t="n">
        <v>341967999</v>
      </c>
      <c r="H303" s="14" t="n">
        <v>125756</v>
      </c>
      <c r="I303" s="14" t="n">
        <v>126826</v>
      </c>
      <c r="J303" s="15" t="n">
        <f aca="false">I303/H303</f>
        <v>1.00850854034798</v>
      </c>
      <c r="K303" s="16" t="n">
        <f aca="false">ROUND(I303*J303^($F$8-1),0)</f>
        <v>126578</v>
      </c>
      <c r="L303" s="16" t="n">
        <f aca="false">ROUND(I303*J303^($F$9-1),0)</f>
        <v>126770</v>
      </c>
      <c r="M303" s="17" t="n">
        <f aca="false">G303*$F$7</f>
        <v>329418537.909373</v>
      </c>
      <c r="N303" s="18" t="n">
        <f aca="false">F303/K303</f>
        <v>2561.52757193193</v>
      </c>
      <c r="O303" s="18" t="n">
        <f aca="false">G303/L303</f>
        <v>2697.54673029897</v>
      </c>
      <c r="P303" s="18" t="n">
        <f aca="false">M303/L303</f>
        <v>2598.55279568804</v>
      </c>
      <c r="Q303" s="19" t="n">
        <f aca="false">IF(N303=0,"n.a.",P303/N303-1)</f>
        <v>0.0144543530047521</v>
      </c>
    </row>
    <row r="304" customFormat="false" ht="15" hidden="false" customHeight="false" outlineLevel="0" collapsed="false">
      <c r="A304" s="12" t="s">
        <v>738</v>
      </c>
      <c r="B304" s="12" t="s">
        <v>724</v>
      </c>
      <c r="C304" s="12" t="s">
        <v>159</v>
      </c>
      <c r="D304" s="12" t="s">
        <v>335</v>
      </c>
      <c r="E304" s="12" t="s">
        <v>739</v>
      </c>
      <c r="F304" s="13" t="n">
        <v>4002951</v>
      </c>
      <c r="G304" s="13" t="n">
        <v>2936750</v>
      </c>
      <c r="H304" s="14" t="n">
        <v>67899</v>
      </c>
      <c r="I304" s="14" t="n">
        <v>71135</v>
      </c>
      <c r="J304" s="15" t="n">
        <f aca="false">I304/H304</f>
        <v>1.04765902296057</v>
      </c>
      <c r="K304" s="16" t="n">
        <f aca="false">ROUND(I304*J304^($F$8-1),0)</f>
        <v>70374</v>
      </c>
      <c r="L304" s="16" t="n">
        <f aca="false">ROUND(I304*J304^($F$9-1),0)</f>
        <v>70963</v>
      </c>
      <c r="M304" s="17" t="n">
        <f aca="false">G304*$F$7</f>
        <v>2828977.8401322</v>
      </c>
      <c r="N304" s="18" t="n">
        <f aca="false">F304/K304</f>
        <v>56.8811066587092</v>
      </c>
      <c r="O304" s="18" t="n">
        <f aca="false">G304/L304</f>
        <v>41.3842424925666</v>
      </c>
      <c r="P304" s="18" t="n">
        <f aca="false">M304/L304</f>
        <v>39.8655333079521</v>
      </c>
      <c r="Q304" s="19" t="n">
        <f aca="false">IF(N304=0,"n.a.",P304/N304-1)</f>
        <v>-0.29914279714795</v>
      </c>
    </row>
    <row r="305" customFormat="false" ht="15" hidden="false" customHeight="false" outlineLevel="0" collapsed="false">
      <c r="A305" s="12" t="s">
        <v>740</v>
      </c>
      <c r="B305" s="12" t="s">
        <v>741</v>
      </c>
      <c r="C305" s="12" t="s">
        <v>161</v>
      </c>
      <c r="D305" s="12" t="s">
        <v>205</v>
      </c>
      <c r="E305" s="12" t="s">
        <v>742</v>
      </c>
      <c r="F305" s="13" t="n">
        <v>6106354</v>
      </c>
      <c r="G305" s="13" t="n">
        <v>7194123</v>
      </c>
      <c r="H305" s="14" t="n">
        <v>126713</v>
      </c>
      <c r="I305" s="14" t="n">
        <v>128375</v>
      </c>
      <c r="J305" s="15" t="n">
        <f aca="false">I305/H305</f>
        <v>1.01311625484362</v>
      </c>
      <c r="K305" s="16" t="n">
        <f aca="false">ROUND(I305*J305^($F$8-1),0)</f>
        <v>127989</v>
      </c>
      <c r="L305" s="16" t="n">
        <f aca="false">ROUND(I305*J305^($F$9-1),0)</f>
        <v>128288</v>
      </c>
      <c r="M305" s="17" t="n">
        <f aca="false">G305*$F$7</f>
        <v>6930114.76842952</v>
      </c>
      <c r="N305" s="18" t="n">
        <f aca="false">F305/K305</f>
        <v>47.709990702326</v>
      </c>
      <c r="O305" s="18" t="n">
        <f aca="false">G305/L305</f>
        <v>56.0779106385632</v>
      </c>
      <c r="P305" s="18" t="n">
        <f aca="false">M305/L305</f>
        <v>54.0199766808238</v>
      </c>
      <c r="Q305" s="19" t="n">
        <f aca="false">IF(N305=0,"n.a.",P305/N305-1)</f>
        <v>0.132257120272089</v>
      </c>
    </row>
    <row r="306" customFormat="false" ht="15" hidden="false" customHeight="false" outlineLevel="0" collapsed="false">
      <c r="A306" s="12" t="s">
        <v>743</v>
      </c>
      <c r="B306" s="12" t="s">
        <v>741</v>
      </c>
      <c r="C306" s="12" t="s">
        <v>161</v>
      </c>
      <c r="D306" s="12" t="s">
        <v>338</v>
      </c>
      <c r="E306" s="12" t="s">
        <v>744</v>
      </c>
      <c r="F306" s="13" t="n">
        <v>264976388</v>
      </c>
      <c r="G306" s="13" t="n">
        <v>346105753</v>
      </c>
      <c r="H306" s="14" t="n">
        <v>311788</v>
      </c>
      <c r="I306" s="14" t="n">
        <v>317480</v>
      </c>
      <c r="J306" s="15" t="n">
        <f aca="false">I306/H306</f>
        <v>1.01825599445777</v>
      </c>
      <c r="K306" s="16" t="n">
        <f aca="false">ROUND(I306*J306^($F$8-1),0)</f>
        <v>316157</v>
      </c>
      <c r="L306" s="16" t="n">
        <f aca="false">ROUND(I306*J306^($F$9-1),0)</f>
        <v>317182</v>
      </c>
      <c r="M306" s="17" t="n">
        <f aca="false">G306*$F$7</f>
        <v>333404445.587561</v>
      </c>
      <c r="N306" s="18" t="n">
        <f aca="false">F306/K306</f>
        <v>838.116467451298</v>
      </c>
      <c r="O306" s="18" t="n">
        <f aca="false">G306/L306</f>
        <v>1091.18976801962</v>
      </c>
      <c r="P306" s="18" t="n">
        <f aca="false">M306/L306</f>
        <v>1051.14554289828</v>
      </c>
      <c r="Q306" s="19" t="n">
        <f aca="false">IF(N306=0,"n.a.",P306/N306-1)</f>
        <v>0.254175981167387</v>
      </c>
    </row>
    <row r="307" customFormat="false" ht="15" hidden="false" customHeight="false" outlineLevel="0" collapsed="false">
      <c r="A307" s="12" t="s">
        <v>745</v>
      </c>
      <c r="B307" s="12" t="s">
        <v>741</v>
      </c>
      <c r="C307" s="12" t="s">
        <v>161</v>
      </c>
      <c r="D307" s="12" t="s">
        <v>379</v>
      </c>
      <c r="E307" s="12" t="s">
        <v>746</v>
      </c>
      <c r="F307" s="13" t="n">
        <v>93954772</v>
      </c>
      <c r="G307" s="13" t="n">
        <v>86952098</v>
      </c>
      <c r="H307" s="14" t="n">
        <v>90522</v>
      </c>
      <c r="I307" s="14" t="n">
        <v>94140</v>
      </c>
      <c r="J307" s="15" t="n">
        <f aca="false">I307/H307</f>
        <v>1.03996818452973</v>
      </c>
      <c r="K307" s="16" t="n">
        <f aca="false">ROUND(I307*J307^($F$8-1),0)</f>
        <v>93292</v>
      </c>
      <c r="L307" s="16" t="n">
        <f aca="false">ROUND(I307*J307^($F$9-1),0)</f>
        <v>93948</v>
      </c>
      <c r="M307" s="17" t="n">
        <f aca="false">G307*$F$7</f>
        <v>83761150.3856316</v>
      </c>
      <c r="N307" s="18" t="n">
        <f aca="false">F307/K307</f>
        <v>1007.10427475025</v>
      </c>
      <c r="O307" s="18" t="n">
        <f aca="false">G307/L307</f>
        <v>925.534316856133</v>
      </c>
      <c r="P307" s="18" t="n">
        <f aca="false">M307/L307</f>
        <v>891.56927646817</v>
      </c>
      <c r="Q307" s="19" t="n">
        <f aca="false">IF(N307=0,"n.a.",P307/N307-1)</f>
        <v>-0.114719995911773</v>
      </c>
    </row>
    <row r="308" customFormat="false" ht="15" hidden="false" customHeight="false" outlineLevel="0" collapsed="false">
      <c r="A308" s="12" t="s">
        <v>747</v>
      </c>
      <c r="B308" s="12" t="s">
        <v>741</v>
      </c>
      <c r="C308" s="12" t="s">
        <v>161</v>
      </c>
      <c r="D308" s="12" t="s">
        <v>748</v>
      </c>
      <c r="E308" s="12" t="s">
        <v>749</v>
      </c>
      <c r="F308" s="13" t="n">
        <v>163762520</v>
      </c>
      <c r="G308" s="13" t="n">
        <v>48531861</v>
      </c>
      <c r="H308" s="14" t="n">
        <v>114466</v>
      </c>
      <c r="I308" s="14" t="n">
        <v>106881</v>
      </c>
      <c r="J308" s="15" t="n">
        <f aca="false">I308/H308</f>
        <v>0.933735781804204</v>
      </c>
      <c r="K308" s="16" t="n">
        <f aca="false">ROUND(I308*J308^($F$8-1),0)</f>
        <v>108586</v>
      </c>
      <c r="L308" s="16" t="n">
        <f aca="false">ROUND(I308*J308^($F$9-1),0)</f>
        <v>107262</v>
      </c>
      <c r="M308" s="17" t="n">
        <f aca="false">G308*$F$7</f>
        <v>46750850.194731</v>
      </c>
      <c r="N308" s="18" t="n">
        <f aca="false">F308/K308</f>
        <v>1508.13659219421</v>
      </c>
      <c r="O308" s="18" t="n">
        <f aca="false">G308/L308</f>
        <v>452.460899479779</v>
      </c>
      <c r="P308" s="18" t="n">
        <f aca="false">M308/L308</f>
        <v>435.85659594946</v>
      </c>
      <c r="Q308" s="19" t="n">
        <f aca="false">IF(N308=0,"n.a.",P308/N308-1)</f>
        <v>-0.710996604548049</v>
      </c>
    </row>
    <row r="309" customFormat="false" ht="15" hidden="false" customHeight="false" outlineLevel="0" collapsed="false">
      <c r="A309" s="12" t="s">
        <v>750</v>
      </c>
      <c r="B309" s="12" t="s">
        <v>741</v>
      </c>
      <c r="C309" s="12" t="s">
        <v>161</v>
      </c>
      <c r="D309" s="12" t="s">
        <v>409</v>
      </c>
      <c r="E309" s="12" t="s">
        <v>751</v>
      </c>
      <c r="F309" s="13" t="n">
        <v>57001155</v>
      </c>
      <c r="G309" s="13" t="n">
        <v>60135585</v>
      </c>
      <c r="H309" s="14" t="n">
        <v>167512</v>
      </c>
      <c r="I309" s="14" t="n">
        <v>180526</v>
      </c>
      <c r="J309" s="15" t="n">
        <f aca="false">I309/H309</f>
        <v>1.07768995654043</v>
      </c>
      <c r="K309" s="16" t="n">
        <f aca="false">ROUND(I309*J309^($F$8-1),0)</f>
        <v>177434</v>
      </c>
      <c r="L309" s="16" t="n">
        <f aca="false">ROUND(I309*J309^($F$9-1),0)</f>
        <v>179826</v>
      </c>
      <c r="M309" s="17" t="n">
        <f aca="false">G309*$F$7</f>
        <v>57928743.464165</v>
      </c>
      <c r="N309" s="18" t="n">
        <f aca="false">F309/K309</f>
        <v>321.252719320987</v>
      </c>
      <c r="O309" s="18" t="n">
        <f aca="false">G309/L309</f>
        <v>334.409846184645</v>
      </c>
      <c r="P309" s="18" t="n">
        <f aca="false">M309/L309</f>
        <v>322.13775240602</v>
      </c>
      <c r="Q309" s="19" t="n">
        <f aca="false">IF(N309=0,"n.a.",P309/N309-1)</f>
        <v>0.00275494348157945</v>
      </c>
    </row>
    <row r="310" customFormat="false" ht="15" hidden="false" customHeight="false" outlineLevel="0" collapsed="false">
      <c r="A310" s="12" t="s">
        <v>752</v>
      </c>
      <c r="B310" s="12" t="s">
        <v>753</v>
      </c>
      <c r="C310" s="12" t="s">
        <v>754</v>
      </c>
      <c r="D310" s="12" t="s">
        <v>60</v>
      </c>
      <c r="E310" s="12" t="s">
        <v>755</v>
      </c>
      <c r="F310" s="13" t="n">
        <v>24201166</v>
      </c>
      <c r="G310" s="13" t="n">
        <v>25849011</v>
      </c>
      <c r="H310" s="14" t="n">
        <v>59969</v>
      </c>
      <c r="I310" s="14" t="n">
        <v>59463</v>
      </c>
      <c r="J310" s="15" t="n">
        <f aca="false">I310/H310</f>
        <v>0.991562307192049</v>
      </c>
      <c r="K310" s="16" t="n">
        <f aca="false">ROUND(I310*J310^($F$8-1),0)</f>
        <v>59579</v>
      </c>
      <c r="L310" s="16" t="n">
        <f aca="false">ROUND(I310*J310^($F$9-1),0)</f>
        <v>59489</v>
      </c>
      <c r="M310" s="17" t="n">
        <f aca="false">G310*$F$7</f>
        <v>24900410.0820068</v>
      </c>
      <c r="N310" s="18" t="n">
        <f aca="false">F310/K310</f>
        <v>406.202957417882</v>
      </c>
      <c r="O310" s="18" t="n">
        <f aca="false">G310/L310</f>
        <v>434.51749062852</v>
      </c>
      <c r="P310" s="18" t="n">
        <f aca="false">M310/L310</f>
        <v>418.571670090383</v>
      </c>
      <c r="Q310" s="19" t="n">
        <f aca="false">IF(N310=0,"n.a.",P310/N310-1)</f>
        <v>0.0304495879378273</v>
      </c>
    </row>
    <row r="311" customFormat="false" ht="15" hidden="false" customHeight="false" outlineLevel="0" collapsed="false">
      <c r="A311" s="12" t="s">
        <v>756</v>
      </c>
      <c r="B311" s="12" t="s">
        <v>753</v>
      </c>
      <c r="C311" s="12" t="s">
        <v>754</v>
      </c>
      <c r="D311" s="12" t="s">
        <v>63</v>
      </c>
      <c r="E311" s="12" t="s">
        <v>757</v>
      </c>
      <c r="F311" s="13" t="n">
        <v>2237103</v>
      </c>
      <c r="G311" s="13" t="n">
        <v>2206092</v>
      </c>
      <c r="H311" s="14" t="n">
        <v>9433</v>
      </c>
      <c r="I311" s="14" t="n">
        <v>9105</v>
      </c>
      <c r="J311" s="15" t="n">
        <f aca="false">I311/H311</f>
        <v>0.965228453302237</v>
      </c>
      <c r="K311" s="16" t="n">
        <f aca="false">ROUND(I311*J311^($F$8-1),0)</f>
        <v>9180</v>
      </c>
      <c r="L311" s="16" t="n">
        <f aca="false">ROUND(I311*J311^($F$9-1),0)</f>
        <v>9122</v>
      </c>
      <c r="M311" s="17" t="n">
        <f aca="false">G311*$F$7</f>
        <v>2125133.35533938</v>
      </c>
      <c r="N311" s="18" t="n">
        <f aca="false">F311/K311</f>
        <v>243.693137254902</v>
      </c>
      <c r="O311" s="18" t="n">
        <f aca="false">G311/L311</f>
        <v>241.843016882263</v>
      </c>
      <c r="P311" s="18" t="n">
        <f aca="false">M311/L311</f>
        <v>232.967918805019</v>
      </c>
      <c r="Q311" s="19" t="n">
        <f aca="false">IF(N311=0,"n.a.",P311/N311-1)</f>
        <v>-0.0440111632633486</v>
      </c>
    </row>
    <row r="312" customFormat="false" ht="15" hidden="false" customHeight="false" outlineLevel="0" collapsed="false">
      <c r="A312" s="12" t="s">
        <v>758</v>
      </c>
      <c r="B312" s="12" t="s">
        <v>753</v>
      </c>
      <c r="C312" s="12" t="s">
        <v>754</v>
      </c>
      <c r="D312" s="12" t="s">
        <v>66</v>
      </c>
      <c r="E312" s="12" t="s">
        <v>759</v>
      </c>
      <c r="F312" s="13" t="n">
        <v>51168141</v>
      </c>
      <c r="G312" s="13" t="n">
        <v>59869758</v>
      </c>
      <c r="H312" s="14" t="n">
        <v>80469</v>
      </c>
      <c r="I312" s="14" t="n">
        <v>83635</v>
      </c>
      <c r="J312" s="15" t="n">
        <f aca="false">I312/H312</f>
        <v>1.03934434378456</v>
      </c>
      <c r="K312" s="16" t="n">
        <f aca="false">ROUND(I312*J312^($F$8-1),0)</f>
        <v>82893</v>
      </c>
      <c r="L312" s="16" t="n">
        <f aca="false">ROUND(I312*J312^($F$9-1),0)</f>
        <v>83467</v>
      </c>
      <c r="M312" s="17" t="n">
        <f aca="false">G312*$F$7</f>
        <v>57672671.7208062</v>
      </c>
      <c r="N312" s="18" t="n">
        <f aca="false">F312/K312</f>
        <v>617.279396330209</v>
      </c>
      <c r="O312" s="18" t="n">
        <f aca="false">G312/L312</f>
        <v>717.286568344376</v>
      </c>
      <c r="P312" s="18" t="n">
        <f aca="false">M312/L312</f>
        <v>690.963754786996</v>
      </c>
      <c r="Q312" s="19" t="n">
        <f aca="false">IF(N312=0,"n.a.",P312/N312-1)</f>
        <v>0.119369541401914</v>
      </c>
    </row>
    <row r="313" customFormat="false" ht="15" hidden="false" customHeight="false" outlineLevel="0" collapsed="false">
      <c r="A313" s="12" t="s">
        <v>760</v>
      </c>
      <c r="B313" s="12" t="s">
        <v>753</v>
      </c>
      <c r="C313" s="12" t="s">
        <v>754</v>
      </c>
      <c r="D313" s="12" t="s">
        <v>69</v>
      </c>
      <c r="E313" s="12" t="s">
        <v>761</v>
      </c>
      <c r="F313" s="13" t="n">
        <v>25393692</v>
      </c>
      <c r="G313" s="13" t="n">
        <v>29787293</v>
      </c>
      <c r="H313" s="14" t="n">
        <v>21114</v>
      </c>
      <c r="I313" s="14" t="n">
        <v>23571</v>
      </c>
      <c r="J313" s="15" t="n">
        <f aca="false">I313/H313</f>
        <v>1.11636828644501</v>
      </c>
      <c r="K313" s="16" t="n">
        <f aca="false">ROUND(I313*J313^($F$8-1),0)</f>
        <v>22979</v>
      </c>
      <c r="L313" s="16" t="n">
        <f aca="false">ROUND(I313*J313^($F$9-1),0)</f>
        <v>23437</v>
      </c>
      <c r="M313" s="17" t="n">
        <f aca="false">G313*$F$7</f>
        <v>28694165.9366732</v>
      </c>
      <c r="N313" s="18" t="n">
        <f aca="false">F313/K313</f>
        <v>1105.08255363593</v>
      </c>
      <c r="O313" s="18" t="n">
        <f aca="false">G313/L313</f>
        <v>1270.95161496779</v>
      </c>
      <c r="P313" s="18" t="n">
        <f aca="false">M313/L313</f>
        <v>1224.31053192274</v>
      </c>
      <c r="Q313" s="19" t="n">
        <f aca="false">IF(N313=0,"n.a.",P313/N313-1)</f>
        <v>0.107890562469317</v>
      </c>
    </row>
    <row r="314" customFormat="false" ht="15" hidden="false" customHeight="false" outlineLevel="0" collapsed="false">
      <c r="A314" s="12" t="s">
        <v>762</v>
      </c>
      <c r="B314" s="12" t="s">
        <v>753</v>
      </c>
      <c r="C314" s="12" t="s">
        <v>754</v>
      </c>
      <c r="D314" s="12" t="s">
        <v>75</v>
      </c>
      <c r="E314" s="12" t="s">
        <v>763</v>
      </c>
      <c r="F314" s="13" t="n">
        <v>1231089</v>
      </c>
      <c r="G314" s="13" t="n">
        <v>1831138</v>
      </c>
      <c r="H314" s="14" t="n">
        <v>5599</v>
      </c>
      <c r="I314" s="14" t="n">
        <v>6035</v>
      </c>
      <c r="J314" s="15" t="n">
        <f aca="false">I314/H314</f>
        <v>1.0778710484015</v>
      </c>
      <c r="K314" s="16" t="n">
        <f aca="false">ROUND(I314*J314^($F$8-1),0)</f>
        <v>5931</v>
      </c>
      <c r="L314" s="16" t="n">
        <f aca="false">ROUND(I314*J314^($F$9-1),0)</f>
        <v>6012</v>
      </c>
      <c r="M314" s="17" t="n">
        <f aca="false">G314*$F$7</f>
        <v>1763939.32892619</v>
      </c>
      <c r="N314" s="18" t="n">
        <f aca="false">F314/K314</f>
        <v>207.568538189176</v>
      </c>
      <c r="O314" s="18" t="n">
        <f aca="false">G314/L314</f>
        <v>304.580505655356</v>
      </c>
      <c r="P314" s="18" t="n">
        <f aca="false">M314/L314</f>
        <v>293.403081990385</v>
      </c>
      <c r="Q314" s="19" t="n">
        <f aca="false">IF(N314=0,"n.a.",P314/N314-1)</f>
        <v>0.41352386325032</v>
      </c>
    </row>
    <row r="315" customFormat="false" ht="15" hidden="false" customHeight="false" outlineLevel="0" collapsed="false">
      <c r="A315" s="12" t="s">
        <v>764</v>
      </c>
      <c r="B315" s="12" t="s">
        <v>753</v>
      </c>
      <c r="C315" s="12" t="s">
        <v>754</v>
      </c>
      <c r="D315" s="12" t="s">
        <v>132</v>
      </c>
      <c r="E315" s="12" t="s">
        <v>765</v>
      </c>
      <c r="F315" s="13" t="n">
        <v>35687352</v>
      </c>
      <c r="G315" s="13" t="n">
        <v>50345801</v>
      </c>
      <c r="H315" s="14" t="n">
        <v>63615</v>
      </c>
      <c r="I315" s="14" t="n">
        <v>68436</v>
      </c>
      <c r="J315" s="15" t="n">
        <f aca="false">I315/H315</f>
        <v>1.07578401320443</v>
      </c>
      <c r="K315" s="16" t="n">
        <f aca="false">ROUND(I315*J315^($F$8-1),0)</f>
        <v>67291</v>
      </c>
      <c r="L315" s="16" t="n">
        <f aca="false">ROUND(I315*J315^($F$9-1),0)</f>
        <v>68177</v>
      </c>
      <c r="M315" s="17" t="n">
        <f aca="false">G315*$F$7</f>
        <v>48498222.6518109</v>
      </c>
      <c r="N315" s="18" t="n">
        <f aca="false">F315/K315</f>
        <v>530.343612072937</v>
      </c>
      <c r="O315" s="18" t="n">
        <f aca="false">G315/L315</f>
        <v>738.457265646772</v>
      </c>
      <c r="P315" s="18" t="n">
        <f aca="false">M315/L315</f>
        <v>711.357534825688</v>
      </c>
      <c r="Q315" s="19" t="n">
        <f aca="false">IF(N315=0,"n.a.",P315/N315-1)</f>
        <v>0.341314420749271</v>
      </c>
    </row>
    <row r="316" customFormat="false" ht="15" hidden="false" customHeight="false" outlineLevel="0" collapsed="false">
      <c r="A316" s="12" t="s">
        <v>766</v>
      </c>
      <c r="B316" s="12" t="s">
        <v>753</v>
      </c>
      <c r="C316" s="12" t="s">
        <v>754</v>
      </c>
      <c r="D316" s="12" t="s">
        <v>166</v>
      </c>
      <c r="E316" s="12" t="s">
        <v>767</v>
      </c>
      <c r="F316" s="13" t="n">
        <v>43969260</v>
      </c>
      <c r="G316" s="13" t="n">
        <v>46645120</v>
      </c>
      <c r="H316" s="14" t="n">
        <v>64464</v>
      </c>
      <c r="I316" s="14" t="n">
        <v>60086</v>
      </c>
      <c r="J316" s="15" t="n">
        <f aca="false">I316/H316</f>
        <v>0.932086125589476</v>
      </c>
      <c r="K316" s="16" t="n">
        <f aca="false">ROUND(I316*J316^($F$8-1),0)</f>
        <v>61070</v>
      </c>
      <c r="L316" s="16" t="n">
        <f aca="false">ROUND(I316*J316^($F$9-1),0)</f>
        <v>60306</v>
      </c>
      <c r="M316" s="17" t="n">
        <f aca="false">G316*$F$7</f>
        <v>44933348.3716038</v>
      </c>
      <c r="N316" s="18" t="n">
        <f aca="false">F316/K316</f>
        <v>719.981332896676</v>
      </c>
      <c r="O316" s="18" t="n">
        <f aca="false">G316/L316</f>
        <v>773.473949524094</v>
      </c>
      <c r="P316" s="18" t="n">
        <f aca="false">M316/L316</f>
        <v>745.089184684837</v>
      </c>
      <c r="Q316" s="19" t="n">
        <f aca="false">IF(N316=0,"n.a.",P316/N316-1)</f>
        <v>0.0348729205063489</v>
      </c>
    </row>
    <row r="317" customFormat="false" ht="15" hidden="false" customHeight="false" outlineLevel="0" collapsed="false">
      <c r="A317" s="12" t="s">
        <v>768</v>
      </c>
      <c r="B317" s="12" t="s">
        <v>753</v>
      </c>
      <c r="C317" s="12" t="s">
        <v>754</v>
      </c>
      <c r="D317" s="12" t="s">
        <v>175</v>
      </c>
      <c r="E317" s="12" t="s">
        <v>769</v>
      </c>
      <c r="F317" s="13" t="n">
        <v>30826131</v>
      </c>
      <c r="G317" s="13" t="n">
        <v>43928420</v>
      </c>
      <c r="H317" s="14" t="n">
        <v>67875</v>
      </c>
      <c r="I317" s="14" t="n">
        <v>75919</v>
      </c>
      <c r="J317" s="15" t="n">
        <f aca="false">I317/H317</f>
        <v>1.11851197053407</v>
      </c>
      <c r="K317" s="16" t="n">
        <f aca="false">ROUND(I317*J317^($F$8-1),0)</f>
        <v>73981</v>
      </c>
      <c r="L317" s="16" t="n">
        <f aca="false">ROUND(I317*J317^($F$9-1),0)</f>
        <v>75478</v>
      </c>
      <c r="M317" s="17" t="n">
        <f aca="false">G317*$F$7</f>
        <v>42316345.1883954</v>
      </c>
      <c r="N317" s="18" t="n">
        <f aca="false">F317/K317</f>
        <v>416.676322298969</v>
      </c>
      <c r="O317" s="18" t="n">
        <f aca="false">G317/L317</f>
        <v>582.002967752193</v>
      </c>
      <c r="P317" s="18" t="n">
        <f aca="false">M317/L317</f>
        <v>560.644759908787</v>
      </c>
      <c r="Q317" s="19" t="n">
        <f aca="false">IF(N317=0,"n.a.",P317/N317-1)</f>
        <v>0.345516243436841</v>
      </c>
    </row>
    <row r="318" customFormat="false" ht="15" hidden="false" customHeight="false" outlineLevel="0" collapsed="false">
      <c r="A318" s="12" t="s">
        <v>770</v>
      </c>
      <c r="B318" s="12" t="s">
        <v>753</v>
      </c>
      <c r="C318" s="12" t="s">
        <v>754</v>
      </c>
      <c r="D318" s="12" t="s">
        <v>190</v>
      </c>
      <c r="E318" s="12" t="s">
        <v>771</v>
      </c>
      <c r="F318" s="13" t="n">
        <v>114871018</v>
      </c>
      <c r="G318" s="13" t="n">
        <v>120109431</v>
      </c>
      <c r="H318" s="14" t="n">
        <v>113497</v>
      </c>
      <c r="I318" s="14" t="n">
        <v>121913</v>
      </c>
      <c r="J318" s="15" t="n">
        <f aca="false">I318/H318</f>
        <v>1.07415173969356</v>
      </c>
      <c r="K318" s="16" t="n">
        <f aca="false">ROUND(I318*J318^($F$8-1),0)</f>
        <v>119916</v>
      </c>
      <c r="L318" s="16" t="n">
        <f aca="false">ROUND(I318*J318^($F$9-1),0)</f>
        <v>121461</v>
      </c>
      <c r="M318" s="17" t="n">
        <f aca="false">G318*$F$7</f>
        <v>115701683.388061</v>
      </c>
      <c r="N318" s="18" t="n">
        <f aca="false">F318/K318</f>
        <v>957.929033656893</v>
      </c>
      <c r="O318" s="18" t="n">
        <f aca="false">G318/L318</f>
        <v>988.872403487539</v>
      </c>
      <c r="P318" s="18" t="n">
        <f aca="false">M318/L318</f>
        <v>952.58299691309</v>
      </c>
      <c r="Q318" s="19" t="n">
        <f aca="false">IF(N318=0,"n.a.",P318/N318-1)</f>
        <v>-0.0055808275519057</v>
      </c>
    </row>
    <row r="319" customFormat="false" ht="15" hidden="false" customHeight="false" outlineLevel="0" collapsed="false">
      <c r="A319" s="12" t="s">
        <v>772</v>
      </c>
      <c r="B319" s="12" t="s">
        <v>753</v>
      </c>
      <c r="C319" s="12" t="s">
        <v>754</v>
      </c>
      <c r="D319" s="12" t="s">
        <v>196</v>
      </c>
      <c r="E319" s="12" t="s">
        <v>773</v>
      </c>
      <c r="F319" s="13" t="n">
        <v>8057623</v>
      </c>
      <c r="G319" s="13" t="n">
        <v>8319263</v>
      </c>
      <c r="H319" s="14" t="n">
        <v>19555</v>
      </c>
      <c r="I319" s="14" t="n">
        <v>20063</v>
      </c>
      <c r="J319" s="15" t="n">
        <f aca="false">I319/H319</f>
        <v>1.02597801073894</v>
      </c>
      <c r="K319" s="16" t="n">
        <f aca="false">ROUND(I319*J319^($F$8-1),0)</f>
        <v>19945</v>
      </c>
      <c r="L319" s="16" t="n">
        <f aca="false">ROUND(I319*J319^($F$9-1),0)</f>
        <v>20036</v>
      </c>
      <c r="M319" s="17" t="n">
        <f aca="false">G319*$F$7</f>
        <v>8013964.64569056</v>
      </c>
      <c r="N319" s="18" t="n">
        <f aca="false">F319/K319</f>
        <v>403.992128352971</v>
      </c>
      <c r="O319" s="18" t="n">
        <f aca="false">G319/L319</f>
        <v>415.215761629068</v>
      </c>
      <c r="P319" s="18" t="n">
        <f aca="false">M319/L319</f>
        <v>399.978271396015</v>
      </c>
      <c r="Q319" s="19" t="n">
        <f aca="false">IF(N319=0,"n.a.",P319/N319-1)</f>
        <v>-0.00993548308309789</v>
      </c>
    </row>
    <row r="320" customFormat="false" ht="15" hidden="false" customHeight="false" outlineLevel="0" collapsed="false">
      <c r="A320" s="12" t="s">
        <v>774</v>
      </c>
      <c r="B320" s="12" t="s">
        <v>753</v>
      </c>
      <c r="C320" s="12" t="s">
        <v>754</v>
      </c>
      <c r="D320" s="12" t="s">
        <v>211</v>
      </c>
      <c r="E320" s="12" t="s">
        <v>775</v>
      </c>
      <c r="F320" s="13" t="n">
        <v>153949452</v>
      </c>
      <c r="G320" s="13" t="n">
        <v>171649590</v>
      </c>
      <c r="H320" s="14" t="n">
        <v>54854</v>
      </c>
      <c r="I320" s="14" t="n">
        <v>52312</v>
      </c>
      <c r="J320" s="15" t="n">
        <f aca="false">I320/H320</f>
        <v>0.953658803368943</v>
      </c>
      <c r="K320" s="16" t="n">
        <f aca="false">ROUND(I320*J320^($F$8-1),0)</f>
        <v>52888</v>
      </c>
      <c r="L320" s="16" t="n">
        <f aca="false">ROUND(I320*J320^($F$9-1),0)</f>
        <v>52441</v>
      </c>
      <c r="M320" s="17" t="n">
        <f aca="false">G320*$F$7</f>
        <v>165350433.77127</v>
      </c>
      <c r="N320" s="18" t="n">
        <f aca="false">F320/K320</f>
        <v>2910.85788836787</v>
      </c>
      <c r="O320" s="18" t="n">
        <f aca="false">G320/L320</f>
        <v>3273.19444709292</v>
      </c>
      <c r="P320" s="18" t="n">
        <f aca="false">M320/L320</f>
        <v>3153.07552814154</v>
      </c>
      <c r="Q320" s="19" t="n">
        <f aca="false">IF(N320=0,"n.a.",P320/N320-1)</f>
        <v>0.0832117709152325</v>
      </c>
    </row>
    <row r="321" customFormat="false" ht="15" hidden="false" customHeight="false" outlineLevel="0" collapsed="false">
      <c r="A321" s="12" t="s">
        <v>776</v>
      </c>
      <c r="B321" s="12" t="s">
        <v>753</v>
      </c>
      <c r="C321" s="12" t="s">
        <v>754</v>
      </c>
      <c r="D321" s="12" t="s">
        <v>235</v>
      </c>
      <c r="E321" s="12" t="s">
        <v>777</v>
      </c>
      <c r="F321" s="13" t="n">
        <v>3150626</v>
      </c>
      <c r="G321" s="13" t="n">
        <v>2554754</v>
      </c>
      <c r="H321" s="14" t="n">
        <v>4193</v>
      </c>
      <c r="I321" s="14" t="n">
        <v>4056</v>
      </c>
      <c r="J321" s="15" t="n">
        <f aca="false">I321/H321</f>
        <v>0.967326496541855</v>
      </c>
      <c r="K321" s="16" t="n">
        <f aca="false">ROUND(I321*J321^($F$8-1),0)</f>
        <v>4087</v>
      </c>
      <c r="L321" s="16" t="n">
        <f aca="false">ROUND(I321*J321^($F$9-1),0)</f>
        <v>4063</v>
      </c>
      <c r="M321" s="17" t="n">
        <f aca="false">G321*$F$7</f>
        <v>2461000.23937656</v>
      </c>
      <c r="N321" s="18" t="n">
        <f aca="false">F321/K321</f>
        <v>770.889650110105</v>
      </c>
      <c r="O321" s="18" t="n">
        <f aca="false">G321/L321</f>
        <v>628.785134137337</v>
      </c>
      <c r="P321" s="18" t="n">
        <f aca="false">M321/L321</f>
        <v>605.710125369569</v>
      </c>
      <c r="Q321" s="19" t="n">
        <f aca="false">IF(N321=0,"n.a.",P321/N321-1)</f>
        <v>-0.214271296439048</v>
      </c>
    </row>
    <row r="322" customFormat="false" ht="15" hidden="false" customHeight="false" outlineLevel="0" collapsed="false">
      <c r="A322" s="12" t="s">
        <v>778</v>
      </c>
      <c r="B322" s="12" t="s">
        <v>753</v>
      </c>
      <c r="C322" s="12" t="s">
        <v>754</v>
      </c>
      <c r="D322" s="12" t="s">
        <v>317</v>
      </c>
      <c r="E322" s="12" t="s">
        <v>779</v>
      </c>
      <c r="F322" s="13" t="n">
        <v>2953999448</v>
      </c>
      <c r="G322" s="13" t="n">
        <v>3476284884</v>
      </c>
      <c r="H322" s="14" t="n">
        <v>1379731</v>
      </c>
      <c r="I322" s="14" t="n">
        <v>1244738</v>
      </c>
      <c r="J322" s="15" t="n">
        <f aca="false">I322/H322</f>
        <v>0.902159913780295</v>
      </c>
      <c r="K322" s="16" t="n">
        <f aca="false">ROUND(I322*J322^($F$8-1),0)</f>
        <v>1274683</v>
      </c>
      <c r="L322" s="16" t="n">
        <f aca="false">ROUND(I322*J322^($F$9-1),0)</f>
        <v>1251415</v>
      </c>
      <c r="M322" s="17" t="n">
        <f aca="false">G322*$F$7</f>
        <v>3348713000.0247</v>
      </c>
      <c r="N322" s="18" t="n">
        <f aca="false">F322/K322</f>
        <v>2317.43849098168</v>
      </c>
      <c r="O322" s="18" t="n">
        <f aca="false">G322/L322</f>
        <v>2777.88334325543</v>
      </c>
      <c r="P322" s="18" t="n">
        <f aca="false">M322/L322</f>
        <v>2675.94123454226</v>
      </c>
      <c r="Q322" s="19" t="n">
        <f aca="false">IF(N322=0,"n.a.",P322/N322-1)</f>
        <v>0.154697846331497</v>
      </c>
    </row>
    <row r="323" customFormat="false" ht="15" hidden="false" customHeight="false" outlineLevel="0" collapsed="false">
      <c r="A323" s="12" t="s">
        <v>780</v>
      </c>
      <c r="B323" s="12" t="s">
        <v>753</v>
      </c>
      <c r="C323" s="12" t="s">
        <v>754</v>
      </c>
      <c r="D323" s="12" t="s">
        <v>323</v>
      </c>
      <c r="E323" s="12" t="s">
        <v>781</v>
      </c>
      <c r="F323" s="13" t="n">
        <v>3039251</v>
      </c>
      <c r="G323" s="13" t="n">
        <v>2723291</v>
      </c>
      <c r="H323" s="14" t="n">
        <v>5919</v>
      </c>
      <c r="I323" s="14" t="n">
        <v>6136</v>
      </c>
      <c r="J323" s="15" t="n">
        <f aca="false">I323/H323</f>
        <v>1.03666159824295</v>
      </c>
      <c r="K323" s="16" t="n">
        <f aca="false">ROUND(I323*J323^($F$8-1),0)</f>
        <v>6085</v>
      </c>
      <c r="L323" s="16" t="n">
        <f aca="false">ROUND(I323*J323^($F$9-1),0)</f>
        <v>6125</v>
      </c>
      <c r="M323" s="17" t="n">
        <f aca="false">G323*$F$7</f>
        <v>2623352.3082426</v>
      </c>
      <c r="N323" s="18" t="n">
        <f aca="false">F323/K323</f>
        <v>499.46606409203</v>
      </c>
      <c r="O323" s="18" t="n">
        <f aca="false">G323/L323</f>
        <v>444.61893877551</v>
      </c>
      <c r="P323" s="18" t="n">
        <f aca="false">M323/L323</f>
        <v>428.302417672262</v>
      </c>
      <c r="Q323" s="19" t="n">
        <f aca="false">IF(N323=0,"n.a.",P323/N323-1)</f>
        <v>-0.142479442620661</v>
      </c>
    </row>
    <row r="324" customFormat="false" ht="15" hidden="false" customHeight="false" outlineLevel="0" collapsed="false">
      <c r="A324" s="12" t="s">
        <v>782</v>
      </c>
      <c r="B324" s="12" t="s">
        <v>753</v>
      </c>
      <c r="C324" s="12" t="s">
        <v>754</v>
      </c>
      <c r="D324" s="12" t="s">
        <v>338</v>
      </c>
      <c r="E324" s="12" t="s">
        <v>58</v>
      </c>
      <c r="F324" s="13" t="n">
        <v>15263941</v>
      </c>
      <c r="G324" s="13" t="n">
        <v>16029612</v>
      </c>
      <c r="H324" s="14" t="n">
        <v>18930</v>
      </c>
      <c r="I324" s="14" t="n">
        <v>18400</v>
      </c>
      <c r="J324" s="15" t="n">
        <f aca="false">I324/H324</f>
        <v>0.972002113048072</v>
      </c>
      <c r="K324" s="16" t="n">
        <f aca="false">ROUND(I324*J324^($F$8-1),0)</f>
        <v>18521</v>
      </c>
      <c r="L324" s="16" t="n">
        <f aca="false">ROUND(I324*J324^($F$9-1),0)</f>
        <v>18427</v>
      </c>
      <c r="M324" s="17" t="n">
        <f aca="false">G324*$F$7</f>
        <v>15441361.0739481</v>
      </c>
      <c r="N324" s="18" t="n">
        <f aca="false">F324/K324</f>
        <v>824.142378921225</v>
      </c>
      <c r="O324" s="18" t="n">
        <f aca="false">G324/L324</f>
        <v>869.898084332773</v>
      </c>
      <c r="P324" s="18" t="n">
        <f aca="false">M324/L324</f>
        <v>837.974769303096</v>
      </c>
      <c r="Q324" s="19" t="n">
        <f aca="false">IF(N324=0,"n.a.",P324/N324-1)</f>
        <v>0.0167839814280362</v>
      </c>
    </row>
    <row r="325" customFormat="false" ht="15" hidden="false" customHeight="false" outlineLevel="0" collapsed="false">
      <c r="A325" s="12" t="s">
        <v>783</v>
      </c>
      <c r="B325" s="12" t="s">
        <v>753</v>
      </c>
      <c r="C325" s="12" t="s">
        <v>754</v>
      </c>
      <c r="D325" s="12" t="s">
        <v>340</v>
      </c>
      <c r="E325" s="12" t="s">
        <v>784</v>
      </c>
      <c r="F325" s="13" t="n">
        <v>45828934</v>
      </c>
      <c r="G325" s="13" t="n">
        <v>52331509</v>
      </c>
      <c r="H325" s="14" t="n">
        <v>46936</v>
      </c>
      <c r="I325" s="14" t="n">
        <v>53999</v>
      </c>
      <c r="J325" s="15" t="n">
        <f aca="false">I325/H325</f>
        <v>1.15048150673257</v>
      </c>
      <c r="K325" s="16" t="n">
        <f aca="false">ROUND(I325*J325^($F$8-1),0)</f>
        <v>52279</v>
      </c>
      <c r="L325" s="16" t="n">
        <f aca="false">ROUND(I325*J325^($F$9-1),0)</f>
        <v>53607</v>
      </c>
      <c r="M325" s="17" t="n">
        <f aca="false">G325*$F$7</f>
        <v>50411059.6072798</v>
      </c>
      <c r="N325" s="18" t="n">
        <f aca="false">F325/K325</f>
        <v>876.622238374873</v>
      </c>
      <c r="O325" s="18" t="n">
        <f aca="false">G325/L325</f>
        <v>976.206633462048</v>
      </c>
      <c r="P325" s="18" t="n">
        <f aca="false">M325/L325</f>
        <v>940.382032333087</v>
      </c>
      <c r="Q325" s="19" t="n">
        <f aca="false">IF(N325=0,"n.a.",P325/N325-1)</f>
        <v>0.0727334890299094</v>
      </c>
    </row>
    <row r="326" customFormat="false" ht="15" hidden="false" customHeight="false" outlineLevel="0" collapsed="false">
      <c r="A326" s="12" t="s">
        <v>785</v>
      </c>
      <c r="B326" s="12" t="s">
        <v>753</v>
      </c>
      <c r="C326" s="12" t="s">
        <v>754</v>
      </c>
      <c r="D326" s="12" t="s">
        <v>349</v>
      </c>
      <c r="E326" s="12" t="s">
        <v>786</v>
      </c>
      <c r="F326" s="13" t="n">
        <v>105712697</v>
      </c>
      <c r="G326" s="13" t="n">
        <v>116727014</v>
      </c>
      <c r="H326" s="14" t="n">
        <v>172014</v>
      </c>
      <c r="I326" s="14" t="n">
        <v>183692</v>
      </c>
      <c r="J326" s="15" t="n">
        <f aca="false">I326/H326</f>
        <v>1.06788982292139</v>
      </c>
      <c r="K326" s="16" t="n">
        <f aca="false">ROUND(I326*J326^($F$8-1),0)</f>
        <v>180927</v>
      </c>
      <c r="L326" s="16" t="n">
        <f aca="false">ROUND(I326*J326^($F$9-1),0)</f>
        <v>183066</v>
      </c>
      <c r="M326" s="17" t="n">
        <f aca="false">G326*$F$7</f>
        <v>112443393.530536</v>
      </c>
      <c r="N326" s="18" t="n">
        <f aca="false">F326/K326</f>
        <v>584.283700055824</v>
      </c>
      <c r="O326" s="18" t="n">
        <f aca="false">G326/L326</f>
        <v>637.622573279582</v>
      </c>
      <c r="P326" s="18" t="n">
        <f aca="false">M326/L326</f>
        <v>614.223250251472</v>
      </c>
      <c r="Q326" s="19" t="n">
        <f aca="false">IF(N326=0,"n.a.",P326/N326-1)</f>
        <v>0.0512414606000262</v>
      </c>
    </row>
    <row r="327" customFormat="false" ht="15" hidden="false" customHeight="false" outlineLevel="0" collapsed="false">
      <c r="A327" s="12" t="s">
        <v>787</v>
      </c>
      <c r="B327" s="12" t="s">
        <v>753</v>
      </c>
      <c r="C327" s="12" t="s">
        <v>754</v>
      </c>
      <c r="D327" s="12" t="s">
        <v>352</v>
      </c>
      <c r="E327" s="12" t="s">
        <v>788</v>
      </c>
      <c r="F327" s="13" t="n">
        <v>1942428</v>
      </c>
      <c r="G327" s="13" t="n">
        <v>2073959</v>
      </c>
      <c r="H327" s="14" t="n">
        <v>5353</v>
      </c>
      <c r="I327" s="14" t="n">
        <v>5504</v>
      </c>
      <c r="J327" s="15" t="n">
        <f aca="false">I327/H327</f>
        <v>1.02820848122548</v>
      </c>
      <c r="K327" s="16" t="n">
        <f aca="false">ROUND(I327*J327^($F$8-1),0)</f>
        <v>5469</v>
      </c>
      <c r="L327" s="16" t="n">
        <f aca="false">ROUND(I327*J327^($F$9-1),0)</f>
        <v>5496</v>
      </c>
      <c r="M327" s="17" t="n">
        <f aca="false">G327*$F$7</f>
        <v>1997849.34105482</v>
      </c>
      <c r="N327" s="18" t="n">
        <f aca="false">F327/K327</f>
        <v>355.170597915524</v>
      </c>
      <c r="O327" s="18" t="n">
        <f aca="false">G327/L327</f>
        <v>377.357896652111</v>
      </c>
      <c r="P327" s="18" t="n">
        <f aca="false">M327/L327</f>
        <v>363.5097054321</v>
      </c>
      <c r="Q327" s="19" t="n">
        <f aca="false">IF(N327=0,"n.a.",P327/N327-1)</f>
        <v>0.0234791606217337</v>
      </c>
    </row>
    <row r="328" customFormat="false" ht="15" hidden="false" customHeight="false" outlineLevel="0" collapsed="false">
      <c r="A328" s="12" t="s">
        <v>789</v>
      </c>
      <c r="B328" s="12" t="s">
        <v>753</v>
      </c>
      <c r="C328" s="12" t="s">
        <v>754</v>
      </c>
      <c r="D328" s="12" t="s">
        <v>385</v>
      </c>
      <c r="E328" s="12" t="s">
        <v>790</v>
      </c>
      <c r="F328" s="13" t="n">
        <v>4303179</v>
      </c>
      <c r="G328" s="13" t="n">
        <v>4258760</v>
      </c>
      <c r="H328" s="14" t="n">
        <v>11359</v>
      </c>
      <c r="I328" s="14" t="n">
        <v>11213</v>
      </c>
      <c r="J328" s="15" t="n">
        <f aca="false">I328/H328</f>
        <v>0.987146755876398</v>
      </c>
      <c r="K328" s="16" t="n">
        <f aca="false">ROUND(I328*J328^($F$8-1),0)</f>
        <v>11247</v>
      </c>
      <c r="L328" s="16" t="n">
        <f aca="false">ROUND(I328*J328^($F$9-1),0)</f>
        <v>11221</v>
      </c>
      <c r="M328" s="17" t="n">
        <f aca="false">G328*$F$7</f>
        <v>4102473.02849797</v>
      </c>
      <c r="N328" s="18" t="n">
        <f aca="false">F328/K328</f>
        <v>382.606828487597</v>
      </c>
      <c r="O328" s="18" t="n">
        <f aca="false">G328/L328</f>
        <v>379.534800819891</v>
      </c>
      <c r="P328" s="18" t="n">
        <f aca="false">M328/L328</f>
        <v>365.606722083413</v>
      </c>
      <c r="Q328" s="19" t="n">
        <f aca="false">IF(N328=0,"n.a.",P328/N328-1)</f>
        <v>-0.0444323131173163</v>
      </c>
    </row>
    <row r="329" customFormat="false" ht="15" hidden="false" customHeight="false" outlineLevel="0" collapsed="false">
      <c r="A329" s="12" t="s">
        <v>791</v>
      </c>
      <c r="B329" s="12" t="s">
        <v>753</v>
      </c>
      <c r="C329" s="12" t="s">
        <v>754</v>
      </c>
      <c r="D329" s="12" t="s">
        <v>388</v>
      </c>
      <c r="E329" s="12" t="s">
        <v>792</v>
      </c>
      <c r="F329" s="13" t="n">
        <v>666770560</v>
      </c>
      <c r="G329" s="13" t="n">
        <v>748806542</v>
      </c>
      <c r="H329" s="14" t="n">
        <v>290787</v>
      </c>
      <c r="I329" s="14" t="n">
        <v>310195</v>
      </c>
      <c r="J329" s="15" t="n">
        <f aca="false">I329/H329</f>
        <v>1.06674301120752</v>
      </c>
      <c r="K329" s="16" t="n">
        <f aca="false">ROUND(I329*J329^($F$8-1),0)</f>
        <v>305602</v>
      </c>
      <c r="L329" s="16" t="n">
        <f aca="false">ROUND(I329*J329^($F$9-1),0)</f>
        <v>309155</v>
      </c>
      <c r="M329" s="17" t="n">
        <f aca="false">G329*$F$7</f>
        <v>721327015.872656</v>
      </c>
      <c r="N329" s="18" t="n">
        <f aca="false">F329/K329</f>
        <v>2181.82655872671</v>
      </c>
      <c r="O329" s="18" t="n">
        <f aca="false">G329/L329</f>
        <v>2422.10716954279</v>
      </c>
      <c r="P329" s="18" t="n">
        <f aca="false">M329/L329</f>
        <v>2333.22125106389</v>
      </c>
      <c r="Q329" s="19" t="n">
        <f aca="false">IF(N329=0,"n.a.",P329/N329-1)</f>
        <v>0.0693889675747323</v>
      </c>
    </row>
    <row r="330" customFormat="false" ht="15" hidden="false" customHeight="false" outlineLevel="0" collapsed="false">
      <c r="A330" s="12" t="s">
        <v>793</v>
      </c>
      <c r="B330" s="12" t="s">
        <v>753</v>
      </c>
      <c r="C330" s="12" t="s">
        <v>754</v>
      </c>
      <c r="D330" s="12" t="s">
        <v>391</v>
      </c>
      <c r="E330" s="12" t="s">
        <v>794</v>
      </c>
      <c r="F330" s="13" t="n">
        <v>7379619</v>
      </c>
      <c r="G330" s="13" t="n">
        <v>8572285</v>
      </c>
      <c r="H330" s="14" t="n">
        <v>11300</v>
      </c>
      <c r="I330" s="14" t="n">
        <v>10271</v>
      </c>
      <c r="J330" s="15" t="n">
        <f aca="false">I330/H330</f>
        <v>0.908938053097345</v>
      </c>
      <c r="K330" s="16" t="n">
        <f aca="false">ROUND(I330*J330^($F$8-1),0)</f>
        <v>10500</v>
      </c>
      <c r="L330" s="16" t="n">
        <f aca="false">ROUND(I330*J330^($F$9-1),0)</f>
        <v>10322</v>
      </c>
      <c r="M330" s="17" t="n">
        <f aca="false">G330*$F$7</f>
        <v>8257701.30392361</v>
      </c>
      <c r="N330" s="18" t="n">
        <f aca="false">F330/K330</f>
        <v>702.820857142857</v>
      </c>
      <c r="O330" s="18" t="n">
        <f aca="false">G330/L330</f>
        <v>830.486824258865</v>
      </c>
      <c r="P330" s="18" t="n">
        <f aca="false">M330/L330</f>
        <v>800.009814369658</v>
      </c>
      <c r="Q330" s="19" t="n">
        <f aca="false">IF(N330=0,"n.a.",P330/N330-1)</f>
        <v>0.138284110721897</v>
      </c>
    </row>
    <row r="331" customFormat="false" ht="15" hidden="false" customHeight="false" outlineLevel="0" collapsed="false">
      <c r="A331" s="12" t="s">
        <v>795</v>
      </c>
      <c r="B331" s="12" t="s">
        <v>753</v>
      </c>
      <c r="C331" s="12" t="s">
        <v>754</v>
      </c>
      <c r="D331" s="12" t="s">
        <v>400</v>
      </c>
      <c r="E331" s="12" t="s">
        <v>796</v>
      </c>
      <c r="F331" s="13" t="n">
        <v>37997005</v>
      </c>
      <c r="G331" s="13" t="n">
        <v>44517304</v>
      </c>
      <c r="H331" s="14" t="n">
        <v>72027</v>
      </c>
      <c r="I331" s="14" t="n">
        <v>75143</v>
      </c>
      <c r="J331" s="15" t="n">
        <f aca="false">I331/H331</f>
        <v>1.04326155469477</v>
      </c>
      <c r="K331" s="16" t="n">
        <f aca="false">ROUND(I331*J331^($F$8-1),0)</f>
        <v>74412</v>
      </c>
      <c r="L331" s="16" t="n">
        <f aca="false">ROUND(I331*J331^($F$9-1),0)</f>
        <v>74978</v>
      </c>
      <c r="M331" s="17" t="n">
        <f aca="false">G331*$F$7</f>
        <v>42883618.4620511</v>
      </c>
      <c r="N331" s="18" t="n">
        <f aca="false">F331/K331</f>
        <v>510.630073106488</v>
      </c>
      <c r="O331" s="18" t="n">
        <f aca="false">G331/L331</f>
        <v>593.73821654352</v>
      </c>
      <c r="P331" s="18" t="n">
        <f aca="false">M331/L331</f>
        <v>571.949351303731</v>
      </c>
      <c r="Q331" s="19" t="n">
        <f aca="false">IF(N331=0,"n.a.",P331/N331-1)</f>
        <v>0.120085520667042</v>
      </c>
    </row>
    <row r="332" customFormat="false" ht="15" hidden="false" customHeight="false" outlineLevel="0" collapsed="false">
      <c r="A332" s="12" t="s">
        <v>797</v>
      </c>
      <c r="B332" s="12" t="s">
        <v>753</v>
      </c>
      <c r="C332" s="12" t="s">
        <v>754</v>
      </c>
      <c r="D332" s="12" t="s">
        <v>798</v>
      </c>
      <c r="E332" s="12" t="s">
        <v>799</v>
      </c>
      <c r="F332" s="13" t="n">
        <v>1244288</v>
      </c>
      <c r="G332" s="13" t="n">
        <v>1559199</v>
      </c>
      <c r="H332" s="14" t="n">
        <v>3515</v>
      </c>
      <c r="I332" s="14" t="n">
        <v>3211</v>
      </c>
      <c r="J332" s="15" t="n">
        <f aca="false">I332/H332</f>
        <v>0.913513513513514</v>
      </c>
      <c r="K332" s="16" t="n">
        <f aca="false">ROUND(I332*J332^($F$8-1),0)</f>
        <v>3279</v>
      </c>
      <c r="L332" s="16" t="n">
        <f aca="false">ROUND(I332*J332^($F$9-1),0)</f>
        <v>3226</v>
      </c>
      <c r="M332" s="17" t="n">
        <f aca="false">G332*$F$7</f>
        <v>1501979.88230401</v>
      </c>
      <c r="N332" s="18" t="n">
        <f aca="false">F332/K332</f>
        <v>379.471790179933</v>
      </c>
      <c r="O332" s="18" t="n">
        <f aca="false">G332/L332</f>
        <v>483.322690638562</v>
      </c>
      <c r="P332" s="18" t="n">
        <f aca="false">M332/L332</f>
        <v>465.58582836454</v>
      </c>
      <c r="Q332" s="19" t="n">
        <f aca="false">IF(N332=0,"n.a.",P332/N332-1)</f>
        <v>0.226931330373134</v>
      </c>
    </row>
    <row r="333" customFormat="false" ht="15" hidden="false" customHeight="false" outlineLevel="0" collapsed="false">
      <c r="A333" s="12" t="s">
        <v>800</v>
      </c>
      <c r="B333" s="12" t="s">
        <v>753</v>
      </c>
      <c r="C333" s="12" t="s">
        <v>754</v>
      </c>
      <c r="D333" s="12" t="s">
        <v>424</v>
      </c>
      <c r="E333" s="12" t="s">
        <v>801</v>
      </c>
      <c r="F333" s="13" t="n">
        <v>21544561</v>
      </c>
      <c r="G333" s="13" t="n">
        <v>22143025</v>
      </c>
      <c r="H333" s="14" t="n">
        <v>38429</v>
      </c>
      <c r="I333" s="14" t="n">
        <v>41592</v>
      </c>
      <c r="J333" s="15" t="n">
        <f aca="false">I333/H333</f>
        <v>1.08230763225689</v>
      </c>
      <c r="K333" s="16" t="n">
        <f aca="false">ROUND(I333*J333^($F$8-1),0)</f>
        <v>40839</v>
      </c>
      <c r="L333" s="16" t="n">
        <f aca="false">ROUND(I333*J333^($F$9-1),0)</f>
        <v>41421</v>
      </c>
      <c r="M333" s="17" t="n">
        <f aca="false">G333*$F$7</f>
        <v>21330425.4834403</v>
      </c>
      <c r="N333" s="18" t="n">
        <f aca="false">F333/K333</f>
        <v>527.548691202037</v>
      </c>
      <c r="O333" s="18" t="n">
        <f aca="false">G333/L333</f>
        <v>534.584510272567</v>
      </c>
      <c r="P333" s="18" t="n">
        <f aca="false">M333/L333</f>
        <v>514.966453814257</v>
      </c>
      <c r="Q333" s="19" t="n">
        <f aca="false">IF(N333=0,"n.a.",P333/N333-1)</f>
        <v>-0.0238503812019925</v>
      </c>
    </row>
    <row r="334" customFormat="false" ht="15" hidden="false" customHeight="false" outlineLevel="0" collapsed="false">
      <c r="A334" s="12" t="s">
        <v>802</v>
      </c>
      <c r="B334" s="12" t="s">
        <v>753</v>
      </c>
      <c r="C334" s="12" t="s">
        <v>754</v>
      </c>
      <c r="D334" s="12" t="s">
        <v>430</v>
      </c>
      <c r="E334" s="12" t="s">
        <v>803</v>
      </c>
      <c r="F334" s="13" t="n">
        <v>20923236</v>
      </c>
      <c r="G334" s="13" t="n">
        <v>13438559</v>
      </c>
      <c r="H334" s="14" t="n">
        <v>16556</v>
      </c>
      <c r="I334" s="14" t="n">
        <v>17823</v>
      </c>
      <c r="J334" s="15" t="n">
        <f aca="false">I334/H334</f>
        <v>1.07652814689539</v>
      </c>
      <c r="K334" s="16" t="n">
        <f aca="false">ROUND(I334*J334^($F$8-1),0)</f>
        <v>17522</v>
      </c>
      <c r="L334" s="16" t="n">
        <f aca="false">ROUND(I334*J334^($F$9-1),0)</f>
        <v>17755</v>
      </c>
      <c r="M334" s="17" t="n">
        <f aca="false">G334*$F$7</f>
        <v>12945393.9267248</v>
      </c>
      <c r="N334" s="18" t="n">
        <f aca="false">F334/K334</f>
        <v>1194.11231594567</v>
      </c>
      <c r="O334" s="18" t="n">
        <f aca="false">G334/L334</f>
        <v>756.888707406365</v>
      </c>
      <c r="P334" s="18" t="n">
        <f aca="false">M334/L334</f>
        <v>729.112583876364</v>
      </c>
      <c r="Q334" s="19" t="n">
        <f aca="false">IF(N334=0,"n.a.",P334/N334-1)</f>
        <v>-0.389410381134083</v>
      </c>
    </row>
    <row r="335" customFormat="false" ht="15" hidden="false" customHeight="false" outlineLevel="0" collapsed="false">
      <c r="A335" s="12" t="s">
        <v>804</v>
      </c>
      <c r="B335" s="12" t="s">
        <v>753</v>
      </c>
      <c r="C335" s="12" t="s">
        <v>754</v>
      </c>
      <c r="D335" s="12" t="s">
        <v>439</v>
      </c>
      <c r="E335" s="12" t="s">
        <v>805</v>
      </c>
      <c r="F335" s="13" t="n">
        <v>4786754</v>
      </c>
      <c r="G335" s="13" t="n">
        <v>5114874</v>
      </c>
      <c r="H335" s="14" t="n">
        <v>7285</v>
      </c>
      <c r="I335" s="14" t="n">
        <v>7601</v>
      </c>
      <c r="J335" s="15" t="n">
        <f aca="false">I335/H335</f>
        <v>1.04337680164722</v>
      </c>
      <c r="K335" s="16" t="n">
        <f aca="false">ROUND(I335*J335^($F$8-1),0)</f>
        <v>7527</v>
      </c>
      <c r="L335" s="16" t="n">
        <f aca="false">ROUND(I335*J335^($F$9-1),0)</f>
        <v>7584</v>
      </c>
      <c r="M335" s="17" t="n">
        <f aca="false">G335*$F$7</f>
        <v>4927169.55854886</v>
      </c>
      <c r="N335" s="18" t="n">
        <f aca="false">F335/K335</f>
        <v>635.944466586954</v>
      </c>
      <c r="O335" s="18" t="n">
        <f aca="false">G335/L335</f>
        <v>674.429588607595</v>
      </c>
      <c r="P335" s="18" t="n">
        <f aca="false">M335/L335</f>
        <v>649.679530399375</v>
      </c>
      <c r="Q335" s="19" t="n">
        <f aca="false">IF(N335=0,"n.a.",P335/N335-1)</f>
        <v>0.0215978981405967</v>
      </c>
    </row>
    <row r="336" customFormat="false" ht="15" hidden="false" customHeight="false" outlineLevel="0" collapsed="false">
      <c r="A336" s="12" t="s">
        <v>806</v>
      </c>
      <c r="B336" s="12" t="s">
        <v>753</v>
      </c>
      <c r="C336" s="12" t="s">
        <v>754</v>
      </c>
      <c r="D336" s="12" t="s">
        <v>448</v>
      </c>
      <c r="E336" s="12" t="s">
        <v>807</v>
      </c>
      <c r="F336" s="13" t="n">
        <v>156846526</v>
      </c>
      <c r="G336" s="13" t="n">
        <v>179060143</v>
      </c>
      <c r="H336" s="14" t="n">
        <v>149630</v>
      </c>
      <c r="I336" s="14" t="n">
        <v>154959</v>
      </c>
      <c r="J336" s="15" t="n">
        <f aca="false">I336/H336</f>
        <v>1.03561451580565</v>
      </c>
      <c r="K336" s="16" t="n">
        <f aca="false">ROUND(I336*J336^($F$8-1),0)</f>
        <v>153712</v>
      </c>
      <c r="L336" s="16" t="n">
        <f aca="false">ROUND(I336*J336^($F$9-1),0)</f>
        <v>154677</v>
      </c>
      <c r="M336" s="17" t="n">
        <f aca="false">G336*$F$7</f>
        <v>172489036.042531</v>
      </c>
      <c r="N336" s="18" t="n">
        <f aca="false">F336/K336</f>
        <v>1020.39220099927</v>
      </c>
      <c r="O336" s="18" t="n">
        <f aca="false">G336/L336</f>
        <v>1157.63909954292</v>
      </c>
      <c r="P336" s="18" t="n">
        <f aca="false">M336/L336</f>
        <v>1115.15633250277</v>
      </c>
      <c r="Q336" s="19" t="n">
        <f aca="false">IF(N336=0,"n.a.",P336/N336-1)</f>
        <v>0.0928703016454819</v>
      </c>
    </row>
    <row r="337" customFormat="false" ht="15" hidden="false" customHeight="false" outlineLevel="0" collapsed="false">
      <c r="A337" s="12" t="s">
        <v>808</v>
      </c>
      <c r="B337" s="12" t="s">
        <v>753</v>
      </c>
      <c r="C337" s="12" t="s">
        <v>754</v>
      </c>
      <c r="D337" s="12" t="s">
        <v>809</v>
      </c>
      <c r="E337" s="12" t="s">
        <v>810</v>
      </c>
      <c r="F337" s="13" t="n">
        <v>4609112</v>
      </c>
      <c r="G337" s="13" t="n">
        <v>5188754</v>
      </c>
      <c r="H337" s="14" t="n">
        <v>9639</v>
      </c>
      <c r="I337" s="14" t="n">
        <v>9908</v>
      </c>
      <c r="J337" s="15" t="n">
        <f aca="false">I337/H337</f>
        <v>1.02790745928001</v>
      </c>
      <c r="K337" s="16" t="n">
        <f aca="false">ROUND(I337*J337^($F$8-1),0)</f>
        <v>9845</v>
      </c>
      <c r="L337" s="16" t="n">
        <f aca="false">ROUND(I337*J337^($F$9-1),0)</f>
        <v>9894</v>
      </c>
      <c r="M337" s="17" t="n">
        <f aca="false">G337*$F$7</f>
        <v>4998338.32770829</v>
      </c>
      <c r="N337" s="18" t="n">
        <f aca="false">F337/K337</f>
        <v>468.16780091417</v>
      </c>
      <c r="O337" s="18" t="n">
        <f aca="false">G337/L337</f>
        <v>524.434404689711</v>
      </c>
      <c r="P337" s="18" t="n">
        <f aca="false">M337/L337</f>
        <v>505.188834415635</v>
      </c>
      <c r="Q337" s="19" t="n">
        <f aca="false">IF(N337=0,"n.a.",P337/N337-1)</f>
        <v>0.0790764196708444</v>
      </c>
    </row>
    <row r="338" customFormat="false" ht="15" hidden="false" customHeight="false" outlineLevel="0" collapsed="false">
      <c r="A338" s="12" t="s">
        <v>811</v>
      </c>
      <c r="B338" s="12" t="s">
        <v>753</v>
      </c>
      <c r="C338" s="12" t="s">
        <v>754</v>
      </c>
      <c r="D338" s="12" t="s">
        <v>460</v>
      </c>
      <c r="E338" s="12" t="s">
        <v>812</v>
      </c>
      <c r="F338" s="13" t="n">
        <v>4116574</v>
      </c>
      <c r="G338" s="13" t="n">
        <v>4664012</v>
      </c>
      <c r="H338" s="14" t="n">
        <v>10418</v>
      </c>
      <c r="I338" s="14" t="n">
        <v>10700</v>
      </c>
      <c r="J338" s="15" t="n">
        <f aca="false">I338/H338</f>
        <v>1.02706853522749</v>
      </c>
      <c r="K338" s="16" t="n">
        <f aca="false">ROUND(I338*J338^($F$8-1),0)</f>
        <v>10634</v>
      </c>
      <c r="L338" s="16" t="n">
        <f aca="false">ROUND(I338*J338^($F$9-1),0)</f>
        <v>10685</v>
      </c>
      <c r="M338" s="17" t="n">
        <f aca="false">G338*$F$7</f>
        <v>4492853.18604262</v>
      </c>
      <c r="N338" s="18" t="n">
        <f aca="false">F338/K338</f>
        <v>387.11435019748</v>
      </c>
      <c r="O338" s="18" t="n">
        <f aca="false">G338/L338</f>
        <v>436.500889096865</v>
      </c>
      <c r="P338" s="18" t="n">
        <f aca="false">M338/L338</f>
        <v>420.482282268846</v>
      </c>
      <c r="Q338" s="19" t="n">
        <f aca="false">IF(N338=0,"n.a.",P338/N338-1)</f>
        <v>0.0861965774566209</v>
      </c>
    </row>
    <row r="339" customFormat="false" ht="15" hidden="false" customHeight="false" outlineLevel="0" collapsed="false">
      <c r="A339" s="12" t="s">
        <v>813</v>
      </c>
      <c r="B339" s="12" t="s">
        <v>753</v>
      </c>
      <c r="C339" s="12" t="s">
        <v>754</v>
      </c>
      <c r="D339" s="12" t="s">
        <v>463</v>
      </c>
      <c r="E339" s="12" t="s">
        <v>814</v>
      </c>
      <c r="F339" s="13" t="n">
        <v>11788725</v>
      </c>
      <c r="G339" s="13" t="n">
        <v>47995513</v>
      </c>
      <c r="H339" s="14" t="n">
        <v>36293</v>
      </c>
      <c r="I339" s="14" t="n">
        <v>36965</v>
      </c>
      <c r="J339" s="15" t="n">
        <f aca="false">I339/H339</f>
        <v>1.01851596726642</v>
      </c>
      <c r="K339" s="16" t="n">
        <f aca="false">ROUND(I339*J339^($F$8-1),0)</f>
        <v>36809</v>
      </c>
      <c r="L339" s="16" t="n">
        <f aca="false">ROUND(I339*J339^($F$9-1),0)</f>
        <v>36930</v>
      </c>
      <c r="M339" s="17" t="n">
        <f aca="false">G339*$F$7</f>
        <v>46234184.96732</v>
      </c>
      <c r="N339" s="18" t="n">
        <f aca="false">F339/K339</f>
        <v>320.267461762069</v>
      </c>
      <c r="O339" s="18" t="n">
        <f aca="false">G339/L339</f>
        <v>1299.63479555917</v>
      </c>
      <c r="P339" s="18" t="n">
        <f aca="false">M339/L339</f>
        <v>1251.94110390793</v>
      </c>
      <c r="Q339" s="19" t="n">
        <f aca="false">IF(N339=0,"n.a.",P339/N339-1)</f>
        <v>2.90904869642367</v>
      </c>
    </row>
    <row r="340" customFormat="false" ht="15" hidden="false" customHeight="false" outlineLevel="0" collapsed="false">
      <c r="A340" s="12" t="s">
        <v>815</v>
      </c>
      <c r="B340" s="12" t="s">
        <v>753</v>
      </c>
      <c r="C340" s="12" t="s">
        <v>754</v>
      </c>
      <c r="D340" s="12" t="s">
        <v>466</v>
      </c>
      <c r="E340" s="12" t="s">
        <v>455</v>
      </c>
      <c r="F340" s="13" t="n">
        <v>406709255</v>
      </c>
      <c r="G340" s="13" t="n">
        <v>463923566</v>
      </c>
      <c r="H340" s="14" t="n">
        <v>569511</v>
      </c>
      <c r="I340" s="14" t="n">
        <v>591800</v>
      </c>
      <c r="J340" s="15" t="n">
        <f aca="false">I340/H340</f>
        <v>1.03913708427054</v>
      </c>
      <c r="K340" s="16" t="n">
        <f aca="false">ROUND(I340*J340^($F$8-1),0)</f>
        <v>586578</v>
      </c>
      <c r="L340" s="16" t="n">
        <f aca="false">ROUND(I340*J340^($F$9-1),0)</f>
        <v>590621</v>
      </c>
      <c r="M340" s="17" t="n">
        <f aca="false">G340*$F$7</f>
        <v>446898608.233288</v>
      </c>
      <c r="N340" s="18" t="n">
        <f aca="false">F340/K340</f>
        <v>693.359203720562</v>
      </c>
      <c r="O340" s="18" t="n">
        <f aca="false">G340/L340</f>
        <v>785.484373227501</v>
      </c>
      <c r="P340" s="18" t="n">
        <f aca="false">M340/L340</f>
        <v>756.658852687744</v>
      </c>
      <c r="Q340" s="19" t="n">
        <f aca="false">IF(N340=0,"n.a.",P340/N340-1)</f>
        <v>0.0912941641612548</v>
      </c>
    </row>
    <row r="341" customFormat="false" ht="15" hidden="false" customHeight="false" outlineLevel="0" collapsed="false">
      <c r="A341" s="12" t="s">
        <v>816</v>
      </c>
      <c r="B341" s="12" t="s">
        <v>753</v>
      </c>
      <c r="C341" s="12" t="s">
        <v>754</v>
      </c>
      <c r="D341" s="12" t="s">
        <v>817</v>
      </c>
      <c r="E341" s="12" t="s">
        <v>818</v>
      </c>
      <c r="F341" s="13" t="n">
        <v>16913284</v>
      </c>
      <c r="G341" s="13" t="n">
        <v>20813811</v>
      </c>
      <c r="H341" s="14" t="n">
        <v>37329</v>
      </c>
      <c r="I341" s="14" t="n">
        <v>38920</v>
      </c>
      <c r="J341" s="15" t="n">
        <f aca="false">I341/H341</f>
        <v>1.04262101851108</v>
      </c>
      <c r="K341" s="16" t="n">
        <f aca="false">ROUND(I341*J341^($F$8-1),0)</f>
        <v>38547</v>
      </c>
      <c r="L341" s="16" t="n">
        <f aca="false">ROUND(I341*J341^($F$9-1),0)</f>
        <v>38836</v>
      </c>
      <c r="M341" s="17" t="n">
        <f aca="false">G341*$F$7</f>
        <v>20049990.6657699</v>
      </c>
      <c r="N341" s="18" t="n">
        <f aca="false">F341/K341</f>
        <v>438.770436091006</v>
      </c>
      <c r="O341" s="18" t="n">
        <f aca="false">G341/L341</f>
        <v>535.941162838603</v>
      </c>
      <c r="P341" s="18" t="n">
        <f aca="false">M341/L341</f>
        <v>516.273320263929</v>
      </c>
      <c r="Q341" s="19" t="n">
        <f aca="false">IF(N341=0,"n.a.",P341/N341-1)</f>
        <v>0.176636522878328</v>
      </c>
    </row>
    <row r="342" customFormat="false" ht="15" hidden="false" customHeight="false" outlineLevel="0" collapsed="false">
      <c r="A342" s="12" t="s">
        <v>819</v>
      </c>
      <c r="B342" s="12" t="s">
        <v>753</v>
      </c>
      <c r="C342" s="12" t="s">
        <v>754</v>
      </c>
      <c r="D342" s="12" t="s">
        <v>490</v>
      </c>
      <c r="E342" s="12" t="s">
        <v>820</v>
      </c>
      <c r="F342" s="13" t="n">
        <v>9247504</v>
      </c>
      <c r="G342" s="13" t="n">
        <v>9521858</v>
      </c>
      <c r="H342" s="14" t="n">
        <v>13787</v>
      </c>
      <c r="I342" s="14" t="n">
        <v>13935</v>
      </c>
      <c r="J342" s="15" t="n">
        <f aca="false">I342/H342</f>
        <v>1.01073475012693</v>
      </c>
      <c r="K342" s="16" t="n">
        <f aca="false">ROUND(I342*J342^($F$8-1),0)</f>
        <v>13901</v>
      </c>
      <c r="L342" s="16" t="n">
        <f aca="false">ROUND(I342*J342^($F$9-1),0)</f>
        <v>13927</v>
      </c>
      <c r="M342" s="17" t="n">
        <f aca="false">G342*$F$7</f>
        <v>9172427.09760297</v>
      </c>
      <c r="N342" s="18" t="n">
        <f aca="false">F342/K342</f>
        <v>665.240198546867</v>
      </c>
      <c r="O342" s="18" t="n">
        <f aca="false">G342/L342</f>
        <v>683.697709485173</v>
      </c>
      <c r="P342" s="18" t="n">
        <f aca="false">M342/L342</f>
        <v>658.607531959717</v>
      </c>
      <c r="Q342" s="19" t="n">
        <f aca="false">IF(N342=0,"n.a.",P342/N342-1)</f>
        <v>-0.0099703334248874</v>
      </c>
    </row>
    <row r="343" customFormat="false" ht="15" hidden="false" customHeight="false" outlineLevel="0" collapsed="false">
      <c r="A343" s="12" t="s">
        <v>821</v>
      </c>
      <c r="B343" s="12" t="s">
        <v>753</v>
      </c>
      <c r="C343" s="12" t="s">
        <v>754</v>
      </c>
      <c r="D343" s="12" t="s">
        <v>499</v>
      </c>
      <c r="E343" s="12" t="s">
        <v>822</v>
      </c>
      <c r="F343" s="13" t="n">
        <v>13088605</v>
      </c>
      <c r="G343" s="13" t="n">
        <v>16877502</v>
      </c>
      <c r="H343" s="14" t="n">
        <v>18613</v>
      </c>
      <c r="I343" s="14" t="n">
        <v>20803</v>
      </c>
      <c r="J343" s="15" t="n">
        <f aca="false">I343/H343</f>
        <v>1.11765970020953</v>
      </c>
      <c r="K343" s="16" t="n">
        <f aca="false">ROUND(I343*J343^($F$8-1),0)</f>
        <v>20276</v>
      </c>
      <c r="L343" s="16" t="n">
        <f aca="false">ROUND(I343*J343^($F$9-1),0)</f>
        <v>20683</v>
      </c>
      <c r="M343" s="17" t="n">
        <f aca="false">G343*$F$7</f>
        <v>16258135.4064142</v>
      </c>
      <c r="N343" s="18" t="n">
        <f aca="false">F343/K343</f>
        <v>645.522045768396</v>
      </c>
      <c r="O343" s="18" t="n">
        <f aca="false">G343/L343</f>
        <v>816.008412706087</v>
      </c>
      <c r="P343" s="18" t="n">
        <f aca="false">M343/L343</f>
        <v>786.062728154243</v>
      </c>
      <c r="Q343" s="19" t="n">
        <f aca="false">IF(N343=0,"n.a.",P343/N343-1)</f>
        <v>0.217716317060178</v>
      </c>
    </row>
    <row r="344" customFormat="false" ht="15" hidden="false" customHeight="false" outlineLevel="0" collapsed="false">
      <c r="A344" s="12" t="s">
        <v>823</v>
      </c>
      <c r="B344" s="12" t="s">
        <v>753</v>
      </c>
      <c r="C344" s="12" t="s">
        <v>754</v>
      </c>
      <c r="D344" s="12" t="s">
        <v>502</v>
      </c>
      <c r="E344" s="12" t="s">
        <v>824</v>
      </c>
      <c r="F344" s="13" t="n">
        <v>2841656</v>
      </c>
      <c r="G344" s="13" t="n">
        <v>2575940</v>
      </c>
      <c r="H344" s="14" t="n">
        <v>5519</v>
      </c>
      <c r="I344" s="14" t="n">
        <v>5345</v>
      </c>
      <c r="J344" s="15" t="n">
        <f aca="false">I344/H344</f>
        <v>0.968472549374887</v>
      </c>
      <c r="K344" s="16" t="n">
        <f aca="false">ROUND(I344*J344^($F$8-1),0)</f>
        <v>5385</v>
      </c>
      <c r="L344" s="16" t="n">
        <f aca="false">ROUND(I344*J344^($F$9-1),0)</f>
        <v>5354</v>
      </c>
      <c r="M344" s="17" t="n">
        <f aca="false">G344*$F$7</f>
        <v>2481408.76053806</v>
      </c>
      <c r="N344" s="18" t="n">
        <f aca="false">F344/K344</f>
        <v>527.698421541319</v>
      </c>
      <c r="O344" s="18" t="n">
        <f aca="false">G344/L344</f>
        <v>481.124392977213</v>
      </c>
      <c r="P344" s="18" t="n">
        <f aca="false">M344/L344</f>
        <v>463.468203313048</v>
      </c>
      <c r="Q344" s="19" t="n">
        <f aca="false">IF(N344=0,"n.a.",P344/N344-1)</f>
        <v>-0.121717662222041</v>
      </c>
    </row>
    <row r="345" customFormat="false" ht="15" hidden="false" customHeight="false" outlineLevel="0" collapsed="false">
      <c r="A345" s="12" t="s">
        <v>825</v>
      </c>
      <c r="B345" s="12" t="s">
        <v>753</v>
      </c>
      <c r="C345" s="12" t="s">
        <v>754</v>
      </c>
      <c r="D345" s="12" t="s">
        <v>505</v>
      </c>
      <c r="E345" s="12" t="s">
        <v>826</v>
      </c>
      <c r="F345" s="13" t="n">
        <v>1755423</v>
      </c>
      <c r="G345" s="13" t="n">
        <v>2517648</v>
      </c>
      <c r="H345" s="14" t="n">
        <v>4388</v>
      </c>
      <c r="I345" s="14" t="n">
        <v>4521</v>
      </c>
      <c r="J345" s="15" t="n">
        <f aca="false">I345/H345</f>
        <v>1.03030993618961</v>
      </c>
      <c r="K345" s="16" t="n">
        <f aca="false">ROUND(I345*J345^($F$8-1),0)</f>
        <v>4490</v>
      </c>
      <c r="L345" s="16" t="n">
        <f aca="false">ROUND(I345*J345^($F$9-1),0)</f>
        <v>4514</v>
      </c>
      <c r="M345" s="17" t="n">
        <f aca="false">G345*$F$7</f>
        <v>2425255.94662575</v>
      </c>
      <c r="N345" s="18" t="n">
        <f aca="false">F345/K345</f>
        <v>390.96280623608</v>
      </c>
      <c r="O345" s="18" t="n">
        <f aca="false">G345/L345</f>
        <v>557.742135578201</v>
      </c>
      <c r="P345" s="18" t="n">
        <f aca="false">M345/L345</f>
        <v>537.274246040263</v>
      </c>
      <c r="Q345" s="19" t="n">
        <f aca="false">IF(N345=0,"n.a.",P345/N345-1)</f>
        <v>0.374233654635253</v>
      </c>
    </row>
    <row r="346" customFormat="false" ht="15" hidden="false" customHeight="false" outlineLevel="0" collapsed="false">
      <c r="A346" s="12" t="s">
        <v>827</v>
      </c>
      <c r="B346" s="12" t="s">
        <v>753</v>
      </c>
      <c r="C346" s="12" t="s">
        <v>754</v>
      </c>
      <c r="D346" s="12" t="s">
        <v>511</v>
      </c>
      <c r="E346" s="12" t="s">
        <v>828</v>
      </c>
      <c r="F346" s="13" t="n">
        <v>3945939904</v>
      </c>
      <c r="G346" s="13" t="n">
        <v>4179255041</v>
      </c>
      <c r="H346" s="14" t="n">
        <v>1472022</v>
      </c>
      <c r="I346" s="14" t="n">
        <v>1578432</v>
      </c>
      <c r="J346" s="15" t="n">
        <f aca="false">I346/H346</f>
        <v>1.0722883217778</v>
      </c>
      <c r="K346" s="16" t="n">
        <f aca="false">ROUND(I346*J346^($F$8-1),0)</f>
        <v>1553200</v>
      </c>
      <c r="L346" s="16" t="n">
        <f aca="false">ROUND(I346*J346^($F$9-1),0)</f>
        <v>1572718</v>
      </c>
      <c r="M346" s="17" t="n">
        <f aca="false">G346*$F$7</f>
        <v>4025885723.75919</v>
      </c>
      <c r="N346" s="18" t="n">
        <f aca="false">F346/K346</f>
        <v>2540.52272984806</v>
      </c>
      <c r="O346" s="18" t="n">
        <f aca="false">G346/L346</f>
        <v>2657.34546244146</v>
      </c>
      <c r="P346" s="18" t="n">
        <f aca="false">M346/L346</f>
        <v>2559.82682449059</v>
      </c>
      <c r="Q346" s="19" t="n">
        <f aca="false">IF(N346=0,"n.a.",P346/N346-1)</f>
        <v>0.00759847350143073</v>
      </c>
    </row>
    <row r="347" customFormat="false" ht="15" hidden="false" customHeight="false" outlineLevel="0" collapsed="false">
      <c r="A347" s="12" t="s">
        <v>829</v>
      </c>
      <c r="B347" s="12" t="s">
        <v>753</v>
      </c>
      <c r="C347" s="12" t="s">
        <v>754</v>
      </c>
      <c r="D347" s="12" t="s">
        <v>830</v>
      </c>
      <c r="E347" s="12" t="s">
        <v>831</v>
      </c>
      <c r="F347" s="13" t="n">
        <v>63621944</v>
      </c>
      <c r="G347" s="13" t="n">
        <v>68751509</v>
      </c>
      <c r="H347" s="14" t="n">
        <v>64765</v>
      </c>
      <c r="I347" s="14" t="n">
        <v>63917</v>
      </c>
      <c r="J347" s="15" t="n">
        <f aca="false">I347/H347</f>
        <v>0.986906508144831</v>
      </c>
      <c r="K347" s="16" t="n">
        <f aca="false">ROUND(I347*J347^($F$8-1),0)</f>
        <v>64112</v>
      </c>
      <c r="L347" s="16" t="n">
        <f aca="false">ROUND(I347*J347^($F$9-1),0)</f>
        <v>63961</v>
      </c>
      <c r="M347" s="17" t="n">
        <f aca="false">G347*$F$7</f>
        <v>66228482.314344</v>
      </c>
      <c r="N347" s="18" t="n">
        <f aca="false">F347/K347</f>
        <v>992.35625155977</v>
      </c>
      <c r="O347" s="18" t="n">
        <f aca="false">G347/L347</f>
        <v>1074.89734369381</v>
      </c>
      <c r="P347" s="18" t="n">
        <f aca="false">M347/L347</f>
        <v>1035.45101412336</v>
      </c>
      <c r="Q347" s="19" t="n">
        <f aca="false">IF(N347=0,"n.a.",P347/N347-1)</f>
        <v>0.0434267053750603</v>
      </c>
    </row>
    <row r="348" customFormat="false" ht="15" hidden="false" customHeight="false" outlineLevel="0" collapsed="false">
      <c r="A348" s="12" t="s">
        <v>832</v>
      </c>
      <c r="B348" s="12" t="s">
        <v>753</v>
      </c>
      <c r="C348" s="12" t="s">
        <v>754</v>
      </c>
      <c r="D348" s="12" t="s">
        <v>523</v>
      </c>
      <c r="E348" s="12" t="s">
        <v>833</v>
      </c>
      <c r="F348" s="13" t="n">
        <v>12654828</v>
      </c>
      <c r="G348" s="13" t="n">
        <v>14063370</v>
      </c>
      <c r="H348" s="14" t="n">
        <v>18308</v>
      </c>
      <c r="I348" s="14" t="n">
        <v>18245</v>
      </c>
      <c r="J348" s="15" t="n">
        <f aca="false">I348/H348</f>
        <v>0.996558881363339</v>
      </c>
      <c r="K348" s="16" t="n">
        <f aca="false">ROUND(I348*J348^($F$8-1),0)</f>
        <v>18260</v>
      </c>
      <c r="L348" s="16" t="n">
        <f aca="false">ROUND(I348*J348^($F$9-1),0)</f>
        <v>18248</v>
      </c>
      <c r="M348" s="17" t="n">
        <f aca="false">G348*$F$7</f>
        <v>13547275.7597957</v>
      </c>
      <c r="N348" s="18" t="n">
        <f aca="false">F348/K348</f>
        <v>693.035487404162</v>
      </c>
      <c r="O348" s="18" t="n">
        <f aca="false">G348/L348</f>
        <v>770.680074528716</v>
      </c>
      <c r="P348" s="18" t="n">
        <f aca="false">M348/L348</f>
        <v>742.397838656055</v>
      </c>
      <c r="Q348" s="19" t="n">
        <f aca="false">IF(N348=0,"n.a.",P348/N348-1)</f>
        <v>0.0712262967034847</v>
      </c>
    </row>
    <row r="349" customFormat="false" ht="15" hidden="false" customHeight="false" outlineLevel="0" collapsed="false">
      <c r="A349" s="12" t="s">
        <v>834</v>
      </c>
      <c r="B349" s="12" t="s">
        <v>835</v>
      </c>
      <c r="C349" s="12" t="s">
        <v>836</v>
      </c>
      <c r="D349" s="12" t="s">
        <v>46</v>
      </c>
      <c r="E349" s="12" t="s">
        <v>837</v>
      </c>
      <c r="F349" s="13" t="n">
        <v>13716593</v>
      </c>
      <c r="G349" s="13" t="n">
        <v>11025961</v>
      </c>
      <c r="H349" s="14" t="n">
        <v>67872</v>
      </c>
      <c r="I349" s="14" t="n">
        <v>75154</v>
      </c>
      <c r="J349" s="15" t="n">
        <f aca="false">I349/H349</f>
        <v>1.10729019330504</v>
      </c>
      <c r="K349" s="16" t="n">
        <f aca="false">ROUND(I349*J349^($F$8-1),0)</f>
        <v>73406</v>
      </c>
      <c r="L349" s="16" t="n">
        <f aca="false">ROUND(I349*J349^($F$9-1),0)</f>
        <v>74757</v>
      </c>
      <c r="M349" s="17" t="n">
        <f aca="false">G349*$F$7</f>
        <v>10621332.8799394</v>
      </c>
      <c r="N349" s="18" t="n">
        <f aca="false">F349/K349</f>
        <v>186.859289431382</v>
      </c>
      <c r="O349" s="18" t="n">
        <f aca="false">G349/L349</f>
        <v>147.490683146729</v>
      </c>
      <c r="P349" s="18" t="n">
        <f aca="false">M349/L349</f>
        <v>142.078104792051</v>
      </c>
      <c r="Q349" s="19" t="n">
        <f aca="false">IF(N349=0,"n.a.",P349/N349-1)</f>
        <v>-0.239651904786758</v>
      </c>
    </row>
    <row r="350" customFormat="false" ht="15" hidden="false" customHeight="false" outlineLevel="0" collapsed="false">
      <c r="A350" s="12" t="s">
        <v>838</v>
      </c>
      <c r="B350" s="12" t="s">
        <v>835</v>
      </c>
      <c r="C350" s="12" t="s">
        <v>836</v>
      </c>
      <c r="D350" s="12" t="s">
        <v>48</v>
      </c>
      <c r="E350" s="12" t="s">
        <v>839</v>
      </c>
      <c r="F350" s="13" t="n">
        <v>50934375</v>
      </c>
      <c r="G350" s="13" t="n">
        <v>58562566</v>
      </c>
      <c r="H350" s="14" t="n">
        <v>165585</v>
      </c>
      <c r="I350" s="14" t="n">
        <v>167969</v>
      </c>
      <c r="J350" s="15" t="n">
        <f aca="false">I350/H350</f>
        <v>1.01439743938159</v>
      </c>
      <c r="K350" s="16" t="n">
        <f aca="false">ROUND(I350*J350^($F$8-1),0)</f>
        <v>167416</v>
      </c>
      <c r="L350" s="16" t="n">
        <f aca="false">ROUND(I350*J350^($F$9-1),0)</f>
        <v>167844</v>
      </c>
      <c r="M350" s="17" t="n">
        <f aca="false">G350*$F$7</f>
        <v>56413450.7449662</v>
      </c>
      <c r="N350" s="18" t="n">
        <f aca="false">F350/K350</f>
        <v>304.238394179768</v>
      </c>
      <c r="O350" s="18" t="n">
        <f aca="false">G350/L350</f>
        <v>348.910690879626</v>
      </c>
      <c r="P350" s="18" t="n">
        <f aca="false">M350/L350</f>
        <v>336.10644851747</v>
      </c>
      <c r="Q350" s="19" t="n">
        <f aca="false">IF(N350=0,"n.a.",P350/N350-1)</f>
        <v>0.104746984428507</v>
      </c>
    </row>
    <row r="351" customFormat="false" ht="15" hidden="false" customHeight="false" outlineLevel="0" collapsed="false">
      <c r="A351" s="12" t="s">
        <v>840</v>
      </c>
      <c r="B351" s="12" t="s">
        <v>835</v>
      </c>
      <c r="C351" s="12" t="s">
        <v>836</v>
      </c>
      <c r="D351" s="12" t="s">
        <v>51</v>
      </c>
      <c r="E351" s="12" t="s">
        <v>841</v>
      </c>
      <c r="F351" s="13" t="n">
        <v>10827503</v>
      </c>
      <c r="G351" s="13" t="n">
        <v>10341342</v>
      </c>
      <c r="H351" s="14" t="n">
        <v>49260</v>
      </c>
      <c r="I351" s="14" t="n">
        <v>54630</v>
      </c>
      <c r="J351" s="15" t="n">
        <f aca="false">I351/H351</f>
        <v>1.10901339829476</v>
      </c>
      <c r="K351" s="16" t="n">
        <f aca="false">ROUND(I351*J351^($F$8-1),0)</f>
        <v>53340</v>
      </c>
      <c r="L351" s="16" t="n">
        <f aca="false">ROUND(I351*J351^($F$9-1),0)</f>
        <v>54337</v>
      </c>
      <c r="M351" s="17" t="n">
        <f aca="false">G351*$F$7</f>
        <v>9961837.86676715</v>
      </c>
      <c r="N351" s="18" t="n">
        <f aca="false">F351/K351</f>
        <v>202.990307461567</v>
      </c>
      <c r="O351" s="18" t="n">
        <f aca="false">G351/L351</f>
        <v>190.31860426597</v>
      </c>
      <c r="P351" s="18" t="n">
        <f aca="false">M351/L351</f>
        <v>183.334336948436</v>
      </c>
      <c r="Q351" s="19" t="n">
        <f aca="false">IF(N351=0,"n.a.",P351/N351-1)</f>
        <v>-0.0968320643430384</v>
      </c>
    </row>
    <row r="352" customFormat="false" ht="15" hidden="false" customHeight="false" outlineLevel="0" collapsed="false">
      <c r="A352" s="12" t="s">
        <v>842</v>
      </c>
      <c r="B352" s="12" t="s">
        <v>835</v>
      </c>
      <c r="C352" s="12" t="s">
        <v>836</v>
      </c>
      <c r="D352" s="12" t="s">
        <v>54</v>
      </c>
      <c r="E352" s="12" t="s">
        <v>843</v>
      </c>
      <c r="F352" s="13" t="n">
        <v>1204114</v>
      </c>
      <c r="G352" s="13" t="n">
        <v>1367344</v>
      </c>
      <c r="H352" s="14" t="n">
        <v>15321</v>
      </c>
      <c r="I352" s="14" t="n">
        <v>17645</v>
      </c>
      <c r="J352" s="15" t="n">
        <f aca="false">I352/H352</f>
        <v>1.15168722668233</v>
      </c>
      <c r="K352" s="16" t="n">
        <f aca="false">ROUND(I352*J352^($F$8-1),0)</f>
        <v>17079</v>
      </c>
      <c r="L352" s="16" t="n">
        <f aca="false">ROUND(I352*J352^($F$9-1),0)</f>
        <v>17516</v>
      </c>
      <c r="M352" s="17" t="n">
        <f aca="false">G352*$F$7</f>
        <v>1317165.53191035</v>
      </c>
      <c r="N352" s="18" t="n">
        <f aca="false">F352/K352</f>
        <v>70.502605538966</v>
      </c>
      <c r="O352" s="18" t="n">
        <f aca="false">G352/L352</f>
        <v>78.062571363325</v>
      </c>
      <c r="P352" s="18" t="n">
        <f aca="false">M352/L352</f>
        <v>75.1978495039023</v>
      </c>
      <c r="Q352" s="19" t="n">
        <f aca="false">IF(N352=0,"n.a.",P352/N352-1)</f>
        <v>0.0665967438939723</v>
      </c>
    </row>
    <row r="353" customFormat="false" ht="15" hidden="false" customHeight="false" outlineLevel="0" collapsed="false">
      <c r="A353" s="12" t="s">
        <v>844</v>
      </c>
      <c r="B353" s="12" t="s">
        <v>835</v>
      </c>
      <c r="C353" s="12" t="s">
        <v>836</v>
      </c>
      <c r="D353" s="12" t="s">
        <v>57</v>
      </c>
      <c r="E353" s="12" t="s">
        <v>845</v>
      </c>
      <c r="F353" s="13" t="n">
        <v>43853774</v>
      </c>
      <c r="G353" s="13" t="n">
        <v>41763480</v>
      </c>
      <c r="H353" s="14" t="n">
        <v>170102</v>
      </c>
      <c r="I353" s="14" t="n">
        <v>181090</v>
      </c>
      <c r="J353" s="15" t="n">
        <f aca="false">I353/H353</f>
        <v>1.06459653619593</v>
      </c>
      <c r="K353" s="16" t="n">
        <f aca="false">ROUND(I353*J353^($F$8-1),0)</f>
        <v>178492</v>
      </c>
      <c r="L353" s="16" t="n">
        <f aca="false">ROUND(I353*J353^($F$9-1),0)</f>
        <v>180502</v>
      </c>
      <c r="M353" s="17" t="n">
        <f aca="false">G353*$F$7</f>
        <v>40230853.6466517</v>
      </c>
      <c r="N353" s="18" t="n">
        <f aca="false">F353/K353</f>
        <v>245.690417497703</v>
      </c>
      <c r="O353" s="18" t="n">
        <f aca="false">G353/L353</f>
        <v>231.374056797155</v>
      </c>
      <c r="P353" s="18" t="n">
        <f aca="false">M353/L353</f>
        <v>222.883146151576</v>
      </c>
      <c r="Q353" s="19" t="n">
        <f aca="false">IF(N353=0,"n.a.",P353/N353-1)</f>
        <v>-0.0928293076238536</v>
      </c>
    </row>
    <row r="354" customFormat="false" ht="15" hidden="false" customHeight="false" outlineLevel="0" collapsed="false">
      <c r="A354" s="12" t="s">
        <v>846</v>
      </c>
      <c r="B354" s="12" t="s">
        <v>835</v>
      </c>
      <c r="C354" s="12" t="s">
        <v>836</v>
      </c>
      <c r="D354" s="12" t="s">
        <v>60</v>
      </c>
      <c r="E354" s="12" t="s">
        <v>847</v>
      </c>
      <c r="F354" s="13" t="n">
        <v>3155676</v>
      </c>
      <c r="G354" s="13" t="n">
        <v>3199524</v>
      </c>
      <c r="H354" s="14" t="n">
        <v>12694</v>
      </c>
      <c r="I354" s="14" t="n">
        <v>13218</v>
      </c>
      <c r="J354" s="15" t="n">
        <f aca="false">I354/H354</f>
        <v>1.04127934457224</v>
      </c>
      <c r="K354" s="16" t="n">
        <f aca="false">ROUND(I354*J354^($F$8-1),0)</f>
        <v>13095</v>
      </c>
      <c r="L354" s="16" t="n">
        <f aca="false">ROUND(I354*J354^($F$9-1),0)</f>
        <v>13190</v>
      </c>
      <c r="M354" s="17" t="n">
        <f aca="false">G354*$F$7</f>
        <v>3082108.62176595</v>
      </c>
      <c r="N354" s="18" t="n">
        <f aca="false">F354/K354</f>
        <v>240.983276059565</v>
      </c>
      <c r="O354" s="18" t="n">
        <f aca="false">G354/L354</f>
        <v>242.571948445792</v>
      </c>
      <c r="P354" s="18" t="n">
        <f aca="false">M354/L354</f>
        <v>233.6701002097</v>
      </c>
      <c r="Q354" s="19" t="n">
        <f aca="false">IF(N354=0,"n.a.",P354/N354-1)</f>
        <v>-0.0303472339219791</v>
      </c>
    </row>
    <row r="355" customFormat="false" ht="15" hidden="false" customHeight="false" outlineLevel="0" collapsed="false">
      <c r="A355" s="12" t="s">
        <v>848</v>
      </c>
      <c r="B355" s="12" t="s">
        <v>835</v>
      </c>
      <c r="C355" s="12" t="s">
        <v>836</v>
      </c>
      <c r="D355" s="12" t="s">
        <v>63</v>
      </c>
      <c r="E355" s="12" t="s">
        <v>849</v>
      </c>
      <c r="F355" s="13" t="n">
        <v>4276589</v>
      </c>
      <c r="G355" s="13" t="n">
        <v>19367103</v>
      </c>
      <c r="H355" s="14" t="n">
        <v>23669</v>
      </c>
      <c r="I355" s="14" t="n">
        <v>25582</v>
      </c>
      <c r="J355" s="15" t="n">
        <f aca="false">I355/H355</f>
        <v>1.08082301744898</v>
      </c>
      <c r="K355" s="16" t="n">
        <f aca="false">ROUND(I355*J355^($F$8-1),0)</f>
        <v>25127</v>
      </c>
      <c r="L355" s="16" t="n">
        <f aca="false">ROUND(I355*J355^($F$9-1),0)</f>
        <v>25479</v>
      </c>
      <c r="M355" s="17" t="n">
        <f aca="false">G355*$F$7</f>
        <v>18656373.6152406</v>
      </c>
      <c r="N355" s="18" t="n">
        <f aca="false">F355/K355</f>
        <v>170.198949337366</v>
      </c>
      <c r="O355" s="18" t="n">
        <f aca="false">G355/L355</f>
        <v>760.120216649005</v>
      </c>
      <c r="P355" s="18" t="n">
        <f aca="false">M355/L355</f>
        <v>732.225503953869</v>
      </c>
      <c r="Q355" s="19" t="n">
        <f aca="false">IF(N355=0,"n.a.",P355/N355-1)</f>
        <v>3.30217405456752</v>
      </c>
    </row>
    <row r="356" customFormat="false" ht="15" hidden="false" customHeight="false" outlineLevel="0" collapsed="false">
      <c r="A356" s="12" t="s">
        <v>850</v>
      </c>
      <c r="B356" s="12" t="s">
        <v>835</v>
      </c>
      <c r="C356" s="12" t="s">
        <v>836</v>
      </c>
      <c r="D356" s="12" t="s">
        <v>66</v>
      </c>
      <c r="E356" s="12" t="s">
        <v>851</v>
      </c>
      <c r="F356" s="13" t="n">
        <v>2268000</v>
      </c>
      <c r="G356" s="13" t="n">
        <v>2764348</v>
      </c>
      <c r="H356" s="14" t="n">
        <v>25244</v>
      </c>
      <c r="I356" s="14" t="n">
        <v>23303</v>
      </c>
      <c r="J356" s="15" t="n">
        <f aca="false">I356/H356</f>
        <v>0.923110442085248</v>
      </c>
      <c r="K356" s="16" t="n">
        <f aca="false">ROUND(I356*J356^($F$8-1),0)</f>
        <v>23737</v>
      </c>
      <c r="L356" s="16" t="n">
        <f aca="false">ROUND(I356*J356^($F$9-1),0)</f>
        <v>23400</v>
      </c>
      <c r="M356" s="17" t="n">
        <f aca="false">G356*$F$7</f>
        <v>2662902.60812591</v>
      </c>
      <c r="N356" s="18" t="n">
        <f aca="false">F356/K356</f>
        <v>95.547036272486</v>
      </c>
      <c r="O356" s="18" t="n">
        <f aca="false">G356/L356</f>
        <v>118.13452991453</v>
      </c>
      <c r="P356" s="18" t="n">
        <f aca="false">M356/L356</f>
        <v>113.799256757518</v>
      </c>
      <c r="Q356" s="19" t="n">
        <f aca="false">IF(N356=0,"n.a.",P356/N356-1)</f>
        <v>0.191028640940562</v>
      </c>
    </row>
    <row r="357" customFormat="false" ht="15" hidden="false" customHeight="false" outlineLevel="0" collapsed="false">
      <c r="A357" s="12" t="s">
        <v>852</v>
      </c>
      <c r="B357" s="12" t="s">
        <v>835</v>
      </c>
      <c r="C357" s="12" t="s">
        <v>836</v>
      </c>
      <c r="D357" s="12" t="s">
        <v>69</v>
      </c>
      <c r="E357" s="12" t="s">
        <v>853</v>
      </c>
      <c r="F357" s="13" t="n">
        <v>17325420</v>
      </c>
      <c r="G357" s="13" t="n">
        <v>18315213</v>
      </c>
      <c r="H357" s="14" t="n">
        <v>53375</v>
      </c>
      <c r="I357" s="14" t="n">
        <v>53098</v>
      </c>
      <c r="J357" s="15" t="n">
        <f aca="false">I357/H357</f>
        <v>0.994810304449649</v>
      </c>
      <c r="K357" s="16" t="n">
        <f aca="false">ROUND(I357*J357^($F$8-1),0)</f>
        <v>53162</v>
      </c>
      <c r="L357" s="16" t="n">
        <f aca="false">ROUND(I357*J357^($F$9-1),0)</f>
        <v>53112</v>
      </c>
      <c r="M357" s="17" t="n">
        <f aca="false">G357*$F$7</f>
        <v>17643085.6267306</v>
      </c>
      <c r="N357" s="18" t="n">
        <f aca="false">F357/K357</f>
        <v>325.89857416952</v>
      </c>
      <c r="O357" s="18" t="n">
        <f aca="false">G357/L357</f>
        <v>344.84133529146</v>
      </c>
      <c r="P357" s="18" t="n">
        <f aca="false">M357/L357</f>
        <v>332.186429182306</v>
      </c>
      <c r="Q357" s="19" t="n">
        <f aca="false">IF(N357=0,"n.a.",P357/N357-1)</f>
        <v>0.0192939015729352</v>
      </c>
    </row>
    <row r="358" customFormat="false" ht="15" hidden="false" customHeight="false" outlineLevel="0" collapsed="false">
      <c r="A358" s="12" t="s">
        <v>854</v>
      </c>
      <c r="B358" s="12" t="s">
        <v>835</v>
      </c>
      <c r="C358" s="12" t="s">
        <v>836</v>
      </c>
      <c r="D358" s="12" t="s">
        <v>72</v>
      </c>
      <c r="E358" s="12" t="s">
        <v>855</v>
      </c>
      <c r="F358" s="13" t="n">
        <v>26345257</v>
      </c>
      <c r="G358" s="13" t="n">
        <v>24283641</v>
      </c>
      <c r="H358" s="14" t="n">
        <v>31898</v>
      </c>
      <c r="I358" s="14" t="n">
        <v>33506</v>
      </c>
      <c r="J358" s="15" t="n">
        <f aca="false">I358/H358</f>
        <v>1.05041068405543</v>
      </c>
      <c r="K358" s="16" t="n">
        <f aca="false">ROUND(I358*J358^($F$8-1),0)</f>
        <v>33128</v>
      </c>
      <c r="L358" s="16" t="n">
        <f aca="false">ROUND(I358*J358^($F$9-1),0)</f>
        <v>33420</v>
      </c>
      <c r="M358" s="17" t="n">
        <f aca="false">G358*$F$7</f>
        <v>23392485.6616075</v>
      </c>
      <c r="N358" s="18" t="n">
        <f aca="false">F358/K358</f>
        <v>795.256489978266</v>
      </c>
      <c r="O358" s="18" t="n">
        <f aca="false">G358/L358</f>
        <v>726.620017953321</v>
      </c>
      <c r="P358" s="18" t="n">
        <f aca="false">M358/L358</f>
        <v>699.954687660308</v>
      </c>
      <c r="Q358" s="19" t="n">
        <f aca="false">IF(N358=0,"n.a.",P358/N358-1)</f>
        <v>-0.119837817759353</v>
      </c>
    </row>
    <row r="359" customFormat="false" ht="15" hidden="false" customHeight="false" outlineLevel="0" collapsed="false">
      <c r="A359" s="12" t="s">
        <v>856</v>
      </c>
      <c r="B359" s="12" t="s">
        <v>835</v>
      </c>
      <c r="C359" s="12" t="s">
        <v>836</v>
      </c>
      <c r="D359" s="12" t="s">
        <v>75</v>
      </c>
      <c r="E359" s="12" t="s">
        <v>857</v>
      </c>
      <c r="F359" s="13" t="n">
        <v>11787963</v>
      </c>
      <c r="G359" s="13" t="n">
        <v>16676310</v>
      </c>
      <c r="H359" s="14" t="n">
        <v>75474</v>
      </c>
      <c r="I359" s="14" t="n">
        <v>83985</v>
      </c>
      <c r="J359" s="15" t="n">
        <f aca="false">I359/H359</f>
        <v>1.11276731059703</v>
      </c>
      <c r="K359" s="16" t="n">
        <f aca="false">ROUND(I359*J359^($F$8-1),0)</f>
        <v>81938</v>
      </c>
      <c r="L359" s="16" t="n">
        <f aca="false">ROUND(I359*J359^($F$9-1),0)</f>
        <v>83520</v>
      </c>
      <c r="M359" s="17" t="n">
        <f aca="false">G359*$F$7</f>
        <v>16064326.7030476</v>
      </c>
      <c r="N359" s="18" t="n">
        <f aca="false">F359/K359</f>
        <v>143.864421879958</v>
      </c>
      <c r="O359" s="18" t="n">
        <f aca="false">G359/L359</f>
        <v>199.668462643678</v>
      </c>
      <c r="P359" s="18" t="n">
        <f aca="false">M359/L359</f>
        <v>192.341076425378</v>
      </c>
      <c r="Q359" s="19" t="n">
        <f aca="false">IF(N359=0,"n.a.",P359/N359-1)</f>
        <v>0.336960687791661</v>
      </c>
    </row>
    <row r="360" customFormat="false" ht="15" hidden="false" customHeight="false" outlineLevel="0" collapsed="false">
      <c r="A360" s="12" t="s">
        <v>858</v>
      </c>
      <c r="B360" s="12" t="s">
        <v>835</v>
      </c>
      <c r="C360" s="12" t="s">
        <v>836</v>
      </c>
      <c r="D360" s="12" t="s">
        <v>129</v>
      </c>
      <c r="E360" s="12" t="s">
        <v>859</v>
      </c>
      <c r="F360" s="13" t="n">
        <v>4448575</v>
      </c>
      <c r="G360" s="13" t="n">
        <v>4355166</v>
      </c>
      <c r="H360" s="14" t="n">
        <v>12981</v>
      </c>
      <c r="I360" s="14" t="n">
        <v>15176</v>
      </c>
      <c r="J360" s="15" t="n">
        <f aca="false">I360/H360</f>
        <v>1.16909329019336</v>
      </c>
      <c r="K360" s="16" t="n">
        <f aca="false">ROUND(I360*J360^($F$8-1),0)</f>
        <v>14638</v>
      </c>
      <c r="L360" s="16" t="n">
        <f aca="false">ROUND(I360*J360^($F$9-1),0)</f>
        <v>15053</v>
      </c>
      <c r="M360" s="17" t="n">
        <f aca="false">G360*$F$7</f>
        <v>4195341.14381449</v>
      </c>
      <c r="N360" s="18" t="n">
        <f aca="false">F360/K360</f>
        <v>303.905929771827</v>
      </c>
      <c r="O360" s="18" t="n">
        <f aca="false">G360/L360</f>
        <v>289.322128479373</v>
      </c>
      <c r="P360" s="18" t="n">
        <f aca="false">M360/L360</f>
        <v>278.704653146515</v>
      </c>
      <c r="Q360" s="19" t="n">
        <f aca="false">IF(N360=0,"n.a.",P360/N360-1)</f>
        <v>-0.0829245965823471</v>
      </c>
    </row>
    <row r="361" customFormat="false" ht="15" hidden="false" customHeight="false" outlineLevel="0" collapsed="false">
      <c r="A361" s="12" t="s">
        <v>860</v>
      </c>
      <c r="B361" s="12" t="s">
        <v>835</v>
      </c>
      <c r="C361" s="12" t="s">
        <v>836</v>
      </c>
      <c r="D361" s="12" t="s">
        <v>132</v>
      </c>
      <c r="E361" s="12" t="s">
        <v>861</v>
      </c>
      <c r="F361" s="13" t="n">
        <v>1408597901</v>
      </c>
      <c r="G361" s="13" t="n">
        <v>1397835727</v>
      </c>
      <c r="H361" s="14" t="n">
        <v>523311</v>
      </c>
      <c r="I361" s="14" t="n">
        <v>529718</v>
      </c>
      <c r="J361" s="15" t="n">
        <f aca="false">I361/H361</f>
        <v>1.01224319763964</v>
      </c>
      <c r="K361" s="16" t="n">
        <f aca="false">ROUND(I361*J361^($F$8-1),0)</f>
        <v>528232</v>
      </c>
      <c r="L361" s="16" t="n">
        <f aca="false">ROUND(I361*J361^($F$9-1),0)</f>
        <v>529383</v>
      </c>
      <c r="M361" s="17" t="n">
        <f aca="false">G361*$F$7</f>
        <v>1346538280.69399</v>
      </c>
      <c r="N361" s="18" t="n">
        <f aca="false">F361/K361</f>
        <v>2666.62735502582</v>
      </c>
      <c r="O361" s="18" t="n">
        <f aca="false">G361/L361</f>
        <v>2640.49984038022</v>
      </c>
      <c r="P361" s="18" t="n">
        <f aca="false">M361/L361</f>
        <v>2543.59939910045</v>
      </c>
      <c r="Q361" s="19" t="n">
        <f aca="false">IF(N361=0,"n.a.",P361/N361-1)</f>
        <v>-0.0461361636051243</v>
      </c>
    </row>
    <row r="362" customFormat="false" ht="15" hidden="false" customHeight="false" outlineLevel="0" collapsed="false">
      <c r="A362" s="12" t="s">
        <v>862</v>
      </c>
      <c r="B362" s="12" t="s">
        <v>835</v>
      </c>
      <c r="C362" s="12" t="s">
        <v>836</v>
      </c>
      <c r="D362" s="12" t="s">
        <v>163</v>
      </c>
      <c r="E362" s="12" t="s">
        <v>863</v>
      </c>
      <c r="F362" s="13" t="n">
        <v>57097113</v>
      </c>
      <c r="G362" s="13" t="n">
        <v>68990239</v>
      </c>
      <c r="H362" s="14" t="n">
        <v>109283</v>
      </c>
      <c r="I362" s="14" t="n">
        <v>113390</v>
      </c>
      <c r="J362" s="15" t="n">
        <f aca="false">I362/H362</f>
        <v>1.03758132554926</v>
      </c>
      <c r="K362" s="16" t="n">
        <f aca="false">ROUND(I362*J362^($F$8-1),0)</f>
        <v>112428</v>
      </c>
      <c r="L362" s="16" t="n">
        <f aca="false">ROUND(I362*J362^($F$9-1),0)</f>
        <v>113173</v>
      </c>
      <c r="M362" s="17" t="n">
        <f aca="false">G362*$F$7</f>
        <v>66458451.4570271</v>
      </c>
      <c r="N362" s="18" t="n">
        <f aca="false">F362/K362</f>
        <v>507.854920482442</v>
      </c>
      <c r="O362" s="18" t="n">
        <f aca="false">G362/L362</f>
        <v>609.59980737455</v>
      </c>
      <c r="P362" s="18" t="n">
        <f aca="false">M362/L362</f>
        <v>587.228857209998</v>
      </c>
      <c r="Q362" s="19" t="n">
        <f aca="false">IF(N362=0,"n.a.",P362/N362-1)</f>
        <v>0.156292542468928</v>
      </c>
    </row>
    <row r="363" customFormat="false" ht="15" hidden="false" customHeight="false" outlineLevel="0" collapsed="false">
      <c r="A363" s="12" t="s">
        <v>864</v>
      </c>
      <c r="B363" s="12" t="s">
        <v>835</v>
      </c>
      <c r="C363" s="12" t="s">
        <v>836</v>
      </c>
      <c r="D363" s="12" t="s">
        <v>166</v>
      </c>
      <c r="E363" s="12" t="s">
        <v>865</v>
      </c>
      <c r="F363" s="13" t="n">
        <v>7438236</v>
      </c>
      <c r="G363" s="13" t="n">
        <v>7143708</v>
      </c>
      <c r="H363" s="14" t="n">
        <v>31881</v>
      </c>
      <c r="I363" s="14" t="n">
        <v>32401</v>
      </c>
      <c r="J363" s="15" t="n">
        <f aca="false">I363/H363</f>
        <v>1.01631065524921</v>
      </c>
      <c r="K363" s="16" t="n">
        <f aca="false">ROUND(I363*J363^($F$8-1),0)</f>
        <v>32280</v>
      </c>
      <c r="L363" s="16" t="n">
        <f aca="false">ROUND(I363*J363^($F$9-1),0)</f>
        <v>32374</v>
      </c>
      <c r="M363" s="17" t="n">
        <f aca="false">G363*$F$7</f>
        <v>6881549.88622632</v>
      </c>
      <c r="N363" s="18" t="n">
        <f aca="false">F363/K363</f>
        <v>230.428624535316</v>
      </c>
      <c r="O363" s="18" t="n">
        <f aca="false">G363/L363</f>
        <v>220.661889170322</v>
      </c>
      <c r="P363" s="18" t="n">
        <f aca="false">M363/L363</f>
        <v>212.564091129496</v>
      </c>
      <c r="Q363" s="19" t="n">
        <f aca="false">IF(N363=0,"n.a.",P363/N363-1)</f>
        <v>-0.077527405468159</v>
      </c>
    </row>
    <row r="364" customFormat="false" ht="15" hidden="false" customHeight="false" outlineLevel="0" collapsed="false">
      <c r="A364" s="12" t="s">
        <v>866</v>
      </c>
      <c r="B364" s="12" t="s">
        <v>835</v>
      </c>
      <c r="C364" s="12" t="s">
        <v>836</v>
      </c>
      <c r="D364" s="12" t="s">
        <v>169</v>
      </c>
      <c r="E364" s="12" t="s">
        <v>867</v>
      </c>
      <c r="F364" s="13" t="n">
        <v>11528293</v>
      </c>
      <c r="G364" s="13" t="n">
        <v>13294881</v>
      </c>
      <c r="H364" s="14" t="n">
        <v>29110</v>
      </c>
      <c r="I364" s="14" t="n">
        <v>34339</v>
      </c>
      <c r="J364" s="15" t="n">
        <f aca="false">I364/H364</f>
        <v>1.17962899347303</v>
      </c>
      <c r="K364" s="16" t="n">
        <f aca="false">ROUND(I364*J364^($F$8-1),0)</f>
        <v>33054</v>
      </c>
      <c r="L364" s="16" t="n">
        <f aca="false">ROUND(I364*J364^($F$9-1),0)</f>
        <v>34045</v>
      </c>
      <c r="M364" s="17" t="n">
        <f aca="false">G364*$F$7</f>
        <v>12806988.5881313</v>
      </c>
      <c r="N364" s="18" t="n">
        <f aca="false">F364/K364</f>
        <v>348.771495129183</v>
      </c>
      <c r="O364" s="18" t="n">
        <f aca="false">G364/L364</f>
        <v>390.509061536202</v>
      </c>
      <c r="P364" s="18" t="n">
        <f aca="false">M364/L364</f>
        <v>376.178251964498</v>
      </c>
      <c r="Q364" s="19" t="n">
        <f aca="false">IF(N364=0,"n.a.",P364/N364-1)</f>
        <v>0.0785808393692371</v>
      </c>
    </row>
    <row r="365" customFormat="false" ht="15" hidden="false" customHeight="false" outlineLevel="0" collapsed="false">
      <c r="A365" s="12" t="s">
        <v>868</v>
      </c>
      <c r="B365" s="12" t="s">
        <v>835</v>
      </c>
      <c r="C365" s="12" t="s">
        <v>836</v>
      </c>
      <c r="D365" s="12" t="s">
        <v>172</v>
      </c>
      <c r="E365" s="12" t="s">
        <v>869</v>
      </c>
      <c r="F365" s="13" t="n">
        <v>3549790</v>
      </c>
      <c r="G365" s="13" t="n">
        <v>2295487</v>
      </c>
      <c r="H365" s="14" t="n">
        <v>9879</v>
      </c>
      <c r="I365" s="14" t="n">
        <v>11331</v>
      </c>
      <c r="J365" s="15" t="n">
        <f aca="false">I365/H365</f>
        <v>1.14697843911327</v>
      </c>
      <c r="K365" s="16" t="n">
        <f aca="false">ROUND(I365*J365^($F$8-1),0)</f>
        <v>10978</v>
      </c>
      <c r="L365" s="16" t="n">
        <f aca="false">ROUND(I365*J365^($F$9-1),0)</f>
        <v>11251</v>
      </c>
      <c r="M365" s="17" t="n">
        <f aca="false">G365*$F$7</f>
        <v>2211247.75868274</v>
      </c>
      <c r="N365" s="18" t="n">
        <f aca="false">F365/K365</f>
        <v>323.354891601385</v>
      </c>
      <c r="O365" s="18" t="n">
        <f aca="false">G365/L365</f>
        <v>204.025153319705</v>
      </c>
      <c r="P365" s="18" t="n">
        <f aca="false">M365/L365</f>
        <v>196.537886293018</v>
      </c>
      <c r="Q365" s="19" t="n">
        <f aca="false">IF(N365=0,"n.a.",P365/N365-1)</f>
        <v>-0.392191392807814</v>
      </c>
    </row>
    <row r="366" customFormat="false" ht="15" hidden="false" customHeight="false" outlineLevel="0" collapsed="false">
      <c r="A366" s="12" t="s">
        <v>870</v>
      </c>
      <c r="B366" s="12" t="s">
        <v>835</v>
      </c>
      <c r="C366" s="12" t="s">
        <v>836</v>
      </c>
      <c r="D366" s="12" t="s">
        <v>175</v>
      </c>
      <c r="E366" s="12" t="s">
        <v>871</v>
      </c>
      <c r="F366" s="13" t="n">
        <v>107113570</v>
      </c>
      <c r="G366" s="13" t="n">
        <v>124000922</v>
      </c>
      <c r="H366" s="14" t="n">
        <v>68473</v>
      </c>
      <c r="I366" s="14" t="n">
        <v>75123</v>
      </c>
      <c r="J366" s="15" t="n">
        <f aca="false">I366/H366</f>
        <v>1.09711857228397</v>
      </c>
      <c r="K366" s="16" t="n">
        <f aca="false">ROUND(I366*J366^($F$8-1),0)</f>
        <v>73532</v>
      </c>
      <c r="L366" s="16" t="n">
        <f aca="false">ROUND(I366*J366^($F$9-1),0)</f>
        <v>74762</v>
      </c>
      <c r="M366" s="17" t="n">
        <f aca="false">G366*$F$7</f>
        <v>119450365.367826</v>
      </c>
      <c r="N366" s="18" t="n">
        <f aca="false">F366/K366</f>
        <v>1456.69327639667</v>
      </c>
      <c r="O366" s="18" t="n">
        <f aca="false">G366/L366</f>
        <v>1658.60894572109</v>
      </c>
      <c r="P366" s="18" t="n">
        <f aca="false">M366/L366</f>
        <v>1597.741705249</v>
      </c>
      <c r="Q366" s="19" t="n">
        <f aca="false">IF(N366=0,"n.a.",P366/N366-1)</f>
        <v>0.0968278162175835</v>
      </c>
    </row>
    <row r="367" customFormat="false" ht="15" hidden="false" customHeight="false" outlineLevel="0" collapsed="false">
      <c r="A367" s="12" t="s">
        <v>872</v>
      </c>
      <c r="B367" s="12" t="s">
        <v>835</v>
      </c>
      <c r="C367" s="12" t="s">
        <v>836</v>
      </c>
      <c r="D367" s="12" t="s">
        <v>178</v>
      </c>
      <c r="E367" s="12" t="s">
        <v>873</v>
      </c>
      <c r="F367" s="13" t="n">
        <v>9800475</v>
      </c>
      <c r="G367" s="13" t="n">
        <v>12395300</v>
      </c>
      <c r="H367" s="14" t="n">
        <v>36911</v>
      </c>
      <c r="I367" s="14" t="n">
        <v>41781</v>
      </c>
      <c r="J367" s="15" t="n">
        <f aca="false">I367/H367</f>
        <v>1.13193898837745</v>
      </c>
      <c r="K367" s="16" t="n">
        <f aca="false">ROUND(I367*J367^($F$8-1),0)</f>
        <v>40602</v>
      </c>
      <c r="L367" s="16" t="n">
        <f aca="false">ROUND(I367*J367^($F$9-1),0)</f>
        <v>41513</v>
      </c>
      <c r="M367" s="17" t="n">
        <f aca="false">G367*$F$7</f>
        <v>11940420.1998095</v>
      </c>
      <c r="N367" s="18" t="n">
        <f aca="false">F367/K367</f>
        <v>241.379119255209</v>
      </c>
      <c r="O367" s="18" t="n">
        <f aca="false">G367/L367</f>
        <v>298.588393997061</v>
      </c>
      <c r="P367" s="18" t="n">
        <f aca="false">M367/L367</f>
        <v>287.630867434528</v>
      </c>
      <c r="Q367" s="19" t="n">
        <f aca="false">IF(N367=0,"n.a.",P367/N367-1)</f>
        <v>0.191614537007307</v>
      </c>
    </row>
    <row r="368" customFormat="false" ht="15" hidden="false" customHeight="false" outlineLevel="0" collapsed="false">
      <c r="A368" s="12" t="s">
        <v>874</v>
      </c>
      <c r="B368" s="12" t="s">
        <v>835</v>
      </c>
      <c r="C368" s="12" t="s">
        <v>836</v>
      </c>
      <c r="D368" s="12" t="s">
        <v>181</v>
      </c>
      <c r="E368" s="12" t="s">
        <v>875</v>
      </c>
      <c r="F368" s="13" t="n">
        <v>297340259</v>
      </c>
      <c r="G368" s="13" t="n">
        <v>301941799</v>
      </c>
      <c r="H368" s="14" t="n">
        <v>293296</v>
      </c>
      <c r="I368" s="14" t="n">
        <v>311935</v>
      </c>
      <c r="J368" s="15" t="n">
        <f aca="false">I368/H368</f>
        <v>1.06355013365337</v>
      </c>
      <c r="K368" s="16" t="n">
        <f aca="false">ROUND(I368*J368^($F$8-1),0)</f>
        <v>307529</v>
      </c>
      <c r="L368" s="16" t="n">
        <f aca="false">ROUND(I368*J368^($F$9-1),0)</f>
        <v>310938</v>
      </c>
      <c r="M368" s="17" t="n">
        <f aca="false">G368*$F$7</f>
        <v>290861209.970427</v>
      </c>
      <c r="N368" s="18" t="n">
        <f aca="false">F368/K368</f>
        <v>966.869007475718</v>
      </c>
      <c r="O368" s="18" t="n">
        <f aca="false">G368/L368</f>
        <v>971.067540795914</v>
      </c>
      <c r="P368" s="18" t="n">
        <f aca="false">M368/L368</f>
        <v>935.43153287931</v>
      </c>
      <c r="Q368" s="19" t="n">
        <f aca="false">IF(N368=0,"n.a.",P368/N368-1)</f>
        <v>-0.0325147195259509</v>
      </c>
    </row>
    <row r="369" customFormat="false" ht="15" hidden="false" customHeight="false" outlineLevel="0" collapsed="false">
      <c r="A369" s="12" t="s">
        <v>876</v>
      </c>
      <c r="B369" s="12" t="s">
        <v>835</v>
      </c>
      <c r="C369" s="12" t="s">
        <v>836</v>
      </c>
      <c r="D369" s="12" t="s">
        <v>184</v>
      </c>
      <c r="E369" s="12" t="s">
        <v>877</v>
      </c>
      <c r="F369" s="13" t="n">
        <v>16117918</v>
      </c>
      <c r="G369" s="13" t="n">
        <v>17280416</v>
      </c>
      <c r="H369" s="14" t="n">
        <v>38643</v>
      </c>
      <c r="I369" s="14" t="n">
        <v>42809</v>
      </c>
      <c r="J369" s="15" t="n">
        <f aca="false">I369/H369</f>
        <v>1.10780736485263</v>
      </c>
      <c r="K369" s="16" t="n">
        <f aca="false">ROUND(I369*J369^($F$8-1),0)</f>
        <v>41809</v>
      </c>
      <c r="L369" s="16" t="n">
        <f aca="false">ROUND(I369*J369^($F$9-1),0)</f>
        <v>42582</v>
      </c>
      <c r="M369" s="17" t="n">
        <f aca="false">G369*$F$7</f>
        <v>16646263.3633322</v>
      </c>
      <c r="N369" s="18" t="n">
        <f aca="false">F369/K369</f>
        <v>385.513119184865</v>
      </c>
      <c r="O369" s="18" t="n">
        <f aca="false">G369/L369</f>
        <v>405.815039218449</v>
      </c>
      <c r="P369" s="18" t="n">
        <f aca="false">M369/L369</f>
        <v>390.922534482463</v>
      </c>
      <c r="Q369" s="19" t="n">
        <f aca="false">IF(N369=0,"n.a.",P369/N369-1)</f>
        <v>0.0140317281783724</v>
      </c>
    </row>
    <row r="370" customFormat="false" ht="15" hidden="false" customHeight="false" outlineLevel="0" collapsed="false">
      <c r="A370" s="12" t="s">
        <v>878</v>
      </c>
      <c r="B370" s="12" t="s">
        <v>835</v>
      </c>
      <c r="C370" s="12" t="s">
        <v>836</v>
      </c>
      <c r="D370" s="12" t="s">
        <v>187</v>
      </c>
      <c r="E370" s="12" t="s">
        <v>879</v>
      </c>
      <c r="F370" s="13" t="n">
        <v>4130325</v>
      </c>
      <c r="G370" s="13" t="n">
        <v>8800248</v>
      </c>
      <c r="H370" s="14" t="n">
        <v>15107</v>
      </c>
      <c r="I370" s="14" t="n">
        <v>18201</v>
      </c>
      <c r="J370" s="15" t="n">
        <f aca="false">I370/H370</f>
        <v>1.20480571920302</v>
      </c>
      <c r="K370" s="16" t="n">
        <f aca="false">ROUND(I370*J370^($F$8-1),0)</f>
        <v>17435</v>
      </c>
      <c r="L370" s="16" t="n">
        <f aca="false">ROUND(I370*J370^($F$9-1),0)</f>
        <v>18026</v>
      </c>
      <c r="M370" s="17" t="n">
        <f aca="false">G370*$F$7</f>
        <v>8477298.57143704</v>
      </c>
      <c r="N370" s="18" t="n">
        <f aca="false">F370/K370</f>
        <v>236.898480068827</v>
      </c>
      <c r="O370" s="18" t="n">
        <f aca="false">G370/L370</f>
        <v>488.197492510818</v>
      </c>
      <c r="P370" s="18" t="n">
        <f aca="false">M370/L370</f>
        <v>470.28173590575</v>
      </c>
      <c r="Q370" s="19" t="n">
        <f aca="false">IF(N370=0,"n.a.",P370/N370-1)</f>
        <v>0.985161474101128</v>
      </c>
    </row>
    <row r="371" customFormat="false" ht="15" hidden="false" customHeight="false" outlineLevel="0" collapsed="false">
      <c r="A371" s="12" t="s">
        <v>880</v>
      </c>
      <c r="B371" s="12" t="s">
        <v>835</v>
      </c>
      <c r="C371" s="12" t="s">
        <v>836</v>
      </c>
      <c r="D371" s="12" t="s">
        <v>190</v>
      </c>
      <c r="E371" s="12" t="s">
        <v>881</v>
      </c>
      <c r="F371" s="13" t="n">
        <v>7669239</v>
      </c>
      <c r="G371" s="13" t="n">
        <v>14388242</v>
      </c>
      <c r="H371" s="14" t="n">
        <v>40883</v>
      </c>
      <c r="I371" s="14" t="n">
        <v>42701</v>
      </c>
      <c r="J371" s="15" t="n">
        <f aca="false">I371/H371</f>
        <v>1.04446836093242</v>
      </c>
      <c r="K371" s="16" t="n">
        <f aca="false">ROUND(I371*J371^($F$8-1),0)</f>
        <v>42274</v>
      </c>
      <c r="L371" s="16" t="n">
        <f aca="false">ROUND(I371*J371^($F$9-1),0)</f>
        <v>42605</v>
      </c>
      <c r="M371" s="17" t="n">
        <f aca="false">G371*$F$7</f>
        <v>13860225.6836501</v>
      </c>
      <c r="N371" s="18" t="n">
        <f aca="false">F371/K371</f>
        <v>181.417396035388</v>
      </c>
      <c r="O371" s="18" t="n">
        <f aca="false">G371/L371</f>
        <v>337.71252200446</v>
      </c>
      <c r="P371" s="18" t="n">
        <f aca="false">M371/L371</f>
        <v>325.31922740641</v>
      </c>
      <c r="Q371" s="19" t="n">
        <f aca="false">IF(N371=0,"n.a.",P371/N371-1)</f>
        <v>0.79320855946445</v>
      </c>
    </row>
    <row r="372" customFormat="false" ht="15" hidden="false" customHeight="false" outlineLevel="0" collapsed="false">
      <c r="A372" s="12" t="s">
        <v>882</v>
      </c>
      <c r="B372" s="12" t="s">
        <v>835</v>
      </c>
      <c r="C372" s="12" t="s">
        <v>836</v>
      </c>
      <c r="D372" s="12" t="s">
        <v>193</v>
      </c>
      <c r="E372" s="12" t="s">
        <v>883</v>
      </c>
      <c r="F372" s="13" t="n">
        <v>216892769</v>
      </c>
      <c r="G372" s="13" t="n">
        <v>228793375</v>
      </c>
      <c r="H372" s="14" t="n">
        <v>177194</v>
      </c>
      <c r="I372" s="14" t="n">
        <v>242223</v>
      </c>
      <c r="J372" s="15" t="n">
        <f aca="false">I372/H372</f>
        <v>1.36699323904873</v>
      </c>
      <c r="K372" s="16" t="n">
        <f aca="false">ROUND(I372*J372^($F$8-1),0)</f>
        <v>225356</v>
      </c>
      <c r="L372" s="16" t="n">
        <f aca="false">ROUND(I372*J372^($F$9-1),0)</f>
        <v>238320</v>
      </c>
      <c r="M372" s="17" t="n">
        <f aca="false">G372*$F$7</f>
        <v>220397169.607238</v>
      </c>
      <c r="N372" s="18" t="n">
        <f aca="false">F372/K372</f>
        <v>962.445060260211</v>
      </c>
      <c r="O372" s="18" t="n">
        <f aca="false">G372/L372</f>
        <v>960.02591054045</v>
      </c>
      <c r="P372" s="18" t="n">
        <f aca="false">M372/L372</f>
        <v>924.795105770553</v>
      </c>
      <c r="Q372" s="19" t="n">
        <f aca="false">IF(N372=0,"n.a.",P372/N372-1)</f>
        <v>-0.0391190687596007</v>
      </c>
    </row>
    <row r="373" customFormat="false" ht="15" hidden="false" customHeight="false" outlineLevel="0" collapsed="false">
      <c r="A373" s="12" t="s">
        <v>884</v>
      </c>
      <c r="B373" s="12" t="s">
        <v>835</v>
      </c>
      <c r="C373" s="12" t="s">
        <v>836</v>
      </c>
      <c r="D373" s="12" t="s">
        <v>196</v>
      </c>
      <c r="E373" s="12" t="s">
        <v>885</v>
      </c>
      <c r="F373" s="13" t="n">
        <v>199966674</v>
      </c>
      <c r="G373" s="13" t="n">
        <v>239013106</v>
      </c>
      <c r="H373" s="14" t="n">
        <v>396810</v>
      </c>
      <c r="I373" s="14" t="n">
        <v>441736</v>
      </c>
      <c r="J373" s="15" t="n">
        <f aca="false">I373/H373</f>
        <v>1.11321791285502</v>
      </c>
      <c r="K373" s="16" t="n">
        <f aca="false">ROUND(I373*J373^($F$8-1),0)</f>
        <v>430932</v>
      </c>
      <c r="L373" s="16" t="n">
        <f aca="false">ROUND(I373*J373^($F$9-1),0)</f>
        <v>439281</v>
      </c>
      <c r="M373" s="17" t="n">
        <f aca="false">G373*$F$7</f>
        <v>230241859.325843</v>
      </c>
      <c r="N373" s="18" t="n">
        <f aca="false">F373/K373</f>
        <v>464.033012168973</v>
      </c>
      <c r="O373" s="18" t="n">
        <f aca="false">G373/L373</f>
        <v>544.100714576774</v>
      </c>
      <c r="P373" s="18" t="n">
        <f aca="false">M373/L373</f>
        <v>524.133434694063</v>
      </c>
      <c r="Q373" s="19" t="n">
        <f aca="false">IF(N373=0,"n.a.",P373/N373-1)</f>
        <v>0.129517557908585</v>
      </c>
    </row>
    <row r="374" customFormat="false" ht="15" hidden="false" customHeight="false" outlineLevel="0" collapsed="false">
      <c r="A374" s="12" t="s">
        <v>886</v>
      </c>
      <c r="B374" s="12" t="s">
        <v>835</v>
      </c>
      <c r="C374" s="12" t="s">
        <v>836</v>
      </c>
      <c r="D374" s="12" t="s">
        <v>199</v>
      </c>
      <c r="E374" s="12" t="s">
        <v>887</v>
      </c>
      <c r="F374" s="13" t="n">
        <v>7805636</v>
      </c>
      <c r="G374" s="13" t="n">
        <v>7623830</v>
      </c>
      <c r="H374" s="14" t="n">
        <v>31737</v>
      </c>
      <c r="I374" s="14" t="n">
        <v>32168</v>
      </c>
      <c r="J374" s="15" t="n">
        <f aca="false">I374/H374</f>
        <v>1.01358036361345</v>
      </c>
      <c r="K374" s="16" t="n">
        <f aca="false">ROUND(I374*J374^($F$8-1),0)</f>
        <v>32068</v>
      </c>
      <c r="L374" s="16" t="n">
        <f aca="false">ROUND(I374*J374^($F$9-1),0)</f>
        <v>32145</v>
      </c>
      <c r="M374" s="17" t="n">
        <f aca="false">G374*$F$7</f>
        <v>7344052.48214356</v>
      </c>
      <c r="N374" s="18" t="n">
        <f aca="false">F374/K374</f>
        <v>243.408881127604</v>
      </c>
      <c r="O374" s="18" t="n">
        <f aca="false">G374/L374</f>
        <v>237.170010888163</v>
      </c>
      <c r="P374" s="18" t="n">
        <f aca="false">M374/L374</f>
        <v>228.466401684354</v>
      </c>
      <c r="Q374" s="19" t="n">
        <f aca="false">IF(N374=0,"n.a.",P374/N374-1)</f>
        <v>-0.0613883904894029</v>
      </c>
    </row>
    <row r="375" customFormat="false" ht="15" hidden="false" customHeight="false" outlineLevel="0" collapsed="false">
      <c r="A375" s="12" t="s">
        <v>888</v>
      </c>
      <c r="B375" s="12" t="s">
        <v>835</v>
      </c>
      <c r="C375" s="12" t="s">
        <v>836</v>
      </c>
      <c r="D375" s="12" t="s">
        <v>202</v>
      </c>
      <c r="E375" s="12" t="s">
        <v>889</v>
      </c>
      <c r="F375" s="13" t="n">
        <v>7505605</v>
      </c>
      <c r="G375" s="13" t="n">
        <v>8854237</v>
      </c>
      <c r="H375" s="14" t="n">
        <v>12772</v>
      </c>
      <c r="I375" s="14" t="n">
        <v>15331</v>
      </c>
      <c r="J375" s="15" t="n">
        <f aca="false">I375/H375</f>
        <v>1.20036016285625</v>
      </c>
      <c r="K375" s="16" t="n">
        <f aca="false">ROUND(I375*J375^($F$8-1),0)</f>
        <v>14698</v>
      </c>
      <c r="L375" s="16" t="n">
        <f aca="false">ROUND(I375*J375^($F$9-1),0)</f>
        <v>15186</v>
      </c>
      <c r="M375" s="17" t="n">
        <f aca="false">G375*$F$7</f>
        <v>8529306.29582996</v>
      </c>
      <c r="N375" s="18" t="n">
        <f aca="false">F375/K375</f>
        <v>510.654851000136</v>
      </c>
      <c r="O375" s="18" t="n">
        <f aca="false">G375/L375</f>
        <v>583.052614249967</v>
      </c>
      <c r="P375" s="18" t="n">
        <f aca="false">M375/L375</f>
        <v>561.655886726588</v>
      </c>
      <c r="Q375" s="19" t="n">
        <f aca="false">IF(N375=0,"n.a.",P375/N375-1)</f>
        <v>0.0998737907347087</v>
      </c>
    </row>
    <row r="376" customFormat="false" ht="15" hidden="false" customHeight="false" outlineLevel="0" collapsed="false">
      <c r="A376" s="12" t="s">
        <v>890</v>
      </c>
      <c r="B376" s="12" t="s">
        <v>835</v>
      </c>
      <c r="C376" s="12" t="s">
        <v>836</v>
      </c>
      <c r="D376" s="12" t="s">
        <v>205</v>
      </c>
      <c r="E376" s="12" t="s">
        <v>891</v>
      </c>
      <c r="F376" s="13" t="n">
        <v>16268536</v>
      </c>
      <c r="G376" s="13" t="n">
        <v>20847722</v>
      </c>
      <c r="H376" s="14" t="n">
        <v>30045</v>
      </c>
      <c r="I376" s="14" t="n">
        <v>33795</v>
      </c>
      <c r="J376" s="15" t="n">
        <f aca="false">I376/H376</f>
        <v>1.12481278082876</v>
      </c>
      <c r="K376" s="16" t="n">
        <f aca="false">ROUND(I376*J376^($F$8-1),0)</f>
        <v>32890</v>
      </c>
      <c r="L376" s="16" t="n">
        <f aca="false">ROUND(I376*J376^($F$9-1),0)</f>
        <v>33589</v>
      </c>
      <c r="M376" s="17" t="n">
        <f aca="false">G376*$F$7</f>
        <v>20082657.2078783</v>
      </c>
      <c r="N376" s="18" t="n">
        <f aca="false">F376/K376</f>
        <v>494.634721799939</v>
      </c>
      <c r="O376" s="18" t="n">
        <f aca="false">G376/L376</f>
        <v>620.671112566614</v>
      </c>
      <c r="P376" s="18" t="n">
        <f aca="false">M376/L376</f>
        <v>597.89387025152</v>
      </c>
      <c r="Q376" s="19" t="n">
        <f aca="false">IF(N376=0,"n.a.",P376/N376-1)</f>
        <v>0.208758390587358</v>
      </c>
    </row>
    <row r="377" customFormat="false" ht="15" hidden="false" customHeight="false" outlineLevel="0" collapsed="false">
      <c r="A377" s="12" t="s">
        <v>892</v>
      </c>
      <c r="B377" s="12" t="s">
        <v>835</v>
      </c>
      <c r="C377" s="12" t="s">
        <v>836</v>
      </c>
      <c r="D377" s="12" t="s">
        <v>208</v>
      </c>
      <c r="E377" s="12" t="s">
        <v>893</v>
      </c>
      <c r="F377" s="13" t="n">
        <v>53546812</v>
      </c>
      <c r="G377" s="13" t="n">
        <v>56127894</v>
      </c>
      <c r="H377" s="14" t="n">
        <v>200548</v>
      </c>
      <c r="I377" s="14" t="n">
        <v>203270</v>
      </c>
      <c r="J377" s="15" t="n">
        <f aca="false">I377/H377</f>
        <v>1.01357281049923</v>
      </c>
      <c r="K377" s="16" t="n">
        <f aca="false">ROUND(I377*J377^($F$8-1),0)</f>
        <v>202638</v>
      </c>
      <c r="L377" s="16" t="n">
        <f aca="false">ROUND(I377*J377^($F$9-1),0)</f>
        <v>203128</v>
      </c>
      <c r="M377" s="17" t="n">
        <f aca="false">G377*$F$7</f>
        <v>54068125.7646341</v>
      </c>
      <c r="N377" s="18" t="n">
        <f aca="false">F377/K377</f>
        <v>264.248620693059</v>
      </c>
      <c r="O377" s="18" t="n">
        <f aca="false">G377/L377</f>
        <v>276.317858690087</v>
      </c>
      <c r="P377" s="18" t="n">
        <f aca="false">M377/L377</f>
        <v>266.177610987329</v>
      </c>
      <c r="Q377" s="19" t="n">
        <f aca="false">IF(N377=0,"n.a.",P377/N377-1)</f>
        <v>0.00729990676663062</v>
      </c>
    </row>
    <row r="378" customFormat="false" ht="15" hidden="false" customHeight="false" outlineLevel="0" collapsed="false">
      <c r="A378" s="12" t="s">
        <v>894</v>
      </c>
      <c r="B378" s="12" t="s">
        <v>835</v>
      </c>
      <c r="C378" s="12" t="s">
        <v>836</v>
      </c>
      <c r="D378" s="12" t="s">
        <v>211</v>
      </c>
      <c r="E378" s="12" t="s">
        <v>895</v>
      </c>
      <c r="F378" s="13" t="n">
        <v>9243603</v>
      </c>
      <c r="G378" s="13" t="n">
        <v>9312169</v>
      </c>
      <c r="H378" s="14" t="n">
        <v>27673</v>
      </c>
      <c r="I378" s="14" t="n">
        <v>26795</v>
      </c>
      <c r="J378" s="15" t="n">
        <f aca="false">I378/H378</f>
        <v>0.968272323203122</v>
      </c>
      <c r="K378" s="16" t="n">
        <f aca="false">ROUND(I378*J378^($F$8-1),0)</f>
        <v>26995</v>
      </c>
      <c r="L378" s="16" t="n">
        <f aca="false">ROUND(I378*J378^($F$9-1),0)</f>
        <v>26840</v>
      </c>
      <c r="M378" s="17" t="n">
        <f aca="false">G378*$F$7</f>
        <v>8970433.21514124</v>
      </c>
      <c r="N378" s="18" t="n">
        <f aca="false">F378/K378</f>
        <v>342.419077606964</v>
      </c>
      <c r="O378" s="18" t="n">
        <f aca="false">G378/L378</f>
        <v>346.951154992548</v>
      </c>
      <c r="P378" s="18" t="n">
        <f aca="false">M378/L378</f>
        <v>334.218823216887</v>
      </c>
      <c r="Q378" s="19" t="n">
        <f aca="false">IF(N378=0,"n.a.",P378/N378-1)</f>
        <v>-0.0239480067739969</v>
      </c>
    </row>
    <row r="379" customFormat="false" ht="15" hidden="false" customHeight="false" outlineLevel="0" collapsed="false">
      <c r="A379" s="12" t="s">
        <v>896</v>
      </c>
      <c r="B379" s="12" t="s">
        <v>835</v>
      </c>
      <c r="C379" s="12" t="s">
        <v>836</v>
      </c>
      <c r="D379" s="12" t="s">
        <v>214</v>
      </c>
      <c r="E379" s="12" t="s">
        <v>897</v>
      </c>
      <c r="F379" s="13" t="n">
        <v>140904515</v>
      </c>
      <c r="G379" s="13" t="n">
        <v>157288163</v>
      </c>
      <c r="H379" s="14" t="n">
        <v>704850</v>
      </c>
      <c r="I379" s="14" t="n">
        <v>730151</v>
      </c>
      <c r="J379" s="15" t="n">
        <f aca="false">I379/H379</f>
        <v>1.03589558061999</v>
      </c>
      <c r="K379" s="16" t="n">
        <f aca="false">ROUND(I379*J379^($F$8-1),0)</f>
        <v>724230</v>
      </c>
      <c r="L379" s="16" t="n">
        <f aca="false">ROUND(I379*J379^($F$9-1),0)</f>
        <v>728814</v>
      </c>
      <c r="M379" s="17" t="n">
        <f aca="false">G379*$F$7</f>
        <v>151516039.037065</v>
      </c>
      <c r="N379" s="18" t="n">
        <f aca="false">F379/K379</f>
        <v>194.55768885575</v>
      </c>
      <c r="O379" s="18" t="n">
        <f aca="false">G379/L379</f>
        <v>215.813860600922</v>
      </c>
      <c r="P379" s="18" t="n">
        <f aca="false">M379/L379</f>
        <v>207.89397437078</v>
      </c>
      <c r="Q379" s="19" t="n">
        <f aca="false">IF(N379=0,"n.a.",P379/N379-1)</f>
        <v>0.0685466896397868</v>
      </c>
    </row>
    <row r="380" customFormat="false" ht="15" hidden="false" customHeight="false" outlineLevel="0" collapsed="false">
      <c r="A380" s="12" t="s">
        <v>898</v>
      </c>
      <c r="B380" s="12" t="s">
        <v>835</v>
      </c>
      <c r="C380" s="12" t="s">
        <v>836</v>
      </c>
      <c r="D380" s="12" t="s">
        <v>217</v>
      </c>
      <c r="E380" s="12" t="s">
        <v>899</v>
      </c>
      <c r="F380" s="13" t="n">
        <v>2685033</v>
      </c>
      <c r="G380" s="13" t="n">
        <v>12742710</v>
      </c>
      <c r="H380" s="14" t="n">
        <v>36954</v>
      </c>
      <c r="I380" s="14" t="n">
        <v>44925</v>
      </c>
      <c r="J380" s="15" t="n">
        <f aca="false">I380/H380</f>
        <v>1.21570060074687</v>
      </c>
      <c r="K380" s="16" t="n">
        <f aca="false">ROUND(I380*J380^($F$8-1),0)</f>
        <v>42944</v>
      </c>
      <c r="L380" s="16" t="n">
        <f aca="false">ROUND(I380*J380^($F$9-1),0)</f>
        <v>44471</v>
      </c>
      <c r="M380" s="17" t="n">
        <f aca="false">G380*$F$7</f>
        <v>12275081.0294479</v>
      </c>
      <c r="N380" s="18" t="n">
        <f aca="false">F380/K380</f>
        <v>62.5240545827124</v>
      </c>
      <c r="O380" s="18" t="n">
        <f aca="false">G380/L380</f>
        <v>286.539767488925</v>
      </c>
      <c r="P380" s="18" t="n">
        <f aca="false">M380/L380</f>
        <v>276.024398584423</v>
      </c>
      <c r="Q380" s="19" t="n">
        <f aca="false">IF(N380=0,"n.a.",P380/N380-1)</f>
        <v>3.41469128044588</v>
      </c>
    </row>
    <row r="381" customFormat="false" ht="15" hidden="false" customHeight="false" outlineLevel="0" collapsed="false">
      <c r="A381" s="12" t="s">
        <v>900</v>
      </c>
      <c r="B381" s="12" t="s">
        <v>835</v>
      </c>
      <c r="C381" s="12" t="s">
        <v>836</v>
      </c>
      <c r="D381" s="12" t="s">
        <v>220</v>
      </c>
      <c r="E381" s="12" t="s">
        <v>901</v>
      </c>
      <c r="F381" s="13" t="n">
        <v>962183437</v>
      </c>
      <c r="G381" s="13" t="n">
        <v>909352795</v>
      </c>
      <c r="H381" s="14" t="n">
        <v>1644799</v>
      </c>
      <c r="I381" s="14" t="n">
        <v>1652119</v>
      </c>
      <c r="J381" s="15" t="n">
        <f aca="false">I381/H381</f>
        <v>1.00445039181079</v>
      </c>
      <c r="K381" s="16" t="n">
        <f aca="false">ROUND(I381*J381^($F$8-1),0)</f>
        <v>1650426</v>
      </c>
      <c r="L381" s="16" t="n">
        <f aca="false">ROUND(I381*J381^($F$9-1),0)</f>
        <v>1651738</v>
      </c>
      <c r="M381" s="17" t="n">
        <f aca="false">G381*$F$7</f>
        <v>875981580.290212</v>
      </c>
      <c r="N381" s="18" t="n">
        <f aca="false">F381/K381</f>
        <v>582.99095930384</v>
      </c>
      <c r="O381" s="18" t="n">
        <f aca="false">G381/L381</f>
        <v>550.543000766465</v>
      </c>
      <c r="P381" s="18" t="n">
        <f aca="false">M381/L381</f>
        <v>530.339303382384</v>
      </c>
      <c r="Q381" s="19" t="n">
        <f aca="false">IF(N381=0,"n.a.",P381/N381-1)</f>
        <v>-0.090312988702824</v>
      </c>
    </row>
    <row r="382" customFormat="false" ht="15" hidden="false" customHeight="false" outlineLevel="0" collapsed="false">
      <c r="A382" s="12" t="s">
        <v>902</v>
      </c>
      <c r="B382" s="12" t="s">
        <v>835</v>
      </c>
      <c r="C382" s="12" t="s">
        <v>836</v>
      </c>
      <c r="D382" s="12" t="s">
        <v>223</v>
      </c>
      <c r="E382" s="12" t="s">
        <v>903</v>
      </c>
      <c r="F382" s="13" t="n">
        <v>409597</v>
      </c>
      <c r="G382" s="13" t="n">
        <v>1597052</v>
      </c>
      <c r="H382" s="14" t="n">
        <v>10827</v>
      </c>
      <c r="I382" s="14" t="n">
        <v>10869</v>
      </c>
      <c r="J382" s="15" t="n">
        <f aca="false">I382/H382</f>
        <v>1.00387919091161</v>
      </c>
      <c r="K382" s="16" t="n">
        <f aca="false">ROUND(I382*J382^($F$8-1),0)</f>
        <v>10859</v>
      </c>
      <c r="L382" s="16" t="n">
        <f aca="false">ROUND(I382*J382^($F$9-1),0)</f>
        <v>10867</v>
      </c>
      <c r="M382" s="17" t="n">
        <f aca="false">G382*$F$7</f>
        <v>1538443.76182474</v>
      </c>
      <c r="N382" s="18" t="n">
        <f aca="false">F382/K382</f>
        <v>37.7195874389907</v>
      </c>
      <c r="O382" s="18" t="n">
        <f aca="false">G382/L382</f>
        <v>146.963467378301</v>
      </c>
      <c r="P382" s="18" t="n">
        <f aca="false">M382/L382</f>
        <v>141.570236663729</v>
      </c>
      <c r="Q382" s="19" t="n">
        <f aca="false">IF(N382=0,"n.a.",P382/N382-1)</f>
        <v>2.75322866117533</v>
      </c>
    </row>
    <row r="383" customFormat="false" ht="15" hidden="false" customHeight="false" outlineLevel="0" collapsed="false">
      <c r="A383" s="12" t="s">
        <v>904</v>
      </c>
      <c r="B383" s="12" t="s">
        <v>835</v>
      </c>
      <c r="C383" s="12" t="s">
        <v>836</v>
      </c>
      <c r="D383" s="12" t="s">
        <v>226</v>
      </c>
      <c r="E383" s="12" t="s">
        <v>905</v>
      </c>
      <c r="F383" s="13" t="n">
        <v>128230409</v>
      </c>
      <c r="G383" s="13" t="n">
        <v>120517091</v>
      </c>
      <c r="H383" s="14" t="n">
        <v>163241</v>
      </c>
      <c r="I383" s="14" t="n">
        <v>170106</v>
      </c>
      <c r="J383" s="15" t="n">
        <f aca="false">I383/H383</f>
        <v>1.04205438584669</v>
      </c>
      <c r="K383" s="16" t="n">
        <f aca="false">ROUND(I383*J383^($F$8-1),0)</f>
        <v>168496</v>
      </c>
      <c r="L383" s="16" t="n">
        <f aca="false">ROUND(I383*J383^($F$9-1),0)</f>
        <v>169742</v>
      </c>
      <c r="M383" s="17" t="n">
        <f aca="false">G383*$F$7</f>
        <v>116094383.177389</v>
      </c>
      <c r="N383" s="18" t="n">
        <f aca="false">F383/K383</f>
        <v>761.029395356566</v>
      </c>
      <c r="O383" s="18" t="n">
        <f aca="false">G383/L383</f>
        <v>710.001596540632</v>
      </c>
      <c r="P383" s="18" t="n">
        <f aca="false">M383/L383</f>
        <v>683.946125162827</v>
      </c>
      <c r="Q383" s="19" t="n">
        <f aca="false">IF(N383=0,"n.a.",P383/N383-1)</f>
        <v>-0.101288163984288</v>
      </c>
    </row>
    <row r="384" customFormat="false" ht="15" hidden="false" customHeight="false" outlineLevel="0" collapsed="false">
      <c r="A384" s="12" t="s">
        <v>906</v>
      </c>
      <c r="B384" s="12" t="s">
        <v>835</v>
      </c>
      <c r="C384" s="12" t="s">
        <v>836</v>
      </c>
      <c r="D384" s="12" t="s">
        <v>229</v>
      </c>
      <c r="E384" s="12" t="s">
        <v>907</v>
      </c>
      <c r="F384" s="13" t="n">
        <v>8732178</v>
      </c>
      <c r="G384" s="13" t="n">
        <v>7712255</v>
      </c>
      <c r="H384" s="14" t="n">
        <v>46750</v>
      </c>
      <c r="I384" s="14" t="n">
        <v>47505</v>
      </c>
      <c r="J384" s="15" t="n">
        <f aca="false">I384/H384</f>
        <v>1.01614973262032</v>
      </c>
      <c r="K384" s="16" t="n">
        <f aca="false">ROUND(I384*J384^($F$8-1),0)</f>
        <v>47330</v>
      </c>
      <c r="L384" s="16" t="n">
        <f aca="false">ROUND(I384*J384^($F$9-1),0)</f>
        <v>47465</v>
      </c>
      <c r="M384" s="17" t="n">
        <f aca="false">G384*$F$7</f>
        <v>7429232.48231847</v>
      </c>
      <c r="N384" s="18" t="n">
        <f aca="false">F384/K384</f>
        <v>184.495626452567</v>
      </c>
      <c r="O384" s="18" t="n">
        <f aca="false">G384/L384</f>
        <v>162.482987464448</v>
      </c>
      <c r="P384" s="18" t="n">
        <f aca="false">M384/L384</f>
        <v>156.520225056747</v>
      </c>
      <c r="Q384" s="19" t="n">
        <f aca="false">IF(N384=0,"n.a.",P384/N384-1)</f>
        <v>-0.151631786258158</v>
      </c>
    </row>
    <row r="385" customFormat="false" ht="15" hidden="false" customHeight="false" outlineLevel="0" collapsed="false">
      <c r="A385" s="12" t="s">
        <v>908</v>
      </c>
      <c r="B385" s="12" t="s">
        <v>835</v>
      </c>
      <c r="C385" s="12" t="s">
        <v>836</v>
      </c>
      <c r="D385" s="12" t="s">
        <v>232</v>
      </c>
      <c r="E385" s="12" t="s">
        <v>909</v>
      </c>
      <c r="F385" s="13" t="n">
        <v>1583575719</v>
      </c>
      <c r="G385" s="13" t="n">
        <v>1730061598</v>
      </c>
      <c r="H385" s="14" t="n">
        <v>284688</v>
      </c>
      <c r="I385" s="14" t="n">
        <v>320888</v>
      </c>
      <c r="J385" s="15" t="n">
        <f aca="false">I385/H385</f>
        <v>1.12715674703535</v>
      </c>
      <c r="K385" s="16" t="n">
        <f aca="false">ROUND(I385*J385^($F$8-1),0)</f>
        <v>312141</v>
      </c>
      <c r="L385" s="16" t="n">
        <f aca="false">ROUND(I385*J385^($F$9-1),0)</f>
        <v>318898</v>
      </c>
      <c r="M385" s="17" t="n">
        <f aca="false">G385*$F$7</f>
        <v>1666572204.92235</v>
      </c>
      <c r="N385" s="18" t="n">
        <f aca="false">F385/K385</f>
        <v>5073.27047392044</v>
      </c>
      <c r="O385" s="18" t="n">
        <f aca="false">G385/L385</f>
        <v>5425.12526889476</v>
      </c>
      <c r="P385" s="18" t="n">
        <f aca="false">M385/L385</f>
        <v>5226.0352994448</v>
      </c>
      <c r="Q385" s="19" t="n">
        <f aca="false">IF(N385=0,"n.a.",P385/N385-1)</f>
        <v>0.0301117053209881</v>
      </c>
    </row>
    <row r="386" customFormat="false" ht="15" hidden="false" customHeight="false" outlineLevel="0" collapsed="false">
      <c r="A386" s="12" t="s">
        <v>910</v>
      </c>
      <c r="B386" s="12" t="s">
        <v>835</v>
      </c>
      <c r="C386" s="12" t="s">
        <v>836</v>
      </c>
      <c r="D386" s="12" t="s">
        <v>235</v>
      </c>
      <c r="E386" s="12" t="s">
        <v>911</v>
      </c>
      <c r="F386" s="13" t="n">
        <v>2580421</v>
      </c>
      <c r="G386" s="13" t="n">
        <v>3831723</v>
      </c>
      <c r="H386" s="14" t="n">
        <v>11916</v>
      </c>
      <c r="I386" s="14" t="n">
        <v>12933</v>
      </c>
      <c r="J386" s="15" t="n">
        <f aca="false">I386/H386</f>
        <v>1.08534743202417</v>
      </c>
      <c r="K386" s="16" t="n">
        <f aca="false">ROUND(I386*J386^($F$8-1),0)</f>
        <v>12691</v>
      </c>
      <c r="L386" s="16" t="n">
        <f aca="false">ROUND(I386*J386^($F$9-1),0)</f>
        <v>12878</v>
      </c>
      <c r="M386" s="17" t="n">
        <f aca="false">G386*$F$7</f>
        <v>3691107.33175275</v>
      </c>
      <c r="N386" s="18" t="n">
        <f aca="false">F386/K386</f>
        <v>203.326845796234</v>
      </c>
      <c r="O386" s="18" t="n">
        <f aca="false">G386/L386</f>
        <v>297.540223637211</v>
      </c>
      <c r="P386" s="18" t="n">
        <f aca="false">M386/L386</f>
        <v>286.621162583689</v>
      </c>
      <c r="Q386" s="19" t="n">
        <f aca="false">IF(N386=0,"n.a.",P386/N386-1)</f>
        <v>0.40965725141347</v>
      </c>
    </row>
    <row r="387" customFormat="false" ht="15" hidden="false" customHeight="false" outlineLevel="0" collapsed="false">
      <c r="A387" s="12" t="s">
        <v>912</v>
      </c>
      <c r="B387" s="12" t="s">
        <v>835</v>
      </c>
      <c r="C387" s="12" t="s">
        <v>836</v>
      </c>
      <c r="D387" s="12" t="s">
        <v>317</v>
      </c>
      <c r="E387" s="12" t="s">
        <v>913</v>
      </c>
      <c r="F387" s="13" t="n">
        <v>139078381</v>
      </c>
      <c r="G387" s="13" t="n">
        <v>139249442</v>
      </c>
      <c r="H387" s="14" t="n">
        <v>541808</v>
      </c>
      <c r="I387" s="14" t="n">
        <v>552960</v>
      </c>
      <c r="J387" s="15" t="n">
        <f aca="false">I387/H387</f>
        <v>1.02058293712902</v>
      </c>
      <c r="K387" s="16" t="n">
        <f aca="false">ROUND(I387*J387^($F$8-1),0)</f>
        <v>550365</v>
      </c>
      <c r="L387" s="16" t="n">
        <f aca="false">ROUND(I387*J387^($F$9-1),0)</f>
        <v>552375</v>
      </c>
      <c r="M387" s="17" t="n">
        <f aca="false">G387*$F$7</f>
        <v>134139298.772035</v>
      </c>
      <c r="N387" s="18" t="n">
        <f aca="false">F387/K387</f>
        <v>252.702081346016</v>
      </c>
      <c r="O387" s="18" t="n">
        <f aca="false">G387/L387</f>
        <v>252.092223579995</v>
      </c>
      <c r="P387" s="18" t="n">
        <f aca="false">M387/L387</f>
        <v>242.841002529143</v>
      </c>
      <c r="Q387" s="19" t="n">
        <f aca="false">IF(N387=0,"n.a.",P387/N387-1)</f>
        <v>-0.0390225468834614</v>
      </c>
    </row>
    <row r="388" customFormat="false" ht="15" hidden="false" customHeight="false" outlineLevel="0" collapsed="false">
      <c r="A388" s="12" t="s">
        <v>914</v>
      </c>
      <c r="B388" s="12" t="s">
        <v>835</v>
      </c>
      <c r="C388" s="12" t="s">
        <v>836</v>
      </c>
      <c r="D388" s="12" t="s">
        <v>320</v>
      </c>
      <c r="E388" s="12" t="s">
        <v>915</v>
      </c>
      <c r="F388" s="13" t="n">
        <v>30697086</v>
      </c>
      <c r="G388" s="13" t="n">
        <v>39882411</v>
      </c>
      <c r="H388" s="14" t="n">
        <v>36871</v>
      </c>
      <c r="I388" s="14" t="n">
        <v>34618</v>
      </c>
      <c r="J388" s="15" t="n">
        <f aca="false">I388/H388</f>
        <v>0.938895066583494</v>
      </c>
      <c r="K388" s="16" t="n">
        <f aca="false">ROUND(I388*J388^($F$8-1),0)</f>
        <v>35126</v>
      </c>
      <c r="L388" s="16" t="n">
        <f aca="false">ROUND(I388*J388^($F$9-1),0)</f>
        <v>34732</v>
      </c>
      <c r="M388" s="17" t="n">
        <f aca="false">G388*$F$7</f>
        <v>38418815.6738043</v>
      </c>
      <c r="N388" s="18" t="n">
        <f aca="false">F388/K388</f>
        <v>873.913511359107</v>
      </c>
      <c r="O388" s="18" t="n">
        <f aca="false">G388/L388</f>
        <v>1148.29007831395</v>
      </c>
      <c r="P388" s="18" t="n">
        <f aca="false">M388/L388</f>
        <v>1106.15039945308</v>
      </c>
      <c r="Q388" s="19" t="n">
        <f aca="false">IF(N388=0,"n.a.",P388/N388-1)</f>
        <v>0.265743560518702</v>
      </c>
    </row>
    <row r="389" customFormat="false" ht="15" hidden="false" customHeight="false" outlineLevel="0" collapsed="false">
      <c r="A389" s="12" t="s">
        <v>916</v>
      </c>
      <c r="B389" s="12" t="s">
        <v>835</v>
      </c>
      <c r="C389" s="12" t="s">
        <v>836</v>
      </c>
      <c r="D389" s="12" t="s">
        <v>323</v>
      </c>
      <c r="E389" s="12" t="s">
        <v>917</v>
      </c>
      <c r="F389" s="13" t="n">
        <v>1007695</v>
      </c>
      <c r="G389" s="13" t="n">
        <v>1213920</v>
      </c>
      <c r="H389" s="14" t="n">
        <v>6474</v>
      </c>
      <c r="I389" s="14" t="n">
        <v>7388</v>
      </c>
      <c r="J389" s="15" t="n">
        <f aca="false">I389/H389</f>
        <v>1.14118010503553</v>
      </c>
      <c r="K389" s="16" t="n">
        <f aca="false">ROUND(I389*J389^($F$8-1),0)</f>
        <v>7166</v>
      </c>
      <c r="L389" s="16" t="n">
        <f aca="false">ROUND(I389*J389^($F$9-1),0)</f>
        <v>7337</v>
      </c>
      <c r="M389" s="17" t="n">
        <f aca="false">G389*$F$7</f>
        <v>1169371.84972956</v>
      </c>
      <c r="N389" s="18" t="n">
        <f aca="false">F389/K389</f>
        <v>140.621685738208</v>
      </c>
      <c r="O389" s="18" t="n">
        <f aca="false">G389/L389</f>
        <v>165.451819544773</v>
      </c>
      <c r="P389" s="18" t="n">
        <f aca="false">M389/L389</f>
        <v>159.380107636576</v>
      </c>
      <c r="Q389" s="19" t="n">
        <f aca="false">IF(N389=0,"n.a.",P389/N389-1)</f>
        <v>0.13339636628514</v>
      </c>
    </row>
    <row r="390" customFormat="false" ht="15" hidden="false" customHeight="false" outlineLevel="0" collapsed="false">
      <c r="A390" s="12" t="s">
        <v>918</v>
      </c>
      <c r="B390" s="12" t="s">
        <v>835</v>
      </c>
      <c r="C390" s="12" t="s">
        <v>836</v>
      </c>
      <c r="D390" s="12" t="s">
        <v>326</v>
      </c>
      <c r="E390" s="12" t="s">
        <v>919</v>
      </c>
      <c r="F390" s="13" t="n">
        <v>29997236</v>
      </c>
      <c r="G390" s="13" t="n">
        <v>34348935</v>
      </c>
      <c r="H390" s="14" t="n">
        <v>159713</v>
      </c>
      <c r="I390" s="14" t="n">
        <v>179674</v>
      </c>
      <c r="J390" s="15" t="n">
        <f aca="false">I390/H390</f>
        <v>1.12498043365286</v>
      </c>
      <c r="K390" s="16" t="n">
        <f aca="false">ROUND(I390*J390^($F$8-1),0)</f>
        <v>174854</v>
      </c>
      <c r="L390" s="16" t="n">
        <f aca="false">ROUND(I390*J390^($F$9-1),0)</f>
        <v>178578</v>
      </c>
      <c r="M390" s="17" t="n">
        <f aca="false">G390*$F$7</f>
        <v>33088405.8728667</v>
      </c>
      <c r="N390" s="18" t="n">
        <f aca="false">F390/K390</f>
        <v>171.555903782584</v>
      </c>
      <c r="O390" s="18" t="n">
        <f aca="false">G390/L390</f>
        <v>192.346957631959</v>
      </c>
      <c r="P390" s="18" t="n">
        <f aca="false">M390/L390</f>
        <v>185.288254280296</v>
      </c>
      <c r="Q390" s="19" t="n">
        <f aca="false">IF(N390=0,"n.a.",P390/N390-1)</f>
        <v>0.0800459220285135</v>
      </c>
    </row>
    <row r="391" customFormat="false" ht="15" hidden="false" customHeight="false" outlineLevel="0" collapsed="false">
      <c r="A391" s="12" t="s">
        <v>920</v>
      </c>
      <c r="B391" s="12" t="s">
        <v>835</v>
      </c>
      <c r="C391" s="12" t="s">
        <v>836</v>
      </c>
      <c r="D391" s="12" t="s">
        <v>600</v>
      </c>
      <c r="E391" s="12" t="s">
        <v>921</v>
      </c>
      <c r="F391" s="13" t="n">
        <v>3363137</v>
      </c>
      <c r="G391" s="13" t="n">
        <v>6439598</v>
      </c>
      <c r="H391" s="14" t="n">
        <v>30680</v>
      </c>
      <c r="I391" s="14" t="n">
        <v>32091</v>
      </c>
      <c r="J391" s="15" t="n">
        <f aca="false">I391/H391</f>
        <v>1.04599087353325</v>
      </c>
      <c r="K391" s="16" t="n">
        <f aca="false">ROUND(I391*J391^($F$8-1),0)</f>
        <v>31760</v>
      </c>
      <c r="L391" s="16" t="n">
        <f aca="false">ROUND(I391*J391^($F$9-1),0)</f>
        <v>32016</v>
      </c>
      <c r="M391" s="17" t="n">
        <f aca="false">G391*$F$7</f>
        <v>6203279.1491818</v>
      </c>
      <c r="N391" s="18" t="n">
        <f aca="false">F391/K391</f>
        <v>105.892222921914</v>
      </c>
      <c r="O391" s="18" t="n">
        <f aca="false">G391/L391</f>
        <v>201.136869065467</v>
      </c>
      <c r="P391" s="18" t="n">
        <f aca="false">M391/L391</f>
        <v>193.755595614124</v>
      </c>
      <c r="Q391" s="19" t="n">
        <f aca="false">IF(N391=0,"n.a.",P391/N391-1)</f>
        <v>0.829743396330445</v>
      </c>
    </row>
    <row r="392" customFormat="false" ht="15" hidden="false" customHeight="false" outlineLevel="0" collapsed="false">
      <c r="A392" s="12" t="s">
        <v>922</v>
      </c>
      <c r="B392" s="12" t="s">
        <v>835</v>
      </c>
      <c r="C392" s="12" t="s">
        <v>836</v>
      </c>
      <c r="D392" s="12" t="s">
        <v>329</v>
      </c>
      <c r="E392" s="12" t="s">
        <v>923</v>
      </c>
      <c r="F392" s="13" t="n">
        <v>8117046</v>
      </c>
      <c r="G392" s="13" t="n">
        <v>10829278</v>
      </c>
      <c r="H392" s="14" t="n">
        <v>28216</v>
      </c>
      <c r="I392" s="14" t="n">
        <v>25586</v>
      </c>
      <c r="J392" s="15" t="n">
        <f aca="false">I392/H392</f>
        <v>0.906790473490218</v>
      </c>
      <c r="K392" s="16" t="n">
        <f aca="false">ROUND(I392*J392^($F$8-1),0)</f>
        <v>26171</v>
      </c>
      <c r="L392" s="16" t="n">
        <f aca="false">ROUND(I392*J392^($F$9-1),0)</f>
        <v>25716</v>
      </c>
      <c r="M392" s="17" t="n">
        <f aca="false">G392*$F$7</f>
        <v>10431867.7063527</v>
      </c>
      <c r="N392" s="18" t="n">
        <f aca="false">F392/K392</f>
        <v>310.154216499178</v>
      </c>
      <c r="O392" s="18" t="n">
        <f aca="false">G392/L392</f>
        <v>421.110514854565</v>
      </c>
      <c r="P392" s="18" t="n">
        <f aca="false">M392/L392</f>
        <v>405.656700355913</v>
      </c>
      <c r="Q392" s="19" t="n">
        <f aca="false">IF(N392=0,"n.a.",P392/N392-1)</f>
        <v>0.307919347138676</v>
      </c>
    </row>
    <row r="393" customFormat="false" ht="15" hidden="false" customHeight="false" outlineLevel="0" collapsed="false">
      <c r="A393" s="12" t="s">
        <v>924</v>
      </c>
      <c r="B393" s="12" t="s">
        <v>835</v>
      </c>
      <c r="C393" s="12" t="s">
        <v>836</v>
      </c>
      <c r="D393" s="12" t="s">
        <v>332</v>
      </c>
      <c r="E393" s="12" t="s">
        <v>925</v>
      </c>
      <c r="F393" s="13" t="n">
        <v>70158866</v>
      </c>
      <c r="G393" s="13" t="n">
        <v>81590243</v>
      </c>
      <c r="H393" s="14" t="n">
        <v>87262</v>
      </c>
      <c r="I393" s="14" t="n">
        <v>98799</v>
      </c>
      <c r="J393" s="15" t="n">
        <f aca="false">I393/H393</f>
        <v>1.13221104260732</v>
      </c>
      <c r="K393" s="16" t="n">
        <f aca="false">ROUND(I393*J393^($F$8-1),0)</f>
        <v>96007</v>
      </c>
      <c r="L393" s="16" t="n">
        <f aca="false">ROUND(I393*J393^($F$9-1),0)</f>
        <v>98164</v>
      </c>
      <c r="M393" s="17" t="n">
        <f aca="false">G393*$F$7</f>
        <v>78596063.4776544</v>
      </c>
      <c r="N393" s="18" t="n">
        <f aca="false">F393/K393</f>
        <v>730.768235649484</v>
      </c>
      <c r="O393" s="18" t="n">
        <f aca="false">G393/L393</f>
        <v>831.162574874699</v>
      </c>
      <c r="P393" s="18" t="n">
        <f aca="false">M393/L393</f>
        <v>800.660766448539</v>
      </c>
      <c r="Q393" s="19" t="n">
        <f aca="false">IF(N393=0,"n.a.",P393/N393-1)</f>
        <v>0.0956425408076704</v>
      </c>
    </row>
    <row r="394" customFormat="false" ht="15" hidden="false" customHeight="false" outlineLevel="0" collapsed="false">
      <c r="A394" s="12" t="s">
        <v>926</v>
      </c>
      <c r="B394" s="12" t="s">
        <v>835</v>
      </c>
      <c r="C394" s="12" t="s">
        <v>836</v>
      </c>
      <c r="D394" s="12" t="s">
        <v>335</v>
      </c>
      <c r="E394" s="12" t="s">
        <v>927</v>
      </c>
      <c r="F394" s="13" t="n">
        <v>24726713</v>
      </c>
      <c r="G394" s="13" t="n">
        <v>27382802</v>
      </c>
      <c r="H394" s="14" t="n">
        <v>19871</v>
      </c>
      <c r="I394" s="14" t="n">
        <v>22369</v>
      </c>
      <c r="J394" s="15" t="n">
        <f aca="false">I394/H394</f>
        <v>1.12571083488501</v>
      </c>
      <c r="K394" s="16" t="n">
        <f aca="false">ROUND(I394*J394^($F$8-1),0)</f>
        <v>21766</v>
      </c>
      <c r="L394" s="16" t="n">
        <f aca="false">ROUND(I394*J394^($F$9-1),0)</f>
        <v>22232</v>
      </c>
      <c r="M394" s="17" t="n">
        <f aca="false">G394*$F$7</f>
        <v>26377914.381111</v>
      </c>
      <c r="N394" s="18" t="n">
        <f aca="false">F394/K394</f>
        <v>1136.02467150602</v>
      </c>
      <c r="O394" s="18" t="n">
        <f aca="false">G394/L394</f>
        <v>1231.68414897445</v>
      </c>
      <c r="P394" s="18" t="n">
        <f aca="false">M394/L394</f>
        <v>1186.48409414857</v>
      </c>
      <c r="Q394" s="19" t="n">
        <f aca="false">IF(N394=0,"n.a.",P394/N394-1)</f>
        <v>0.0444175411927079</v>
      </c>
    </row>
    <row r="395" customFormat="false" ht="15" hidden="false" customHeight="false" outlineLevel="0" collapsed="false">
      <c r="A395" s="12" t="s">
        <v>928</v>
      </c>
      <c r="B395" s="12" t="s">
        <v>835</v>
      </c>
      <c r="C395" s="12" t="s">
        <v>836</v>
      </c>
      <c r="D395" s="12" t="s">
        <v>607</v>
      </c>
      <c r="E395" s="12" t="s">
        <v>929</v>
      </c>
      <c r="F395" s="13" t="n">
        <v>15682214</v>
      </c>
      <c r="G395" s="13" t="n">
        <v>10541098</v>
      </c>
      <c r="H395" s="14" t="n">
        <v>76825</v>
      </c>
      <c r="I395" s="14" t="n">
        <v>76868</v>
      </c>
      <c r="J395" s="15" t="n">
        <f aca="false">I395/H395</f>
        <v>1.00055971363488</v>
      </c>
      <c r="K395" s="16" t="n">
        <f aca="false">ROUND(I395*J395^($F$8-1),0)</f>
        <v>76858</v>
      </c>
      <c r="L395" s="16" t="n">
        <f aca="false">ROUND(I395*J395^($F$9-1),0)</f>
        <v>76866</v>
      </c>
      <c r="M395" s="17" t="n">
        <f aca="false">G395*$F$7</f>
        <v>10154263.2681236</v>
      </c>
      <c r="N395" s="18" t="n">
        <f aca="false">F395/K395</f>
        <v>204.041401025267</v>
      </c>
      <c r="O395" s="18" t="n">
        <f aca="false">G395/L395</f>
        <v>137.136028933469</v>
      </c>
      <c r="P395" s="18" t="n">
        <f aca="false">M395/L395</f>
        <v>132.103443240491</v>
      </c>
      <c r="Q395" s="19" t="n">
        <f aca="false">IF(N395=0,"n.a.",P395/N395-1)</f>
        <v>-0.352565496136091</v>
      </c>
    </row>
    <row r="396" customFormat="false" ht="15" hidden="false" customHeight="false" outlineLevel="0" collapsed="false">
      <c r="A396" s="12" t="s">
        <v>930</v>
      </c>
      <c r="B396" s="12" t="s">
        <v>835</v>
      </c>
      <c r="C396" s="12" t="s">
        <v>836</v>
      </c>
      <c r="D396" s="12" t="s">
        <v>338</v>
      </c>
      <c r="E396" s="12" t="s">
        <v>931</v>
      </c>
      <c r="F396" s="13" t="n">
        <v>17097536</v>
      </c>
      <c r="G396" s="13" t="n">
        <v>17123030</v>
      </c>
      <c r="H396" s="14" t="n">
        <v>69226</v>
      </c>
      <c r="I396" s="14" t="n">
        <v>71782</v>
      </c>
      <c r="J396" s="15" t="n">
        <f aca="false">I396/H396</f>
        <v>1.036922543553</v>
      </c>
      <c r="K396" s="16" t="n">
        <f aca="false">ROUND(I396*J396^($F$8-1),0)</f>
        <v>71184</v>
      </c>
      <c r="L396" s="16" t="n">
        <f aca="false">ROUND(I396*J396^($F$9-1),0)</f>
        <v>71647</v>
      </c>
      <c r="M396" s="17" t="n">
        <f aca="false">G396*$F$7</f>
        <v>16494653.0776944</v>
      </c>
      <c r="N396" s="18" t="n">
        <f aca="false">F396/K396</f>
        <v>240.18790739492</v>
      </c>
      <c r="O396" s="18" t="n">
        <f aca="false">G396/L396</f>
        <v>238.991583736932</v>
      </c>
      <c r="P396" s="18" t="n">
        <f aca="false">M396/L396</f>
        <v>230.221126881717</v>
      </c>
      <c r="Q396" s="19" t="n">
        <f aca="false">IF(N396=0,"n.a.",P396/N396-1)</f>
        <v>-0.0414957631352189</v>
      </c>
    </row>
    <row r="397" customFormat="false" ht="15" hidden="false" customHeight="false" outlineLevel="0" collapsed="false">
      <c r="A397" s="12" t="s">
        <v>932</v>
      </c>
      <c r="B397" s="12" t="s">
        <v>835</v>
      </c>
      <c r="C397" s="12" t="s">
        <v>836</v>
      </c>
      <c r="D397" s="12" t="s">
        <v>612</v>
      </c>
      <c r="E397" s="12" t="s">
        <v>933</v>
      </c>
      <c r="F397" s="13" t="n">
        <v>2885856</v>
      </c>
      <c r="G397" s="13" t="n">
        <v>2760627</v>
      </c>
      <c r="H397" s="14" t="n">
        <v>15427</v>
      </c>
      <c r="I397" s="14" t="n">
        <v>16298</v>
      </c>
      <c r="J397" s="15" t="n">
        <f aca="false">I397/H397</f>
        <v>1.05645945420367</v>
      </c>
      <c r="K397" s="16" t="n">
        <f aca="false">ROUND(I397*J397^($F$8-1),0)</f>
        <v>16093</v>
      </c>
      <c r="L397" s="16" t="n">
        <f aca="false">ROUND(I397*J397^($F$9-1),0)</f>
        <v>16252</v>
      </c>
      <c r="M397" s="17" t="n">
        <f aca="false">G397*$F$7</f>
        <v>2659318.16050758</v>
      </c>
      <c r="N397" s="18" t="n">
        <f aca="false">F397/K397</f>
        <v>179.323681103585</v>
      </c>
      <c r="O397" s="18" t="n">
        <f aca="false">G397/L397</f>
        <v>169.863832143736</v>
      </c>
      <c r="P397" s="18" t="n">
        <f aca="false">M397/L397</f>
        <v>163.630209236253</v>
      </c>
      <c r="Q397" s="19" t="n">
        <f aca="false">IF(N397=0,"n.a.",P397/N397-1)</f>
        <v>-0.0875147764687436</v>
      </c>
    </row>
    <row r="398" customFormat="false" ht="15" hidden="false" customHeight="false" outlineLevel="0" collapsed="false">
      <c r="A398" s="12" t="s">
        <v>934</v>
      </c>
      <c r="B398" s="12" t="s">
        <v>835</v>
      </c>
      <c r="C398" s="12" t="s">
        <v>836</v>
      </c>
      <c r="D398" s="12" t="s">
        <v>340</v>
      </c>
      <c r="E398" s="12" t="s">
        <v>935</v>
      </c>
      <c r="F398" s="13" t="n">
        <v>4701586</v>
      </c>
      <c r="G398" s="13" t="n">
        <v>5269533</v>
      </c>
      <c r="H398" s="14" t="n">
        <v>27101</v>
      </c>
      <c r="I398" s="14" t="n">
        <v>28533</v>
      </c>
      <c r="J398" s="15" t="n">
        <f aca="false">I398/H398</f>
        <v>1.05283937862072</v>
      </c>
      <c r="K398" s="16" t="n">
        <f aca="false">ROUND(I398*J398^($F$8-1),0)</f>
        <v>28196</v>
      </c>
      <c r="L398" s="16" t="n">
        <f aca="false">ROUND(I398*J398^($F$9-1),0)</f>
        <v>28457</v>
      </c>
      <c r="M398" s="17" t="n">
        <f aca="false">G398*$F$7</f>
        <v>5076152.9189905</v>
      </c>
      <c r="N398" s="18" t="n">
        <f aca="false">F398/K398</f>
        <v>166.746559795716</v>
      </c>
      <c r="O398" s="18" t="n">
        <f aca="false">G398/L398</f>
        <v>185.175282004428</v>
      </c>
      <c r="P398" s="18" t="n">
        <f aca="false">M398/L398</f>
        <v>178.379763115947</v>
      </c>
      <c r="Q398" s="19" t="n">
        <f aca="false">IF(N398=0,"n.a.",P398/N398-1)</f>
        <v>0.0697657770839972</v>
      </c>
    </row>
    <row r="399" customFormat="false" ht="15" hidden="false" customHeight="false" outlineLevel="0" collapsed="false">
      <c r="A399" s="12" t="s">
        <v>936</v>
      </c>
      <c r="B399" s="12" t="s">
        <v>835</v>
      </c>
      <c r="C399" s="12" t="s">
        <v>836</v>
      </c>
      <c r="D399" s="12" t="s">
        <v>343</v>
      </c>
      <c r="E399" s="12" t="s">
        <v>937</v>
      </c>
      <c r="F399" s="13" t="n">
        <v>293234878</v>
      </c>
      <c r="G399" s="13" t="n">
        <v>333096585</v>
      </c>
      <c r="H399" s="14" t="n">
        <v>169970</v>
      </c>
      <c r="I399" s="14" t="n">
        <v>194299</v>
      </c>
      <c r="J399" s="15" t="n">
        <f aca="false">I399/H399</f>
        <v>1.14313702418074</v>
      </c>
      <c r="K399" s="16" t="n">
        <f aca="false">ROUND(I399*J399^($F$8-1),0)</f>
        <v>188390</v>
      </c>
      <c r="L399" s="16" t="n">
        <f aca="false">ROUND(I399*J399^($F$9-1),0)</f>
        <v>192953</v>
      </c>
      <c r="M399" s="17" t="n">
        <f aca="false">G399*$F$7</f>
        <v>320872684.971044</v>
      </c>
      <c r="N399" s="18" t="n">
        <f aca="false">F399/K399</f>
        <v>1556.53101544668</v>
      </c>
      <c r="O399" s="18" t="n">
        <f aca="false">G399/L399</f>
        <v>1726.30943804968</v>
      </c>
      <c r="P399" s="18" t="n">
        <f aca="false">M399/L399</f>
        <v>1662.95774085422</v>
      </c>
      <c r="Q399" s="19" t="n">
        <f aca="false">IF(N399=0,"n.a.",P399/N399-1)</f>
        <v>0.0683743043674561</v>
      </c>
    </row>
    <row r="400" customFormat="false" ht="15" hidden="false" customHeight="false" outlineLevel="0" collapsed="false">
      <c r="A400" s="12" t="s">
        <v>938</v>
      </c>
      <c r="B400" s="12" t="s">
        <v>835</v>
      </c>
      <c r="C400" s="12" t="s">
        <v>836</v>
      </c>
      <c r="D400" s="12" t="s">
        <v>346</v>
      </c>
      <c r="E400" s="12" t="s">
        <v>939</v>
      </c>
      <c r="F400" s="13" t="n">
        <v>23986166</v>
      </c>
      <c r="G400" s="13" t="n">
        <v>40139270</v>
      </c>
      <c r="H400" s="14" t="n">
        <v>28083</v>
      </c>
      <c r="I400" s="14" t="n">
        <v>32378</v>
      </c>
      <c r="J400" s="15" t="n">
        <f aca="false">I400/H400</f>
        <v>1.15293950076559</v>
      </c>
      <c r="K400" s="16" t="n">
        <f aca="false">ROUND(I400*J400^($F$8-1),0)</f>
        <v>31331</v>
      </c>
      <c r="L400" s="16" t="n">
        <f aca="false">ROUND(I400*J400^($F$9-1),0)</f>
        <v>32139</v>
      </c>
      <c r="M400" s="17" t="n">
        <f aca="false">G400*$F$7</f>
        <v>38666248.522715</v>
      </c>
      <c r="N400" s="18" t="n">
        <f aca="false">F400/K400</f>
        <v>765.572946921579</v>
      </c>
      <c r="O400" s="18" t="n">
        <f aca="false">G400/L400</f>
        <v>1248.92716014811</v>
      </c>
      <c r="P400" s="18" t="n">
        <f aca="false">M400/L400</f>
        <v>1203.09432535907</v>
      </c>
      <c r="Q400" s="19" t="n">
        <f aca="false">IF(N400=0,"n.a.",P400/N400-1)</f>
        <v>0.571495348936753</v>
      </c>
    </row>
    <row r="401" customFormat="false" ht="15" hidden="false" customHeight="false" outlineLevel="0" collapsed="false">
      <c r="A401" s="12" t="s">
        <v>940</v>
      </c>
      <c r="B401" s="12" t="s">
        <v>835</v>
      </c>
      <c r="C401" s="12" t="s">
        <v>836</v>
      </c>
      <c r="D401" s="12" t="s">
        <v>349</v>
      </c>
      <c r="E401" s="12" t="s">
        <v>941</v>
      </c>
      <c r="F401" s="13" t="n">
        <v>33012706</v>
      </c>
      <c r="G401" s="13" t="n">
        <v>34955214</v>
      </c>
      <c r="H401" s="14" t="n">
        <v>61214</v>
      </c>
      <c r="I401" s="14" t="n">
        <v>64541</v>
      </c>
      <c r="J401" s="15" t="n">
        <f aca="false">I401/H401</f>
        <v>1.05435031202013</v>
      </c>
      <c r="K401" s="16" t="n">
        <f aca="false">ROUND(I401*J401^($F$8-1),0)</f>
        <v>63757</v>
      </c>
      <c r="L401" s="16" t="n">
        <f aca="false">ROUND(I401*J401^($F$9-1),0)</f>
        <v>64364</v>
      </c>
      <c r="M401" s="17" t="n">
        <f aca="false">G401*$F$7</f>
        <v>33672435.7889091</v>
      </c>
      <c r="N401" s="18" t="n">
        <f aca="false">F401/K401</f>
        <v>517.789513308343</v>
      </c>
      <c r="O401" s="18" t="n">
        <f aca="false">G401/L401</f>
        <v>543.086414766018</v>
      </c>
      <c r="P401" s="18" t="n">
        <f aca="false">M401/L401</f>
        <v>523.156357418885</v>
      </c>
      <c r="Q401" s="19" t="n">
        <f aca="false">IF(N401=0,"n.a.",P401/N401-1)</f>
        <v>0.0103649146469809</v>
      </c>
    </row>
    <row r="402" customFormat="false" ht="15" hidden="false" customHeight="false" outlineLevel="0" collapsed="false">
      <c r="A402" s="12" t="s">
        <v>942</v>
      </c>
      <c r="B402" s="12" t="s">
        <v>835</v>
      </c>
      <c r="C402" s="12" t="s">
        <v>836</v>
      </c>
      <c r="D402" s="12" t="s">
        <v>352</v>
      </c>
      <c r="E402" s="12" t="s">
        <v>943</v>
      </c>
      <c r="F402" s="13" t="n">
        <v>608778597</v>
      </c>
      <c r="G402" s="13" t="n">
        <v>720754519</v>
      </c>
      <c r="H402" s="14" t="n">
        <v>242151</v>
      </c>
      <c r="I402" s="14" t="n">
        <v>266289</v>
      </c>
      <c r="J402" s="15" t="n">
        <f aca="false">I402/H402</f>
        <v>1.09968160362749</v>
      </c>
      <c r="K402" s="16" t="n">
        <f aca="false">ROUND(I402*J402^($F$8-1),0)</f>
        <v>260511</v>
      </c>
      <c r="L402" s="16" t="n">
        <f aca="false">ROUND(I402*J402^($F$9-1),0)</f>
        <v>264977</v>
      </c>
      <c r="M402" s="17" t="n">
        <f aca="false">G402*$F$7</f>
        <v>694304439.406195</v>
      </c>
      <c r="N402" s="18" t="n">
        <f aca="false">F402/K402</f>
        <v>2336.86330711563</v>
      </c>
      <c r="O402" s="18" t="n">
        <f aca="false">G402/L402</f>
        <v>2720.06445465078</v>
      </c>
      <c r="P402" s="18" t="n">
        <f aca="false">M402/L402</f>
        <v>2620.24416989473</v>
      </c>
      <c r="Q402" s="19" t="n">
        <f aca="false">IF(N402=0,"n.a.",P402/N402-1)</f>
        <v>0.121265485198136</v>
      </c>
    </row>
    <row r="403" customFormat="false" ht="15" hidden="false" customHeight="false" outlineLevel="0" collapsed="false">
      <c r="A403" s="12" t="s">
        <v>944</v>
      </c>
      <c r="B403" s="12" t="s">
        <v>835</v>
      </c>
      <c r="C403" s="12" t="s">
        <v>836</v>
      </c>
      <c r="D403" s="12" t="s">
        <v>355</v>
      </c>
      <c r="E403" s="12" t="s">
        <v>945</v>
      </c>
      <c r="F403" s="13" t="n">
        <v>10196852</v>
      </c>
      <c r="G403" s="13" t="n">
        <v>9027734</v>
      </c>
      <c r="H403" s="14" t="n">
        <v>13791</v>
      </c>
      <c r="I403" s="14" t="n">
        <v>13505</v>
      </c>
      <c r="J403" s="15" t="n">
        <f aca="false">I403/H403</f>
        <v>0.979261837430208</v>
      </c>
      <c r="K403" s="16" t="n">
        <f aca="false">ROUND(I403*J403^($F$8-1),0)</f>
        <v>13571</v>
      </c>
      <c r="L403" s="16" t="n">
        <f aca="false">ROUND(I403*J403^($F$9-1),0)</f>
        <v>13520</v>
      </c>
      <c r="M403" s="17" t="n">
        <f aca="false">G403*$F$7</f>
        <v>8696436.34378413</v>
      </c>
      <c r="N403" s="18" t="n">
        <f aca="false">F403/K403</f>
        <v>751.37071697001</v>
      </c>
      <c r="O403" s="18" t="n">
        <f aca="false">G403/L403</f>
        <v>667.731804733728</v>
      </c>
      <c r="P403" s="18" t="n">
        <f aca="false">M403/L403</f>
        <v>643.22754022072</v>
      </c>
      <c r="Q403" s="19" t="n">
        <f aca="false">IF(N403=0,"n.a.",P403/N403-1)</f>
        <v>-0.143927856525191</v>
      </c>
    </row>
    <row r="404" customFormat="false" ht="15" hidden="false" customHeight="false" outlineLevel="0" collapsed="false">
      <c r="A404" s="12" t="s">
        <v>946</v>
      </c>
      <c r="B404" s="12" t="s">
        <v>835</v>
      </c>
      <c r="C404" s="12" t="s">
        <v>836</v>
      </c>
      <c r="D404" s="12" t="s">
        <v>358</v>
      </c>
      <c r="E404" s="12" t="s">
        <v>179</v>
      </c>
      <c r="F404" s="13" t="n">
        <v>2852475</v>
      </c>
      <c r="G404" s="13" t="n">
        <v>3934599</v>
      </c>
      <c r="H404" s="14" t="n">
        <v>33164</v>
      </c>
      <c r="I404" s="14" t="n">
        <v>35365</v>
      </c>
      <c r="J404" s="15" t="n">
        <f aca="false">I404/H404</f>
        <v>1.06636714509709</v>
      </c>
      <c r="K404" s="16" t="n">
        <f aca="false">ROUND(I404*J404^($F$8-1),0)</f>
        <v>34844</v>
      </c>
      <c r="L404" s="16" t="n">
        <f aca="false">ROUND(I404*J404^($F$9-1),0)</f>
        <v>35247</v>
      </c>
      <c r="M404" s="17" t="n">
        <f aca="false">G404*$F$7</f>
        <v>3790208.01253301</v>
      </c>
      <c r="N404" s="18" t="n">
        <f aca="false">F404/K404</f>
        <v>81.8641659970153</v>
      </c>
      <c r="O404" s="18" t="n">
        <f aca="false">G404/L404</f>
        <v>111.629330155758</v>
      </c>
      <c r="P404" s="18" t="n">
        <f aca="false">M404/L404</f>
        <v>107.532783287457</v>
      </c>
      <c r="Q404" s="19" t="n">
        <f aca="false">IF(N404=0,"n.a.",P404/N404-1)</f>
        <v>0.313551319772537</v>
      </c>
    </row>
    <row r="405" customFormat="false" ht="15" hidden="false" customHeight="false" outlineLevel="0" collapsed="false">
      <c r="A405" s="12" t="s">
        <v>947</v>
      </c>
      <c r="B405" s="12" t="s">
        <v>835</v>
      </c>
      <c r="C405" s="12" t="s">
        <v>836</v>
      </c>
      <c r="D405" s="12" t="s">
        <v>361</v>
      </c>
      <c r="E405" s="12" t="s">
        <v>948</v>
      </c>
      <c r="F405" s="13" t="n">
        <v>1559989732</v>
      </c>
      <c r="G405" s="13" t="n">
        <v>1447512949</v>
      </c>
      <c r="H405" s="14" t="n">
        <v>833502</v>
      </c>
      <c r="I405" s="14" t="n">
        <v>839763</v>
      </c>
      <c r="J405" s="15" t="n">
        <f aca="false">I405/H405</f>
        <v>1.00751167963604</v>
      </c>
      <c r="K405" s="16" t="n">
        <f aca="false">ROUND(I405*J405^($F$8-1),0)</f>
        <v>838313</v>
      </c>
      <c r="L405" s="16" t="n">
        <f aca="false">ROUND(I405*J405^($F$9-1),0)</f>
        <v>839437</v>
      </c>
      <c r="M405" s="17" t="n">
        <f aca="false">G405*$F$7</f>
        <v>1394392459.70049</v>
      </c>
      <c r="N405" s="18" t="n">
        <f aca="false">F405/K405</f>
        <v>1860.86787631827</v>
      </c>
      <c r="O405" s="18" t="n">
        <f aca="false">G405/L405</f>
        <v>1724.38545000995</v>
      </c>
      <c r="P405" s="18" t="n">
        <f aca="false">M405/L405</f>
        <v>1661.10435887445</v>
      </c>
      <c r="Q405" s="19" t="n">
        <f aca="false">IF(N405=0,"n.a.",P405/N405-1)</f>
        <v>-0.107349651195579</v>
      </c>
    </row>
    <row r="406" customFormat="false" ht="15" hidden="false" customHeight="false" outlineLevel="0" collapsed="false">
      <c r="A406" s="12" t="s">
        <v>949</v>
      </c>
      <c r="B406" s="12" t="s">
        <v>835</v>
      </c>
      <c r="C406" s="12" t="s">
        <v>836</v>
      </c>
      <c r="D406" s="12" t="s">
        <v>364</v>
      </c>
      <c r="E406" s="12" t="s">
        <v>950</v>
      </c>
      <c r="F406" s="13" t="n">
        <v>891698904</v>
      </c>
      <c r="G406" s="13" t="n">
        <v>833522713</v>
      </c>
      <c r="H406" s="14" t="n">
        <v>1071824</v>
      </c>
      <c r="I406" s="14" t="n">
        <v>995405</v>
      </c>
      <c r="J406" s="15" t="n">
        <f aca="false">I406/H406</f>
        <v>0.928701913747033</v>
      </c>
      <c r="K406" s="16" t="n">
        <f aca="false">ROUND(I406*J406^($F$8-1),0)</f>
        <v>1012550</v>
      </c>
      <c r="L406" s="16" t="n">
        <f aca="false">ROUND(I406*J406^($F$9-1),0)</f>
        <v>999238</v>
      </c>
      <c r="M406" s="17" t="n">
        <f aca="false">G406*$F$7</f>
        <v>802934292.780752</v>
      </c>
      <c r="N406" s="18" t="n">
        <f aca="false">F406/K406</f>
        <v>880.646786825342</v>
      </c>
      <c r="O406" s="18" t="n">
        <f aca="false">G406/L406</f>
        <v>834.158341656342</v>
      </c>
      <c r="P406" s="18" t="n">
        <f aca="false">M406/L406</f>
        <v>803.54659528636</v>
      </c>
      <c r="Q406" s="19" t="n">
        <f aca="false">IF(N406=0,"n.a.",P406/N406-1)</f>
        <v>-0.0875495064450544</v>
      </c>
    </row>
    <row r="407" customFormat="false" ht="15" hidden="false" customHeight="false" outlineLevel="0" collapsed="false">
      <c r="A407" s="12" t="s">
        <v>951</v>
      </c>
      <c r="B407" s="12" t="s">
        <v>835</v>
      </c>
      <c r="C407" s="12" t="s">
        <v>836</v>
      </c>
      <c r="D407" s="12" t="s">
        <v>367</v>
      </c>
      <c r="E407" s="12" t="s">
        <v>952</v>
      </c>
      <c r="F407" s="13" t="n">
        <v>30325848</v>
      </c>
      <c r="G407" s="13" t="n">
        <v>46430834</v>
      </c>
      <c r="H407" s="14" t="n">
        <v>57082</v>
      </c>
      <c r="I407" s="14" t="n">
        <v>62878</v>
      </c>
      <c r="J407" s="15" t="n">
        <f aca="false">I407/H407</f>
        <v>1.10153813811709</v>
      </c>
      <c r="K407" s="16" t="n">
        <f aca="false">ROUND(I407*J407^($F$8-1),0)</f>
        <v>61490</v>
      </c>
      <c r="L407" s="16" t="n">
        <f aca="false">ROUND(I407*J407^($F$9-1),0)</f>
        <v>62563</v>
      </c>
      <c r="M407" s="17" t="n">
        <f aca="false">G407*$F$7</f>
        <v>44726926.1887654</v>
      </c>
      <c r="N407" s="18" t="n">
        <f aca="false">F407/K407</f>
        <v>493.1834119369</v>
      </c>
      <c r="O407" s="18" t="n">
        <f aca="false">G407/L407</f>
        <v>742.145261576331</v>
      </c>
      <c r="P407" s="18" t="n">
        <f aca="false">M407/L407</f>
        <v>714.910189549181</v>
      </c>
      <c r="Q407" s="19" t="n">
        <f aca="false">IF(N407=0,"n.a.",P407/N407-1)</f>
        <v>0.44958279667494</v>
      </c>
    </row>
    <row r="408" customFormat="false" ht="15" hidden="false" customHeight="false" outlineLevel="0" collapsed="false">
      <c r="A408" s="12" t="s">
        <v>953</v>
      </c>
      <c r="B408" s="12" t="s">
        <v>835</v>
      </c>
      <c r="C408" s="12" t="s">
        <v>836</v>
      </c>
      <c r="D408" s="12" t="s">
        <v>370</v>
      </c>
      <c r="E408" s="12" t="s">
        <v>954</v>
      </c>
      <c r="F408" s="13" t="n">
        <v>186018043</v>
      </c>
      <c r="G408" s="13" t="n">
        <v>219208230</v>
      </c>
      <c r="H408" s="14" t="n">
        <v>430296</v>
      </c>
      <c r="I408" s="14" t="n">
        <v>449118</v>
      </c>
      <c r="J408" s="15" t="n">
        <f aca="false">I408/H408</f>
        <v>1.04374198226337</v>
      </c>
      <c r="K408" s="16" t="n">
        <f aca="false">ROUND(I408*J408^($F$8-1),0)</f>
        <v>444701</v>
      </c>
      <c r="L408" s="16" t="n">
        <f aca="false">ROUND(I408*J408^($F$9-1),0)</f>
        <v>448120</v>
      </c>
      <c r="M408" s="17" t="n">
        <f aca="false">G408*$F$7</f>
        <v>211163778.001057</v>
      </c>
      <c r="N408" s="18" t="n">
        <f aca="false">F408/K408</f>
        <v>418.299133575144</v>
      </c>
      <c r="O408" s="18" t="n">
        <f aca="false">G408/L408</f>
        <v>489.173056324199</v>
      </c>
      <c r="P408" s="18" t="n">
        <f aca="false">M408/L408</f>
        <v>471.221498708062</v>
      </c>
      <c r="Q408" s="19" t="n">
        <f aca="false">IF(N408=0,"n.a.",P408/N408-1)</f>
        <v>0.126517988886561</v>
      </c>
    </row>
    <row r="409" customFormat="false" ht="15" hidden="false" customHeight="false" outlineLevel="0" collapsed="false">
      <c r="A409" s="12" t="s">
        <v>955</v>
      </c>
      <c r="B409" s="12" t="s">
        <v>835</v>
      </c>
      <c r="C409" s="12" t="s">
        <v>836</v>
      </c>
      <c r="D409" s="12" t="s">
        <v>373</v>
      </c>
      <c r="E409" s="12" t="s">
        <v>956</v>
      </c>
      <c r="F409" s="13" t="n">
        <v>4628825</v>
      </c>
      <c r="G409" s="13" t="n">
        <v>5044244</v>
      </c>
      <c r="H409" s="14" t="n">
        <v>10351</v>
      </c>
      <c r="I409" s="14" t="n">
        <v>11108</v>
      </c>
      <c r="J409" s="15" t="n">
        <f aca="false">I409/H409</f>
        <v>1.07313303062506</v>
      </c>
      <c r="K409" s="16" t="n">
        <f aca="false">ROUND(I409*J409^($F$8-1),0)</f>
        <v>10928</v>
      </c>
      <c r="L409" s="16" t="n">
        <f aca="false">ROUND(I409*J409^($F$9-1),0)</f>
        <v>11067</v>
      </c>
      <c r="M409" s="17" t="n">
        <f aca="false">G409*$F$7</f>
        <v>4859131.52165483</v>
      </c>
      <c r="N409" s="18" t="n">
        <f aca="false">F409/K409</f>
        <v>423.574762079063</v>
      </c>
      <c r="O409" s="18" t="n">
        <f aca="false">G409/L409</f>
        <v>455.791452064697</v>
      </c>
      <c r="P409" s="18" t="n">
        <f aca="false">M409/L409</f>
        <v>439.064924699994</v>
      </c>
      <c r="Q409" s="19" t="n">
        <f aca="false">IF(N409=0,"n.a.",P409/N409-1)</f>
        <v>0.0365700792580257</v>
      </c>
    </row>
    <row r="410" customFormat="false" ht="15" hidden="false" customHeight="false" outlineLevel="0" collapsed="false">
      <c r="A410" s="12" t="s">
        <v>957</v>
      </c>
      <c r="B410" s="12" t="s">
        <v>835</v>
      </c>
      <c r="C410" s="12" t="s">
        <v>836</v>
      </c>
      <c r="D410" s="12" t="s">
        <v>376</v>
      </c>
      <c r="E410" s="12" t="s">
        <v>958</v>
      </c>
      <c r="F410" s="13" t="n">
        <v>67092553</v>
      </c>
      <c r="G410" s="13" t="n">
        <v>72253951</v>
      </c>
      <c r="H410" s="14" t="n">
        <v>72090</v>
      </c>
      <c r="I410" s="14" t="n">
        <v>74387</v>
      </c>
      <c r="J410" s="15" t="n">
        <f aca="false">I410/H410</f>
        <v>1.03186294909141</v>
      </c>
      <c r="K410" s="16" t="n">
        <f aca="false">ROUND(I410*J410^($F$8-1),0)</f>
        <v>73850</v>
      </c>
      <c r="L410" s="16" t="n">
        <f aca="false">ROUND(I410*J410^($F$9-1),0)</f>
        <v>74266</v>
      </c>
      <c r="M410" s="17" t="n">
        <f aca="false">G410*$F$7</f>
        <v>69602392.522686</v>
      </c>
      <c r="N410" s="18" t="n">
        <f aca="false">F410/K410</f>
        <v>908.497670954638</v>
      </c>
      <c r="O410" s="18" t="n">
        <f aca="false">G410/L410</f>
        <v>972.907535076617</v>
      </c>
      <c r="P410" s="18" t="n">
        <f aca="false">M410/L410</f>
        <v>937.204003483235</v>
      </c>
      <c r="Q410" s="19" t="n">
        <f aca="false">IF(N410=0,"n.a.",P410/N410-1)</f>
        <v>0.0315975851632433</v>
      </c>
    </row>
    <row r="411" customFormat="false" ht="15" hidden="false" customHeight="false" outlineLevel="0" collapsed="false">
      <c r="A411" s="12" t="s">
        <v>959</v>
      </c>
      <c r="B411" s="12" t="s">
        <v>835</v>
      </c>
      <c r="C411" s="12" t="s">
        <v>836</v>
      </c>
      <c r="D411" s="12" t="s">
        <v>379</v>
      </c>
      <c r="E411" s="12" t="s">
        <v>960</v>
      </c>
      <c r="F411" s="13" t="n">
        <v>4700594</v>
      </c>
      <c r="G411" s="13" t="n">
        <v>4802563</v>
      </c>
      <c r="H411" s="14" t="n">
        <v>36220</v>
      </c>
      <c r="I411" s="14" t="n">
        <v>38086</v>
      </c>
      <c r="J411" s="15" t="n">
        <f aca="false">I411/H411</f>
        <v>1.05151849806737</v>
      </c>
      <c r="K411" s="16" t="n">
        <f aca="false">ROUND(I411*J411^($F$8-1),0)</f>
        <v>37647</v>
      </c>
      <c r="L411" s="16" t="n">
        <f aca="false">ROUND(I411*J411^($F$9-1),0)</f>
        <v>37987</v>
      </c>
      <c r="M411" s="17" t="n">
        <f aca="false">G411*$F$7</f>
        <v>4626319.67407468</v>
      </c>
      <c r="N411" s="18" t="n">
        <f aca="false">F411/K411</f>
        <v>124.859723218318</v>
      </c>
      <c r="O411" s="18" t="n">
        <f aca="false">G411/L411</f>
        <v>126.426488009056</v>
      </c>
      <c r="P411" s="18" t="n">
        <f aca="false">M411/L411</f>
        <v>121.786918526725</v>
      </c>
      <c r="Q411" s="19" t="n">
        <f aca="false">IF(N411=0,"n.a.",P411/N411-1)</f>
        <v>-0.0246100552875662</v>
      </c>
    </row>
    <row r="412" customFormat="false" ht="15" hidden="false" customHeight="false" outlineLevel="0" collapsed="false">
      <c r="A412" s="12" t="s">
        <v>961</v>
      </c>
      <c r="B412" s="12" t="s">
        <v>835</v>
      </c>
      <c r="C412" s="12" t="s">
        <v>836</v>
      </c>
      <c r="D412" s="12" t="s">
        <v>382</v>
      </c>
      <c r="E412" s="12" t="s">
        <v>962</v>
      </c>
      <c r="F412" s="13" t="n">
        <v>15215086</v>
      </c>
      <c r="G412" s="13" t="n">
        <v>12768044</v>
      </c>
      <c r="H412" s="14" t="n">
        <v>36691</v>
      </c>
      <c r="I412" s="14" t="n">
        <v>39814</v>
      </c>
      <c r="J412" s="15" t="n">
        <f aca="false">I412/H412</f>
        <v>1.08511624104004</v>
      </c>
      <c r="K412" s="16" t="n">
        <f aca="false">ROUND(I412*J412^($F$8-1),0)</f>
        <v>39070</v>
      </c>
      <c r="L412" s="16" t="n">
        <f aca="false">ROUND(I412*J412^($F$9-1),0)</f>
        <v>39645</v>
      </c>
      <c r="M412" s="17" t="n">
        <f aca="false">G412*$F$7</f>
        <v>12299485.3282823</v>
      </c>
      <c r="N412" s="18" t="n">
        <f aca="false">F412/K412</f>
        <v>389.431430765293</v>
      </c>
      <c r="O412" s="18" t="n">
        <f aca="false">G412/L412</f>
        <v>322.059376970614</v>
      </c>
      <c r="P412" s="18" t="n">
        <f aca="false">M412/L412</f>
        <v>310.240517802554</v>
      </c>
      <c r="Q412" s="19" t="n">
        <f aca="false">IF(N412=0,"n.a.",P412/N412-1)</f>
        <v>-0.203350080929823</v>
      </c>
    </row>
    <row r="413" customFormat="false" ht="15" hidden="false" customHeight="false" outlineLevel="0" collapsed="false">
      <c r="A413" s="12" t="s">
        <v>963</v>
      </c>
      <c r="B413" s="12" t="s">
        <v>835</v>
      </c>
      <c r="C413" s="12" t="s">
        <v>836</v>
      </c>
      <c r="D413" s="12" t="s">
        <v>385</v>
      </c>
      <c r="E413" s="12" t="s">
        <v>964</v>
      </c>
      <c r="F413" s="13" t="n">
        <v>8976762</v>
      </c>
      <c r="G413" s="13" t="n">
        <v>11030918</v>
      </c>
      <c r="H413" s="14" t="n">
        <v>35384</v>
      </c>
      <c r="I413" s="14" t="n">
        <v>40552</v>
      </c>
      <c r="J413" s="15" t="n">
        <f aca="false">I413/H413</f>
        <v>1.14605471399503</v>
      </c>
      <c r="K413" s="16" t="n">
        <f aca="false">ROUND(I413*J413^($F$8-1),0)</f>
        <v>39295</v>
      </c>
      <c r="L413" s="16" t="n">
        <f aca="false">ROUND(I413*J413^($F$9-1),0)</f>
        <v>40266</v>
      </c>
      <c r="M413" s="17" t="n">
        <f aca="false">G413*$F$7</f>
        <v>10626107.9691208</v>
      </c>
      <c r="N413" s="18" t="n">
        <f aca="false">F413/K413</f>
        <v>228.44540017814</v>
      </c>
      <c r="O413" s="18" t="n">
        <f aca="false">G413/L413</f>
        <v>273.951174688323</v>
      </c>
      <c r="P413" s="18" t="n">
        <f aca="false">M413/L413</f>
        <v>263.897778997685</v>
      </c>
      <c r="Q413" s="19" t="n">
        <f aca="false">IF(N413=0,"n.a.",P413/N413-1)</f>
        <v>0.155189724949154</v>
      </c>
    </row>
    <row r="414" customFormat="false" ht="15" hidden="false" customHeight="false" outlineLevel="0" collapsed="false">
      <c r="A414" s="12" t="s">
        <v>965</v>
      </c>
      <c r="B414" s="12" t="s">
        <v>835</v>
      </c>
      <c r="C414" s="12" t="s">
        <v>836</v>
      </c>
      <c r="D414" s="12" t="s">
        <v>646</v>
      </c>
      <c r="E414" s="12" t="s">
        <v>966</v>
      </c>
      <c r="F414" s="13" t="n">
        <v>1347598</v>
      </c>
      <c r="G414" s="13" t="n">
        <v>1245590</v>
      </c>
      <c r="H414" s="14" t="n">
        <v>4841</v>
      </c>
      <c r="I414" s="14" t="n">
        <v>4449</v>
      </c>
      <c r="J414" s="15" t="n">
        <f aca="false">I414/H414</f>
        <v>0.919024994835778</v>
      </c>
      <c r="K414" s="16" t="n">
        <f aca="false">ROUND(I414*J414^($F$8-1),0)</f>
        <v>4537</v>
      </c>
      <c r="L414" s="16" t="n">
        <f aca="false">ROUND(I414*J414^($F$9-1),0)</f>
        <v>4469</v>
      </c>
      <c r="M414" s="17" t="n">
        <f aca="false">G414*$F$7</f>
        <v>1199879.63152814</v>
      </c>
      <c r="N414" s="18" t="n">
        <f aca="false">F414/K414</f>
        <v>297.024024685916</v>
      </c>
      <c r="O414" s="18" t="n">
        <f aca="false">G414/L414</f>
        <v>278.717833967331</v>
      </c>
      <c r="P414" s="18" t="n">
        <f aca="false">M414/L414</f>
        <v>268.489512537065</v>
      </c>
      <c r="Q414" s="19" t="n">
        <f aca="false">IF(N414=0,"n.a.",P414/N414-1)</f>
        <v>-0.0960680274231173</v>
      </c>
    </row>
    <row r="415" customFormat="false" ht="15" hidden="false" customHeight="false" outlineLevel="0" collapsed="false">
      <c r="A415" s="12" t="s">
        <v>967</v>
      </c>
      <c r="B415" s="12" t="s">
        <v>835</v>
      </c>
      <c r="C415" s="12" t="s">
        <v>836</v>
      </c>
      <c r="D415" s="12" t="s">
        <v>388</v>
      </c>
      <c r="E415" s="12" t="s">
        <v>968</v>
      </c>
      <c r="F415" s="13" t="n">
        <v>43916658</v>
      </c>
      <c r="G415" s="13" t="n">
        <v>38885290</v>
      </c>
      <c r="H415" s="14" t="n">
        <v>88744</v>
      </c>
      <c r="I415" s="14" t="n">
        <v>92222</v>
      </c>
      <c r="J415" s="15" t="n">
        <f aca="false">I415/H415</f>
        <v>1.03919138195258</v>
      </c>
      <c r="K415" s="16" t="n">
        <f aca="false">ROUND(I415*J415^($F$8-1),0)</f>
        <v>91407</v>
      </c>
      <c r="L415" s="16" t="n">
        <f aca="false">ROUND(I415*J415^($F$9-1),0)</f>
        <v>92038</v>
      </c>
      <c r="M415" s="17" t="n">
        <f aca="false">G415*$F$7</f>
        <v>37458286.7854309</v>
      </c>
      <c r="N415" s="18" t="n">
        <f aca="false">F415/K415</f>
        <v>480.451803472382</v>
      </c>
      <c r="O415" s="18" t="n">
        <f aca="false">G415/L415</f>
        <v>422.491688215737</v>
      </c>
      <c r="P415" s="18" t="n">
        <f aca="false">M415/L415</f>
        <v>406.987187742356</v>
      </c>
      <c r="Q415" s="19" t="n">
        <f aca="false">IF(N415=0,"n.a.",P415/N415-1)</f>
        <v>-0.152907357614382</v>
      </c>
    </row>
    <row r="416" customFormat="false" ht="15" hidden="false" customHeight="false" outlineLevel="0" collapsed="false">
      <c r="A416" s="12" t="s">
        <v>969</v>
      </c>
      <c r="B416" s="12" t="s">
        <v>835</v>
      </c>
      <c r="C416" s="12" t="s">
        <v>836</v>
      </c>
      <c r="D416" s="12" t="s">
        <v>391</v>
      </c>
      <c r="E416" s="12" t="s">
        <v>970</v>
      </c>
      <c r="F416" s="13" t="n">
        <v>12513828</v>
      </c>
      <c r="G416" s="13" t="n">
        <v>12960531</v>
      </c>
      <c r="H416" s="14" t="n">
        <v>30759</v>
      </c>
      <c r="I416" s="14" t="n">
        <v>31877</v>
      </c>
      <c r="J416" s="15" t="n">
        <f aca="false">I416/H416</f>
        <v>1.0363470854059</v>
      </c>
      <c r="K416" s="16" t="n">
        <f aca="false">ROUND(I416*J416^($F$8-1),0)</f>
        <v>31615</v>
      </c>
      <c r="L416" s="16" t="n">
        <f aca="false">ROUND(I416*J416^($F$9-1),0)</f>
        <v>31818</v>
      </c>
      <c r="M416" s="17" t="n">
        <f aca="false">G416*$F$7</f>
        <v>12484908.4856888</v>
      </c>
      <c r="N416" s="18" t="n">
        <f aca="false">F416/K416</f>
        <v>395.819326269176</v>
      </c>
      <c r="O416" s="18" t="n">
        <f aca="false">G416/L416</f>
        <v>407.333301904582</v>
      </c>
      <c r="P416" s="18" t="n">
        <f aca="false">M416/L416</f>
        <v>392.385080322106</v>
      </c>
      <c r="Q416" s="19" t="n">
        <f aca="false">IF(N416=0,"n.a.",P416/N416-1)</f>
        <v>-0.0086762967827777</v>
      </c>
    </row>
    <row r="417" customFormat="false" ht="15" hidden="false" customHeight="false" outlineLevel="0" collapsed="false">
      <c r="A417" s="12" t="s">
        <v>971</v>
      </c>
      <c r="B417" s="12" t="s">
        <v>835</v>
      </c>
      <c r="C417" s="12" t="s">
        <v>836</v>
      </c>
      <c r="D417" s="12" t="s">
        <v>972</v>
      </c>
      <c r="E417" s="12" t="s">
        <v>973</v>
      </c>
      <c r="F417" s="13" t="n">
        <v>3566684</v>
      </c>
      <c r="G417" s="13" t="n">
        <v>3154338</v>
      </c>
      <c r="H417" s="14" t="n">
        <v>4831</v>
      </c>
      <c r="I417" s="14" t="n">
        <v>4785</v>
      </c>
      <c r="J417" s="15" t="n">
        <f aca="false">I417/H417</f>
        <v>0.990478161871248</v>
      </c>
      <c r="K417" s="16" t="n">
        <f aca="false">ROUND(I417*J417^($F$8-1),0)</f>
        <v>4796</v>
      </c>
      <c r="L417" s="16" t="n">
        <f aca="false">ROUND(I417*J417^($F$9-1),0)</f>
        <v>4787</v>
      </c>
      <c r="M417" s="17" t="n">
        <f aca="false">G417*$F$7</f>
        <v>3038580.84695222</v>
      </c>
      <c r="N417" s="18" t="n">
        <f aca="false">F417/K417</f>
        <v>743.678899082569</v>
      </c>
      <c r="O417" s="18" t="n">
        <f aca="false">G417/L417</f>
        <v>658.938374764989</v>
      </c>
      <c r="P417" s="18" t="n">
        <f aca="false">M417/L417</f>
        <v>634.756809474038</v>
      </c>
      <c r="Q417" s="19" t="n">
        <f aca="false">IF(N417=0,"n.a.",P417/N417-1)</f>
        <v>-0.146463870015542</v>
      </c>
    </row>
    <row r="418" customFormat="false" ht="15" hidden="false" customHeight="false" outlineLevel="0" collapsed="false">
      <c r="A418" s="12" t="s">
        <v>974</v>
      </c>
      <c r="B418" s="12" t="s">
        <v>835</v>
      </c>
      <c r="C418" s="12" t="s">
        <v>836</v>
      </c>
      <c r="D418" s="12" t="s">
        <v>394</v>
      </c>
      <c r="E418" s="12" t="s">
        <v>100</v>
      </c>
      <c r="F418" s="13" t="n">
        <v>184915995</v>
      </c>
      <c r="G418" s="13" t="n">
        <v>132440420</v>
      </c>
      <c r="H418" s="14" t="n">
        <v>303993</v>
      </c>
      <c r="I418" s="14" t="n">
        <v>310309</v>
      </c>
      <c r="J418" s="15" t="n">
        <f aca="false">I418/H418</f>
        <v>1.0207767942025</v>
      </c>
      <c r="K418" s="16" t="n">
        <f aca="false">ROUND(I418*J418^($F$8-1),0)</f>
        <v>308839</v>
      </c>
      <c r="L418" s="16" t="n">
        <f aca="false">ROUND(I418*J418^($F$9-1),0)</f>
        <v>309978</v>
      </c>
      <c r="M418" s="17" t="n">
        <f aca="false">G418*$F$7</f>
        <v>127580152.657803</v>
      </c>
      <c r="N418" s="18" t="n">
        <f aca="false">F418/K418</f>
        <v>598.745608553324</v>
      </c>
      <c r="O418" s="18" t="n">
        <f aca="false">G418/L418</f>
        <v>427.257482789101</v>
      </c>
      <c r="P418" s="18" t="n">
        <f aca="false">M418/L418</f>
        <v>411.578088308856</v>
      </c>
      <c r="Q418" s="19" t="n">
        <f aca="false">IF(N418=0,"n.a.",P418/N418-1)</f>
        <v>-0.312599403771324</v>
      </c>
    </row>
    <row r="419" customFormat="false" ht="15" hidden="false" customHeight="false" outlineLevel="0" collapsed="false">
      <c r="A419" s="12" t="s">
        <v>975</v>
      </c>
      <c r="B419" s="12" t="s">
        <v>835</v>
      </c>
      <c r="C419" s="12" t="s">
        <v>836</v>
      </c>
      <c r="D419" s="12" t="s">
        <v>976</v>
      </c>
      <c r="E419" s="12" t="s">
        <v>977</v>
      </c>
      <c r="F419" s="13" t="n">
        <v>8704550</v>
      </c>
      <c r="G419" s="13" t="n">
        <v>9385957</v>
      </c>
      <c r="H419" s="14" t="n">
        <v>14969</v>
      </c>
      <c r="I419" s="14" t="n">
        <v>15533</v>
      </c>
      <c r="J419" s="15" t="n">
        <f aca="false">I419/H419</f>
        <v>1.03767786759303</v>
      </c>
      <c r="K419" s="16" t="n">
        <f aca="false">ROUND(I419*J419^($F$8-1),0)</f>
        <v>15401</v>
      </c>
      <c r="L419" s="16" t="n">
        <f aca="false">ROUND(I419*J419^($F$9-1),0)</f>
        <v>15503</v>
      </c>
      <c r="M419" s="17" t="n">
        <f aca="false">G419*$F$7</f>
        <v>9041513.36049501</v>
      </c>
      <c r="N419" s="18" t="n">
        <f aca="false">F419/K419</f>
        <v>565.193818583209</v>
      </c>
      <c r="O419" s="18" t="n">
        <f aca="false">G419/L419</f>
        <v>605.428433206476</v>
      </c>
      <c r="P419" s="18" t="n">
        <f aca="false">M419/L419</f>
        <v>583.210563148746</v>
      </c>
      <c r="Q419" s="19" t="n">
        <f aca="false">IF(N419=0,"n.a.",P419/N419-1)</f>
        <v>0.0318771083001233</v>
      </c>
    </row>
    <row r="420" customFormat="false" ht="15" hidden="false" customHeight="false" outlineLevel="0" collapsed="false">
      <c r="A420" s="12" t="s">
        <v>978</v>
      </c>
      <c r="B420" s="12" t="s">
        <v>835</v>
      </c>
      <c r="C420" s="12" t="s">
        <v>836</v>
      </c>
      <c r="D420" s="12" t="s">
        <v>397</v>
      </c>
      <c r="E420" s="12" t="s">
        <v>401</v>
      </c>
      <c r="F420" s="13" t="n">
        <v>4885267</v>
      </c>
      <c r="G420" s="13" t="n">
        <v>5925625</v>
      </c>
      <c r="H420" s="14" t="n">
        <v>15965</v>
      </c>
      <c r="I420" s="14" t="n">
        <v>15757</v>
      </c>
      <c r="J420" s="15" t="n">
        <f aca="false">I420/H420</f>
        <v>0.986971500156593</v>
      </c>
      <c r="K420" s="16" t="n">
        <f aca="false">ROUND(I420*J420^($F$8-1),0)</f>
        <v>15805</v>
      </c>
      <c r="L420" s="16" t="n">
        <f aca="false">ROUND(I420*J420^($F$9-1),0)</f>
        <v>15768</v>
      </c>
      <c r="M420" s="17" t="n">
        <f aca="false">G420*$F$7</f>
        <v>5708167.80929033</v>
      </c>
      <c r="N420" s="18" t="n">
        <f aca="false">F420/K420</f>
        <v>309.096298639671</v>
      </c>
      <c r="O420" s="18" t="n">
        <f aca="false">G420/L420</f>
        <v>375.80067224759</v>
      </c>
      <c r="P420" s="18" t="n">
        <f aca="false">M420/L420</f>
        <v>362.009627682035</v>
      </c>
      <c r="Q420" s="19" t="n">
        <f aca="false">IF(N420=0,"n.a.",P420/N420-1)</f>
        <v>0.171187197243174</v>
      </c>
    </row>
    <row r="421" customFormat="false" ht="15" hidden="false" customHeight="false" outlineLevel="0" collapsed="false">
      <c r="A421" s="12" t="s">
        <v>979</v>
      </c>
      <c r="B421" s="12" t="s">
        <v>835</v>
      </c>
      <c r="C421" s="12" t="s">
        <v>836</v>
      </c>
      <c r="D421" s="12" t="s">
        <v>400</v>
      </c>
      <c r="E421" s="12" t="s">
        <v>980</v>
      </c>
      <c r="F421" s="13" t="n">
        <v>19128450</v>
      </c>
      <c r="G421" s="13" t="n">
        <v>21880677</v>
      </c>
      <c r="H421" s="14" t="n">
        <v>31962</v>
      </c>
      <c r="I421" s="14" t="n">
        <v>34715</v>
      </c>
      <c r="J421" s="15" t="n">
        <f aca="false">I421/H421</f>
        <v>1.08613353357112</v>
      </c>
      <c r="K421" s="16" t="n">
        <f aca="false">ROUND(I421*J421^($F$8-1),0)</f>
        <v>34059</v>
      </c>
      <c r="L421" s="16" t="n">
        <f aca="false">ROUND(I421*J421^($F$9-1),0)</f>
        <v>34566</v>
      </c>
      <c r="M421" s="17" t="n">
        <f aca="false">G421*$F$7</f>
        <v>21077705.0685589</v>
      </c>
      <c r="N421" s="18" t="n">
        <f aca="false">F421/K421</f>
        <v>561.626882762266</v>
      </c>
      <c r="O421" s="18" t="n">
        <f aca="false">G421/L421</f>
        <v>633.011543134873</v>
      </c>
      <c r="P421" s="18" t="n">
        <f aca="false">M421/L421</f>
        <v>609.781434605072</v>
      </c>
      <c r="Q421" s="19" t="n">
        <f aca="false">IF(N421=0,"n.a.",P421/N421-1)</f>
        <v>0.0857411803472905</v>
      </c>
    </row>
    <row r="422" customFormat="false" ht="15" hidden="false" customHeight="false" outlineLevel="0" collapsed="false">
      <c r="A422" s="12" t="s">
        <v>981</v>
      </c>
      <c r="B422" s="12" t="s">
        <v>835</v>
      </c>
      <c r="C422" s="12" t="s">
        <v>836</v>
      </c>
      <c r="D422" s="12" t="s">
        <v>403</v>
      </c>
      <c r="E422" s="12" t="s">
        <v>982</v>
      </c>
      <c r="F422" s="13" t="n">
        <v>10268110</v>
      </c>
      <c r="G422" s="13" t="n">
        <v>12107420</v>
      </c>
      <c r="H422" s="14" t="n">
        <v>144908</v>
      </c>
      <c r="I422" s="14" t="n">
        <v>156264</v>
      </c>
      <c r="J422" s="15" t="n">
        <f aca="false">I422/H422</f>
        <v>1.07836696386673</v>
      </c>
      <c r="K422" s="16" t="n">
        <f aca="false">ROUND(I422*J422^($F$8-1),0)</f>
        <v>153566</v>
      </c>
      <c r="L422" s="16" t="n">
        <f aca="false">ROUND(I422*J422^($F$9-1),0)</f>
        <v>155653</v>
      </c>
      <c r="M422" s="17" t="n">
        <f aca="false">G422*$F$7</f>
        <v>11663104.7522511</v>
      </c>
      <c r="N422" s="18" t="n">
        <f aca="false">F422/K422</f>
        <v>66.8644752093562</v>
      </c>
      <c r="O422" s="18" t="n">
        <f aca="false">G422/L422</f>
        <v>77.7846877348975</v>
      </c>
      <c r="P422" s="18" t="n">
        <f aca="false">M422/L422</f>
        <v>74.9301635834266</v>
      </c>
      <c r="Q422" s="19" t="n">
        <f aca="false">IF(N422=0,"n.a.",P422/N422-1)</f>
        <v>0.120627408632406</v>
      </c>
    </row>
    <row r="423" customFormat="false" ht="15" hidden="false" customHeight="false" outlineLevel="0" collapsed="false">
      <c r="A423" s="12" t="s">
        <v>983</v>
      </c>
      <c r="B423" s="12" t="s">
        <v>835</v>
      </c>
      <c r="C423" s="12" t="s">
        <v>836</v>
      </c>
      <c r="D423" s="12" t="s">
        <v>406</v>
      </c>
      <c r="E423" s="12" t="s">
        <v>984</v>
      </c>
      <c r="F423" s="13" t="n">
        <v>11713999</v>
      </c>
      <c r="G423" s="13" t="n">
        <v>9627278</v>
      </c>
      <c r="H423" s="14" t="n">
        <v>29182</v>
      </c>
      <c r="I423" s="14" t="n">
        <v>32728</v>
      </c>
      <c r="J423" s="15" t="n">
        <f aca="false">I423/H423</f>
        <v>1.12151326159962</v>
      </c>
      <c r="K423" s="16" t="n">
        <f aca="false">ROUND(I423*J423^($F$8-1),0)</f>
        <v>31873</v>
      </c>
      <c r="L423" s="16" t="n">
        <f aca="false">ROUND(I423*J423^($F$9-1),0)</f>
        <v>32534</v>
      </c>
      <c r="M423" s="17" t="n">
        <f aca="false">G423*$F$7</f>
        <v>9273978.41927037</v>
      </c>
      <c r="N423" s="18" t="n">
        <f aca="false">F423/K423</f>
        <v>367.52106798858</v>
      </c>
      <c r="O423" s="18" t="n">
        <f aca="false">G423/L423</f>
        <v>295.914366508883</v>
      </c>
      <c r="P423" s="18" t="n">
        <f aca="false">M423/L423</f>
        <v>285.054970777352</v>
      </c>
      <c r="Q423" s="19" t="n">
        <f aca="false">IF(N423=0,"n.a.",P423/N423-1)</f>
        <v>-0.224384679938376</v>
      </c>
    </row>
    <row r="424" customFormat="false" ht="15" hidden="false" customHeight="false" outlineLevel="0" collapsed="false">
      <c r="A424" s="12" t="s">
        <v>985</v>
      </c>
      <c r="B424" s="12" t="s">
        <v>835</v>
      </c>
      <c r="C424" s="12" t="s">
        <v>836</v>
      </c>
      <c r="D424" s="12" t="s">
        <v>748</v>
      </c>
      <c r="E424" s="12" t="s">
        <v>986</v>
      </c>
      <c r="F424" s="13" t="n">
        <v>67730496</v>
      </c>
      <c r="G424" s="13" t="n">
        <v>73937865</v>
      </c>
      <c r="H424" s="14" t="n">
        <v>97417</v>
      </c>
      <c r="I424" s="14" t="n">
        <v>103685</v>
      </c>
      <c r="J424" s="15" t="n">
        <f aca="false">I424/H424</f>
        <v>1.0643419526366</v>
      </c>
      <c r="K424" s="16" t="n">
        <f aca="false">ROUND(I424*J424^($F$8-1),0)</f>
        <v>102203</v>
      </c>
      <c r="L424" s="16" t="n">
        <f aca="false">ROUND(I424*J424^($F$9-1),0)</f>
        <v>103350</v>
      </c>
      <c r="M424" s="17" t="n">
        <f aca="false">G424*$F$7</f>
        <v>71224510.6432915</v>
      </c>
      <c r="N424" s="18" t="n">
        <f aca="false">F424/K424</f>
        <v>662.705556588359</v>
      </c>
      <c r="O424" s="18" t="n">
        <f aca="false">G424/L424</f>
        <v>715.412336719884</v>
      </c>
      <c r="P424" s="18" t="n">
        <f aca="false">M424/L424</f>
        <v>689.158303273261</v>
      </c>
      <c r="Q424" s="19" t="n">
        <f aca="false">IF(N424=0,"n.a.",P424/N424-1)</f>
        <v>0.0399162892508136</v>
      </c>
    </row>
    <row r="425" customFormat="false" ht="15" hidden="false" customHeight="false" outlineLevel="0" collapsed="false">
      <c r="A425" s="12" t="s">
        <v>987</v>
      </c>
      <c r="B425" s="12" t="s">
        <v>835</v>
      </c>
      <c r="C425" s="12" t="s">
        <v>836</v>
      </c>
      <c r="D425" s="12" t="s">
        <v>409</v>
      </c>
      <c r="E425" s="12" t="s">
        <v>988</v>
      </c>
      <c r="F425" s="13" t="n">
        <v>594020</v>
      </c>
      <c r="G425" s="13" t="n">
        <v>728279</v>
      </c>
      <c r="H425" s="14" t="n">
        <v>6692</v>
      </c>
      <c r="I425" s="14" t="n">
        <v>6753</v>
      </c>
      <c r="J425" s="15" t="n">
        <f aca="false">I425/H425</f>
        <v>1.00911536162582</v>
      </c>
      <c r="K425" s="16" t="n">
        <f aca="false">ROUND(I425*J425^($F$8-1),0)</f>
        <v>6739</v>
      </c>
      <c r="L425" s="16" t="n">
        <f aca="false">ROUND(I425*J425^($F$9-1),0)</f>
        <v>6750</v>
      </c>
      <c r="M425" s="17" t="n">
        <f aca="false">G425*$F$7</f>
        <v>701552.788774543</v>
      </c>
      <c r="N425" s="18" t="n">
        <f aca="false">F425/K425</f>
        <v>88.1466092892121</v>
      </c>
      <c r="O425" s="18" t="n">
        <f aca="false">G425/L425</f>
        <v>107.893185185185</v>
      </c>
      <c r="P425" s="18" t="n">
        <f aca="false">M425/L425</f>
        <v>103.933746485118</v>
      </c>
      <c r="Q425" s="19" t="n">
        <f aca="false">IF(N425=0,"n.a.",P425/N425-1)</f>
        <v>0.179100901591204</v>
      </c>
    </row>
    <row r="426" customFormat="false" ht="15" hidden="false" customHeight="false" outlineLevel="0" collapsed="false">
      <c r="A426" s="12" t="s">
        <v>989</v>
      </c>
      <c r="B426" s="12" t="s">
        <v>835</v>
      </c>
      <c r="C426" s="12" t="s">
        <v>836</v>
      </c>
      <c r="D426" s="12" t="s">
        <v>412</v>
      </c>
      <c r="E426" s="12" t="s">
        <v>990</v>
      </c>
      <c r="F426" s="13" t="n">
        <v>1213758</v>
      </c>
      <c r="G426" s="13" t="n">
        <v>1135907</v>
      </c>
      <c r="H426" s="14" t="n">
        <v>9729</v>
      </c>
      <c r="I426" s="14" t="n">
        <v>10262</v>
      </c>
      <c r="J426" s="15" t="n">
        <f aca="false">I426/H426</f>
        <v>1.05478466440539</v>
      </c>
      <c r="K426" s="16" t="n">
        <f aca="false">ROUND(I426*J426^($F$8-1),0)</f>
        <v>10136</v>
      </c>
      <c r="L426" s="16" t="n">
        <f aca="false">ROUND(I426*J426^($F$9-1),0)</f>
        <v>10234</v>
      </c>
      <c r="M426" s="17" t="n">
        <f aca="false">G426*$F$7</f>
        <v>1094221.75243077</v>
      </c>
      <c r="N426" s="18" t="n">
        <f aca="false">F426/K426</f>
        <v>119.747237569061</v>
      </c>
      <c r="O426" s="18" t="n">
        <f aca="false">G426/L426</f>
        <v>110.993453195232</v>
      </c>
      <c r="P426" s="18" t="n">
        <f aca="false">M426/L426</f>
        <v>106.920241589873</v>
      </c>
      <c r="Q426" s="19" t="n">
        <f aca="false">IF(N426=0,"n.a.",P426/N426-1)</f>
        <v>-0.107117259985139</v>
      </c>
    </row>
    <row r="427" customFormat="false" ht="15" hidden="false" customHeight="false" outlineLevel="0" collapsed="false">
      <c r="A427" s="12" t="s">
        <v>991</v>
      </c>
      <c r="B427" s="12" t="s">
        <v>835</v>
      </c>
      <c r="C427" s="12" t="s">
        <v>836</v>
      </c>
      <c r="D427" s="12" t="s">
        <v>415</v>
      </c>
      <c r="E427" s="12" t="s">
        <v>992</v>
      </c>
      <c r="F427" s="13" t="n">
        <v>7476928</v>
      </c>
      <c r="G427" s="13" t="n">
        <v>14808317</v>
      </c>
      <c r="H427" s="14" t="n">
        <v>14323</v>
      </c>
      <c r="I427" s="14" t="n">
        <v>16910</v>
      </c>
      <c r="J427" s="15" t="n">
        <f aca="false">I427/H427</f>
        <v>1.18061858549187</v>
      </c>
      <c r="K427" s="16" t="n">
        <f aca="false">ROUND(I427*J427^($F$8-1),0)</f>
        <v>16274</v>
      </c>
      <c r="L427" s="16" t="n">
        <f aca="false">ROUND(I427*J427^($F$9-1),0)</f>
        <v>16765</v>
      </c>
      <c r="M427" s="17" t="n">
        <f aca="false">G427*$F$7</f>
        <v>14264884.8702317</v>
      </c>
      <c r="N427" s="18" t="n">
        <f aca="false">F427/K427</f>
        <v>459.4400884847</v>
      </c>
      <c r="O427" s="18" t="n">
        <f aca="false">G427/L427</f>
        <v>883.287623024158</v>
      </c>
      <c r="P427" s="18" t="n">
        <f aca="false">M427/L427</f>
        <v>850.872941856947</v>
      </c>
      <c r="Q427" s="19" t="n">
        <f aca="false">IF(N427=0,"n.a.",P427/N427-1)</f>
        <v>0.851978012330726</v>
      </c>
    </row>
    <row r="428" customFormat="false" ht="15" hidden="false" customHeight="false" outlineLevel="0" collapsed="false">
      <c r="A428" s="12" t="s">
        <v>993</v>
      </c>
      <c r="B428" s="12" t="s">
        <v>835</v>
      </c>
      <c r="C428" s="12" t="s">
        <v>836</v>
      </c>
      <c r="D428" s="12" t="s">
        <v>994</v>
      </c>
      <c r="E428" s="12" t="s">
        <v>995</v>
      </c>
      <c r="F428" s="13" t="n">
        <v>1541696</v>
      </c>
      <c r="G428" s="13" t="n">
        <v>1663689</v>
      </c>
      <c r="H428" s="14" t="n">
        <v>23976</v>
      </c>
      <c r="I428" s="14" t="n">
        <v>24762</v>
      </c>
      <c r="J428" s="15" t="n">
        <f aca="false">I428/H428</f>
        <v>1.03278278278278</v>
      </c>
      <c r="K428" s="16" t="n">
        <f aca="false">ROUND(I428*J428^($F$8-1),0)</f>
        <v>24578</v>
      </c>
      <c r="L428" s="16" t="n">
        <f aca="false">ROUND(I428*J428^($F$9-1),0)</f>
        <v>24721</v>
      </c>
      <c r="M428" s="17" t="n">
        <f aca="false">G428*$F$7</f>
        <v>1602635.33289238</v>
      </c>
      <c r="N428" s="18" t="n">
        <f aca="false">F428/K428</f>
        <v>62.7266661241761</v>
      </c>
      <c r="O428" s="18" t="n">
        <f aca="false">G428/L428</f>
        <v>67.2986125156749</v>
      </c>
      <c r="P428" s="18" t="n">
        <f aca="false">M428/L428</f>
        <v>64.8289038830299</v>
      </c>
      <c r="Q428" s="19" t="n">
        <f aca="false">IF(N428=0,"n.a.",P428/N428-1)</f>
        <v>0.0335142593851894</v>
      </c>
    </row>
    <row r="429" customFormat="false" ht="15" hidden="false" customHeight="false" outlineLevel="0" collapsed="false">
      <c r="A429" s="12" t="s">
        <v>996</v>
      </c>
      <c r="B429" s="12" t="s">
        <v>835</v>
      </c>
      <c r="C429" s="12" t="s">
        <v>836</v>
      </c>
      <c r="D429" s="12" t="s">
        <v>798</v>
      </c>
      <c r="E429" s="12" t="s">
        <v>997</v>
      </c>
      <c r="F429" s="13" t="n">
        <v>621577960</v>
      </c>
      <c r="G429" s="13" t="n">
        <v>601147862</v>
      </c>
      <c r="H429" s="14" t="n">
        <v>547437</v>
      </c>
      <c r="I429" s="14" t="n">
        <v>577141</v>
      </c>
      <c r="J429" s="15" t="n">
        <f aca="false">I429/H429</f>
        <v>1.05426012490935</v>
      </c>
      <c r="K429" s="16" t="n">
        <f aca="false">ROUND(I429*J429^($F$8-1),0)</f>
        <v>570143</v>
      </c>
      <c r="L429" s="16" t="n">
        <f aca="false">ROUND(I429*J429^($F$9-1),0)</f>
        <v>575559</v>
      </c>
      <c r="M429" s="17" t="n">
        <f aca="false">G429*$F$7</f>
        <v>579087079.336291</v>
      </c>
      <c r="N429" s="18" t="n">
        <f aca="false">F429/K429</f>
        <v>1090.2141392598</v>
      </c>
      <c r="O429" s="18" t="n">
        <f aca="false">G429/L429</f>
        <v>1044.45914667306</v>
      </c>
      <c r="P429" s="18" t="n">
        <f aca="false">M429/L429</f>
        <v>1006.12983088839</v>
      </c>
      <c r="Q429" s="19" t="n">
        <f aca="false">IF(N429=0,"n.a.",P429/N429-1)</f>
        <v>-0.0771264152091252</v>
      </c>
    </row>
    <row r="430" customFormat="false" ht="15" hidden="false" customHeight="false" outlineLevel="0" collapsed="false">
      <c r="A430" s="12" t="s">
        <v>998</v>
      </c>
      <c r="B430" s="12" t="s">
        <v>835</v>
      </c>
      <c r="C430" s="12" t="s">
        <v>836</v>
      </c>
      <c r="D430" s="12" t="s">
        <v>999</v>
      </c>
      <c r="E430" s="12" t="s">
        <v>1000</v>
      </c>
      <c r="F430" s="13" t="n">
        <v>15221617</v>
      </c>
      <c r="G430" s="13" t="n">
        <v>19058778</v>
      </c>
      <c r="H430" s="14" t="n">
        <v>79066</v>
      </c>
      <c r="I430" s="14" t="n">
        <v>79239</v>
      </c>
      <c r="J430" s="15" t="n">
        <f aca="false">I430/H430</f>
        <v>1.0021880454304</v>
      </c>
      <c r="K430" s="16" t="n">
        <f aca="false">ROUND(I430*J430^($F$8-1),0)</f>
        <v>79199</v>
      </c>
      <c r="L430" s="16" t="n">
        <f aca="false">ROUND(I430*J430^($F$9-1),0)</f>
        <v>79230</v>
      </c>
      <c r="M430" s="17" t="n">
        <f aca="false">G430*$F$7</f>
        <v>18359363.4534772</v>
      </c>
      <c r="N430" s="18" t="n">
        <f aca="false">F430/K430</f>
        <v>192.194560537381</v>
      </c>
      <c r="O430" s="18" t="n">
        <f aca="false">G430/L430</f>
        <v>240.550018932223</v>
      </c>
      <c r="P430" s="18" t="n">
        <f aca="false">M430/L430</f>
        <v>231.722370989236</v>
      </c>
      <c r="Q430" s="19" t="n">
        <f aca="false">IF(N430=0,"n.a.",P430/N430-1)</f>
        <v>0.205665604382013</v>
      </c>
    </row>
    <row r="431" customFormat="false" ht="15" hidden="false" customHeight="false" outlineLevel="0" collapsed="false">
      <c r="A431" s="12" t="s">
        <v>1001</v>
      </c>
      <c r="B431" s="12" t="s">
        <v>835</v>
      </c>
      <c r="C431" s="12" t="s">
        <v>836</v>
      </c>
      <c r="D431" s="12" t="s">
        <v>418</v>
      </c>
      <c r="E431" s="12" t="s">
        <v>1002</v>
      </c>
      <c r="F431" s="13" t="n">
        <v>7121990</v>
      </c>
      <c r="G431" s="13" t="n">
        <v>7580401</v>
      </c>
      <c r="H431" s="14" t="n">
        <v>14130</v>
      </c>
      <c r="I431" s="14" t="n">
        <v>18368</v>
      </c>
      <c r="J431" s="15" t="n">
        <f aca="false">I431/H431</f>
        <v>1.29992922859165</v>
      </c>
      <c r="K431" s="16" t="n">
        <f aca="false">ROUND(I431*J431^($F$8-1),0)</f>
        <v>17289</v>
      </c>
      <c r="L431" s="16" t="n">
        <f aca="false">ROUND(I431*J431^($F$9-1),0)</f>
        <v>18119</v>
      </c>
      <c r="M431" s="17" t="n">
        <f aca="false">G431*$F$7</f>
        <v>7302217.22935762</v>
      </c>
      <c r="N431" s="18" t="n">
        <f aca="false">F431/K431</f>
        <v>411.937648215628</v>
      </c>
      <c r="O431" s="18" t="n">
        <f aca="false">G431/L431</f>
        <v>418.367514763508</v>
      </c>
      <c r="P431" s="18" t="n">
        <f aca="false">M431/L431</f>
        <v>403.014362236195</v>
      </c>
      <c r="Q431" s="19" t="n">
        <f aca="false">IF(N431=0,"n.a.",P431/N431-1)</f>
        <v>-0.0216617393872252</v>
      </c>
    </row>
    <row r="432" customFormat="false" ht="15" hidden="false" customHeight="false" outlineLevel="0" collapsed="false">
      <c r="A432" s="12" t="s">
        <v>1003</v>
      </c>
      <c r="B432" s="12" t="s">
        <v>835</v>
      </c>
      <c r="C432" s="12" t="s">
        <v>836</v>
      </c>
      <c r="D432" s="12" t="s">
        <v>421</v>
      </c>
      <c r="E432" s="12" t="s">
        <v>1004</v>
      </c>
      <c r="F432" s="13" t="n">
        <v>23678359</v>
      </c>
      <c r="G432" s="13" t="n">
        <v>15642460</v>
      </c>
      <c r="H432" s="14" t="n">
        <v>43586</v>
      </c>
      <c r="I432" s="14" t="n">
        <v>46752</v>
      </c>
      <c r="J432" s="15" t="n">
        <f aca="false">I432/H432</f>
        <v>1.0726380030285</v>
      </c>
      <c r="K432" s="16" t="n">
        <f aca="false">ROUND(I432*J432^($F$8-1),0)</f>
        <v>46001</v>
      </c>
      <c r="L432" s="16" t="n">
        <f aca="false">ROUND(I432*J432^($F$9-1),0)</f>
        <v>46582</v>
      </c>
      <c r="M432" s="17" t="n">
        <f aca="false">G432*$F$7</f>
        <v>15068416.6868662</v>
      </c>
      <c r="N432" s="18" t="n">
        <f aca="false">F432/K432</f>
        <v>514.735744875111</v>
      </c>
      <c r="O432" s="18" t="n">
        <f aca="false">G432/L432</f>
        <v>335.804817311408</v>
      </c>
      <c r="P432" s="18" t="n">
        <f aca="false">M432/L432</f>
        <v>323.481531210902</v>
      </c>
      <c r="Q432" s="19" t="n">
        <f aca="false">IF(N432=0,"n.a.",P432/N432-1)</f>
        <v>-0.371558057835314</v>
      </c>
    </row>
    <row r="433" customFormat="false" ht="15" hidden="false" customHeight="false" outlineLevel="0" collapsed="false">
      <c r="A433" s="12" t="s">
        <v>1005</v>
      </c>
      <c r="B433" s="12" t="s">
        <v>835</v>
      </c>
      <c r="C433" s="12" t="s">
        <v>836</v>
      </c>
      <c r="D433" s="12" t="s">
        <v>424</v>
      </c>
      <c r="E433" s="12" t="s">
        <v>1006</v>
      </c>
      <c r="F433" s="13" t="n">
        <v>12684304</v>
      </c>
      <c r="G433" s="13" t="n">
        <v>17243213</v>
      </c>
      <c r="H433" s="14" t="n">
        <v>66392</v>
      </c>
      <c r="I433" s="14" t="n">
        <v>65912</v>
      </c>
      <c r="J433" s="15" t="n">
        <f aca="false">I433/H433</f>
        <v>0.992770213278708</v>
      </c>
      <c r="K433" s="16" t="n">
        <f aca="false">ROUND(I433*J433^($F$8-1),0)</f>
        <v>66023</v>
      </c>
      <c r="L433" s="16" t="n">
        <f aca="false">ROUND(I433*J433^($F$9-1),0)</f>
        <v>65937</v>
      </c>
      <c r="M433" s="17" t="n">
        <f aca="false">G433*$F$7</f>
        <v>16610425.6302646</v>
      </c>
      <c r="N433" s="18" t="n">
        <f aca="false">F433/K433</f>
        <v>192.119473516805</v>
      </c>
      <c r="O433" s="18" t="n">
        <f aca="false">G433/L433</f>
        <v>261.510426619349</v>
      </c>
      <c r="P433" s="18" t="n">
        <f aca="false">M433/L433</f>
        <v>251.913578571433</v>
      </c>
      <c r="Q433" s="19" t="n">
        <f aca="false">IF(N433=0,"n.a.",P433/N433-1)</f>
        <v>0.311233962700809</v>
      </c>
    </row>
    <row r="434" customFormat="false" ht="15" hidden="false" customHeight="false" outlineLevel="0" collapsed="false">
      <c r="A434" s="12" t="s">
        <v>1007</v>
      </c>
      <c r="B434" s="12" t="s">
        <v>835</v>
      </c>
      <c r="C434" s="12" t="s">
        <v>836</v>
      </c>
      <c r="D434" s="12" t="s">
        <v>427</v>
      </c>
      <c r="E434" s="12" t="s">
        <v>1008</v>
      </c>
      <c r="F434" s="13" t="n">
        <v>4657158</v>
      </c>
      <c r="G434" s="13" t="n">
        <v>3575311</v>
      </c>
      <c r="H434" s="14" t="n">
        <v>34834</v>
      </c>
      <c r="I434" s="14" t="n">
        <v>49511</v>
      </c>
      <c r="J434" s="15" t="n">
        <f aca="false">I434/H434</f>
        <v>1.42134121834989</v>
      </c>
      <c r="K434" s="16" t="n">
        <f aca="false">ROUND(I434*J434^($F$8-1),0)</f>
        <v>45651</v>
      </c>
      <c r="L434" s="16" t="n">
        <f aca="false">ROUND(I434*J434^($F$9-1),0)</f>
        <v>48615</v>
      </c>
      <c r="M434" s="17" t="n">
        <f aca="false">G434*$F$7</f>
        <v>3444105.07894131</v>
      </c>
      <c r="N434" s="18" t="n">
        <f aca="false">F434/K434</f>
        <v>102.01656042584</v>
      </c>
      <c r="O434" s="18" t="n">
        <f aca="false">G434/L434</f>
        <v>73.5433713874319</v>
      </c>
      <c r="P434" s="18" t="n">
        <f aca="false">M434/L434</f>
        <v>70.8444940644105</v>
      </c>
      <c r="Q434" s="19" t="n">
        <f aca="false">IF(N434=0,"n.a.",P434/N434-1)</f>
        <v>-0.305558884080291</v>
      </c>
    </row>
    <row r="435" customFormat="false" ht="15" hidden="false" customHeight="false" outlineLevel="0" collapsed="false">
      <c r="A435" s="12" t="s">
        <v>1009</v>
      </c>
      <c r="B435" s="12" t="s">
        <v>835</v>
      </c>
      <c r="C435" s="12" t="s">
        <v>836</v>
      </c>
      <c r="D435" s="12" t="s">
        <v>430</v>
      </c>
      <c r="E435" s="12" t="s">
        <v>1010</v>
      </c>
      <c r="F435" s="13" t="n">
        <v>14615041</v>
      </c>
      <c r="G435" s="13" t="n">
        <v>13131075</v>
      </c>
      <c r="H435" s="14" t="n">
        <v>105727</v>
      </c>
      <c r="I435" s="14" t="n">
        <v>108606</v>
      </c>
      <c r="J435" s="15" t="n">
        <f aca="false">I435/H435</f>
        <v>1.02723050876314</v>
      </c>
      <c r="K435" s="16" t="n">
        <f aca="false">ROUND(I435*J435^($F$8-1),0)</f>
        <v>107934</v>
      </c>
      <c r="L435" s="16" t="n">
        <f aca="false">ROUND(I435*J435^($F$9-1),0)</f>
        <v>108454</v>
      </c>
      <c r="M435" s="17" t="n">
        <f aca="false">G435*$F$7</f>
        <v>12649193.9021415</v>
      </c>
      <c r="N435" s="18" t="n">
        <f aca="false">F435/K435</f>
        <v>135.407202549706</v>
      </c>
      <c r="O435" s="18" t="n">
        <f aca="false">G435/L435</f>
        <v>121.075064082468</v>
      </c>
      <c r="P435" s="18" t="n">
        <f aca="false">M435/L435</f>
        <v>116.631879895084</v>
      </c>
      <c r="Q435" s="19" t="n">
        <f aca="false">IF(N435=0,"n.a.",P435/N435-1)</f>
        <v>-0.138658227192382</v>
      </c>
    </row>
    <row r="436" customFormat="false" ht="15" hidden="false" customHeight="false" outlineLevel="0" collapsed="false">
      <c r="A436" s="12" t="s">
        <v>1011</v>
      </c>
      <c r="B436" s="12" t="s">
        <v>835</v>
      </c>
      <c r="C436" s="12" t="s">
        <v>836</v>
      </c>
      <c r="D436" s="12" t="s">
        <v>433</v>
      </c>
      <c r="E436" s="12" t="s">
        <v>1012</v>
      </c>
      <c r="F436" s="13" t="n">
        <v>33327675</v>
      </c>
      <c r="G436" s="13" t="n">
        <v>33236017</v>
      </c>
      <c r="H436" s="14" t="n">
        <v>103260</v>
      </c>
      <c r="I436" s="14" t="n">
        <v>104426</v>
      </c>
      <c r="J436" s="15" t="n">
        <f aca="false">I436/H436</f>
        <v>1.01129188456324</v>
      </c>
      <c r="K436" s="16" t="n">
        <f aca="false">ROUND(I436*J436^($F$8-1),0)</f>
        <v>104156</v>
      </c>
      <c r="L436" s="16" t="n">
        <f aca="false">ROUND(I436*J436^($F$9-1),0)</f>
        <v>104365</v>
      </c>
      <c r="M436" s="17" t="n">
        <f aca="false">G436*$F$7</f>
        <v>32016329.4755281</v>
      </c>
      <c r="N436" s="18" t="n">
        <f aca="false">F436/K436</f>
        <v>319.978445792849</v>
      </c>
      <c r="O436" s="18" t="n">
        <f aca="false">G436/L436</f>
        <v>318.459416471039</v>
      </c>
      <c r="P436" s="18" t="n">
        <f aca="false">M436/L436</f>
        <v>306.772667805568</v>
      </c>
      <c r="Q436" s="19" t="n">
        <f aca="false">IF(N436=0,"n.a.",P436/N436-1)</f>
        <v>-0.0412708360857235</v>
      </c>
    </row>
    <row r="437" customFormat="false" ht="15" hidden="false" customHeight="false" outlineLevel="0" collapsed="false">
      <c r="A437" s="12" t="s">
        <v>1013</v>
      </c>
      <c r="B437" s="12" t="s">
        <v>835</v>
      </c>
      <c r="C437" s="12" t="s">
        <v>836</v>
      </c>
      <c r="D437" s="12" t="s">
        <v>436</v>
      </c>
      <c r="E437" s="12" t="s">
        <v>1014</v>
      </c>
      <c r="F437" s="13" t="n">
        <v>6537090</v>
      </c>
      <c r="G437" s="13" t="n">
        <v>3730611</v>
      </c>
      <c r="H437" s="14" t="n">
        <v>11356</v>
      </c>
      <c r="I437" s="14" t="n">
        <v>13729</v>
      </c>
      <c r="J437" s="15" t="n">
        <f aca="false">I437/H437</f>
        <v>1.20896442409299</v>
      </c>
      <c r="K437" s="16" t="n">
        <f aca="false">ROUND(I437*J437^($F$8-1),0)</f>
        <v>13140</v>
      </c>
      <c r="L437" s="16" t="n">
        <f aca="false">ROUND(I437*J437^($F$9-1),0)</f>
        <v>13594</v>
      </c>
      <c r="M437" s="17" t="n">
        <f aca="false">G437*$F$7</f>
        <v>3593705.91611592</v>
      </c>
      <c r="N437" s="18" t="n">
        <f aca="false">F437/K437</f>
        <v>497.495433789954</v>
      </c>
      <c r="O437" s="18" t="n">
        <f aca="false">G437/L437</f>
        <v>274.430704722672</v>
      </c>
      <c r="P437" s="18" t="n">
        <f aca="false">M437/L437</f>
        <v>264.359711351767</v>
      </c>
      <c r="Q437" s="19" t="n">
        <f aca="false">IF(N437=0,"n.a.",P437/N437-1)</f>
        <v>-0.468618818593255</v>
      </c>
    </row>
    <row r="438" customFormat="false" ht="15" hidden="false" customHeight="false" outlineLevel="0" collapsed="false">
      <c r="A438" s="12" t="s">
        <v>1015</v>
      </c>
      <c r="B438" s="12" t="s">
        <v>835</v>
      </c>
      <c r="C438" s="12" t="s">
        <v>836</v>
      </c>
      <c r="D438" s="12" t="s">
        <v>439</v>
      </c>
      <c r="E438" s="12" t="s">
        <v>1016</v>
      </c>
      <c r="F438" s="13" t="n">
        <v>16530566</v>
      </c>
      <c r="G438" s="13" t="n">
        <v>16930772</v>
      </c>
      <c r="H438" s="14" t="n">
        <v>89601</v>
      </c>
      <c r="I438" s="14" t="n">
        <v>88023</v>
      </c>
      <c r="J438" s="15" t="n">
        <f aca="false">I438/H438</f>
        <v>0.982388589413065</v>
      </c>
      <c r="K438" s="16" t="n">
        <f aca="false">ROUND(I438*J438^($F$8-1),0)</f>
        <v>88385</v>
      </c>
      <c r="L438" s="16" t="n">
        <f aca="false">ROUND(I438*J438^($F$9-1),0)</f>
        <v>88104</v>
      </c>
      <c r="M438" s="17" t="n">
        <f aca="false">G438*$F$7</f>
        <v>16309450.5164998</v>
      </c>
      <c r="N438" s="18" t="n">
        <f aca="false">F438/K438</f>
        <v>187.029088646264</v>
      </c>
      <c r="O438" s="18" t="n">
        <f aca="false">G438/L438</f>
        <v>192.168028693362</v>
      </c>
      <c r="P438" s="18" t="n">
        <f aca="false">M438/L438</f>
        <v>185.115891633749</v>
      </c>
      <c r="Q438" s="19" t="n">
        <f aca="false">IF(N438=0,"n.a.",P438/N438-1)</f>
        <v>-0.0102294088388217</v>
      </c>
    </row>
    <row r="439" customFormat="false" ht="15" hidden="false" customHeight="false" outlineLevel="0" collapsed="false">
      <c r="A439" s="12" t="s">
        <v>1017</v>
      </c>
      <c r="B439" s="12" t="s">
        <v>835</v>
      </c>
      <c r="C439" s="12" t="s">
        <v>836</v>
      </c>
      <c r="D439" s="12" t="s">
        <v>442</v>
      </c>
      <c r="E439" s="12" t="s">
        <v>1018</v>
      </c>
      <c r="F439" s="13" t="n">
        <v>85116261</v>
      </c>
      <c r="G439" s="13" t="n">
        <v>81726180</v>
      </c>
      <c r="H439" s="14" t="n">
        <v>65371</v>
      </c>
      <c r="I439" s="14" t="n">
        <v>66166</v>
      </c>
      <c r="J439" s="15" t="n">
        <f aca="false">I439/H439</f>
        <v>1.01216135595295</v>
      </c>
      <c r="K439" s="16" t="n">
        <f aca="false">ROUND(I439*J439^($F$8-1),0)</f>
        <v>65982</v>
      </c>
      <c r="L439" s="16" t="n">
        <f aca="false">ROUND(I439*J439^($F$9-1),0)</f>
        <v>66124</v>
      </c>
      <c r="M439" s="17" t="n">
        <f aca="false">G439*$F$7</f>
        <v>78727011.8936428</v>
      </c>
      <c r="N439" s="18" t="n">
        <f aca="false">F439/K439</f>
        <v>1289.99213421842</v>
      </c>
      <c r="O439" s="18" t="n">
        <f aca="false">G439/L439</f>
        <v>1235.95336035328</v>
      </c>
      <c r="P439" s="18" t="n">
        <f aca="false">M439/L439</f>
        <v>1190.59663501365</v>
      </c>
      <c r="Q439" s="19" t="n">
        <f aca="false">IF(N439=0,"n.a.",P439/N439-1)</f>
        <v>-0.0770512443976963</v>
      </c>
    </row>
    <row r="440" customFormat="false" ht="15" hidden="false" customHeight="false" outlineLevel="0" collapsed="false">
      <c r="A440" s="12" t="s">
        <v>1019</v>
      </c>
      <c r="B440" s="12" t="s">
        <v>835</v>
      </c>
      <c r="C440" s="12" t="s">
        <v>836</v>
      </c>
      <c r="D440" s="12" t="s">
        <v>445</v>
      </c>
      <c r="E440" s="12" t="s">
        <v>1020</v>
      </c>
      <c r="F440" s="13" t="n">
        <v>21374926</v>
      </c>
      <c r="G440" s="13" t="n">
        <v>24050861</v>
      </c>
      <c r="H440" s="14" t="n">
        <v>58502</v>
      </c>
      <c r="I440" s="14" t="n">
        <v>60648</v>
      </c>
      <c r="J440" s="15" t="n">
        <f aca="false">I440/H440</f>
        <v>1.03668250658097</v>
      </c>
      <c r="K440" s="16" t="n">
        <f aca="false">ROUND(I440*J440^($F$8-1),0)</f>
        <v>60146</v>
      </c>
      <c r="L440" s="16" t="n">
        <f aca="false">ROUND(I440*J440^($F$9-1),0)</f>
        <v>60535</v>
      </c>
      <c r="M440" s="17" t="n">
        <f aca="false">G440*$F$7</f>
        <v>23168248.1672256</v>
      </c>
      <c r="N440" s="18" t="n">
        <f aca="false">F440/K440</f>
        <v>355.383998935923</v>
      </c>
      <c r="O440" s="18" t="n">
        <f aca="false">G440/L440</f>
        <v>397.305046667217</v>
      </c>
      <c r="P440" s="18" t="n">
        <f aca="false">M440/L440</f>
        <v>382.724839633693</v>
      </c>
      <c r="Q440" s="19" t="n">
        <f aca="false">IF(N440=0,"n.a.",P440/N440-1)</f>
        <v>0.0769332349785961</v>
      </c>
    </row>
    <row r="441" customFormat="false" ht="15" hidden="false" customHeight="false" outlineLevel="0" collapsed="false">
      <c r="A441" s="12" t="s">
        <v>1021</v>
      </c>
      <c r="B441" s="12" t="s">
        <v>835</v>
      </c>
      <c r="C441" s="12" t="s">
        <v>836</v>
      </c>
      <c r="D441" s="12" t="s">
        <v>448</v>
      </c>
      <c r="E441" s="12" t="s">
        <v>1022</v>
      </c>
      <c r="F441" s="13" t="n">
        <v>12471815</v>
      </c>
      <c r="G441" s="13" t="n">
        <v>14108370</v>
      </c>
      <c r="H441" s="14" t="n">
        <v>32544</v>
      </c>
      <c r="I441" s="14" t="n">
        <v>33323</v>
      </c>
      <c r="J441" s="15" t="n">
        <f aca="false">I441/H441</f>
        <v>1.02393682399213</v>
      </c>
      <c r="K441" s="16" t="n">
        <f aca="false">ROUND(I441*J441^($F$8-1),0)</f>
        <v>33142</v>
      </c>
      <c r="L441" s="16" t="n">
        <f aca="false">ROUND(I441*J441^($F$9-1),0)</f>
        <v>33282</v>
      </c>
      <c r="M441" s="17" t="n">
        <f aca="false">G441*$F$7</f>
        <v>13590624.3603936</v>
      </c>
      <c r="N441" s="18" t="n">
        <f aca="false">F441/K441</f>
        <v>376.314495202462</v>
      </c>
      <c r="O441" s="18" t="n">
        <f aca="false">G441/L441</f>
        <v>423.903912024518</v>
      </c>
      <c r="P441" s="18" t="n">
        <f aca="false">M441/L441</f>
        <v>408.347586094394</v>
      </c>
      <c r="Q441" s="19" t="n">
        <f aca="false">IF(N441=0,"n.a.",P441/N441-1)</f>
        <v>0.0851231916397415</v>
      </c>
    </row>
    <row r="442" customFormat="false" ht="15" hidden="false" customHeight="false" outlineLevel="0" collapsed="false">
      <c r="A442" s="12" t="s">
        <v>1023</v>
      </c>
      <c r="B442" s="12" t="s">
        <v>835</v>
      </c>
      <c r="C442" s="12" t="s">
        <v>836</v>
      </c>
      <c r="D442" s="12" t="s">
        <v>1024</v>
      </c>
      <c r="E442" s="12" t="s">
        <v>1025</v>
      </c>
      <c r="F442" s="13" t="n">
        <v>4763484</v>
      </c>
      <c r="G442" s="13" t="n">
        <v>5276326</v>
      </c>
      <c r="H442" s="14" t="n">
        <v>20475</v>
      </c>
      <c r="I442" s="14" t="n">
        <v>22797</v>
      </c>
      <c r="J442" s="15" t="n">
        <f aca="false">I442/H442</f>
        <v>1.11340659340659</v>
      </c>
      <c r="K442" s="16" t="n">
        <f aca="false">ROUND(I442*J442^($F$8-1),0)</f>
        <v>22239</v>
      </c>
      <c r="L442" s="16" t="n">
        <f aca="false">ROUND(I442*J442^($F$9-1),0)</f>
        <v>22670</v>
      </c>
      <c r="M442" s="17" t="n">
        <f aca="false">G442*$F$7</f>
        <v>5082696.63107632</v>
      </c>
      <c r="N442" s="18" t="n">
        <f aca="false">F442/K442</f>
        <v>214.195062727641</v>
      </c>
      <c r="O442" s="18" t="n">
        <f aca="false">G442/L442</f>
        <v>232.744861049846</v>
      </c>
      <c r="P442" s="18" t="n">
        <f aca="false">M442/L442</f>
        <v>224.203644952639</v>
      </c>
      <c r="Q442" s="19" t="n">
        <f aca="false">IF(N442=0,"n.a.",P442/N442-1)</f>
        <v>0.0467264842501269</v>
      </c>
    </row>
    <row r="443" customFormat="false" ht="15" hidden="false" customHeight="false" outlineLevel="0" collapsed="false">
      <c r="A443" s="12" t="s">
        <v>1026</v>
      </c>
      <c r="B443" s="12" t="s">
        <v>835</v>
      </c>
      <c r="C443" s="12" t="s">
        <v>836</v>
      </c>
      <c r="D443" s="12" t="s">
        <v>809</v>
      </c>
      <c r="E443" s="12" t="s">
        <v>1027</v>
      </c>
      <c r="F443" s="13" t="n">
        <v>153261977</v>
      </c>
      <c r="G443" s="13" t="n">
        <v>188927429</v>
      </c>
      <c r="H443" s="14" t="n">
        <v>103634</v>
      </c>
      <c r="I443" s="14" t="n">
        <v>108006</v>
      </c>
      <c r="J443" s="15" t="n">
        <f aca="false">I443/H443</f>
        <v>1.04218692707027</v>
      </c>
      <c r="K443" s="16" t="n">
        <f aca="false">ROUND(I443*J443^($F$8-1),0)</f>
        <v>106980</v>
      </c>
      <c r="L443" s="16" t="n">
        <f aca="false">ROUND(I443*J443^($F$9-1),0)</f>
        <v>107774</v>
      </c>
      <c r="M443" s="17" t="n">
        <f aca="false">G443*$F$7</f>
        <v>181994214.704742</v>
      </c>
      <c r="N443" s="18" t="n">
        <f aca="false">F443/K443</f>
        <v>1432.62270517854</v>
      </c>
      <c r="O443" s="18" t="n">
        <f aca="false">G443/L443</f>
        <v>1752.99635348043</v>
      </c>
      <c r="P443" s="18" t="n">
        <f aca="false">M443/L443</f>
        <v>1688.66530614751</v>
      </c>
      <c r="Q443" s="19" t="n">
        <f aca="false">IF(N443=0,"n.a.",P443/N443-1)</f>
        <v>0.178722981314932</v>
      </c>
    </row>
    <row r="444" customFormat="false" ht="15" hidden="false" customHeight="false" outlineLevel="0" collapsed="false">
      <c r="A444" s="12" t="s">
        <v>1028</v>
      </c>
      <c r="B444" s="12" t="s">
        <v>835</v>
      </c>
      <c r="C444" s="12" t="s">
        <v>836</v>
      </c>
      <c r="D444" s="12" t="s">
        <v>451</v>
      </c>
      <c r="E444" s="12" t="s">
        <v>1029</v>
      </c>
      <c r="F444" s="13" t="n">
        <v>14081621</v>
      </c>
      <c r="G444" s="13" t="n">
        <v>17645634</v>
      </c>
      <c r="H444" s="14" t="n">
        <v>39489</v>
      </c>
      <c r="I444" s="14" t="n">
        <v>41165</v>
      </c>
      <c r="J444" s="15" t="n">
        <f aca="false">I444/H444</f>
        <v>1.04244219909342</v>
      </c>
      <c r="K444" s="16" t="n">
        <f aca="false">ROUND(I444*J444^($F$8-1),0)</f>
        <v>40772</v>
      </c>
      <c r="L444" s="16" t="n">
        <f aca="false">ROUND(I444*J444^($F$9-1),0)</f>
        <v>41076</v>
      </c>
      <c r="M444" s="17" t="n">
        <f aca="false">G444*$F$7</f>
        <v>16998078.6791805</v>
      </c>
      <c r="N444" s="18" t="n">
        <f aca="false">F444/K444</f>
        <v>345.374791523595</v>
      </c>
      <c r="O444" s="18" t="n">
        <f aca="false">G444/L444</f>
        <v>429.585013146363</v>
      </c>
      <c r="P444" s="18" t="n">
        <f aca="false">M444/L444</f>
        <v>413.820203505222</v>
      </c>
      <c r="Q444" s="19" t="n">
        <f aca="false">IF(N444=0,"n.a.",P444/N444-1)</f>
        <v>0.198177208242923</v>
      </c>
    </row>
    <row r="445" customFormat="false" ht="15" hidden="false" customHeight="false" outlineLevel="0" collapsed="false">
      <c r="A445" s="12" t="s">
        <v>1030</v>
      </c>
      <c r="B445" s="12" t="s">
        <v>835</v>
      </c>
      <c r="C445" s="12" t="s">
        <v>836</v>
      </c>
      <c r="D445" s="12" t="s">
        <v>454</v>
      </c>
      <c r="E445" s="12" t="s">
        <v>1031</v>
      </c>
      <c r="F445" s="13" t="n">
        <v>2989319</v>
      </c>
      <c r="G445" s="13" t="n">
        <v>2143756</v>
      </c>
      <c r="H445" s="14" t="n">
        <v>18421</v>
      </c>
      <c r="I445" s="14" t="n">
        <v>19606</v>
      </c>
      <c r="J445" s="15" t="n">
        <f aca="false">I445/H445</f>
        <v>1.06432875522502</v>
      </c>
      <c r="K445" s="16" t="n">
        <f aca="false">ROUND(I445*J445^($F$8-1),0)</f>
        <v>19326</v>
      </c>
      <c r="L445" s="16" t="n">
        <f aca="false">ROUND(I445*J445^($F$9-1),0)</f>
        <v>19543</v>
      </c>
      <c r="M445" s="17" t="n">
        <f aca="false">G445*$F$7</f>
        <v>2065084.94718667</v>
      </c>
      <c r="N445" s="18" t="n">
        <f aca="false">F445/K445</f>
        <v>154.678619476353</v>
      </c>
      <c r="O445" s="18" t="n">
        <f aca="false">G445/L445</f>
        <v>109.694315100036</v>
      </c>
      <c r="P445" s="18" t="n">
        <f aca="false">M445/L445</f>
        <v>105.668778958536</v>
      </c>
      <c r="Q445" s="19" t="n">
        <f aca="false">IF(N445=0,"n.a.",P445/N445-1)</f>
        <v>-0.316849482389579</v>
      </c>
    </row>
    <row r="446" customFormat="false" ht="15" hidden="false" customHeight="false" outlineLevel="0" collapsed="false">
      <c r="A446" s="12" t="s">
        <v>1032</v>
      </c>
      <c r="B446" s="12" t="s">
        <v>835</v>
      </c>
      <c r="C446" s="12" t="s">
        <v>836</v>
      </c>
      <c r="D446" s="12" t="s">
        <v>457</v>
      </c>
      <c r="E446" s="12" t="s">
        <v>1033</v>
      </c>
      <c r="F446" s="13" t="n">
        <v>925792</v>
      </c>
      <c r="G446" s="13" t="n">
        <v>1144403</v>
      </c>
      <c r="H446" s="14" t="n">
        <v>5736</v>
      </c>
      <c r="I446" s="14" t="n">
        <v>6423</v>
      </c>
      <c r="J446" s="15" t="n">
        <f aca="false">I446/H446</f>
        <v>1.11976987447699</v>
      </c>
      <c r="K446" s="16" t="n">
        <f aca="false">ROUND(I446*J446^($F$8-1),0)</f>
        <v>6257</v>
      </c>
      <c r="L446" s="16" t="n">
        <f aca="false">ROUND(I446*J446^($F$9-1),0)</f>
        <v>6385</v>
      </c>
      <c r="M446" s="17" t="n">
        <f aca="false">G446*$F$7</f>
        <v>1102405.96822365</v>
      </c>
      <c r="N446" s="18" t="n">
        <f aca="false">F446/K446</f>
        <v>147.961003675883</v>
      </c>
      <c r="O446" s="18" t="n">
        <f aca="false">G446/L446</f>
        <v>179.233046202036</v>
      </c>
      <c r="P446" s="18" t="n">
        <f aca="false">M446/L446</f>
        <v>172.655594083579</v>
      </c>
      <c r="Q446" s="19" t="n">
        <f aca="false">IF(N446=0,"n.a.",P446/N446-1)</f>
        <v>0.166899316672595</v>
      </c>
    </row>
    <row r="447" customFormat="false" ht="15" hidden="false" customHeight="false" outlineLevel="0" collapsed="false">
      <c r="A447" s="12" t="s">
        <v>1034</v>
      </c>
      <c r="B447" s="12" t="s">
        <v>835</v>
      </c>
      <c r="C447" s="12" t="s">
        <v>836</v>
      </c>
      <c r="D447" s="12" t="s">
        <v>460</v>
      </c>
      <c r="E447" s="12" t="s">
        <v>1035</v>
      </c>
      <c r="F447" s="13" t="n">
        <v>233925302</v>
      </c>
      <c r="G447" s="13" t="n">
        <v>250067954</v>
      </c>
      <c r="H447" s="14" t="n">
        <v>272469</v>
      </c>
      <c r="I447" s="14" t="n">
        <v>282970</v>
      </c>
      <c r="J447" s="15" t="n">
        <f aca="false">I447/H447</f>
        <v>1.03854016420217</v>
      </c>
      <c r="K447" s="16" t="n">
        <f aca="false">ROUND(I447*J447^($F$8-1),0)</f>
        <v>280510</v>
      </c>
      <c r="L447" s="16" t="n">
        <f aca="false">ROUND(I447*J447^($F$9-1),0)</f>
        <v>282415</v>
      </c>
      <c r="M447" s="17" t="n">
        <f aca="false">G447*$F$7</f>
        <v>240891019.117459</v>
      </c>
      <c r="N447" s="18" t="n">
        <f aca="false">F447/K447</f>
        <v>833.92856582653</v>
      </c>
      <c r="O447" s="18" t="n">
        <f aca="false">G447/L447</f>
        <v>885.462719756387</v>
      </c>
      <c r="P447" s="18" t="n">
        <f aca="false">M447/L447</f>
        <v>852.968217401552</v>
      </c>
      <c r="Q447" s="19" t="n">
        <f aca="false">IF(N447=0,"n.a.",P447/N447-1)</f>
        <v>0.022831273990658</v>
      </c>
    </row>
    <row r="448" customFormat="false" ht="15" hidden="false" customHeight="false" outlineLevel="0" collapsed="false">
      <c r="A448" s="12" t="s">
        <v>1036</v>
      </c>
      <c r="B448" s="12" t="s">
        <v>835</v>
      </c>
      <c r="C448" s="12" t="s">
        <v>836</v>
      </c>
      <c r="D448" s="12" t="s">
        <v>463</v>
      </c>
      <c r="E448" s="12" t="s">
        <v>1037</v>
      </c>
      <c r="F448" s="13" t="n">
        <v>12040260</v>
      </c>
      <c r="G448" s="13" t="n">
        <v>15310618</v>
      </c>
      <c r="H448" s="14" t="n">
        <v>47032</v>
      </c>
      <c r="I448" s="14" t="n">
        <v>54312</v>
      </c>
      <c r="J448" s="15" t="n">
        <f aca="false">I448/H448</f>
        <v>1.1547882292907</v>
      </c>
      <c r="K448" s="16" t="n">
        <f aca="false">ROUND(I448*J448^($F$8-1),0)</f>
        <v>52537</v>
      </c>
      <c r="L448" s="16" t="n">
        <f aca="false">ROUND(I448*J448^($F$9-1),0)</f>
        <v>53907</v>
      </c>
      <c r="M448" s="17" t="n">
        <f aca="false">G448*$F$7</f>
        <v>14748752.5464303</v>
      </c>
      <c r="N448" s="18" t="n">
        <f aca="false">F448/K448</f>
        <v>229.17677065687</v>
      </c>
      <c r="O448" s="18" t="n">
        <f aca="false">G448/L448</f>
        <v>284.019106980541</v>
      </c>
      <c r="P448" s="18" t="n">
        <f aca="false">M448/L448</f>
        <v>273.596240681735</v>
      </c>
      <c r="Q448" s="19" t="n">
        <f aca="false">IF(N448=0,"n.a.",P448/N448-1)</f>
        <v>0.193821869020796</v>
      </c>
    </row>
    <row r="449" customFormat="false" ht="15" hidden="false" customHeight="false" outlineLevel="0" collapsed="false">
      <c r="A449" s="12" t="s">
        <v>1038</v>
      </c>
      <c r="B449" s="12" t="s">
        <v>835</v>
      </c>
      <c r="C449" s="12" t="s">
        <v>836</v>
      </c>
      <c r="D449" s="12" t="s">
        <v>466</v>
      </c>
      <c r="E449" s="12" t="s">
        <v>1039</v>
      </c>
      <c r="F449" s="13" t="n">
        <v>34524521</v>
      </c>
      <c r="G449" s="13" t="n">
        <v>34801759</v>
      </c>
      <c r="H449" s="14" t="n">
        <v>84252</v>
      </c>
      <c r="I449" s="14" t="n">
        <v>87867</v>
      </c>
      <c r="J449" s="15" t="n">
        <f aca="false">I449/H449</f>
        <v>1.0429069933058</v>
      </c>
      <c r="K449" s="16" t="n">
        <f aca="false">ROUND(I449*J449^($F$8-1),0)</f>
        <v>87019</v>
      </c>
      <c r="L449" s="16" t="n">
        <f aca="false">ROUND(I449*J449^($F$9-1),0)</f>
        <v>87675</v>
      </c>
      <c r="M449" s="17" t="n">
        <f aca="false">G449*$F$7</f>
        <v>33524612.244359</v>
      </c>
      <c r="N449" s="18" t="n">
        <f aca="false">F449/K449</f>
        <v>396.746928831635</v>
      </c>
      <c r="O449" s="18" t="n">
        <f aca="false">G449/L449</f>
        <v>396.940507556316</v>
      </c>
      <c r="P449" s="18" t="n">
        <f aca="false">M449/L449</f>
        <v>382.373678293231</v>
      </c>
      <c r="Q449" s="19" t="n">
        <f aca="false">IF(N449=0,"n.a.",P449/N449-1)</f>
        <v>-0.0362277550092965</v>
      </c>
    </row>
    <row r="450" customFormat="false" ht="15" hidden="false" customHeight="false" outlineLevel="0" collapsed="false">
      <c r="A450" s="12" t="s">
        <v>1040</v>
      </c>
      <c r="B450" s="12" t="s">
        <v>835</v>
      </c>
      <c r="C450" s="12" t="s">
        <v>836</v>
      </c>
      <c r="D450" s="12" t="s">
        <v>469</v>
      </c>
      <c r="E450" s="12" t="s">
        <v>1041</v>
      </c>
      <c r="F450" s="13" t="n">
        <v>3566605</v>
      </c>
      <c r="G450" s="13" t="n">
        <v>3917883</v>
      </c>
      <c r="H450" s="14" t="n">
        <v>16414</v>
      </c>
      <c r="I450" s="14" t="n">
        <v>17180</v>
      </c>
      <c r="J450" s="15" t="n">
        <f aca="false">I450/H450</f>
        <v>1.04666747898136</v>
      </c>
      <c r="K450" s="16" t="n">
        <f aca="false">ROUND(I450*J450^($F$8-1),0)</f>
        <v>17000</v>
      </c>
      <c r="L450" s="16" t="n">
        <f aca="false">ROUND(I450*J450^($F$9-1),0)</f>
        <v>17139</v>
      </c>
      <c r="M450" s="17" t="n">
        <f aca="false">G450*$F$7</f>
        <v>3774105.45236424</v>
      </c>
      <c r="N450" s="18" t="n">
        <f aca="false">F450/K450</f>
        <v>209.800294117647</v>
      </c>
      <c r="O450" s="18" t="n">
        <f aca="false">G450/L450</f>
        <v>228.594608786977</v>
      </c>
      <c r="P450" s="18" t="n">
        <f aca="false">M450/L450</f>
        <v>220.20569766989</v>
      </c>
      <c r="Q450" s="19" t="n">
        <f aca="false">IF(N450=0,"n.a.",P450/N450-1)</f>
        <v>0.049596706220095</v>
      </c>
    </row>
    <row r="451" customFormat="false" ht="15" hidden="false" customHeight="false" outlineLevel="0" collapsed="false">
      <c r="A451" s="12" t="s">
        <v>1042</v>
      </c>
      <c r="B451" s="12" t="s">
        <v>835</v>
      </c>
      <c r="C451" s="12" t="s">
        <v>836</v>
      </c>
      <c r="D451" s="12" t="s">
        <v>472</v>
      </c>
      <c r="E451" s="12" t="s">
        <v>1043</v>
      </c>
      <c r="F451" s="13" t="n">
        <v>11545564</v>
      </c>
      <c r="G451" s="13" t="n">
        <v>13942202</v>
      </c>
      <c r="H451" s="14" t="n">
        <v>49062</v>
      </c>
      <c r="I451" s="14" t="n">
        <v>52455</v>
      </c>
      <c r="J451" s="15" t="n">
        <f aca="false">I451/H451</f>
        <v>1.0691573926868</v>
      </c>
      <c r="K451" s="16" t="n">
        <f aca="false">ROUND(I451*J451^($F$8-1),0)</f>
        <v>51651</v>
      </c>
      <c r="L451" s="16" t="n">
        <f aca="false">ROUND(I451*J451^($F$9-1),0)</f>
        <v>52273</v>
      </c>
      <c r="M451" s="17" t="n">
        <f aca="false">G451*$F$7</f>
        <v>13430554.3545235</v>
      </c>
      <c r="N451" s="18" t="n">
        <f aca="false">F451/K451</f>
        <v>223.530309190529</v>
      </c>
      <c r="O451" s="18" t="n">
        <f aca="false">G451/L451</f>
        <v>266.718994509594</v>
      </c>
      <c r="P451" s="18" t="n">
        <f aca="false">M451/L451</f>
        <v>256.931003663909</v>
      </c>
      <c r="Q451" s="19" t="n">
        <f aca="false">IF(N451=0,"n.a.",P451/N451-1)</f>
        <v>0.149423559580506</v>
      </c>
    </row>
    <row r="452" customFormat="false" ht="15" hidden="false" customHeight="false" outlineLevel="0" collapsed="false">
      <c r="A452" s="12" t="s">
        <v>1044</v>
      </c>
      <c r="B452" s="12" t="s">
        <v>835</v>
      </c>
      <c r="C452" s="12" t="s">
        <v>836</v>
      </c>
      <c r="D452" s="12" t="s">
        <v>475</v>
      </c>
      <c r="E452" s="12" t="s">
        <v>1045</v>
      </c>
      <c r="F452" s="13" t="n">
        <v>1156810817</v>
      </c>
      <c r="G452" s="13" t="n">
        <v>1189030200</v>
      </c>
      <c r="H452" s="14" t="n">
        <v>664236</v>
      </c>
      <c r="I452" s="14" t="n">
        <v>661629</v>
      </c>
      <c r="J452" s="15" t="n">
        <f aca="false">I452/H452</f>
        <v>0.996075190143262</v>
      </c>
      <c r="K452" s="16" t="n">
        <f aca="false">ROUND(I452*J452^($F$8-1),0)</f>
        <v>662230</v>
      </c>
      <c r="L452" s="16" t="n">
        <f aca="false">ROUND(I452*J452^($F$9-1),0)</f>
        <v>661764</v>
      </c>
      <c r="M452" s="17" t="n">
        <f aca="false">G452*$F$7</f>
        <v>1145395449.74818</v>
      </c>
      <c r="N452" s="18" t="n">
        <f aca="false">F452/K452</f>
        <v>1746.84145538559</v>
      </c>
      <c r="O452" s="18" t="n">
        <f aca="false">G452/L452</f>
        <v>1796.75866320924</v>
      </c>
      <c r="P452" s="18" t="n">
        <f aca="false">M452/L452</f>
        <v>1730.82163694033</v>
      </c>
      <c r="Q452" s="19" t="n">
        <f aca="false">IF(N452=0,"n.a.",P452/N452-1)</f>
        <v>-0.00917073406740832</v>
      </c>
    </row>
    <row r="453" customFormat="false" ht="15" hidden="false" customHeight="false" outlineLevel="0" collapsed="false">
      <c r="A453" s="12" t="s">
        <v>1046</v>
      </c>
      <c r="B453" s="12" t="s">
        <v>835</v>
      </c>
      <c r="C453" s="12" t="s">
        <v>836</v>
      </c>
      <c r="D453" s="12" t="s">
        <v>478</v>
      </c>
      <c r="E453" s="12" t="s">
        <v>1047</v>
      </c>
      <c r="F453" s="13" t="n">
        <v>1522707</v>
      </c>
      <c r="G453" s="13" t="n">
        <v>1799441</v>
      </c>
      <c r="H453" s="14" t="n">
        <v>31744</v>
      </c>
      <c r="I453" s="14" t="n">
        <v>28716</v>
      </c>
      <c r="J453" s="15" t="n">
        <f aca="false">I453/H453</f>
        <v>0.90461189516129</v>
      </c>
      <c r="K453" s="16" t="n">
        <f aca="false">ROUND(I453*J453^($F$8-1),0)</f>
        <v>29388</v>
      </c>
      <c r="L453" s="16" t="n">
        <f aca="false">ROUND(I453*J453^($F$9-1),0)</f>
        <v>28866</v>
      </c>
      <c r="M453" s="17" t="n">
        <f aca="false">G453*$F$7</f>
        <v>1733405.53796725</v>
      </c>
      <c r="N453" s="18" t="n">
        <f aca="false">F453/K453</f>
        <v>51.8139036341364</v>
      </c>
      <c r="O453" s="18" t="n">
        <f aca="false">G453/L453</f>
        <v>62.3377329730479</v>
      </c>
      <c r="P453" s="18" t="n">
        <f aca="false">M453/L453</f>
        <v>60.0500775295245</v>
      </c>
      <c r="Q453" s="19" t="n">
        <f aca="false">IF(N453=0,"n.a.",P453/N453-1)</f>
        <v>0.158956830458955</v>
      </c>
    </row>
    <row r="454" customFormat="false" ht="15" hidden="false" customHeight="false" outlineLevel="0" collapsed="false">
      <c r="A454" s="12" t="s">
        <v>1048</v>
      </c>
      <c r="B454" s="12" t="s">
        <v>835</v>
      </c>
      <c r="C454" s="12" t="s">
        <v>836</v>
      </c>
      <c r="D454" s="12" t="s">
        <v>481</v>
      </c>
      <c r="E454" s="12" t="s">
        <v>1049</v>
      </c>
      <c r="F454" s="13" t="n">
        <v>1051670776</v>
      </c>
      <c r="G454" s="13" t="n">
        <v>1130901567</v>
      </c>
      <c r="H454" s="14" t="n">
        <v>909388</v>
      </c>
      <c r="I454" s="14" t="n">
        <v>915854</v>
      </c>
      <c r="J454" s="15" t="n">
        <f aca="false">I454/H454</f>
        <v>1.00711027636169</v>
      </c>
      <c r="K454" s="16" t="n">
        <f aca="false">ROUND(I454*J454^($F$8-1),0)</f>
        <v>914357</v>
      </c>
      <c r="L454" s="16" t="n">
        <f aca="false">ROUND(I454*J454^($F$9-1),0)</f>
        <v>915517</v>
      </c>
      <c r="M454" s="17" t="n">
        <f aca="false">G454*$F$7</f>
        <v>1089400007.63217</v>
      </c>
      <c r="N454" s="18" t="n">
        <f aca="false">F454/K454</f>
        <v>1150.17523352476</v>
      </c>
      <c r="O454" s="18" t="n">
        <f aca="false">G454/L454</f>
        <v>1235.26004104785</v>
      </c>
      <c r="P454" s="18" t="n">
        <f aca="false">M454/L454</f>
        <v>1189.92875897681</v>
      </c>
      <c r="Q454" s="19" t="n">
        <f aca="false">IF(N454=0,"n.a.",P454/N454-1)</f>
        <v>0.0345630163937916</v>
      </c>
    </row>
    <row r="455" customFormat="false" ht="15" hidden="false" customHeight="false" outlineLevel="0" collapsed="false">
      <c r="A455" s="12" t="s">
        <v>1050</v>
      </c>
      <c r="B455" s="12" t="s">
        <v>835</v>
      </c>
      <c r="C455" s="12" t="s">
        <v>836</v>
      </c>
      <c r="D455" s="12" t="s">
        <v>484</v>
      </c>
      <c r="E455" s="12" t="s">
        <v>1051</v>
      </c>
      <c r="F455" s="13" t="n">
        <v>6144552</v>
      </c>
      <c r="G455" s="13" t="n">
        <v>8260112</v>
      </c>
      <c r="H455" s="14" t="n">
        <v>12901</v>
      </c>
      <c r="I455" s="14" t="n">
        <v>12664</v>
      </c>
      <c r="J455" s="15" t="n">
        <f aca="false">I455/H455</f>
        <v>0.981629331059608</v>
      </c>
      <c r="K455" s="16" t="n">
        <f aca="false">ROUND(I455*J455^($F$8-1),0)</f>
        <v>12718</v>
      </c>
      <c r="L455" s="16" t="n">
        <f aca="false">ROUND(I455*J455^($F$9-1),0)</f>
        <v>12676</v>
      </c>
      <c r="M455" s="17" t="n">
        <f aca="false">G455*$F$7</f>
        <v>7956984.35515794</v>
      </c>
      <c r="N455" s="18" t="n">
        <f aca="false">F455/K455</f>
        <v>483.138229281334</v>
      </c>
      <c r="O455" s="18" t="n">
        <f aca="false">G455/L455</f>
        <v>651.633953928684</v>
      </c>
      <c r="P455" s="18" t="n">
        <f aca="false">M455/L455</f>
        <v>627.720444553325</v>
      </c>
      <c r="Q455" s="19" t="n">
        <f aca="false">IF(N455=0,"n.a.",P455/N455-1)</f>
        <v>0.299256416713404</v>
      </c>
    </row>
    <row r="456" customFormat="false" ht="15" hidden="false" customHeight="false" outlineLevel="0" collapsed="false">
      <c r="A456" s="12" t="s">
        <v>1052</v>
      </c>
      <c r="B456" s="12" t="s">
        <v>835</v>
      </c>
      <c r="C456" s="12" t="s">
        <v>836</v>
      </c>
      <c r="D456" s="12" t="s">
        <v>817</v>
      </c>
      <c r="E456" s="12" t="s">
        <v>1053</v>
      </c>
      <c r="F456" s="13" t="n">
        <v>122831025</v>
      </c>
      <c r="G456" s="13" t="n">
        <v>224014938</v>
      </c>
      <c r="H456" s="14" t="n">
        <v>157633</v>
      </c>
      <c r="I456" s="14" t="n">
        <v>161165</v>
      </c>
      <c r="J456" s="15" t="n">
        <f aca="false">I456/H456</f>
        <v>1.02240647580139</v>
      </c>
      <c r="K456" s="16" t="n">
        <f aca="false">ROUND(I456*J456^($F$8-1),0)</f>
        <v>160343</v>
      </c>
      <c r="L456" s="16" t="n">
        <f aca="false">ROUND(I456*J456^($F$9-1),0)</f>
        <v>160980</v>
      </c>
      <c r="M456" s="17" t="n">
        <f aca="false">G456*$F$7</f>
        <v>215794090.562897</v>
      </c>
      <c r="N456" s="18" t="n">
        <f aca="false">F456/K456</f>
        <v>766.051682954666</v>
      </c>
      <c r="O456" s="18" t="n">
        <f aca="false">G456/L456</f>
        <v>1391.56999627283</v>
      </c>
      <c r="P456" s="18" t="n">
        <f aca="false">M456/L456</f>
        <v>1340.50248827741</v>
      </c>
      <c r="Q456" s="19" t="n">
        <f aca="false">IF(N456=0,"n.a.",P456/N456-1)</f>
        <v>0.749885181515539</v>
      </c>
    </row>
    <row r="457" customFormat="false" ht="15" hidden="false" customHeight="false" outlineLevel="0" collapsed="false">
      <c r="A457" s="12" t="s">
        <v>1054</v>
      </c>
      <c r="B457" s="12" t="s">
        <v>835</v>
      </c>
      <c r="C457" s="12" t="s">
        <v>836</v>
      </c>
      <c r="D457" s="12" t="s">
        <v>487</v>
      </c>
      <c r="E457" s="12" t="s">
        <v>1055</v>
      </c>
      <c r="F457" s="13" t="n">
        <v>335180459</v>
      </c>
      <c r="G457" s="13" t="n">
        <v>427552924</v>
      </c>
      <c r="H457" s="14" t="n">
        <v>516252</v>
      </c>
      <c r="I457" s="14" t="n">
        <v>487646</v>
      </c>
      <c r="J457" s="15" t="n">
        <f aca="false">I457/H457</f>
        <v>0.944589076652488</v>
      </c>
      <c r="K457" s="16" t="n">
        <f aca="false">ROUND(I457*J457^($F$8-1),0)</f>
        <v>494107</v>
      </c>
      <c r="L457" s="16" t="n">
        <f aca="false">ROUND(I457*J457^($F$9-1),0)</f>
        <v>489093</v>
      </c>
      <c r="M457" s="17" t="n">
        <f aca="false">G457*$F$7</f>
        <v>411862687.487776</v>
      </c>
      <c r="N457" s="18" t="n">
        <f aca="false">F457/K457</f>
        <v>678.35602207619</v>
      </c>
      <c r="O457" s="18" t="n">
        <f aca="false">G457/L457</f>
        <v>874.175103712382</v>
      </c>
      <c r="P457" s="18" t="n">
        <f aca="false">M457/L457</f>
        <v>842.094831632791</v>
      </c>
      <c r="Q457" s="19" t="n">
        <f aca="false">IF(N457=0,"n.a.",P457/N457-1)</f>
        <v>0.241375920944076</v>
      </c>
    </row>
    <row r="458" customFormat="false" ht="15" hidden="false" customHeight="false" outlineLevel="0" collapsed="false">
      <c r="A458" s="12" t="s">
        <v>1056</v>
      </c>
      <c r="B458" s="12" t="s">
        <v>835</v>
      </c>
      <c r="C458" s="12" t="s">
        <v>836</v>
      </c>
      <c r="D458" s="12" t="s">
        <v>490</v>
      </c>
      <c r="E458" s="12" t="s">
        <v>1057</v>
      </c>
      <c r="F458" s="13" t="n">
        <v>224993988</v>
      </c>
      <c r="G458" s="13" t="n">
        <v>226157210</v>
      </c>
      <c r="H458" s="14" t="n">
        <v>61126</v>
      </c>
      <c r="I458" s="14" t="n">
        <v>73871</v>
      </c>
      <c r="J458" s="15" t="n">
        <f aca="false">I458/H458</f>
        <v>1.20850374635998</v>
      </c>
      <c r="K458" s="16" t="n">
        <f aca="false">ROUND(I458*J458^($F$8-1),0)</f>
        <v>70711</v>
      </c>
      <c r="L458" s="16" t="n">
        <f aca="false">ROUND(I458*J458^($F$9-1),0)</f>
        <v>73148</v>
      </c>
      <c r="M458" s="17" t="n">
        <f aca="false">G458*$F$7</f>
        <v>217857745.969567</v>
      </c>
      <c r="N458" s="18" t="n">
        <f aca="false">F458/K458</f>
        <v>3181.88100861252</v>
      </c>
      <c r="O458" s="18" t="n">
        <f aca="false">G458/L458</f>
        <v>3091.77571498879</v>
      </c>
      <c r="P458" s="18" t="n">
        <f aca="false">M458/L458</f>
        <v>2978.31445794234</v>
      </c>
      <c r="Q458" s="19" t="n">
        <f aca="false">IF(N458=0,"n.a.",P458/N458-1)</f>
        <v>-0.0639767955241491</v>
      </c>
    </row>
    <row r="459" customFormat="false" ht="15" hidden="false" customHeight="false" outlineLevel="0" collapsed="false">
      <c r="A459" s="12" t="s">
        <v>1058</v>
      </c>
      <c r="B459" s="12" t="s">
        <v>835</v>
      </c>
      <c r="C459" s="12" t="s">
        <v>836</v>
      </c>
      <c r="D459" s="12" t="s">
        <v>493</v>
      </c>
      <c r="E459" s="12" t="s">
        <v>1059</v>
      </c>
      <c r="F459" s="13" t="n">
        <v>1819947</v>
      </c>
      <c r="G459" s="13" t="n">
        <v>1310284</v>
      </c>
      <c r="H459" s="14" t="n">
        <v>53275</v>
      </c>
      <c r="I459" s="14" t="n">
        <v>53548</v>
      </c>
      <c r="J459" s="15" t="n">
        <f aca="false">I459/H459</f>
        <v>1.00512435476302</v>
      </c>
      <c r="K459" s="16" t="n">
        <f aca="false">ROUND(I459*J459^($F$8-1),0)</f>
        <v>53485</v>
      </c>
      <c r="L459" s="16" t="n">
        <f aca="false">ROUND(I459*J459^($F$9-1),0)</f>
        <v>53534</v>
      </c>
      <c r="M459" s="17" t="n">
        <f aca="false">G459*$F$7</f>
        <v>1262199.50635219</v>
      </c>
      <c r="N459" s="18" t="n">
        <f aca="false">F459/K459</f>
        <v>34.0272412826026</v>
      </c>
      <c r="O459" s="18" t="n">
        <f aca="false">G459/L459</f>
        <v>24.4757350468861</v>
      </c>
      <c r="P459" s="18" t="n">
        <f aca="false">M459/L459</f>
        <v>23.5775302864009</v>
      </c>
      <c r="Q459" s="19" t="n">
        <f aca="false">IF(N459=0,"n.a.",P459/N459-1)</f>
        <v>-0.307098389476093</v>
      </c>
    </row>
    <row r="460" customFormat="false" ht="15" hidden="false" customHeight="false" outlineLevel="0" collapsed="false">
      <c r="A460" s="12" t="s">
        <v>1060</v>
      </c>
      <c r="B460" s="12" t="s">
        <v>835</v>
      </c>
      <c r="C460" s="12" t="s">
        <v>836</v>
      </c>
      <c r="D460" s="12" t="s">
        <v>496</v>
      </c>
      <c r="E460" s="12" t="s">
        <v>1061</v>
      </c>
      <c r="F460" s="13" t="n">
        <v>34693355</v>
      </c>
      <c r="G460" s="13" t="n">
        <v>10441301</v>
      </c>
      <c r="H460" s="14" t="n">
        <v>51469</v>
      </c>
      <c r="I460" s="14" t="n">
        <v>60340</v>
      </c>
      <c r="J460" s="15" t="n">
        <f aca="false">I460/H460</f>
        <v>1.17235617556199</v>
      </c>
      <c r="K460" s="16" t="n">
        <f aca="false">ROUND(I460*J460^($F$8-1),0)</f>
        <v>58165</v>
      </c>
      <c r="L460" s="16" t="n">
        <f aca="false">ROUND(I460*J460^($F$9-1),0)</f>
        <v>59843</v>
      </c>
      <c r="M460" s="17" t="n">
        <f aca="false">G460*$F$7</f>
        <v>10058128.5949264</v>
      </c>
      <c r="N460" s="18" t="n">
        <f aca="false">F460/K460</f>
        <v>596.464454568899</v>
      </c>
      <c r="O460" s="18" t="n">
        <f aca="false">G460/L460</f>
        <v>174.478234714169</v>
      </c>
      <c r="P460" s="18" t="n">
        <f aca="false">M460/L460</f>
        <v>168.075273547891</v>
      </c>
      <c r="Q460" s="19" t="n">
        <f aca="false">IF(N460=0,"n.a.",P460/N460-1)</f>
        <v>-0.718214099330749</v>
      </c>
    </row>
    <row r="461" customFormat="false" ht="15" hidden="false" customHeight="false" outlineLevel="0" collapsed="false">
      <c r="A461" s="12" t="s">
        <v>1062</v>
      </c>
      <c r="B461" s="12" t="s">
        <v>835</v>
      </c>
      <c r="C461" s="12" t="s">
        <v>836</v>
      </c>
      <c r="D461" s="12" t="s">
        <v>1063</v>
      </c>
      <c r="E461" s="12" t="s">
        <v>824</v>
      </c>
      <c r="F461" s="13" t="n">
        <v>12827846</v>
      </c>
      <c r="G461" s="13" t="n">
        <v>13954906</v>
      </c>
      <c r="H461" s="14" t="n">
        <v>69040</v>
      </c>
      <c r="I461" s="14" t="n">
        <v>71474</v>
      </c>
      <c r="J461" s="15" t="n">
        <f aca="false">I461/H461</f>
        <v>1.03525492468134</v>
      </c>
      <c r="K461" s="16" t="n">
        <f aca="false">ROUND(I461*J461^($F$8-1),0)</f>
        <v>70905</v>
      </c>
      <c r="L461" s="16" t="n">
        <f aca="false">ROUND(I461*J461^($F$9-1),0)</f>
        <v>71345</v>
      </c>
      <c r="M461" s="17" t="n">
        <f aca="false">G461*$F$7</f>
        <v>13442792.1461234</v>
      </c>
      <c r="N461" s="18" t="n">
        <f aca="false">F461/K461</f>
        <v>180.915957971934</v>
      </c>
      <c r="O461" s="18" t="n">
        <f aca="false">G461/L461</f>
        <v>195.597533113743</v>
      </c>
      <c r="P461" s="18" t="n">
        <f aca="false">M461/L461</f>
        <v>188.419540908591</v>
      </c>
      <c r="Q461" s="19" t="n">
        <f aca="false">IF(N461=0,"n.a.",P461/N461-1)</f>
        <v>0.0414755172554786</v>
      </c>
    </row>
    <row r="462" customFormat="false" ht="15" hidden="false" customHeight="false" outlineLevel="0" collapsed="false">
      <c r="A462" s="12" t="s">
        <v>1064</v>
      </c>
      <c r="B462" s="12" t="s">
        <v>835</v>
      </c>
      <c r="C462" s="12" t="s">
        <v>836</v>
      </c>
      <c r="D462" s="12" t="s">
        <v>499</v>
      </c>
      <c r="E462" s="12" t="s">
        <v>1065</v>
      </c>
      <c r="F462" s="13" t="n">
        <v>8863180</v>
      </c>
      <c r="G462" s="13" t="n">
        <v>10366888</v>
      </c>
      <c r="H462" s="14" t="n">
        <v>108176</v>
      </c>
      <c r="I462" s="14" t="n">
        <v>112866</v>
      </c>
      <c r="J462" s="15" t="n">
        <f aca="false">I462/H462</f>
        <v>1.04335527288863</v>
      </c>
      <c r="K462" s="16" t="n">
        <f aca="false">ROUND(I462*J462^($F$8-1),0)</f>
        <v>111765</v>
      </c>
      <c r="L462" s="16" t="n">
        <f aca="false">ROUND(I462*J462^($F$9-1),0)</f>
        <v>112617</v>
      </c>
      <c r="M462" s="17" t="n">
        <f aca="false">G462*$F$7</f>
        <v>9986446.38567547</v>
      </c>
      <c r="N462" s="18" t="n">
        <f aca="false">F462/K462</f>
        <v>79.3019281528207</v>
      </c>
      <c r="O462" s="18" t="n">
        <f aca="false">G462/L462</f>
        <v>92.0543790013941</v>
      </c>
      <c r="P462" s="18" t="n">
        <f aca="false">M462/L462</f>
        <v>88.6761890804716</v>
      </c>
      <c r="Q462" s="19" t="n">
        <f aca="false">IF(N462=0,"n.a.",P462/N462-1)</f>
        <v>0.118209747808226</v>
      </c>
    </row>
    <row r="463" customFormat="false" ht="15" hidden="false" customHeight="false" outlineLevel="0" collapsed="false">
      <c r="A463" s="12" t="s">
        <v>1066</v>
      </c>
      <c r="B463" s="12" t="s">
        <v>835</v>
      </c>
      <c r="C463" s="12" t="s">
        <v>836</v>
      </c>
      <c r="D463" s="12" t="s">
        <v>502</v>
      </c>
      <c r="E463" s="12" t="s">
        <v>1067</v>
      </c>
      <c r="F463" s="13" t="n">
        <v>15529088</v>
      </c>
      <c r="G463" s="13" t="n">
        <v>14461266</v>
      </c>
      <c r="H463" s="14" t="n">
        <v>54605</v>
      </c>
      <c r="I463" s="14" t="n">
        <v>55382</v>
      </c>
      <c r="J463" s="15" t="n">
        <f aca="false">I463/H463</f>
        <v>1.0142294661661</v>
      </c>
      <c r="K463" s="16" t="n">
        <f aca="false">ROUND(I463*J463^($F$8-1),0)</f>
        <v>55202</v>
      </c>
      <c r="L463" s="16" t="n">
        <f aca="false">ROUND(I463*J463^($F$9-1),0)</f>
        <v>55341</v>
      </c>
      <c r="M463" s="17" t="n">
        <f aca="false">G463*$F$7</f>
        <v>13930569.8660959</v>
      </c>
      <c r="N463" s="18" t="n">
        <f aca="false">F463/K463</f>
        <v>281.313865439658</v>
      </c>
      <c r="O463" s="18" t="n">
        <f aca="false">G463/L463</f>
        <v>261.311974846859</v>
      </c>
      <c r="P463" s="18" t="n">
        <f aca="false">M463/L463</f>
        <v>251.722409535352</v>
      </c>
      <c r="Q463" s="19" t="n">
        <f aca="false">IF(N463=0,"n.a.",P463/N463-1)</f>
        <v>-0.105190179154724</v>
      </c>
    </row>
    <row r="464" customFormat="false" ht="15" hidden="false" customHeight="false" outlineLevel="0" collapsed="false">
      <c r="A464" s="12" t="s">
        <v>1068</v>
      </c>
      <c r="B464" s="12" t="s">
        <v>835</v>
      </c>
      <c r="C464" s="12" t="s">
        <v>836</v>
      </c>
      <c r="D464" s="12" t="s">
        <v>1069</v>
      </c>
      <c r="E464" s="12" t="s">
        <v>1070</v>
      </c>
      <c r="F464" s="13" t="n">
        <v>3067935</v>
      </c>
      <c r="G464" s="13" t="n">
        <v>3931758</v>
      </c>
      <c r="H464" s="14" t="n">
        <v>5109</v>
      </c>
      <c r="I464" s="14" t="n">
        <v>6272</v>
      </c>
      <c r="J464" s="15" t="n">
        <f aca="false">I464/H464</f>
        <v>1.22763750244666</v>
      </c>
      <c r="K464" s="16" t="n">
        <f aca="false">ROUND(I464*J464^($F$8-1),0)</f>
        <v>5982</v>
      </c>
      <c r="L464" s="16" t="n">
        <f aca="false">ROUND(I464*J464^($F$9-1),0)</f>
        <v>6206</v>
      </c>
      <c r="M464" s="17" t="n">
        <f aca="false">G464*$F$7</f>
        <v>3787471.27088193</v>
      </c>
      <c r="N464" s="18" t="n">
        <f aca="false">F464/K464</f>
        <v>512.861083249749</v>
      </c>
      <c r="O464" s="18" t="n">
        <f aca="false">G464/L464</f>
        <v>633.541411537222</v>
      </c>
      <c r="P464" s="18" t="n">
        <f aca="false">M464/L464</f>
        <v>610.291858021581</v>
      </c>
      <c r="Q464" s="19" t="n">
        <f aca="false">IF(N464=0,"n.a.",P464/N464-1)</f>
        <v>0.189974981440316</v>
      </c>
    </row>
    <row r="465" customFormat="false" ht="15" hidden="false" customHeight="false" outlineLevel="0" collapsed="false">
      <c r="A465" s="12" t="s">
        <v>1071</v>
      </c>
      <c r="B465" s="12" t="s">
        <v>835</v>
      </c>
      <c r="C465" s="12" t="s">
        <v>836</v>
      </c>
      <c r="D465" s="12" t="s">
        <v>505</v>
      </c>
      <c r="E465" s="12" t="s">
        <v>1072</v>
      </c>
      <c r="F465" s="13" t="n">
        <v>2212765</v>
      </c>
      <c r="G465" s="13" t="n">
        <v>4039367</v>
      </c>
      <c r="H465" s="14" t="n">
        <v>13498</v>
      </c>
      <c r="I465" s="14" t="n">
        <v>15486</v>
      </c>
      <c r="J465" s="15" t="n">
        <f aca="false">I465/H465</f>
        <v>1.14728107867832</v>
      </c>
      <c r="K465" s="16" t="n">
        <f aca="false">ROUND(I465*J465^($F$8-1),0)</f>
        <v>15002</v>
      </c>
      <c r="L465" s="16" t="n">
        <f aca="false">ROUND(I465*J465^($F$9-1),0)</f>
        <v>15376</v>
      </c>
      <c r="M465" s="17" t="n">
        <f aca="false">G465*$F$7</f>
        <v>3891131.26114286</v>
      </c>
      <c r="N465" s="18" t="n">
        <f aca="false">F465/K465</f>
        <v>147.498000266631</v>
      </c>
      <c r="O465" s="18" t="n">
        <f aca="false">G465/L465</f>
        <v>262.705970343392</v>
      </c>
      <c r="P465" s="18" t="n">
        <f aca="false">M465/L465</f>
        <v>253.065248513453</v>
      </c>
      <c r="Q465" s="19" t="n">
        <f aca="false">IF(N465=0,"n.a.",P465/N465-1)</f>
        <v>0.715719860987871</v>
      </c>
    </row>
    <row r="466" customFormat="false" ht="15" hidden="false" customHeight="false" outlineLevel="0" collapsed="false">
      <c r="A466" s="12" t="s">
        <v>1073</v>
      </c>
      <c r="B466" s="12" t="s">
        <v>835</v>
      </c>
      <c r="C466" s="12" t="s">
        <v>836</v>
      </c>
      <c r="D466" s="12" t="s">
        <v>508</v>
      </c>
      <c r="E466" s="12" t="s">
        <v>1074</v>
      </c>
      <c r="F466" s="13" t="n">
        <v>89287157</v>
      </c>
      <c r="G466" s="13" t="n">
        <v>139148595</v>
      </c>
      <c r="H466" s="14" t="n">
        <v>203415</v>
      </c>
      <c r="I466" s="14" t="n">
        <v>233962</v>
      </c>
      <c r="J466" s="15" t="n">
        <f aca="false">I466/H466</f>
        <v>1.15017083302608</v>
      </c>
      <c r="K466" s="16" t="n">
        <f aca="false">ROUND(I466*J466^($F$8-1),0)</f>
        <v>226525</v>
      </c>
      <c r="L466" s="16" t="n">
        <f aca="false">ROUND(I466*J466^($F$9-1),0)</f>
        <v>232267</v>
      </c>
      <c r="M466" s="17" t="n">
        <f aca="false">G466*$F$7</f>
        <v>134042152.631491</v>
      </c>
      <c r="N466" s="18" t="n">
        <f aca="false">F466/K466</f>
        <v>394.160278114998</v>
      </c>
      <c r="O466" s="18" t="n">
        <f aca="false">G466/L466</f>
        <v>599.088957966478</v>
      </c>
      <c r="P466" s="18" t="n">
        <f aca="false">M466/L466</f>
        <v>577.1037324781</v>
      </c>
      <c r="Q466" s="19" t="n">
        <f aca="false">IF(N466=0,"n.a.",P466/N466-1)</f>
        <v>0.464134679521732</v>
      </c>
    </row>
    <row r="467" customFormat="false" ht="15" hidden="false" customHeight="false" outlineLevel="0" collapsed="false">
      <c r="A467" s="12" t="s">
        <v>1075</v>
      </c>
      <c r="B467" s="12" t="s">
        <v>835</v>
      </c>
      <c r="C467" s="12" t="s">
        <v>836</v>
      </c>
      <c r="D467" s="12" t="s">
        <v>1076</v>
      </c>
      <c r="E467" s="12" t="s">
        <v>1077</v>
      </c>
      <c r="F467" s="13" t="n">
        <v>3449118</v>
      </c>
      <c r="G467" s="13" t="n">
        <v>4674658</v>
      </c>
      <c r="H467" s="14" t="n">
        <v>18833</v>
      </c>
      <c r="I467" s="14" t="n">
        <v>17632</v>
      </c>
      <c r="J467" s="15" t="n">
        <f aca="false">I467/H467</f>
        <v>0.936228959804598</v>
      </c>
      <c r="K467" s="16" t="n">
        <f aca="false">ROUND(I467*J467^($F$8-1),0)</f>
        <v>17902</v>
      </c>
      <c r="L467" s="16" t="n">
        <f aca="false">ROUND(I467*J467^($F$9-1),0)</f>
        <v>17692</v>
      </c>
      <c r="M467" s="17" t="n">
        <f aca="false">G467*$F$7</f>
        <v>4503108.50164186</v>
      </c>
      <c r="N467" s="18" t="n">
        <f aca="false">F467/K467</f>
        <v>192.66662942688</v>
      </c>
      <c r="O467" s="18" t="n">
        <f aca="false">G467/L467</f>
        <v>264.224395206873</v>
      </c>
      <c r="P467" s="18" t="n">
        <f aca="false">M467/L467</f>
        <v>254.527950578898</v>
      </c>
      <c r="Q467" s="19" t="n">
        <f aca="false">IF(N467=0,"n.a.",P467/N467-1)</f>
        <v>0.321079583610484</v>
      </c>
    </row>
    <row r="468" customFormat="false" ht="15" hidden="false" customHeight="false" outlineLevel="0" collapsed="false">
      <c r="A468" s="12" t="s">
        <v>1078</v>
      </c>
      <c r="B468" s="12" t="s">
        <v>835</v>
      </c>
      <c r="C468" s="12" t="s">
        <v>836</v>
      </c>
      <c r="D468" s="12" t="s">
        <v>511</v>
      </c>
      <c r="E468" s="12" t="s">
        <v>1079</v>
      </c>
      <c r="F468" s="13" t="n">
        <v>163808762</v>
      </c>
      <c r="G468" s="13" t="n">
        <v>213936081</v>
      </c>
      <c r="H468" s="14" t="n">
        <v>279924</v>
      </c>
      <c r="I468" s="14" t="n">
        <v>316439</v>
      </c>
      <c r="J468" s="15" t="n">
        <f aca="false">I468/H468</f>
        <v>1.13044612109001</v>
      </c>
      <c r="K468" s="16" t="n">
        <f aca="false">ROUND(I468*J468^($F$8-1),0)</f>
        <v>307607</v>
      </c>
      <c r="L468" s="16" t="n">
        <f aca="false">ROUND(I468*J468^($F$9-1),0)</f>
        <v>314429</v>
      </c>
      <c r="M468" s="17" t="n">
        <f aca="false">G468*$F$7</f>
        <v>206085105.083418</v>
      </c>
      <c r="N468" s="18" t="n">
        <f aca="false">F468/K468</f>
        <v>532.526119366594</v>
      </c>
      <c r="O468" s="18" t="n">
        <f aca="false">G468/L468</f>
        <v>680.395513772585</v>
      </c>
      <c r="P468" s="18" t="n">
        <f aca="false">M468/L468</f>
        <v>655.426519447691</v>
      </c>
      <c r="Q468" s="19" t="n">
        <f aca="false">IF(N468=0,"n.a.",P468/N468-1)</f>
        <v>0.23078755315754</v>
      </c>
    </row>
    <row r="469" customFormat="false" ht="15" hidden="false" customHeight="false" outlineLevel="0" collapsed="false">
      <c r="A469" s="12" t="s">
        <v>1080</v>
      </c>
      <c r="B469" s="12" t="s">
        <v>835</v>
      </c>
      <c r="C469" s="12" t="s">
        <v>836</v>
      </c>
      <c r="D469" s="12" t="s">
        <v>514</v>
      </c>
      <c r="E469" s="12" t="s">
        <v>1081</v>
      </c>
      <c r="F469" s="13" t="n">
        <v>954884102</v>
      </c>
      <c r="G469" s="13" t="n">
        <v>903339463</v>
      </c>
      <c r="H469" s="14" t="n">
        <v>554272</v>
      </c>
      <c r="I469" s="14" t="n">
        <v>596334</v>
      </c>
      <c r="J469" s="15" t="n">
        <f aca="false">I469/H469</f>
        <v>1.07588692916113</v>
      </c>
      <c r="K469" s="16" t="n">
        <f aca="false">ROUND(I469*J469^($F$8-1),0)</f>
        <v>586348</v>
      </c>
      <c r="L469" s="16" t="n">
        <f aca="false">ROUND(I469*J469^($F$9-1),0)</f>
        <v>594072</v>
      </c>
      <c r="M469" s="17" t="n">
        <f aca="false">G469*$F$7</f>
        <v>870188924.131752</v>
      </c>
      <c r="N469" s="18" t="n">
        <f aca="false">F469/K469</f>
        <v>1628.52794245056</v>
      </c>
      <c r="O469" s="18" t="n">
        <f aca="false">G469/L469</f>
        <v>1520.58919289244</v>
      </c>
      <c r="P469" s="18" t="n">
        <f aca="false">M469/L469</f>
        <v>1464.78696880471</v>
      </c>
      <c r="Q469" s="19" t="n">
        <f aca="false">IF(N469=0,"n.a.",P469/N469-1)</f>
        <v>-0.100545387879225</v>
      </c>
    </row>
    <row r="470" customFormat="false" ht="15" hidden="false" customHeight="false" outlineLevel="0" collapsed="false">
      <c r="A470" s="12" t="s">
        <v>1082</v>
      </c>
      <c r="B470" s="12" t="s">
        <v>835</v>
      </c>
      <c r="C470" s="12" t="s">
        <v>836</v>
      </c>
      <c r="D470" s="12" t="s">
        <v>517</v>
      </c>
      <c r="E470" s="12" t="s">
        <v>1083</v>
      </c>
      <c r="F470" s="13" t="n">
        <v>65341481</v>
      </c>
      <c r="G470" s="13" t="n">
        <v>85142886</v>
      </c>
      <c r="H470" s="14" t="n">
        <v>391488</v>
      </c>
      <c r="I470" s="14" t="n">
        <v>364107</v>
      </c>
      <c r="J470" s="15" t="n">
        <f aca="false">I470/H470</f>
        <v>0.930059158901422</v>
      </c>
      <c r="K470" s="16" t="n">
        <f aca="false">ROUND(I470*J470^($F$8-1),0)</f>
        <v>370254</v>
      </c>
      <c r="L470" s="16" t="n">
        <f aca="false">ROUND(I470*J470^($F$9-1),0)</f>
        <v>365481</v>
      </c>
      <c r="M470" s="17" t="n">
        <f aca="false">G470*$F$7</f>
        <v>82018332.4215212</v>
      </c>
      <c r="N470" s="18" t="n">
        <f aca="false">F470/K470</f>
        <v>176.477447914135</v>
      </c>
      <c r="O470" s="18" t="n">
        <f aca="false">G470/L470</f>
        <v>232.961182660658</v>
      </c>
      <c r="P470" s="18" t="n">
        <f aca="false">M470/L470</f>
        <v>224.412028043923</v>
      </c>
      <c r="Q470" s="19" t="n">
        <f aca="false">IF(N470=0,"n.a.",P470/N470-1)</f>
        <v>0.271618729171058</v>
      </c>
    </row>
    <row r="471" customFormat="false" ht="15" hidden="false" customHeight="false" outlineLevel="0" collapsed="false">
      <c r="A471" s="12" t="s">
        <v>1084</v>
      </c>
      <c r="B471" s="12" t="s">
        <v>835</v>
      </c>
      <c r="C471" s="12" t="s">
        <v>836</v>
      </c>
      <c r="D471" s="12" t="s">
        <v>520</v>
      </c>
      <c r="E471" s="12" t="s">
        <v>1085</v>
      </c>
      <c r="F471" s="13" t="n">
        <v>1570281</v>
      </c>
      <c r="G471" s="13" t="n">
        <v>1609112</v>
      </c>
      <c r="H471" s="14" t="n">
        <v>28811</v>
      </c>
      <c r="I471" s="14" t="n">
        <v>28825</v>
      </c>
      <c r="J471" s="15" t="n">
        <f aca="false">I471/H471</f>
        <v>1.00048592551456</v>
      </c>
      <c r="K471" s="16" t="n">
        <f aca="false">ROUND(I471*J471^($F$8-1),0)</f>
        <v>28822</v>
      </c>
      <c r="L471" s="16" t="n">
        <f aca="false">ROUND(I471*J471^($F$9-1),0)</f>
        <v>28824</v>
      </c>
      <c r="M471" s="17" t="n">
        <f aca="false">G471*$F$7</f>
        <v>1550061.18678499</v>
      </c>
      <c r="N471" s="18" t="n">
        <f aca="false">F471/K471</f>
        <v>54.482027617792</v>
      </c>
      <c r="O471" s="18" t="n">
        <f aca="false">G471/L471</f>
        <v>55.8254232583958</v>
      </c>
      <c r="P471" s="18" t="n">
        <f aca="false">M471/L471</f>
        <v>53.7767550230706</v>
      </c>
      <c r="Q471" s="19" t="n">
        <f aca="false">IF(N471=0,"n.a.",P471/N471-1)</f>
        <v>-0.0129450504241343</v>
      </c>
    </row>
    <row r="472" customFormat="false" ht="15" hidden="false" customHeight="false" outlineLevel="0" collapsed="false">
      <c r="A472" s="12" t="s">
        <v>1086</v>
      </c>
      <c r="B472" s="12" t="s">
        <v>835</v>
      </c>
      <c r="C472" s="12" t="s">
        <v>836</v>
      </c>
      <c r="D472" s="12" t="s">
        <v>830</v>
      </c>
      <c r="E472" s="12" t="s">
        <v>1087</v>
      </c>
      <c r="F472" s="13" t="n">
        <v>4437764</v>
      </c>
      <c r="G472" s="13" t="n">
        <v>5242957</v>
      </c>
      <c r="H472" s="14" t="n">
        <v>100018</v>
      </c>
      <c r="I472" s="14" t="n">
        <v>115917</v>
      </c>
      <c r="J472" s="15" t="n">
        <f aca="false">I472/H472</f>
        <v>1.15896138695035</v>
      </c>
      <c r="K472" s="16" t="n">
        <f aca="false">ROUND(I472*J472^($F$8-1),0)</f>
        <v>112035</v>
      </c>
      <c r="L472" s="16" t="n">
        <f aca="false">ROUND(I472*J472^($F$9-1),0)</f>
        <v>115032</v>
      </c>
      <c r="M472" s="17" t="n">
        <f aca="false">G472*$F$7</f>
        <v>5050552.19877961</v>
      </c>
      <c r="N472" s="18" t="n">
        <f aca="false">F472/K472</f>
        <v>39.6105145713393</v>
      </c>
      <c r="O472" s="18" t="n">
        <f aca="false">G472/L472</f>
        <v>45.5782477919188</v>
      </c>
      <c r="P472" s="18" t="n">
        <f aca="false">M472/L472</f>
        <v>43.9056279885563</v>
      </c>
      <c r="Q472" s="19" t="n">
        <f aca="false">IF(N472=0,"n.a.",P472/N472-1)</f>
        <v>0.108433668779571</v>
      </c>
    </row>
    <row r="473" customFormat="false" ht="15" hidden="false" customHeight="false" outlineLevel="0" collapsed="false">
      <c r="A473" s="12" t="s">
        <v>1088</v>
      </c>
      <c r="B473" s="12" t="s">
        <v>835</v>
      </c>
      <c r="C473" s="12" t="s">
        <v>836</v>
      </c>
      <c r="D473" s="12" t="s">
        <v>523</v>
      </c>
      <c r="E473" s="12" t="s">
        <v>1089</v>
      </c>
      <c r="F473" s="13" t="n">
        <v>8844103</v>
      </c>
      <c r="G473" s="13" t="n">
        <v>11295557</v>
      </c>
      <c r="H473" s="14" t="n">
        <v>14883</v>
      </c>
      <c r="I473" s="14" t="n">
        <v>18679</v>
      </c>
      <c r="J473" s="15" t="n">
        <f aca="false">I473/H473</f>
        <v>1.25505610428005</v>
      </c>
      <c r="K473" s="16" t="n">
        <f aca="false">ROUND(I473*J473^($F$8-1),0)</f>
        <v>17725</v>
      </c>
      <c r="L473" s="16" t="n">
        <f aca="false">ROUND(I473*J473^($F$9-1),0)</f>
        <v>18460</v>
      </c>
      <c r="M473" s="17" t="n">
        <f aca="false">G473*$F$7</f>
        <v>10881035.3094237</v>
      </c>
      <c r="N473" s="18" t="n">
        <f aca="false">F473/K473</f>
        <v>498.962087447109</v>
      </c>
      <c r="O473" s="18" t="n">
        <f aca="false">G473/L473</f>
        <v>611.893661971831</v>
      </c>
      <c r="P473" s="18" t="n">
        <f aca="false">M473/L473</f>
        <v>589.438532471492</v>
      </c>
      <c r="Q473" s="19" t="n">
        <f aca="false">IF(N473=0,"n.a.",P473/N473-1)</f>
        <v>0.181329297957882</v>
      </c>
    </row>
    <row r="474" customFormat="false" ht="15" hidden="false" customHeight="false" outlineLevel="0" collapsed="false">
      <c r="A474" s="12" t="s">
        <v>1090</v>
      </c>
      <c r="B474" s="12" t="s">
        <v>1091</v>
      </c>
      <c r="C474" s="12" t="s">
        <v>1092</v>
      </c>
      <c r="D474" s="12" t="s">
        <v>46</v>
      </c>
      <c r="E474" s="12" t="s">
        <v>1093</v>
      </c>
      <c r="F474" s="13" t="n">
        <v>5128681</v>
      </c>
      <c r="G474" s="13" t="n">
        <v>5330213</v>
      </c>
      <c r="H474" s="14" t="n">
        <v>11299</v>
      </c>
      <c r="I474" s="14" t="n">
        <v>11886</v>
      </c>
      <c r="J474" s="15" t="n">
        <f aca="false">I474/H474</f>
        <v>1.05195150013276</v>
      </c>
      <c r="K474" s="16" t="n">
        <f aca="false">ROUND(I474*J474^($F$8-1),0)</f>
        <v>11748</v>
      </c>
      <c r="L474" s="16" t="n">
        <f aca="false">ROUND(I474*J474^($F$9-1),0)</f>
        <v>11855</v>
      </c>
      <c r="M474" s="17" t="n">
        <f aca="false">G474*$F$7</f>
        <v>5134606.09864121</v>
      </c>
      <c r="N474" s="18" t="n">
        <f aca="false">F474/K474</f>
        <v>436.557797071842</v>
      </c>
      <c r="O474" s="18" t="n">
        <f aca="false">G474/L474</f>
        <v>449.617292281738</v>
      </c>
      <c r="P474" s="18" t="n">
        <f aca="false">M474/L474</f>
        <v>433.117342778677</v>
      </c>
      <c r="Q474" s="19" t="n">
        <f aca="false">IF(N474=0,"n.a.",P474/N474-1)</f>
        <v>-0.00788086781691122</v>
      </c>
    </row>
    <row r="475" customFormat="false" ht="15" hidden="false" customHeight="false" outlineLevel="0" collapsed="false">
      <c r="A475" s="12" t="s">
        <v>1094</v>
      </c>
      <c r="B475" s="12" t="s">
        <v>1091</v>
      </c>
      <c r="C475" s="12" t="s">
        <v>1092</v>
      </c>
      <c r="D475" s="12" t="s">
        <v>48</v>
      </c>
      <c r="E475" s="12" t="s">
        <v>1095</v>
      </c>
      <c r="F475" s="13" t="n">
        <v>2362765</v>
      </c>
      <c r="G475" s="13" t="n">
        <v>2818519</v>
      </c>
      <c r="H475" s="14" t="n">
        <v>14657</v>
      </c>
      <c r="I475" s="14" t="n">
        <v>11557</v>
      </c>
      <c r="J475" s="15" t="n">
        <f aca="false">I475/H475</f>
        <v>0.78849696390803</v>
      </c>
      <c r="K475" s="16" t="n">
        <f aca="false">ROUND(I475*J475^($F$8-1),0)</f>
        <v>12209</v>
      </c>
      <c r="L475" s="16" t="n">
        <f aca="false">ROUND(I475*J475^($F$9-1),0)</f>
        <v>11701</v>
      </c>
      <c r="M475" s="17" t="n">
        <f aca="false">G475*$F$7</f>
        <v>2715085.65352569</v>
      </c>
      <c r="N475" s="18" t="n">
        <f aca="false">F475/K475</f>
        <v>193.526496846589</v>
      </c>
      <c r="O475" s="18" t="n">
        <f aca="false">G475/L475</f>
        <v>240.878471925476</v>
      </c>
      <c r="P475" s="18" t="n">
        <f aca="false">M475/L475</f>
        <v>232.038770491897</v>
      </c>
      <c r="Q475" s="19" t="n">
        <f aca="false">IF(N475=0,"n.a.",P475/N475-1)</f>
        <v>0.199002587618987</v>
      </c>
    </row>
    <row r="476" customFormat="false" ht="15" hidden="false" customHeight="false" outlineLevel="0" collapsed="false">
      <c r="A476" s="12" t="s">
        <v>1096</v>
      </c>
      <c r="B476" s="12" t="s">
        <v>1091</v>
      </c>
      <c r="C476" s="12" t="s">
        <v>1092</v>
      </c>
      <c r="D476" s="12" t="s">
        <v>51</v>
      </c>
      <c r="E476" s="12" t="s">
        <v>1097</v>
      </c>
      <c r="F476" s="13" t="n">
        <v>5429261</v>
      </c>
      <c r="G476" s="13" t="n">
        <v>5364297</v>
      </c>
      <c r="H476" s="14" t="n">
        <v>22983</v>
      </c>
      <c r="I476" s="14" t="n">
        <v>20238</v>
      </c>
      <c r="J476" s="15" t="n">
        <f aca="false">I476/H476</f>
        <v>0.880563895052865</v>
      </c>
      <c r="K476" s="16" t="n">
        <f aca="false">ROUND(I476*J476^($F$8-1),0)</f>
        <v>20841</v>
      </c>
      <c r="L476" s="16" t="n">
        <f aca="false">ROUND(I476*J476^($F$9-1),0)</f>
        <v>20372</v>
      </c>
      <c r="M476" s="17" t="n">
        <f aca="false">G476*$F$7</f>
        <v>5167439.29203632</v>
      </c>
      <c r="N476" s="18" t="n">
        <f aca="false">F476/K476</f>
        <v>260.508660812821</v>
      </c>
      <c r="O476" s="18" t="n">
        <f aca="false">G476/L476</f>
        <v>263.317150991557</v>
      </c>
      <c r="P476" s="18" t="n">
        <f aca="false">M476/L476</f>
        <v>253.654000198131</v>
      </c>
      <c r="Q476" s="19" t="n">
        <f aca="false">IF(N476=0,"n.a.",P476/N476-1)</f>
        <v>-0.0263126016359797</v>
      </c>
    </row>
    <row r="477" customFormat="false" ht="15" hidden="false" customHeight="false" outlineLevel="0" collapsed="false">
      <c r="A477" s="12" t="s">
        <v>1098</v>
      </c>
      <c r="B477" s="12" t="s">
        <v>1091</v>
      </c>
      <c r="C477" s="12" t="s">
        <v>1092</v>
      </c>
      <c r="D477" s="12" t="s">
        <v>54</v>
      </c>
      <c r="E477" s="12" t="s">
        <v>1099</v>
      </c>
      <c r="F477" s="13" t="n">
        <v>2931058</v>
      </c>
      <c r="G477" s="13" t="n">
        <v>3125545</v>
      </c>
      <c r="H477" s="14" t="n">
        <v>14943</v>
      </c>
      <c r="I477" s="14" t="n">
        <v>14334</v>
      </c>
      <c r="J477" s="15" t="n">
        <f aca="false">I477/H477</f>
        <v>0.959245131499699</v>
      </c>
      <c r="K477" s="16" t="n">
        <f aca="false">ROUND(I477*J477^($F$8-1),0)</f>
        <v>14472</v>
      </c>
      <c r="L477" s="16" t="n">
        <f aca="false">ROUND(I477*J477^($F$9-1),0)</f>
        <v>14365</v>
      </c>
      <c r="M477" s="17" t="n">
        <f aca="false">G477*$F$7</f>
        <v>3010844.4856852</v>
      </c>
      <c r="N477" s="18" t="n">
        <f aca="false">F477/K477</f>
        <v>202.533029297955</v>
      </c>
      <c r="O477" s="18" t="n">
        <f aca="false">G477/L477</f>
        <v>217.580577793247</v>
      </c>
      <c r="P477" s="18" t="n">
        <f aca="false">M477/L477</f>
        <v>209.59585699166</v>
      </c>
      <c r="Q477" s="19" t="n">
        <f aca="false">IF(N477=0,"n.a.",P477/N477-1)</f>
        <v>0.0348724734833992</v>
      </c>
    </row>
    <row r="478" customFormat="false" ht="15" hidden="false" customHeight="false" outlineLevel="0" collapsed="false">
      <c r="A478" s="12" t="s">
        <v>1100</v>
      </c>
      <c r="B478" s="12" t="s">
        <v>1091</v>
      </c>
      <c r="C478" s="12" t="s">
        <v>1092</v>
      </c>
      <c r="D478" s="12" t="s">
        <v>57</v>
      </c>
      <c r="E478" s="12" t="s">
        <v>1101</v>
      </c>
      <c r="F478" s="13" t="n">
        <v>3582365</v>
      </c>
      <c r="G478" s="13" t="n">
        <v>651440</v>
      </c>
      <c r="H478" s="14" t="n">
        <v>10892</v>
      </c>
      <c r="I478" s="14" t="n">
        <v>9540</v>
      </c>
      <c r="J478" s="15" t="n">
        <f aca="false">I478/H478</f>
        <v>0.875872199779655</v>
      </c>
      <c r="K478" s="16" t="n">
        <f aca="false">ROUND(I478*J478^($F$8-1),0)</f>
        <v>9836</v>
      </c>
      <c r="L478" s="16" t="n">
        <f aca="false">ROUND(I478*J478^($F$9-1),0)</f>
        <v>9606</v>
      </c>
      <c r="M478" s="17" t="n">
        <f aca="false">G478*$F$7</f>
        <v>627533.608300237</v>
      </c>
      <c r="N478" s="18" t="n">
        <f aca="false">F478/K478</f>
        <v>364.209536396909</v>
      </c>
      <c r="O478" s="18" t="n">
        <f aca="false">G478/L478</f>
        <v>67.8159483656048</v>
      </c>
      <c r="P478" s="18" t="n">
        <f aca="false">M478/L478</f>
        <v>65.3272546637765</v>
      </c>
      <c r="Q478" s="19" t="n">
        <f aca="false">IF(N478=0,"n.a.",P478/N478-1)</f>
        <v>-0.820632772798722</v>
      </c>
    </row>
    <row r="479" customFormat="false" ht="15" hidden="false" customHeight="false" outlineLevel="0" collapsed="false">
      <c r="A479" s="12" t="s">
        <v>1102</v>
      </c>
      <c r="B479" s="12" t="s">
        <v>1091</v>
      </c>
      <c r="C479" s="12" t="s">
        <v>1092</v>
      </c>
      <c r="D479" s="12" t="s">
        <v>60</v>
      </c>
      <c r="E479" s="12" t="s">
        <v>1103</v>
      </c>
      <c r="F479" s="13" t="n">
        <v>30385724</v>
      </c>
      <c r="G479" s="13" t="n">
        <v>30724019</v>
      </c>
      <c r="H479" s="14" t="n">
        <v>125688</v>
      </c>
      <c r="I479" s="14" t="n">
        <v>116883</v>
      </c>
      <c r="J479" s="15" t="n">
        <f aca="false">I479/H479</f>
        <v>0.929945579530266</v>
      </c>
      <c r="K479" s="16" t="n">
        <f aca="false">ROUND(I479*J479^($F$8-1),0)</f>
        <v>118860</v>
      </c>
      <c r="L479" s="16" t="n">
        <f aca="false">ROUND(I479*J479^($F$9-1),0)</f>
        <v>117325</v>
      </c>
      <c r="M479" s="17" t="n">
        <f aca="false">G479*$F$7</f>
        <v>29596516.186533</v>
      </c>
      <c r="N479" s="18" t="n">
        <f aca="false">F479/K479</f>
        <v>255.642974928487</v>
      </c>
      <c r="O479" s="18" t="n">
        <f aca="false">G479/L479</f>
        <v>261.871033454081</v>
      </c>
      <c r="P479" s="18" t="n">
        <f aca="false">M479/L479</f>
        <v>252.26095194147</v>
      </c>
      <c r="Q479" s="19" t="n">
        <f aca="false">IF(N479=0,"n.a.",P479/N479-1)</f>
        <v>-0.0132294775084794</v>
      </c>
    </row>
    <row r="480" customFormat="false" ht="15" hidden="false" customHeight="false" outlineLevel="0" collapsed="false">
      <c r="A480" s="12" t="s">
        <v>1104</v>
      </c>
      <c r="B480" s="12" t="s">
        <v>1091</v>
      </c>
      <c r="C480" s="12" t="s">
        <v>1092</v>
      </c>
      <c r="D480" s="12" t="s">
        <v>63</v>
      </c>
      <c r="E480" s="12" t="s">
        <v>1105</v>
      </c>
      <c r="F480" s="13" t="n">
        <v>704070</v>
      </c>
      <c r="G480" s="13" t="n">
        <v>931227</v>
      </c>
      <c r="H480" s="14" t="n">
        <v>3522</v>
      </c>
      <c r="I480" s="14" t="n">
        <v>3248</v>
      </c>
      <c r="J480" s="15" t="n">
        <f aca="false">I480/H480</f>
        <v>0.922203293583191</v>
      </c>
      <c r="K480" s="16" t="n">
        <f aca="false">ROUND(I480*J480^($F$8-1),0)</f>
        <v>3309</v>
      </c>
      <c r="L480" s="16" t="n">
        <f aca="false">ROUND(I480*J480^($F$9-1),0)</f>
        <v>3262</v>
      </c>
      <c r="M480" s="17" t="n">
        <f aca="false">G480*$F$7</f>
        <v>897053.050866703</v>
      </c>
      <c r="N480" s="18" t="n">
        <f aca="false">F480/K480</f>
        <v>212.774252039891</v>
      </c>
      <c r="O480" s="18" t="n">
        <f aca="false">G480/L480</f>
        <v>285.477314530963</v>
      </c>
      <c r="P480" s="18" t="n">
        <f aca="false">M480/L480</f>
        <v>275.000935274894</v>
      </c>
      <c r="Q480" s="19" t="n">
        <f aca="false">IF(N480=0,"n.a.",P480/N480-1)</f>
        <v>0.292454010005572</v>
      </c>
    </row>
    <row r="481" customFormat="false" ht="15" hidden="false" customHeight="false" outlineLevel="0" collapsed="false">
      <c r="A481" s="12" t="s">
        <v>1106</v>
      </c>
      <c r="B481" s="12" t="s">
        <v>1091</v>
      </c>
      <c r="C481" s="12" t="s">
        <v>1092</v>
      </c>
      <c r="D481" s="12" t="s">
        <v>66</v>
      </c>
      <c r="E481" s="12" t="s">
        <v>1107</v>
      </c>
      <c r="F481" s="13" t="n">
        <v>1377788</v>
      </c>
      <c r="G481" s="13" t="n">
        <v>2208910</v>
      </c>
      <c r="H481" s="14" t="n">
        <v>24082</v>
      </c>
      <c r="I481" s="14" t="n">
        <v>24014</v>
      </c>
      <c r="J481" s="15" t="n">
        <f aca="false">I481/H481</f>
        <v>0.997176314259613</v>
      </c>
      <c r="K481" s="16" t="n">
        <f aca="false">ROUND(I481*J481^($F$8-1),0)</f>
        <v>24030</v>
      </c>
      <c r="L481" s="16" t="n">
        <f aca="false">ROUND(I481*J481^($F$9-1),0)</f>
        <v>24018</v>
      </c>
      <c r="M481" s="17" t="n">
        <f aca="false">G481*$F$7</f>
        <v>2127847.94103905</v>
      </c>
      <c r="N481" s="18" t="n">
        <f aca="false">F481/K481</f>
        <v>57.3361631294216</v>
      </c>
      <c r="O481" s="18" t="n">
        <f aca="false">G481/L481</f>
        <v>91.9689399616954</v>
      </c>
      <c r="P481" s="18" t="n">
        <f aca="false">M481/L481</f>
        <v>88.5938854625301</v>
      </c>
      <c r="Q481" s="19" t="n">
        <f aca="false">IF(N481=0,"n.a.",P481/N481-1)</f>
        <v>0.545165923686806</v>
      </c>
    </row>
    <row r="482" customFormat="false" ht="15" hidden="false" customHeight="false" outlineLevel="0" collapsed="false">
      <c r="A482" s="12" t="s">
        <v>1108</v>
      </c>
      <c r="B482" s="12" t="s">
        <v>1091</v>
      </c>
      <c r="C482" s="12" t="s">
        <v>1092</v>
      </c>
      <c r="D482" s="12" t="s">
        <v>69</v>
      </c>
      <c r="E482" s="12" t="s">
        <v>1109</v>
      </c>
      <c r="F482" s="13" t="n">
        <v>10249168</v>
      </c>
      <c r="G482" s="13" t="n">
        <v>9802108</v>
      </c>
      <c r="H482" s="14" t="n">
        <v>36136</v>
      </c>
      <c r="I482" s="14" t="n">
        <v>36372</v>
      </c>
      <c r="J482" s="15" t="n">
        <f aca="false">I482/H482</f>
        <v>1.00653088332964</v>
      </c>
      <c r="K482" s="16" t="n">
        <f aca="false">ROUND(I482*J482^($F$8-1),0)</f>
        <v>36317</v>
      </c>
      <c r="L482" s="16" t="n">
        <f aca="false">ROUND(I482*J482^($F$9-1),0)</f>
        <v>36360</v>
      </c>
      <c r="M482" s="17" t="n">
        <f aca="false">G482*$F$7</f>
        <v>9442392.54910448</v>
      </c>
      <c r="N482" s="18" t="n">
        <f aca="false">F482/K482</f>
        <v>282.214059531349</v>
      </c>
      <c r="O482" s="18" t="n">
        <f aca="false">G482/L482</f>
        <v>269.584928492849</v>
      </c>
      <c r="P482" s="18" t="n">
        <f aca="false">M482/L482</f>
        <v>259.691764276801</v>
      </c>
      <c r="Q482" s="19" t="n">
        <f aca="false">IF(N482=0,"n.a.",P482/N482-1)</f>
        <v>-0.079805716596647</v>
      </c>
    </row>
    <row r="483" customFormat="false" ht="15" hidden="false" customHeight="false" outlineLevel="0" collapsed="false">
      <c r="A483" s="12" t="s">
        <v>1110</v>
      </c>
      <c r="B483" s="12" t="s">
        <v>1091</v>
      </c>
      <c r="C483" s="12" t="s">
        <v>1092</v>
      </c>
      <c r="D483" s="12" t="s">
        <v>72</v>
      </c>
      <c r="E483" s="12" t="s">
        <v>143</v>
      </c>
      <c r="F483" s="13" t="n">
        <v>7716445</v>
      </c>
      <c r="G483" s="13" t="n">
        <v>9004349</v>
      </c>
      <c r="H483" s="14" t="n">
        <v>20242</v>
      </c>
      <c r="I483" s="14" t="n">
        <v>21259</v>
      </c>
      <c r="J483" s="15" t="n">
        <f aca="false">I483/H483</f>
        <v>1.05024207094161</v>
      </c>
      <c r="K483" s="16" t="n">
        <f aca="false">ROUND(I483*J483^($F$8-1),0)</f>
        <v>21020</v>
      </c>
      <c r="L483" s="16" t="n">
        <f aca="false">ROUND(I483*J483^($F$9-1),0)</f>
        <v>21205</v>
      </c>
      <c r="M483" s="17" t="n">
        <f aca="false">G483*$F$7</f>
        <v>8673909.52100674</v>
      </c>
      <c r="N483" s="18" t="n">
        <f aca="false">F483/K483</f>
        <v>367.100142721218</v>
      </c>
      <c r="O483" s="18" t="n">
        <f aca="false">G483/L483</f>
        <v>424.633294034426</v>
      </c>
      <c r="P483" s="18" t="n">
        <f aca="false">M483/L483</f>
        <v>409.050201415079</v>
      </c>
      <c r="Q483" s="19" t="n">
        <f aca="false">IF(N483=0,"n.a.",P483/N483-1)</f>
        <v>0.114274155228859</v>
      </c>
    </row>
    <row r="484" customFormat="false" ht="15" hidden="false" customHeight="false" outlineLevel="0" collapsed="false">
      <c r="A484" s="12" t="s">
        <v>1111</v>
      </c>
      <c r="B484" s="12" t="s">
        <v>1091</v>
      </c>
      <c r="C484" s="12" t="s">
        <v>1092</v>
      </c>
      <c r="D484" s="12" t="s">
        <v>75</v>
      </c>
      <c r="E484" s="12" t="s">
        <v>1112</v>
      </c>
      <c r="F484" s="13" t="n">
        <v>2177763</v>
      </c>
      <c r="G484" s="13" t="n">
        <v>2322966</v>
      </c>
      <c r="H484" s="14" t="n">
        <v>11677</v>
      </c>
      <c r="I484" s="14" t="n">
        <v>13654</v>
      </c>
      <c r="J484" s="15" t="n">
        <f aca="false">I484/H484</f>
        <v>1.16930718506466</v>
      </c>
      <c r="K484" s="16" t="n">
        <f aca="false">ROUND(I484*J484^($F$8-1),0)</f>
        <v>13170</v>
      </c>
      <c r="L484" s="16" t="n">
        <f aca="false">ROUND(I484*J484^($F$9-1),0)</f>
        <v>13543</v>
      </c>
      <c r="M484" s="17" t="n">
        <f aca="false">G484*$F$7</f>
        <v>2237718.34081231</v>
      </c>
      <c r="N484" s="18" t="n">
        <f aca="false">F484/K484</f>
        <v>165.357858769932</v>
      </c>
      <c r="O484" s="18" t="n">
        <f aca="false">G484/L484</f>
        <v>171.525215978734</v>
      </c>
      <c r="P484" s="18" t="n">
        <f aca="false">M484/L484</f>
        <v>165.230623998546</v>
      </c>
      <c r="Q484" s="19" t="n">
        <f aca="false">IF(N484=0,"n.a.",P484/N484-1)</f>
        <v>-0.000769451009660416</v>
      </c>
    </row>
    <row r="485" customFormat="false" ht="15" hidden="false" customHeight="false" outlineLevel="0" collapsed="false">
      <c r="A485" s="12" t="s">
        <v>1113</v>
      </c>
      <c r="B485" s="12" t="s">
        <v>1091</v>
      </c>
      <c r="C485" s="12" t="s">
        <v>1092</v>
      </c>
      <c r="D485" s="12" t="s">
        <v>129</v>
      </c>
      <c r="E485" s="12" t="s">
        <v>1114</v>
      </c>
      <c r="F485" s="13" t="n">
        <v>3307940</v>
      </c>
      <c r="G485" s="13" t="n">
        <v>4430150</v>
      </c>
      <c r="H485" s="14" t="n">
        <v>45407</v>
      </c>
      <c r="I485" s="14" t="n">
        <v>48139</v>
      </c>
      <c r="J485" s="15" t="n">
        <f aca="false">I485/H485</f>
        <v>1.06016693461361</v>
      </c>
      <c r="K485" s="16" t="n">
        <f aca="false">ROUND(I485*J485^($F$8-1),0)</f>
        <v>47494</v>
      </c>
      <c r="L485" s="16" t="n">
        <f aca="false">ROUND(I485*J485^($F$9-1),0)</f>
        <v>47993</v>
      </c>
      <c r="M485" s="17" t="n">
        <f aca="false">G485*$F$7</f>
        <v>4267573.39864193</v>
      </c>
      <c r="N485" s="18" t="n">
        <f aca="false">F485/K485</f>
        <v>69.6496399545206</v>
      </c>
      <c r="O485" s="18" t="n">
        <f aca="false">G485/L485</f>
        <v>92.3082532869377</v>
      </c>
      <c r="P485" s="18" t="n">
        <f aca="false">M485/L485</f>
        <v>88.9207467472741</v>
      </c>
      <c r="Q485" s="19" t="n">
        <f aca="false">IF(N485=0,"n.a.",P485/N485-1)</f>
        <v>0.27668638065232</v>
      </c>
    </row>
    <row r="486" customFormat="false" ht="15" hidden="false" customHeight="false" outlineLevel="0" collapsed="false">
      <c r="A486" s="12" t="s">
        <v>1115</v>
      </c>
      <c r="B486" s="12" t="s">
        <v>1091</v>
      </c>
      <c r="C486" s="12" t="s">
        <v>1092</v>
      </c>
      <c r="D486" s="12" t="s">
        <v>132</v>
      </c>
      <c r="E486" s="12" t="s">
        <v>1116</v>
      </c>
      <c r="F486" s="13" t="n">
        <v>705992</v>
      </c>
      <c r="G486" s="13" t="n">
        <v>816099</v>
      </c>
      <c r="H486" s="14" t="n">
        <v>9023</v>
      </c>
      <c r="I486" s="14" t="n">
        <v>8993</v>
      </c>
      <c r="J486" s="15" t="n">
        <f aca="false">I486/H486</f>
        <v>0.996675163471129</v>
      </c>
      <c r="K486" s="16" t="n">
        <f aca="false">ROUND(I486*J486^($F$8-1),0)</f>
        <v>9000</v>
      </c>
      <c r="L486" s="16" t="n">
        <f aca="false">ROUND(I486*J486^($F$9-1),0)</f>
        <v>8995</v>
      </c>
      <c r="M486" s="17" t="n">
        <f aca="false">G486*$F$7</f>
        <v>786149.991096978</v>
      </c>
      <c r="N486" s="18" t="n">
        <f aca="false">F486/K486</f>
        <v>78.4435555555556</v>
      </c>
      <c r="O486" s="18" t="n">
        <f aca="false">G486/L486</f>
        <v>90.7280711506392</v>
      </c>
      <c r="P486" s="18" t="n">
        <f aca="false">M486/L486</f>
        <v>87.3985537628658</v>
      </c>
      <c r="Q486" s="19" t="n">
        <f aca="false">IF(N486=0,"n.a.",P486/N486-1)</f>
        <v>0.114158494523723</v>
      </c>
    </row>
    <row r="487" customFormat="false" ht="15" hidden="false" customHeight="false" outlineLevel="0" collapsed="false">
      <c r="A487" s="12" t="s">
        <v>1117</v>
      </c>
      <c r="B487" s="12" t="s">
        <v>1091</v>
      </c>
      <c r="C487" s="12" t="s">
        <v>1092</v>
      </c>
      <c r="D487" s="12" t="s">
        <v>163</v>
      </c>
      <c r="E487" s="12" t="s">
        <v>1118</v>
      </c>
      <c r="F487" s="13" t="n">
        <v>5003249</v>
      </c>
      <c r="G487" s="13" t="n">
        <v>6580408</v>
      </c>
      <c r="H487" s="14" t="n">
        <v>16899</v>
      </c>
      <c r="I487" s="14" t="n">
        <v>15616</v>
      </c>
      <c r="J487" s="15" t="n">
        <f aca="false">I487/H487</f>
        <v>0.924078347831233</v>
      </c>
      <c r="K487" s="16" t="n">
        <f aca="false">ROUND(I487*J487^($F$8-1),0)</f>
        <v>15903</v>
      </c>
      <c r="L487" s="16" t="n">
        <f aca="false">ROUND(I487*J487^($F$9-1),0)</f>
        <v>15680</v>
      </c>
      <c r="M487" s="17" t="n">
        <f aca="false">G487*$F$7</f>
        <v>6338921.73696388</v>
      </c>
      <c r="N487" s="18" t="n">
        <f aca="false">F487/K487</f>
        <v>314.610387977111</v>
      </c>
      <c r="O487" s="18" t="n">
        <f aca="false">G487/L487</f>
        <v>419.66887755102</v>
      </c>
      <c r="P487" s="18" t="n">
        <f aca="false">M487/L487</f>
        <v>404.267967918615</v>
      </c>
      <c r="Q487" s="19" t="n">
        <f aca="false">IF(N487=0,"n.a.",P487/N487-1)</f>
        <v>0.284979718940578</v>
      </c>
    </row>
    <row r="488" customFormat="false" ht="15" hidden="false" customHeight="false" outlineLevel="0" collapsed="false">
      <c r="A488" s="12" t="s">
        <v>1119</v>
      </c>
      <c r="B488" s="12" t="s">
        <v>1091</v>
      </c>
      <c r="C488" s="12" t="s">
        <v>1092</v>
      </c>
      <c r="D488" s="12" t="s">
        <v>166</v>
      </c>
      <c r="E488" s="12" t="s">
        <v>1120</v>
      </c>
      <c r="F488" s="13" t="n">
        <v>9551488</v>
      </c>
      <c r="G488" s="13" t="n">
        <v>10722213</v>
      </c>
      <c r="H488" s="14" t="n">
        <v>19299</v>
      </c>
      <c r="I488" s="14" t="n">
        <v>18484</v>
      </c>
      <c r="J488" s="15" t="n">
        <f aca="false">I488/H488</f>
        <v>0.957769832633815</v>
      </c>
      <c r="K488" s="16" t="n">
        <f aca="false">ROUND(I488*J488^($F$8-1),0)</f>
        <v>18669</v>
      </c>
      <c r="L488" s="16" t="n">
        <f aca="false">ROUND(I488*J488^($F$9-1),0)</f>
        <v>18525</v>
      </c>
      <c r="M488" s="17" t="n">
        <f aca="false">G488*$F$7</f>
        <v>10328731.7525078</v>
      </c>
      <c r="N488" s="18" t="n">
        <f aca="false">F488/K488</f>
        <v>511.622904279822</v>
      </c>
      <c r="O488" s="18" t="n">
        <f aca="false">G488/L488</f>
        <v>578.796923076923</v>
      </c>
      <c r="P488" s="18" t="n">
        <f aca="false">M488/L488</f>
        <v>557.556369905957</v>
      </c>
      <c r="Q488" s="19" t="n">
        <f aca="false">IF(N488=0,"n.a.",P488/N488-1)</f>
        <v>0.0897799243190491</v>
      </c>
    </row>
    <row r="489" customFormat="false" ht="15" hidden="false" customHeight="false" outlineLevel="0" collapsed="false">
      <c r="A489" s="12" t="s">
        <v>1121</v>
      </c>
      <c r="B489" s="12" t="s">
        <v>1091</v>
      </c>
      <c r="C489" s="12" t="s">
        <v>1092</v>
      </c>
      <c r="D489" s="12" t="s">
        <v>169</v>
      </c>
      <c r="E489" s="12" t="s">
        <v>1122</v>
      </c>
      <c r="F489" s="13" t="n">
        <v>5398726</v>
      </c>
      <c r="G489" s="13" t="n">
        <v>6816875</v>
      </c>
      <c r="H489" s="14" t="n">
        <v>20962</v>
      </c>
      <c r="I489" s="14" t="n">
        <v>21699</v>
      </c>
      <c r="J489" s="15" t="n">
        <f aca="false">I489/H489</f>
        <v>1.03515885888751</v>
      </c>
      <c r="K489" s="16" t="n">
        <f aca="false">ROUND(I489*J489^($F$8-1),0)</f>
        <v>21527</v>
      </c>
      <c r="L489" s="16" t="n">
        <f aca="false">ROUND(I489*J489^($F$9-1),0)</f>
        <v>21660</v>
      </c>
      <c r="M489" s="17" t="n">
        <f aca="false">G489*$F$7</f>
        <v>6566710.92668808</v>
      </c>
      <c r="N489" s="18" t="n">
        <f aca="false">F489/K489</f>
        <v>250.788591071677</v>
      </c>
      <c r="O489" s="18" t="n">
        <f aca="false">G489/L489</f>
        <v>314.721837488458</v>
      </c>
      <c r="P489" s="18" t="n">
        <f aca="false">M489/L489</f>
        <v>303.172249616255</v>
      </c>
      <c r="Q489" s="19" t="n">
        <f aca="false">IF(N489=0,"n.a.",P489/N489-1)</f>
        <v>0.208875763928215</v>
      </c>
    </row>
    <row r="490" customFormat="false" ht="15" hidden="false" customHeight="false" outlineLevel="0" collapsed="false">
      <c r="A490" s="12" t="s">
        <v>1123</v>
      </c>
      <c r="B490" s="12" t="s">
        <v>1091</v>
      </c>
      <c r="C490" s="12" t="s">
        <v>1092</v>
      </c>
      <c r="D490" s="12" t="s">
        <v>172</v>
      </c>
      <c r="E490" s="12" t="s">
        <v>1124</v>
      </c>
      <c r="F490" s="13" t="n">
        <v>5747389</v>
      </c>
      <c r="G490" s="13" t="n">
        <v>8121659</v>
      </c>
      <c r="H490" s="14" t="n">
        <v>35068</v>
      </c>
      <c r="I490" s="14" t="n">
        <v>30596</v>
      </c>
      <c r="J490" s="15" t="n">
        <f aca="false">I490/H490</f>
        <v>0.872476331698415</v>
      </c>
      <c r="K490" s="16" t="n">
        <f aca="false">ROUND(I490*J490^($F$8-1),0)</f>
        <v>31575</v>
      </c>
      <c r="L490" s="16" t="n">
        <f aca="false">ROUND(I490*J490^($F$9-1),0)</f>
        <v>30814</v>
      </c>
      <c r="M490" s="17" t="n">
        <f aca="false">G490*$F$7</f>
        <v>7823612.27074496</v>
      </c>
      <c r="N490" s="18" t="n">
        <f aca="false">F490/K490</f>
        <v>182.023404592241</v>
      </c>
      <c r="O490" s="18" t="n">
        <f aca="false">G490/L490</f>
        <v>263.570422535211</v>
      </c>
      <c r="P490" s="18" t="n">
        <f aca="false">M490/L490</f>
        <v>253.897977242324</v>
      </c>
      <c r="Q490" s="19" t="n">
        <f aca="false">IF(N490=0,"n.a.",P490/N490-1)</f>
        <v>0.394864456090647</v>
      </c>
    </row>
    <row r="491" customFormat="false" ht="15" hidden="false" customHeight="false" outlineLevel="0" collapsed="false">
      <c r="A491" s="12" t="s">
        <v>1125</v>
      </c>
      <c r="B491" s="12" t="s">
        <v>1091</v>
      </c>
      <c r="C491" s="12" t="s">
        <v>1092</v>
      </c>
      <c r="D491" s="12" t="s">
        <v>175</v>
      </c>
      <c r="E491" s="12" t="s">
        <v>1126</v>
      </c>
      <c r="F491" s="13" t="n">
        <v>3115349</v>
      </c>
      <c r="G491" s="13" t="n">
        <v>2850333</v>
      </c>
      <c r="H491" s="14" t="n">
        <v>9482</v>
      </c>
      <c r="I491" s="14" t="n">
        <v>10223</v>
      </c>
      <c r="J491" s="15" t="n">
        <f aca="false">I491/H491</f>
        <v>1.07814807002742</v>
      </c>
      <c r="K491" s="16" t="n">
        <f aca="false">ROUND(I491*J491^($F$8-1),0)</f>
        <v>10047</v>
      </c>
      <c r="L491" s="16" t="n">
        <f aca="false">ROUND(I491*J491^($F$9-1),0)</f>
        <v>10183</v>
      </c>
      <c r="M491" s="17" t="n">
        <f aca="false">G491*$F$7</f>
        <v>2745732.15084619</v>
      </c>
      <c r="N491" s="18" t="n">
        <f aca="false">F491/K491</f>
        <v>310.077535582761</v>
      </c>
      <c r="O491" s="18" t="n">
        <f aca="false">G491/L491</f>
        <v>279.910929981341</v>
      </c>
      <c r="P491" s="18" t="n">
        <f aca="false">M491/L491</f>
        <v>269.638824594539</v>
      </c>
      <c r="Q491" s="19" t="n">
        <f aca="false">IF(N491=0,"n.a.",P491/N491-1)</f>
        <v>-0.130414836122268</v>
      </c>
    </row>
    <row r="492" customFormat="false" ht="15" hidden="false" customHeight="false" outlineLevel="0" collapsed="false">
      <c r="A492" s="12" t="s">
        <v>1127</v>
      </c>
      <c r="B492" s="12" t="s">
        <v>1091</v>
      </c>
      <c r="C492" s="12" t="s">
        <v>1092</v>
      </c>
      <c r="D492" s="12" t="s">
        <v>178</v>
      </c>
      <c r="E492" s="12" t="s">
        <v>1128</v>
      </c>
      <c r="F492" s="13" t="n">
        <v>13391471</v>
      </c>
      <c r="G492" s="13" t="n">
        <v>13742059</v>
      </c>
      <c r="H492" s="14" t="n">
        <v>20120</v>
      </c>
      <c r="I492" s="14" t="n">
        <v>16501</v>
      </c>
      <c r="J492" s="15" t="n">
        <f aca="false">I492/H492</f>
        <v>0.820129224652088</v>
      </c>
      <c r="K492" s="16" t="n">
        <f aca="false">ROUND(I492*J492^($F$8-1),0)</f>
        <v>17274</v>
      </c>
      <c r="L492" s="16" t="n">
        <f aca="false">ROUND(I492*J492^($F$9-1),0)</f>
        <v>16672</v>
      </c>
      <c r="M492" s="17" t="n">
        <f aca="false">G492*$F$7</f>
        <v>13237756.1552019</v>
      </c>
      <c r="N492" s="18" t="n">
        <f aca="false">F492/K492</f>
        <v>775.238566631932</v>
      </c>
      <c r="O492" s="18" t="n">
        <f aca="false">G492/L492</f>
        <v>824.259776871401</v>
      </c>
      <c r="P492" s="18" t="n">
        <f aca="false">M492/L492</f>
        <v>794.011285700692</v>
      </c>
      <c r="Q492" s="19" t="n">
        <f aca="false">IF(N492=0,"n.a.",P492/N492-1)</f>
        <v>0.0242154091356919</v>
      </c>
    </row>
    <row r="493" customFormat="false" ht="15" hidden="false" customHeight="false" outlineLevel="0" collapsed="false">
      <c r="A493" s="12" t="s">
        <v>1129</v>
      </c>
      <c r="B493" s="12" t="s">
        <v>1091</v>
      </c>
      <c r="C493" s="12" t="s">
        <v>1092</v>
      </c>
      <c r="D493" s="12" t="s">
        <v>181</v>
      </c>
      <c r="E493" s="12" t="s">
        <v>1130</v>
      </c>
      <c r="F493" s="13" t="n">
        <v>8453907</v>
      </c>
      <c r="G493" s="13" t="n">
        <v>9443051</v>
      </c>
      <c r="H493" s="14" t="n">
        <v>29906</v>
      </c>
      <c r="I493" s="14" t="n">
        <v>30812</v>
      </c>
      <c r="J493" s="15" t="n">
        <f aca="false">I493/H493</f>
        <v>1.0302949240955</v>
      </c>
      <c r="K493" s="16" t="n">
        <f aca="false">ROUND(I493*J493^($F$8-1),0)</f>
        <v>30600</v>
      </c>
      <c r="L493" s="16" t="n">
        <f aca="false">ROUND(I493*J493^($F$9-1),0)</f>
        <v>30764</v>
      </c>
      <c r="M493" s="17" t="n">
        <f aca="false">G493*$F$7</f>
        <v>9096512.13832918</v>
      </c>
      <c r="N493" s="18" t="n">
        <f aca="false">F493/K493</f>
        <v>276.271470588235</v>
      </c>
      <c r="O493" s="18" t="n">
        <f aca="false">G493/L493</f>
        <v>306.951339227669</v>
      </c>
      <c r="P493" s="18" t="n">
        <f aca="false">M493/L493</f>
        <v>295.686911270615</v>
      </c>
      <c r="Q493" s="19" t="n">
        <f aca="false">IF(N493=0,"n.a.",P493/N493-1)</f>
        <v>0.070276676201998</v>
      </c>
    </row>
    <row r="494" customFormat="false" ht="15" hidden="false" customHeight="false" outlineLevel="0" collapsed="false">
      <c r="A494" s="12" t="s">
        <v>1131</v>
      </c>
      <c r="B494" s="12" t="s">
        <v>1091</v>
      </c>
      <c r="C494" s="12" t="s">
        <v>1092</v>
      </c>
      <c r="D494" s="12" t="s">
        <v>184</v>
      </c>
      <c r="E494" s="12" t="s">
        <v>1132</v>
      </c>
      <c r="F494" s="13" t="n">
        <v>1704992</v>
      </c>
      <c r="G494" s="13" t="n">
        <v>1402707</v>
      </c>
      <c r="H494" s="14" t="n">
        <v>13516</v>
      </c>
      <c r="I494" s="14" t="n">
        <v>13873</v>
      </c>
      <c r="J494" s="15" t="n">
        <f aca="false">I494/H494</f>
        <v>1.02641313998224</v>
      </c>
      <c r="K494" s="16" t="n">
        <f aca="false">ROUND(I494*J494^($F$8-1),0)</f>
        <v>13790</v>
      </c>
      <c r="L494" s="16" t="n">
        <f aca="false">ROUND(I494*J494^($F$9-1),0)</f>
        <v>13854</v>
      </c>
      <c r="M494" s="17" t="n">
        <f aca="false">G494*$F$7</f>
        <v>1351230.78886467</v>
      </c>
      <c r="N494" s="18" t="n">
        <f aca="false">F494/K494</f>
        <v>123.639738941262</v>
      </c>
      <c r="O494" s="18" t="n">
        <f aca="false">G494/L494</f>
        <v>101.249242096146</v>
      </c>
      <c r="P494" s="18" t="n">
        <f aca="false">M494/L494</f>
        <v>97.5336212548484</v>
      </c>
      <c r="Q494" s="19" t="n">
        <f aca="false">IF(N494=0,"n.a.",P494/N494-1)</f>
        <v>-0.21114665810493</v>
      </c>
    </row>
    <row r="495" customFormat="false" ht="15" hidden="false" customHeight="false" outlineLevel="0" collapsed="false">
      <c r="A495" s="12" t="s">
        <v>1133</v>
      </c>
      <c r="B495" s="12" t="s">
        <v>1091</v>
      </c>
      <c r="C495" s="12" t="s">
        <v>1092</v>
      </c>
      <c r="D495" s="12" t="s">
        <v>187</v>
      </c>
      <c r="E495" s="12" t="s">
        <v>1134</v>
      </c>
      <c r="F495" s="13" t="n">
        <v>16204802</v>
      </c>
      <c r="G495" s="13" t="n">
        <v>14847765</v>
      </c>
      <c r="H495" s="14" t="n">
        <v>22096</v>
      </c>
      <c r="I495" s="14" t="n">
        <v>24217</v>
      </c>
      <c r="J495" s="15" t="n">
        <f aca="false">I495/H495</f>
        <v>1.09599022447502</v>
      </c>
      <c r="K495" s="16" t="n">
        <f aca="false">ROUND(I495*J495^($F$8-1),0)</f>
        <v>23710</v>
      </c>
      <c r="L495" s="16" t="n">
        <f aca="false">ROUND(I495*J495^($F$9-1),0)</f>
        <v>24102</v>
      </c>
      <c r="M495" s="17" t="n">
        <f aca="false">G495*$F$7</f>
        <v>14302885.2168181</v>
      </c>
      <c r="N495" s="18" t="n">
        <f aca="false">F495/K495</f>
        <v>683.458540700127</v>
      </c>
      <c r="O495" s="18" t="n">
        <f aca="false">G495/L495</f>
        <v>616.038710480458</v>
      </c>
      <c r="P495" s="18" t="n">
        <f aca="false">M495/L495</f>
        <v>593.431466966147</v>
      </c>
      <c r="Q495" s="19" t="n">
        <f aca="false">IF(N495=0,"n.a.",P495/N495-1)</f>
        <v>-0.131722801564169</v>
      </c>
    </row>
    <row r="496" customFormat="false" ht="15" hidden="false" customHeight="false" outlineLevel="0" collapsed="false">
      <c r="A496" s="12" t="s">
        <v>1135</v>
      </c>
      <c r="B496" s="12" t="s">
        <v>1091</v>
      </c>
      <c r="C496" s="12" t="s">
        <v>1092</v>
      </c>
      <c r="D496" s="12" t="s">
        <v>190</v>
      </c>
      <c r="E496" s="12" t="s">
        <v>1136</v>
      </c>
      <c r="F496" s="13" t="n">
        <v>3818621</v>
      </c>
      <c r="G496" s="13" t="n">
        <v>4855148</v>
      </c>
      <c r="H496" s="14" t="n">
        <v>10413</v>
      </c>
      <c r="I496" s="14" t="n">
        <v>9451</v>
      </c>
      <c r="J496" s="15" t="n">
        <f aca="false">I496/H496</f>
        <v>0.907615480649189</v>
      </c>
      <c r="K496" s="16" t="n">
        <f aca="false">ROUND(I496*J496^($F$8-1),0)</f>
        <v>9665</v>
      </c>
      <c r="L496" s="16" t="n">
        <f aca="false">ROUND(I496*J496^($F$9-1),0)</f>
        <v>9499</v>
      </c>
      <c r="M496" s="17" t="n">
        <f aca="false">G496*$F$7</f>
        <v>4676974.92212895</v>
      </c>
      <c r="N496" s="18" t="n">
        <f aca="false">F496/K496</f>
        <v>395.097878944646</v>
      </c>
      <c r="O496" s="18" t="n">
        <f aca="false">G496/L496</f>
        <v>511.122012843457</v>
      </c>
      <c r="P496" s="18" t="n">
        <f aca="false">M496/L496</f>
        <v>492.364977590162</v>
      </c>
      <c r="Q496" s="19" t="n">
        <f aca="false">IF(N496=0,"n.a.",P496/N496-1)</f>
        <v>0.246184816039327</v>
      </c>
    </row>
    <row r="497" customFormat="false" ht="15" hidden="false" customHeight="false" outlineLevel="0" collapsed="false">
      <c r="A497" s="12" t="s">
        <v>1137</v>
      </c>
      <c r="B497" s="12" t="s">
        <v>1091</v>
      </c>
      <c r="C497" s="12" t="s">
        <v>1092</v>
      </c>
      <c r="D497" s="12" t="s">
        <v>193</v>
      </c>
      <c r="E497" s="12" t="s">
        <v>1138</v>
      </c>
      <c r="F497" s="13" t="n">
        <v>1299082</v>
      </c>
      <c r="G497" s="13" t="n">
        <v>3049207</v>
      </c>
      <c r="H497" s="14" t="n">
        <v>20560</v>
      </c>
      <c r="I497" s="14" t="n">
        <v>23669</v>
      </c>
      <c r="J497" s="15" t="n">
        <f aca="false">I497/H497</f>
        <v>1.15121595330739</v>
      </c>
      <c r="K497" s="16" t="n">
        <f aca="false">ROUND(I497*J497^($F$8-1),0)</f>
        <v>22912</v>
      </c>
      <c r="L497" s="16" t="n">
        <f aca="false">ROUND(I497*J497^($F$9-1),0)</f>
        <v>23496</v>
      </c>
      <c r="M497" s="17" t="n">
        <f aca="false">G497*$F$7</f>
        <v>2937307.91963088</v>
      </c>
      <c r="N497" s="18" t="n">
        <f aca="false">F497/K497</f>
        <v>56.6987604748603</v>
      </c>
      <c r="O497" s="18" t="n">
        <f aca="false">G497/L497</f>
        <v>129.775578821927</v>
      </c>
      <c r="P497" s="18" t="n">
        <f aca="false">M497/L497</f>
        <v>125.013105193688</v>
      </c>
      <c r="Q497" s="19" t="n">
        <f aca="false">IF(N497=0,"n.a.",P497/N497-1)</f>
        <v>1.20486487088403</v>
      </c>
    </row>
    <row r="498" customFormat="false" ht="15" hidden="false" customHeight="false" outlineLevel="0" collapsed="false">
      <c r="A498" s="12" t="s">
        <v>1139</v>
      </c>
      <c r="B498" s="12" t="s">
        <v>1091</v>
      </c>
      <c r="C498" s="12" t="s">
        <v>1092</v>
      </c>
      <c r="D498" s="12" t="s">
        <v>196</v>
      </c>
      <c r="E498" s="12" t="s">
        <v>1140</v>
      </c>
      <c r="F498" s="13" t="n">
        <v>2975053</v>
      </c>
      <c r="G498" s="13" t="n">
        <v>3926310</v>
      </c>
      <c r="H498" s="14" t="n">
        <v>40511</v>
      </c>
      <c r="I498" s="14" t="n">
        <v>45523</v>
      </c>
      <c r="J498" s="15" t="n">
        <f aca="false">I498/H498</f>
        <v>1.12371948359705</v>
      </c>
      <c r="K498" s="16" t="n">
        <f aca="false">ROUND(I498*J498^($F$8-1),0)</f>
        <v>44313</v>
      </c>
      <c r="L498" s="16" t="n">
        <f aca="false">ROUND(I498*J498^($F$9-1),0)</f>
        <v>45248</v>
      </c>
      <c r="M498" s="17" t="n">
        <f aca="false">G498*$F$7</f>
        <v>3782223.20030287</v>
      </c>
      <c r="N498" s="18" t="n">
        <f aca="false">F498/K498</f>
        <v>67.1372509195947</v>
      </c>
      <c r="O498" s="18" t="n">
        <f aca="false">G498/L498</f>
        <v>86.7731170438472</v>
      </c>
      <c r="P498" s="18" t="n">
        <f aca="false">M498/L498</f>
        <v>83.588737630456</v>
      </c>
      <c r="Q498" s="19" t="n">
        <f aca="false">IF(N498=0,"n.a.",P498/N498-1)</f>
        <v>0.245042602810235</v>
      </c>
    </row>
    <row r="499" customFormat="false" ht="15" hidden="false" customHeight="false" outlineLevel="0" collapsed="false">
      <c r="A499" s="12" t="s">
        <v>1141</v>
      </c>
      <c r="B499" s="12" t="s">
        <v>1091</v>
      </c>
      <c r="C499" s="12" t="s">
        <v>1092</v>
      </c>
      <c r="D499" s="12" t="s">
        <v>199</v>
      </c>
      <c r="E499" s="12" t="s">
        <v>1142</v>
      </c>
      <c r="F499" s="13" t="n">
        <v>826169</v>
      </c>
      <c r="G499" s="13" t="n">
        <v>0</v>
      </c>
      <c r="H499" s="14" t="n">
        <v>4654</v>
      </c>
      <c r="I499" s="14" t="n">
        <v>3939</v>
      </c>
      <c r="J499" s="15" t="n">
        <f aca="false">I499/H499</f>
        <v>0.846368715083799</v>
      </c>
      <c r="K499" s="16" t="n">
        <f aca="false">ROUND(I499*J499^($F$8-1),0)</f>
        <v>4094</v>
      </c>
      <c r="L499" s="16" t="n">
        <f aca="false">ROUND(I499*J499^($F$9-1),0)</f>
        <v>3973</v>
      </c>
      <c r="M499" s="17" t="n">
        <f aca="false">G499*$F$7</f>
        <v>0</v>
      </c>
      <c r="N499" s="18" t="n">
        <f aca="false">F499/K499</f>
        <v>201.799951148022</v>
      </c>
      <c r="O499" s="18" t="n">
        <f aca="false">G499/L499</f>
        <v>0</v>
      </c>
      <c r="P499" s="18" t="n">
        <f aca="false">M499/L499</f>
        <v>0</v>
      </c>
      <c r="Q499" s="19" t="n">
        <f aca="false">IF(N499=0,"n.a.",P499/N499-1)</f>
        <v>-1</v>
      </c>
    </row>
    <row r="500" customFormat="false" ht="15" hidden="false" customHeight="false" outlineLevel="0" collapsed="false">
      <c r="A500" s="12" t="s">
        <v>1143</v>
      </c>
      <c r="B500" s="12" t="s">
        <v>1091</v>
      </c>
      <c r="C500" s="12" t="s">
        <v>1092</v>
      </c>
      <c r="D500" s="12" t="s">
        <v>202</v>
      </c>
      <c r="E500" s="12" t="s">
        <v>1144</v>
      </c>
      <c r="F500" s="13" t="n">
        <v>1875758</v>
      </c>
      <c r="G500" s="13" t="n">
        <v>2004240</v>
      </c>
      <c r="H500" s="14" t="n">
        <v>4938</v>
      </c>
      <c r="I500" s="14" t="n">
        <v>4606</v>
      </c>
      <c r="J500" s="15" t="n">
        <f aca="false">I500/H500</f>
        <v>0.932766302146618</v>
      </c>
      <c r="K500" s="16" t="n">
        <f aca="false">ROUND(I500*J500^($F$8-1),0)</f>
        <v>4681</v>
      </c>
      <c r="L500" s="16" t="n">
        <f aca="false">ROUND(I500*J500^($F$9-1),0)</f>
        <v>4623</v>
      </c>
      <c r="M500" s="17" t="n">
        <f aca="false">G500*$F$7</f>
        <v>1930688.87249734</v>
      </c>
      <c r="N500" s="18" t="n">
        <f aca="false">F500/K500</f>
        <v>400.717368083743</v>
      </c>
      <c r="O500" s="18" t="n">
        <f aca="false">G500/L500</f>
        <v>433.536664503569</v>
      </c>
      <c r="P500" s="18" t="n">
        <f aca="false">M500/L500</f>
        <v>417.626838091573</v>
      </c>
      <c r="Q500" s="19" t="n">
        <f aca="false">IF(N500=0,"n.a.",P500/N500-1)</f>
        <v>0.0421979962802515</v>
      </c>
    </row>
    <row r="501" customFormat="false" ht="15" hidden="false" customHeight="false" outlineLevel="0" collapsed="false">
      <c r="A501" s="12" t="s">
        <v>1145</v>
      </c>
      <c r="B501" s="12" t="s">
        <v>1091</v>
      </c>
      <c r="C501" s="12" t="s">
        <v>1092</v>
      </c>
      <c r="D501" s="12" t="s">
        <v>205</v>
      </c>
      <c r="E501" s="12" t="s">
        <v>1146</v>
      </c>
      <c r="F501" s="13" t="n">
        <v>2581148</v>
      </c>
      <c r="G501" s="13" t="n">
        <v>2989085</v>
      </c>
      <c r="H501" s="14" t="n">
        <v>5232</v>
      </c>
      <c r="I501" s="14" t="n">
        <v>5448</v>
      </c>
      <c r="J501" s="15" t="n">
        <f aca="false">I501/H501</f>
        <v>1.04128440366972</v>
      </c>
      <c r="K501" s="16" t="n">
        <f aca="false">ROUND(I501*J501^($F$8-1),0)</f>
        <v>5397</v>
      </c>
      <c r="L501" s="16" t="n">
        <f aca="false">ROUND(I501*J501^($F$9-1),0)</f>
        <v>5437</v>
      </c>
      <c r="M501" s="17" t="n">
        <f aca="false">G501*$F$7</f>
        <v>2879392.26262759</v>
      </c>
      <c r="N501" s="18" t="n">
        <f aca="false">F501/K501</f>
        <v>478.256068186029</v>
      </c>
      <c r="O501" s="18" t="n">
        <f aca="false">G501/L501</f>
        <v>549.76733492735</v>
      </c>
      <c r="P501" s="18" t="n">
        <f aca="false">M501/L501</f>
        <v>529.592102745556</v>
      </c>
      <c r="Q501" s="19" t="n">
        <f aca="false">IF(N501=0,"n.a.",P501/N501-1)</f>
        <v>0.107340058965144</v>
      </c>
    </row>
    <row r="502" customFormat="false" ht="15" hidden="false" customHeight="false" outlineLevel="0" collapsed="false">
      <c r="A502" s="12" t="s">
        <v>1147</v>
      </c>
      <c r="B502" s="12" t="s">
        <v>1091</v>
      </c>
      <c r="C502" s="12" t="s">
        <v>1092</v>
      </c>
      <c r="D502" s="12" t="s">
        <v>208</v>
      </c>
      <c r="E502" s="12" t="s">
        <v>1148</v>
      </c>
      <c r="F502" s="13" t="n">
        <v>17222</v>
      </c>
      <c r="G502" s="13" t="n">
        <v>11815</v>
      </c>
      <c r="H502" s="14" t="n">
        <v>12251</v>
      </c>
      <c r="I502" s="14" t="n">
        <v>12851</v>
      </c>
      <c r="J502" s="15" t="n">
        <f aca="false">I502/H502</f>
        <v>1.04897559382908</v>
      </c>
      <c r="K502" s="16" t="n">
        <f aca="false">ROUND(I502*J502^($F$8-1),0)</f>
        <v>12710</v>
      </c>
      <c r="L502" s="16" t="n">
        <f aca="false">ROUND(I502*J502^($F$9-1),0)</f>
        <v>12819</v>
      </c>
      <c r="M502" s="17" t="n">
        <f aca="false">G502*$F$7</f>
        <v>11381.4159125434</v>
      </c>
      <c r="N502" s="18" t="n">
        <f aca="false">F502/K502</f>
        <v>1.35499606608969</v>
      </c>
      <c r="O502" s="18" t="n">
        <f aca="false">G502/L502</f>
        <v>0.921678758093455</v>
      </c>
      <c r="P502" s="18" t="n">
        <f aca="false">M502/L502</f>
        <v>0.887855208092944</v>
      </c>
      <c r="Q502" s="19" t="n">
        <f aca="false">IF(N502=0,"n.a.",P502/N502-1)</f>
        <v>-0.344754401645493</v>
      </c>
    </row>
    <row r="503" customFormat="false" ht="15" hidden="false" customHeight="false" outlineLevel="0" collapsed="false">
      <c r="A503" s="12" t="s">
        <v>1149</v>
      </c>
      <c r="B503" s="12" t="s">
        <v>1091</v>
      </c>
      <c r="C503" s="12" t="s">
        <v>1092</v>
      </c>
      <c r="D503" s="12" t="s">
        <v>211</v>
      </c>
      <c r="E503" s="12" t="s">
        <v>1150</v>
      </c>
      <c r="F503" s="13" t="n">
        <v>7452686</v>
      </c>
      <c r="G503" s="13" t="n">
        <v>8237602</v>
      </c>
      <c r="H503" s="14" t="n">
        <v>11847</v>
      </c>
      <c r="I503" s="14" t="n">
        <v>11362</v>
      </c>
      <c r="J503" s="15" t="n">
        <f aca="false">I503/H503</f>
        <v>0.959061365746603</v>
      </c>
      <c r="K503" s="16" t="n">
        <f aca="false">ROUND(I503*J503^($F$8-1),0)</f>
        <v>11472</v>
      </c>
      <c r="L503" s="16" t="n">
        <f aca="false">ROUND(I503*J503^($F$9-1),0)</f>
        <v>11387</v>
      </c>
      <c r="M503" s="17" t="n">
        <f aca="false">G503*$F$7</f>
        <v>7935300.42183663</v>
      </c>
      <c r="N503" s="18" t="n">
        <f aca="false">F503/K503</f>
        <v>649.641387726639</v>
      </c>
      <c r="O503" s="18" t="n">
        <f aca="false">G503/L503</f>
        <v>723.421621146922</v>
      </c>
      <c r="P503" s="18" t="n">
        <f aca="false">M503/L503</f>
        <v>696.873664866657</v>
      </c>
      <c r="Q503" s="19" t="n">
        <f aca="false">IF(N503=0,"n.a.",P503/N503-1)</f>
        <v>0.0727051540008918</v>
      </c>
    </row>
    <row r="504" customFormat="false" ht="15" hidden="false" customHeight="false" outlineLevel="0" collapsed="false">
      <c r="A504" s="12" t="s">
        <v>1151</v>
      </c>
      <c r="B504" s="12" t="s">
        <v>1091</v>
      </c>
      <c r="C504" s="12" t="s">
        <v>1092</v>
      </c>
      <c r="D504" s="12" t="s">
        <v>214</v>
      </c>
      <c r="E504" s="12" t="s">
        <v>1152</v>
      </c>
      <c r="F504" s="13" t="n">
        <v>4146629</v>
      </c>
      <c r="G504" s="13" t="n">
        <v>4049560</v>
      </c>
      <c r="H504" s="14" t="n">
        <v>16075</v>
      </c>
      <c r="I504" s="14" t="n">
        <v>16507</v>
      </c>
      <c r="J504" s="15" t="n">
        <f aca="false">I504/H504</f>
        <v>1.02687402799378</v>
      </c>
      <c r="K504" s="16" t="n">
        <f aca="false">ROUND(I504*J504^($F$8-1),0)</f>
        <v>16406</v>
      </c>
      <c r="L504" s="16" t="n">
        <f aca="false">ROUND(I504*J504^($F$9-1),0)</f>
        <v>16484</v>
      </c>
      <c r="M504" s="17" t="n">
        <f aca="false">G504*$F$7</f>
        <v>3900950.20082941</v>
      </c>
      <c r="N504" s="18" t="n">
        <f aca="false">F504/K504</f>
        <v>252.750761916372</v>
      </c>
      <c r="O504" s="18" t="n">
        <f aca="false">G504/L504</f>
        <v>245.666100461053</v>
      </c>
      <c r="P504" s="18" t="n">
        <f aca="false">M504/L504</f>
        <v>236.650703763007</v>
      </c>
      <c r="Q504" s="19" t="n">
        <f aca="false">IF(N504=0,"n.a.",P504/N504-1)</f>
        <v>-0.0636993456767191</v>
      </c>
    </row>
    <row r="505" customFormat="false" ht="15" hidden="false" customHeight="false" outlineLevel="0" collapsed="false">
      <c r="A505" s="12" t="s">
        <v>1153</v>
      </c>
      <c r="B505" s="12" t="s">
        <v>1091</v>
      </c>
      <c r="C505" s="12" t="s">
        <v>1092</v>
      </c>
      <c r="D505" s="12" t="s">
        <v>217</v>
      </c>
      <c r="E505" s="12" t="s">
        <v>1154</v>
      </c>
      <c r="F505" s="13" t="n">
        <v>2840700</v>
      </c>
      <c r="G505" s="13" t="n">
        <v>3610962</v>
      </c>
      <c r="H505" s="14" t="n">
        <v>15691</v>
      </c>
      <c r="I505" s="14" t="n">
        <v>16393</v>
      </c>
      <c r="J505" s="15" t="n">
        <f aca="false">I505/H505</f>
        <v>1.04473902236951</v>
      </c>
      <c r="K505" s="16" t="n">
        <f aca="false">ROUND(I505*J505^($F$8-1),0)</f>
        <v>16228</v>
      </c>
      <c r="L505" s="16" t="n">
        <f aca="false">ROUND(I505*J505^($F$9-1),0)</f>
        <v>16356</v>
      </c>
      <c r="M505" s="17" t="n">
        <f aca="false">G505*$F$7</f>
        <v>3478447.76693946</v>
      </c>
      <c r="N505" s="18" t="n">
        <f aca="false">F505/K505</f>
        <v>175.049297510476</v>
      </c>
      <c r="O505" s="18" t="n">
        <f aca="false">G505/L505</f>
        <v>220.772927366104</v>
      </c>
      <c r="P505" s="18" t="n">
        <f aca="false">M505/L505</f>
        <v>212.67105447172</v>
      </c>
      <c r="Q505" s="19" t="n">
        <f aca="false">IF(N505=0,"n.a.",P505/N505-1)</f>
        <v>0.2149209251125</v>
      </c>
    </row>
    <row r="506" customFormat="false" ht="15" hidden="false" customHeight="false" outlineLevel="0" collapsed="false">
      <c r="A506" s="12" t="s">
        <v>1155</v>
      </c>
      <c r="B506" s="12" t="s">
        <v>1091</v>
      </c>
      <c r="C506" s="12" t="s">
        <v>1092</v>
      </c>
      <c r="D506" s="12" t="s">
        <v>220</v>
      </c>
      <c r="E506" s="12" t="s">
        <v>1156</v>
      </c>
      <c r="F506" s="13" t="n">
        <v>1727842</v>
      </c>
      <c r="G506" s="13" t="n">
        <v>1740881</v>
      </c>
      <c r="H506" s="14" t="n">
        <v>21438</v>
      </c>
      <c r="I506" s="14" t="n">
        <v>20528</v>
      </c>
      <c r="J506" s="15" t="n">
        <f aca="false">I506/H506</f>
        <v>0.957552010448736</v>
      </c>
      <c r="K506" s="16" t="n">
        <f aca="false">ROUND(I506*J506^($F$8-1),0)</f>
        <v>20735</v>
      </c>
      <c r="L506" s="16" t="n">
        <f aca="false">ROUND(I506*J506^($F$9-1),0)</f>
        <v>20574</v>
      </c>
      <c r="M506" s="17" t="n">
        <f aca="false">G506*$F$7</f>
        <v>1676994.55905582</v>
      </c>
      <c r="N506" s="18" t="n">
        <f aca="false">F506/K506</f>
        <v>83.3297323366289</v>
      </c>
      <c r="O506" s="18" t="n">
        <f aca="false">G506/L506</f>
        <v>84.6155827743754</v>
      </c>
      <c r="P506" s="18" t="n">
        <f aca="false">M506/L506</f>
        <v>81.5103800454857</v>
      </c>
      <c r="Q506" s="19" t="n">
        <f aca="false">IF(N506=0,"n.a.",P506/N506-1)</f>
        <v>-0.0218331709478379</v>
      </c>
    </row>
    <row r="507" customFormat="false" ht="15" hidden="false" customHeight="false" outlineLevel="0" collapsed="false">
      <c r="A507" s="12" t="s">
        <v>1157</v>
      </c>
      <c r="B507" s="12" t="s">
        <v>1091</v>
      </c>
      <c r="C507" s="12" t="s">
        <v>1092</v>
      </c>
      <c r="D507" s="12" t="s">
        <v>223</v>
      </c>
      <c r="E507" s="12" t="s">
        <v>161</v>
      </c>
      <c r="F507" s="13" t="n">
        <v>44782327</v>
      </c>
      <c r="G507" s="13" t="n">
        <v>53919752</v>
      </c>
      <c r="H507" s="14" t="n">
        <v>125606</v>
      </c>
      <c r="I507" s="14" t="n">
        <v>123880</v>
      </c>
      <c r="J507" s="15" t="n">
        <f aca="false">I507/H507</f>
        <v>0.986258618218875</v>
      </c>
      <c r="K507" s="16" t="n">
        <f aca="false">ROUND(I507*J507^($F$8-1),0)</f>
        <v>124276</v>
      </c>
      <c r="L507" s="16" t="n">
        <f aca="false">ROUND(I507*J507^($F$9-1),0)</f>
        <v>123969</v>
      </c>
      <c r="M507" s="17" t="n">
        <f aca="false">G507*$F$7</f>
        <v>51941017.6397119</v>
      </c>
      <c r="N507" s="18" t="n">
        <f aca="false">F507/K507</f>
        <v>360.345738517493</v>
      </c>
      <c r="O507" s="18" t="n">
        <f aca="false">G507/L507</f>
        <v>434.945446038929</v>
      </c>
      <c r="P507" s="18" t="n">
        <f aca="false">M507/L507</f>
        <v>418.983920493929</v>
      </c>
      <c r="Q507" s="19" t="n">
        <f aca="false">IF(N507=0,"n.a.",P507/N507-1)</f>
        <v>0.162727557755173</v>
      </c>
    </row>
    <row r="508" customFormat="false" ht="15" hidden="false" customHeight="false" outlineLevel="0" collapsed="false">
      <c r="A508" s="12" t="s">
        <v>1158</v>
      </c>
      <c r="B508" s="12" t="s">
        <v>1091</v>
      </c>
      <c r="C508" s="12" t="s">
        <v>1092</v>
      </c>
      <c r="D508" s="12" t="s">
        <v>226</v>
      </c>
      <c r="E508" s="12" t="s">
        <v>1159</v>
      </c>
      <c r="F508" s="13" t="n">
        <v>2433363</v>
      </c>
      <c r="G508" s="13" t="n">
        <v>3166548</v>
      </c>
      <c r="H508" s="14" t="n">
        <v>30574</v>
      </c>
      <c r="I508" s="14" t="n">
        <v>29272</v>
      </c>
      <c r="J508" s="15" t="n">
        <f aca="false">I508/H508</f>
        <v>0.957414796886243</v>
      </c>
      <c r="K508" s="16" t="n">
        <f aca="false">ROUND(I508*J508^($F$8-1),0)</f>
        <v>29568</v>
      </c>
      <c r="L508" s="16" t="n">
        <f aca="false">ROUND(I508*J508^($F$9-1),0)</f>
        <v>29338</v>
      </c>
      <c r="M508" s="17" t="n">
        <f aca="false">G508*$F$7</f>
        <v>3050342.76724779</v>
      </c>
      <c r="N508" s="18" t="n">
        <f aca="false">F508/K508</f>
        <v>82.2971793831169</v>
      </c>
      <c r="O508" s="18" t="n">
        <f aca="false">G508/L508</f>
        <v>107.933328788602</v>
      </c>
      <c r="P508" s="18" t="n">
        <f aca="false">M508/L508</f>
        <v>103.97241690803</v>
      </c>
      <c r="Q508" s="19" t="n">
        <f aca="false">IF(N508=0,"n.a.",P508/N508-1)</f>
        <v>0.26337764778072</v>
      </c>
    </row>
    <row r="509" customFormat="false" ht="15" hidden="false" customHeight="false" outlineLevel="0" collapsed="false">
      <c r="A509" s="12" t="s">
        <v>1160</v>
      </c>
      <c r="B509" s="12" t="s">
        <v>1091</v>
      </c>
      <c r="C509" s="12" t="s">
        <v>1092</v>
      </c>
      <c r="D509" s="12" t="s">
        <v>229</v>
      </c>
      <c r="E509" s="12" t="s">
        <v>1161</v>
      </c>
      <c r="F509" s="13" t="n">
        <v>5491010</v>
      </c>
      <c r="G509" s="13" t="n">
        <v>7187602</v>
      </c>
      <c r="H509" s="14" t="n">
        <v>11640</v>
      </c>
      <c r="I509" s="14" t="n">
        <v>11348</v>
      </c>
      <c r="J509" s="15" t="n">
        <f aca="false">I509/H509</f>
        <v>0.974914089347079</v>
      </c>
      <c r="K509" s="16" t="n">
        <f aca="false">ROUND(I509*J509^($F$8-1),0)</f>
        <v>11415</v>
      </c>
      <c r="L509" s="16" t="n">
        <f aca="false">ROUND(I509*J509^($F$9-1),0)</f>
        <v>11363</v>
      </c>
      <c r="M509" s="17" t="n">
        <f aca="false">G509*$F$7</f>
        <v>6923833.07455177</v>
      </c>
      <c r="N509" s="18" t="n">
        <f aca="false">F509/K509</f>
        <v>481.034603591765</v>
      </c>
      <c r="O509" s="18" t="n">
        <f aca="false">G509/L509</f>
        <v>632.544398486315</v>
      </c>
      <c r="P509" s="18" t="n">
        <f aca="false">M509/L509</f>
        <v>609.33143312081</v>
      </c>
      <c r="Q509" s="19" t="n">
        <f aca="false">IF(N509=0,"n.a.",P509/N509-1)</f>
        <v>0.266710187938839</v>
      </c>
    </row>
    <row r="510" customFormat="false" ht="15" hidden="false" customHeight="false" outlineLevel="0" collapsed="false">
      <c r="A510" s="12" t="s">
        <v>1162</v>
      </c>
      <c r="B510" s="12" t="s">
        <v>1091</v>
      </c>
      <c r="C510" s="12" t="s">
        <v>1092</v>
      </c>
      <c r="D510" s="12" t="s">
        <v>232</v>
      </c>
      <c r="E510" s="12" t="s">
        <v>1163</v>
      </c>
      <c r="F510" s="13" t="n">
        <v>2481244</v>
      </c>
      <c r="G510" s="13" t="n">
        <v>3317903</v>
      </c>
      <c r="H510" s="14" t="n">
        <v>7945</v>
      </c>
      <c r="I510" s="14" t="n">
        <v>7201</v>
      </c>
      <c r="J510" s="15" t="n">
        <f aca="false">I510/H510</f>
        <v>0.906356198867212</v>
      </c>
      <c r="K510" s="16" t="n">
        <f aca="false">ROUND(I510*J510^($F$8-1),0)</f>
        <v>7366</v>
      </c>
      <c r="L510" s="16" t="n">
        <f aca="false">ROUND(I510*J510^($F$9-1),0)</f>
        <v>7238</v>
      </c>
      <c r="M510" s="17" t="n">
        <f aca="false">G510*$F$7</f>
        <v>3196143.37710331</v>
      </c>
      <c r="N510" s="18" t="n">
        <f aca="false">F510/K510</f>
        <v>336.850936736356</v>
      </c>
      <c r="O510" s="18" t="n">
        <f aca="false">G510/L510</f>
        <v>458.400525006908</v>
      </c>
      <c r="P510" s="18" t="n">
        <f aca="false">M510/L510</f>
        <v>441.578250497833</v>
      </c>
      <c r="Q510" s="19" t="n">
        <f aca="false">IF(N510=0,"n.a.",P510/N510-1)</f>
        <v>0.310901061389785</v>
      </c>
    </row>
    <row r="511" customFormat="false" ht="15" hidden="false" customHeight="false" outlineLevel="0" collapsed="false">
      <c r="A511" s="12" t="s">
        <v>1164</v>
      </c>
      <c r="B511" s="12" t="s">
        <v>1091</v>
      </c>
      <c r="C511" s="12" t="s">
        <v>1092</v>
      </c>
      <c r="D511" s="12" t="s">
        <v>235</v>
      </c>
      <c r="E511" s="12" t="s">
        <v>1165</v>
      </c>
      <c r="F511" s="13" t="n">
        <v>5501975</v>
      </c>
      <c r="G511" s="13" t="n">
        <v>6792685</v>
      </c>
      <c r="H511" s="14" t="n">
        <v>41885</v>
      </c>
      <c r="I511" s="14" t="n">
        <v>45881</v>
      </c>
      <c r="J511" s="15" t="n">
        <f aca="false">I511/H511</f>
        <v>1.09540408260714</v>
      </c>
      <c r="K511" s="16" t="n">
        <f aca="false">ROUND(I511*J511^($F$8-1),0)</f>
        <v>44926</v>
      </c>
      <c r="L511" s="16" t="n">
        <f aca="false">ROUND(I511*J511^($F$9-1),0)</f>
        <v>45664</v>
      </c>
      <c r="M511" s="17" t="n">
        <f aca="false">G511*$F$7</f>
        <v>6543408.6456111</v>
      </c>
      <c r="N511" s="18" t="n">
        <f aca="false">F511/K511</f>
        <v>122.467502114588</v>
      </c>
      <c r="O511" s="18" t="n">
        <f aca="false">G511/L511</f>
        <v>148.753613349685</v>
      </c>
      <c r="P511" s="18" t="n">
        <f aca="false">M511/L511</f>
        <v>143.294688279851</v>
      </c>
      <c r="Q511" s="19" t="n">
        <f aca="false">IF(N511=0,"n.a.",P511/N511-1)</f>
        <v>0.170062962056457</v>
      </c>
    </row>
    <row r="512" customFormat="false" ht="15" hidden="false" customHeight="false" outlineLevel="0" collapsed="false">
      <c r="A512" s="12" t="s">
        <v>1166</v>
      </c>
      <c r="B512" s="12" t="s">
        <v>1091</v>
      </c>
      <c r="C512" s="12" t="s">
        <v>1092</v>
      </c>
      <c r="D512" s="12" t="s">
        <v>317</v>
      </c>
      <c r="E512" s="12" t="s">
        <v>1167</v>
      </c>
      <c r="F512" s="13" t="n">
        <v>728610</v>
      </c>
      <c r="G512" s="13" t="n">
        <v>1905636</v>
      </c>
      <c r="H512" s="14" t="n">
        <v>9012</v>
      </c>
      <c r="I512" s="14" t="n">
        <v>9120</v>
      </c>
      <c r="J512" s="15" t="n">
        <f aca="false">I512/H512</f>
        <v>1.01198402130493</v>
      </c>
      <c r="K512" s="16" t="n">
        <f aca="false">ROUND(I512*J512^($F$8-1),0)</f>
        <v>9095</v>
      </c>
      <c r="L512" s="16" t="n">
        <f aca="false">ROUND(I512*J512^($F$9-1),0)</f>
        <v>9114</v>
      </c>
      <c r="M512" s="17" t="n">
        <f aca="false">G512*$F$7</f>
        <v>1835703.41886717</v>
      </c>
      <c r="N512" s="18" t="n">
        <f aca="false">F512/K512</f>
        <v>80.1110500274876</v>
      </c>
      <c r="O512" s="18" t="n">
        <f aca="false">G512/L512</f>
        <v>209.088874259381</v>
      </c>
      <c r="P512" s="18" t="n">
        <f aca="false">M512/L512</f>
        <v>201.415779994204</v>
      </c>
      <c r="Q512" s="19" t="n">
        <f aca="false">IF(N512=0,"n.a.",P512/N512-1)</f>
        <v>1.51420721517311</v>
      </c>
    </row>
    <row r="513" customFormat="false" ht="15" hidden="false" customHeight="false" outlineLevel="0" collapsed="false">
      <c r="A513" s="12" t="s">
        <v>1168</v>
      </c>
      <c r="B513" s="12" t="s">
        <v>1091</v>
      </c>
      <c r="C513" s="12" t="s">
        <v>1092</v>
      </c>
      <c r="D513" s="12" t="s">
        <v>320</v>
      </c>
      <c r="E513" s="12" t="s">
        <v>1169</v>
      </c>
      <c r="F513" s="13" t="n">
        <v>4727016</v>
      </c>
      <c r="G513" s="13" t="n">
        <v>4787634</v>
      </c>
      <c r="H513" s="14" t="n">
        <v>18381</v>
      </c>
      <c r="I513" s="14" t="n">
        <v>16737</v>
      </c>
      <c r="J513" s="15" t="n">
        <f aca="false">I513/H513</f>
        <v>0.910559817202546</v>
      </c>
      <c r="K513" s="16" t="n">
        <f aca="false">ROUND(I513*J513^($F$8-1),0)</f>
        <v>17103</v>
      </c>
      <c r="L513" s="16" t="n">
        <f aca="false">ROUND(I513*J513^($F$9-1),0)</f>
        <v>16819</v>
      </c>
      <c r="M513" s="17" t="n">
        <f aca="false">G513*$F$7</f>
        <v>4611938.53500077</v>
      </c>
      <c r="N513" s="18" t="n">
        <f aca="false">F513/K513</f>
        <v>276.385195579723</v>
      </c>
      <c r="O513" s="18" t="n">
        <f aca="false">G513/L513</f>
        <v>284.656281586301</v>
      </c>
      <c r="P513" s="18" t="n">
        <f aca="false">M513/L513</f>
        <v>274.210032403875</v>
      </c>
      <c r="Q513" s="19" t="n">
        <f aca="false">IF(N513=0,"n.a.",P513/N513-1)</f>
        <v>-0.00787004228387089</v>
      </c>
    </row>
    <row r="514" customFormat="false" ht="15" hidden="false" customHeight="false" outlineLevel="0" collapsed="false">
      <c r="A514" s="12" t="s">
        <v>1170</v>
      </c>
      <c r="B514" s="12" t="s">
        <v>1091</v>
      </c>
      <c r="C514" s="12" t="s">
        <v>1092</v>
      </c>
      <c r="D514" s="12" t="s">
        <v>323</v>
      </c>
      <c r="E514" s="12" t="s">
        <v>1171</v>
      </c>
      <c r="F514" s="13" t="n">
        <v>5303412</v>
      </c>
      <c r="G514" s="13" t="n">
        <v>4260989</v>
      </c>
      <c r="H514" s="14" t="n">
        <v>16043</v>
      </c>
      <c r="I514" s="14" t="n">
        <v>16920</v>
      </c>
      <c r="J514" s="15" t="n">
        <f aca="false">I514/H514</f>
        <v>1.05466558623699</v>
      </c>
      <c r="K514" s="16" t="n">
        <f aca="false">ROUND(I514*J514^($F$8-1),0)</f>
        <v>16713</v>
      </c>
      <c r="L514" s="16" t="n">
        <f aca="false">ROUND(I514*J514^($F$9-1),0)</f>
        <v>16873</v>
      </c>
      <c r="M514" s="17" t="n">
        <f aca="false">G514*$F$7</f>
        <v>4104620.22918092</v>
      </c>
      <c r="N514" s="18" t="n">
        <f aca="false">F514/K514</f>
        <v>317.322563274098</v>
      </c>
      <c r="O514" s="18" t="n">
        <f aca="false">G514/L514</f>
        <v>252.532981686718</v>
      </c>
      <c r="P514" s="18" t="n">
        <f aca="false">M514/L514</f>
        <v>243.265585798668</v>
      </c>
      <c r="Q514" s="19" t="n">
        <f aca="false">IF(N514=0,"n.a.",P514/N514-1)</f>
        <v>-0.23338074894933</v>
      </c>
    </row>
    <row r="515" customFormat="false" ht="15" hidden="false" customHeight="false" outlineLevel="0" collapsed="false">
      <c r="A515" s="12" t="s">
        <v>1172</v>
      </c>
      <c r="B515" s="12" t="s">
        <v>1091</v>
      </c>
      <c r="C515" s="12" t="s">
        <v>1092</v>
      </c>
      <c r="D515" s="12" t="s">
        <v>326</v>
      </c>
      <c r="E515" s="12" t="s">
        <v>1173</v>
      </c>
      <c r="F515" s="13" t="n">
        <v>2049827</v>
      </c>
      <c r="G515" s="13" t="n">
        <v>2296632</v>
      </c>
      <c r="H515" s="14" t="n">
        <v>14301</v>
      </c>
      <c r="I515" s="14" t="n">
        <v>14123</v>
      </c>
      <c r="J515" s="15" t="n">
        <f aca="false">I515/H515</f>
        <v>0.987553317949794</v>
      </c>
      <c r="K515" s="16" t="n">
        <f aca="false">ROUND(I515*J515^($F$8-1),0)</f>
        <v>14164</v>
      </c>
      <c r="L515" s="16" t="n">
        <f aca="false">ROUND(I515*J515^($F$9-1),0)</f>
        <v>14132</v>
      </c>
      <c r="M515" s="17" t="n">
        <f aca="false">G515*$F$7</f>
        <v>2212350.7397424</v>
      </c>
      <c r="N515" s="18" t="n">
        <f aca="false">F515/K515</f>
        <v>144.720912171703</v>
      </c>
      <c r="O515" s="18" t="n">
        <f aca="false">G515/L515</f>
        <v>162.51287857345</v>
      </c>
      <c r="P515" s="18" t="n">
        <f aca="false">M515/L515</f>
        <v>156.549019228871</v>
      </c>
      <c r="Q515" s="19" t="n">
        <f aca="false">IF(N515=0,"n.a.",P515/N515-1)</f>
        <v>0.0817304623061974</v>
      </c>
    </row>
    <row r="516" customFormat="false" ht="15" hidden="false" customHeight="false" outlineLevel="0" collapsed="false">
      <c r="A516" s="12" t="s">
        <v>1174</v>
      </c>
      <c r="B516" s="12" t="s">
        <v>1091</v>
      </c>
      <c r="C516" s="12" t="s">
        <v>1092</v>
      </c>
      <c r="D516" s="12" t="s">
        <v>600</v>
      </c>
      <c r="E516" s="12" t="s">
        <v>1175</v>
      </c>
      <c r="F516" s="13" t="n">
        <v>30497839</v>
      </c>
      <c r="G516" s="13" t="n">
        <v>29327464</v>
      </c>
      <c r="H516" s="14" t="n">
        <v>68507</v>
      </c>
      <c r="I516" s="14" t="n">
        <v>71241</v>
      </c>
      <c r="J516" s="15" t="n">
        <f aca="false">I516/H516</f>
        <v>1.03990833053557</v>
      </c>
      <c r="K516" s="16" t="n">
        <f aca="false">ROUND(I516*J516^($F$8-1),0)</f>
        <v>70600</v>
      </c>
      <c r="L516" s="16" t="n">
        <f aca="false">ROUND(I516*J516^($F$9-1),0)</f>
        <v>71096</v>
      </c>
      <c r="M516" s="17" t="n">
        <f aca="false">G516*$F$7</f>
        <v>28251211.6330212</v>
      </c>
      <c r="N516" s="18" t="n">
        <f aca="false">F516/K516</f>
        <v>431.980722379603</v>
      </c>
      <c r="O516" s="18" t="n">
        <f aca="false">G516/L516</f>
        <v>412.505119837966</v>
      </c>
      <c r="P516" s="18" t="n">
        <f aca="false">M516/L516</f>
        <v>397.367104098981</v>
      </c>
      <c r="Q516" s="19" t="n">
        <f aca="false">IF(N516=0,"n.a.",P516/N516-1)</f>
        <v>-0.0801276920181764</v>
      </c>
    </row>
    <row r="517" customFormat="false" ht="15" hidden="false" customHeight="false" outlineLevel="0" collapsed="false">
      <c r="A517" s="12" t="s">
        <v>1176</v>
      </c>
      <c r="B517" s="12" t="s">
        <v>1091</v>
      </c>
      <c r="C517" s="12" t="s">
        <v>1092</v>
      </c>
      <c r="D517" s="12" t="s">
        <v>329</v>
      </c>
      <c r="E517" s="12" t="s">
        <v>164</v>
      </c>
      <c r="F517" s="13" t="n">
        <v>3489232</v>
      </c>
      <c r="G517" s="13" t="n">
        <v>3785713</v>
      </c>
      <c r="H517" s="14" t="n">
        <v>12943</v>
      </c>
      <c r="I517" s="14" t="n">
        <v>12460</v>
      </c>
      <c r="J517" s="15" t="n">
        <f aca="false">I517/H517</f>
        <v>0.962682531097891</v>
      </c>
      <c r="K517" s="16" t="n">
        <f aca="false">ROUND(I517*J517^($F$8-1),0)</f>
        <v>12570</v>
      </c>
      <c r="L517" s="16" t="n">
        <f aca="false">ROUND(I517*J517^($F$9-1),0)</f>
        <v>12485</v>
      </c>
      <c r="M517" s="17" t="n">
        <f aca="false">G517*$F$7</f>
        <v>3646785.79589696</v>
      </c>
      <c r="N517" s="18" t="n">
        <f aca="false">F517/K517</f>
        <v>277.584089101034</v>
      </c>
      <c r="O517" s="18" t="n">
        <f aca="false">G517/L517</f>
        <v>303.220905086103</v>
      </c>
      <c r="P517" s="18" t="n">
        <f aca="false">M517/L517</f>
        <v>292.093375722624</v>
      </c>
      <c r="Q517" s="19" t="n">
        <f aca="false">IF(N517=0,"n.a.",P517/N517-1)</f>
        <v>0.052269878538711</v>
      </c>
    </row>
    <row r="518" customFormat="false" ht="15" hidden="false" customHeight="false" outlineLevel="0" collapsed="false">
      <c r="A518" s="12" t="s">
        <v>1177</v>
      </c>
      <c r="B518" s="12" t="s">
        <v>1091</v>
      </c>
      <c r="C518" s="12" t="s">
        <v>1092</v>
      </c>
      <c r="D518" s="12" t="s">
        <v>332</v>
      </c>
      <c r="E518" s="12" t="s">
        <v>1178</v>
      </c>
      <c r="F518" s="13" t="n">
        <v>27197171</v>
      </c>
      <c r="G518" s="13" t="n">
        <v>27817501</v>
      </c>
      <c r="H518" s="14" t="n">
        <v>36120</v>
      </c>
      <c r="I518" s="14" t="n">
        <v>38512</v>
      </c>
      <c r="J518" s="15" t="n">
        <f aca="false">I518/H518</f>
        <v>1.06622369878184</v>
      </c>
      <c r="K518" s="16" t="n">
        <f aca="false">ROUND(I518*J518^($F$8-1),0)</f>
        <v>37946</v>
      </c>
      <c r="L518" s="16" t="n">
        <f aca="false">ROUND(I518*J518^($F$9-1),0)</f>
        <v>38384</v>
      </c>
      <c r="M518" s="17" t="n">
        <f aca="false">G518*$F$7</f>
        <v>26796660.8995847</v>
      </c>
      <c r="N518" s="18" t="n">
        <f aca="false">F518/K518</f>
        <v>716.733542402361</v>
      </c>
      <c r="O518" s="18" t="n">
        <f aca="false">G518/L518</f>
        <v>724.716053563985</v>
      </c>
      <c r="P518" s="18" t="n">
        <f aca="false">M518/L518</f>
        <v>698.12059450773</v>
      </c>
      <c r="Q518" s="19" t="n">
        <f aca="false">IF(N518=0,"n.a.",P518/N518-1)</f>
        <v>-0.0259691318927872</v>
      </c>
    </row>
    <row r="519" customFormat="false" ht="15" hidden="false" customHeight="false" outlineLevel="0" collapsed="false">
      <c r="A519" s="12" t="s">
        <v>1179</v>
      </c>
      <c r="B519" s="12" t="s">
        <v>1091</v>
      </c>
      <c r="C519" s="12" t="s">
        <v>1092</v>
      </c>
      <c r="D519" s="12" t="s">
        <v>335</v>
      </c>
      <c r="E519" s="12" t="s">
        <v>167</v>
      </c>
      <c r="F519" s="13" t="n">
        <v>812463</v>
      </c>
      <c r="G519" s="13" t="n">
        <v>1122730</v>
      </c>
      <c r="H519" s="14" t="n">
        <v>14936</v>
      </c>
      <c r="I519" s="14" t="n">
        <v>15003</v>
      </c>
      <c r="J519" s="15" t="n">
        <f aca="false">I519/H519</f>
        <v>1.00448580610605</v>
      </c>
      <c r="K519" s="16" t="n">
        <f aca="false">ROUND(I519*J519^($F$8-1),0)</f>
        <v>14988</v>
      </c>
      <c r="L519" s="16" t="n">
        <f aca="false">ROUND(I519*J519^($F$9-1),0)</f>
        <v>15000</v>
      </c>
      <c r="M519" s="17" t="n">
        <f aca="false">G519*$F$7</f>
        <v>1081528.31887346</v>
      </c>
      <c r="N519" s="18" t="n">
        <f aca="false">F519/K519</f>
        <v>54.2075660528423</v>
      </c>
      <c r="O519" s="18" t="n">
        <f aca="false">G519/L519</f>
        <v>74.8486666666667</v>
      </c>
      <c r="P519" s="18" t="n">
        <f aca="false">M519/L519</f>
        <v>72.1018879248972</v>
      </c>
      <c r="Q519" s="19" t="n">
        <f aca="false">IF(N519=0,"n.a.",P519/N519-1)</f>
        <v>0.330107458700715</v>
      </c>
    </row>
    <row r="520" customFormat="false" ht="15" hidden="false" customHeight="false" outlineLevel="0" collapsed="false">
      <c r="A520" s="12" t="s">
        <v>1180</v>
      </c>
      <c r="B520" s="12" t="s">
        <v>1091</v>
      </c>
      <c r="C520" s="12" t="s">
        <v>1092</v>
      </c>
      <c r="D520" s="12" t="s">
        <v>607</v>
      </c>
      <c r="E520" s="12" t="s">
        <v>1181</v>
      </c>
      <c r="F520" s="13" t="n">
        <v>2096331</v>
      </c>
      <c r="G520" s="13" t="n">
        <v>2255609</v>
      </c>
      <c r="H520" s="14" t="n">
        <v>19769</v>
      </c>
      <c r="I520" s="14" t="n">
        <v>19186</v>
      </c>
      <c r="J520" s="15" t="n">
        <f aca="false">I520/H520</f>
        <v>0.970509383378016</v>
      </c>
      <c r="K520" s="16" t="n">
        <f aca="false">ROUND(I520*J520^($F$8-1),0)</f>
        <v>19319</v>
      </c>
      <c r="L520" s="16" t="n">
        <f aca="false">ROUND(I520*J520^($F$9-1),0)</f>
        <v>19216</v>
      </c>
      <c r="M520" s="17" t="n">
        <f aca="false">G520*$F$7</f>
        <v>2172833.1921351</v>
      </c>
      <c r="N520" s="18" t="n">
        <f aca="false">F520/K520</f>
        <v>108.511361871732</v>
      </c>
      <c r="O520" s="18" t="n">
        <f aca="false">G520/L520</f>
        <v>117.381817235637</v>
      </c>
      <c r="P520" s="18" t="n">
        <f aca="false">M520/L520</f>
        <v>113.074166951244</v>
      </c>
      <c r="Q520" s="19" t="n">
        <f aca="false">IF(N520=0,"n.a.",P520/N520-1)</f>
        <v>0.0420490997514602</v>
      </c>
    </row>
    <row r="521" customFormat="false" ht="15" hidden="false" customHeight="false" outlineLevel="0" collapsed="false">
      <c r="A521" s="12" t="s">
        <v>1182</v>
      </c>
      <c r="B521" s="12" t="s">
        <v>1091</v>
      </c>
      <c r="C521" s="12" t="s">
        <v>1092</v>
      </c>
      <c r="D521" s="12" t="s">
        <v>338</v>
      </c>
      <c r="E521" s="12" t="s">
        <v>1183</v>
      </c>
      <c r="F521" s="13" t="n">
        <v>9719098</v>
      </c>
      <c r="G521" s="13" t="n">
        <v>1932281</v>
      </c>
      <c r="H521" s="14" t="n">
        <v>5745</v>
      </c>
      <c r="I521" s="14" t="n">
        <v>5011</v>
      </c>
      <c r="J521" s="15" t="n">
        <f aca="false">I521/H521</f>
        <v>0.872236727589208</v>
      </c>
      <c r="K521" s="16" t="n">
        <f aca="false">ROUND(I521*J521^($F$8-1),0)</f>
        <v>5172</v>
      </c>
      <c r="L521" s="16" t="n">
        <f aca="false">ROUND(I521*J521^($F$9-1),0)</f>
        <v>5047</v>
      </c>
      <c r="M521" s="17" t="n">
        <f aca="false">G521*$F$7</f>
        <v>1861370.60693232</v>
      </c>
      <c r="N521" s="18" t="n">
        <f aca="false">F521/K521</f>
        <v>1879.17594740913</v>
      </c>
      <c r="O521" s="18" t="n">
        <f aca="false">G521/L521</f>
        <v>382.85734099465</v>
      </c>
      <c r="P521" s="18" t="n">
        <f aca="false">M521/L521</f>
        <v>368.807332461328</v>
      </c>
      <c r="Q521" s="19" t="n">
        <f aca="false">IF(N521=0,"n.a.",P521/N521-1)</f>
        <v>-0.803739861097194</v>
      </c>
    </row>
    <row r="522" customFormat="false" ht="15" hidden="false" customHeight="false" outlineLevel="0" collapsed="false">
      <c r="A522" s="12" t="s">
        <v>1184</v>
      </c>
      <c r="B522" s="12" t="s">
        <v>1091</v>
      </c>
      <c r="C522" s="12" t="s">
        <v>1092</v>
      </c>
      <c r="D522" s="12" t="s">
        <v>612</v>
      </c>
      <c r="E522" s="12" t="s">
        <v>1185</v>
      </c>
      <c r="F522" s="13" t="n">
        <v>4956966</v>
      </c>
      <c r="G522" s="13" t="n">
        <v>3221471</v>
      </c>
      <c r="H522" s="14" t="n">
        <v>18922</v>
      </c>
      <c r="I522" s="14" t="n">
        <v>19240</v>
      </c>
      <c r="J522" s="15" t="n">
        <f aca="false">I522/H522</f>
        <v>1.01680583447839</v>
      </c>
      <c r="K522" s="16" t="n">
        <f aca="false">ROUND(I522*J522^($F$8-1),0)</f>
        <v>19166</v>
      </c>
      <c r="L522" s="16" t="n">
        <f aca="false">ROUND(I522*J522^($F$9-1),0)</f>
        <v>19223</v>
      </c>
      <c r="M522" s="17" t="n">
        <f aca="false">G522*$F$7</f>
        <v>3103250.21592867</v>
      </c>
      <c r="N522" s="18" t="n">
        <f aca="false">F522/K522</f>
        <v>258.63330898466</v>
      </c>
      <c r="O522" s="18" t="n">
        <f aca="false">G522/L522</f>
        <v>167.58419601519</v>
      </c>
      <c r="P522" s="18" t="n">
        <f aca="false">M522/L522</f>
        <v>161.434230657477</v>
      </c>
      <c r="Q522" s="19" t="n">
        <f aca="false">IF(N522=0,"n.a.",P522/N522-1)</f>
        <v>-0.375818098251795</v>
      </c>
    </row>
    <row r="523" customFormat="false" ht="15" hidden="false" customHeight="false" outlineLevel="0" collapsed="false">
      <c r="A523" s="12" t="s">
        <v>1186</v>
      </c>
      <c r="B523" s="12" t="s">
        <v>1091</v>
      </c>
      <c r="C523" s="12" t="s">
        <v>1092</v>
      </c>
      <c r="D523" s="12" t="s">
        <v>340</v>
      </c>
      <c r="E523" s="12" t="s">
        <v>1187</v>
      </c>
      <c r="F523" s="13" t="n">
        <v>19879001</v>
      </c>
      <c r="G523" s="13" t="n">
        <v>19968723</v>
      </c>
      <c r="H523" s="14" t="n">
        <v>89155</v>
      </c>
      <c r="I523" s="14" t="n">
        <v>90773</v>
      </c>
      <c r="J523" s="15" t="n">
        <f aca="false">I523/H523</f>
        <v>1.0181481689193</v>
      </c>
      <c r="K523" s="16" t="n">
        <f aca="false">ROUND(I523*J523^($F$8-1),0)</f>
        <v>90397</v>
      </c>
      <c r="L523" s="16" t="n">
        <f aca="false">ROUND(I523*J523^($F$9-1),0)</f>
        <v>90688</v>
      </c>
      <c r="M523" s="17" t="n">
        <f aca="false">G523*$F$7</f>
        <v>19235915.5061678</v>
      </c>
      <c r="N523" s="18" t="n">
        <f aca="false">F523/K523</f>
        <v>219.90775136343</v>
      </c>
      <c r="O523" s="18" t="n">
        <f aca="false">G523/L523</f>
        <v>220.191458627382</v>
      </c>
      <c r="P523" s="18" t="n">
        <f aca="false">M523/L523</f>
        <v>212.11092433583</v>
      </c>
      <c r="Q523" s="19" t="n">
        <f aca="false">IF(N523=0,"n.a.",P523/N523-1)</f>
        <v>-0.0354549895547541</v>
      </c>
    </row>
    <row r="524" customFormat="false" ht="15" hidden="false" customHeight="false" outlineLevel="0" collapsed="false">
      <c r="A524" s="12" t="s">
        <v>1188</v>
      </c>
      <c r="B524" s="12" t="s">
        <v>1091</v>
      </c>
      <c r="C524" s="12" t="s">
        <v>1092</v>
      </c>
      <c r="D524" s="12" t="s">
        <v>343</v>
      </c>
      <c r="E524" s="12" t="s">
        <v>1189</v>
      </c>
      <c r="F524" s="13" t="n">
        <v>8044888</v>
      </c>
      <c r="G524" s="13" t="n">
        <v>8118337</v>
      </c>
      <c r="H524" s="14" t="n">
        <v>13957</v>
      </c>
      <c r="I524" s="14" t="n">
        <v>14886</v>
      </c>
      <c r="J524" s="15" t="n">
        <f aca="false">I524/H524</f>
        <v>1.06656158200186</v>
      </c>
      <c r="K524" s="16" t="n">
        <f aca="false">ROUND(I524*J524^($F$8-1),0)</f>
        <v>14666</v>
      </c>
      <c r="L524" s="16" t="n">
        <f aca="false">ROUND(I524*J524^($F$9-1),0)</f>
        <v>14836</v>
      </c>
      <c r="M524" s="17" t="n">
        <f aca="false">G524*$F$7</f>
        <v>7820412.1807186</v>
      </c>
      <c r="N524" s="18" t="n">
        <f aca="false">F524/K524</f>
        <v>548.54002454657</v>
      </c>
      <c r="O524" s="18" t="n">
        <f aca="false">G524/L524</f>
        <v>547.205244001078</v>
      </c>
      <c r="P524" s="18" t="n">
        <f aca="false">M524/L524</f>
        <v>527.1240348287</v>
      </c>
      <c r="Q524" s="19" t="n">
        <f aca="false">IF(N524=0,"n.a.",P524/N524-1)</f>
        <v>-0.0390417996126586</v>
      </c>
    </row>
    <row r="525" customFormat="false" ht="15" hidden="false" customHeight="false" outlineLevel="0" collapsed="false">
      <c r="A525" s="12" t="s">
        <v>1190</v>
      </c>
      <c r="B525" s="12" t="s">
        <v>1091</v>
      </c>
      <c r="C525" s="12" t="s">
        <v>1092</v>
      </c>
      <c r="D525" s="12" t="s">
        <v>346</v>
      </c>
      <c r="E525" s="12" t="s">
        <v>1191</v>
      </c>
      <c r="F525" s="13" t="n">
        <v>142315953</v>
      </c>
      <c r="G525" s="13" t="n">
        <v>199614120</v>
      </c>
      <c r="H525" s="14" t="n">
        <v>195389</v>
      </c>
      <c r="I525" s="14" t="n">
        <v>204693</v>
      </c>
      <c r="J525" s="15" t="n">
        <f aca="false">I525/H525</f>
        <v>1.04761782904872</v>
      </c>
      <c r="K525" s="16" t="n">
        <f aca="false">ROUND(I525*J525^($F$8-1),0)</f>
        <v>202506</v>
      </c>
      <c r="L525" s="16" t="n">
        <f aca="false">ROUND(I525*J525^($F$9-1),0)</f>
        <v>204199</v>
      </c>
      <c r="M525" s="17" t="n">
        <f aca="false">G525*$F$7</f>
        <v>192288728.03524</v>
      </c>
      <c r="N525" s="18" t="n">
        <f aca="false">F525/K525</f>
        <v>702.774006696098</v>
      </c>
      <c r="O525" s="18" t="n">
        <f aca="false">G525/L525</f>
        <v>977.547000719886</v>
      </c>
      <c r="P525" s="18" t="n">
        <f aca="false">M525/L525</f>
        <v>941.673211108966</v>
      </c>
      <c r="Q525" s="19" t="n">
        <f aca="false">IF(N525=0,"n.a.",P525/N525-1)</f>
        <v>0.339937450925352</v>
      </c>
    </row>
    <row r="526" customFormat="false" ht="15" hidden="false" customHeight="false" outlineLevel="0" collapsed="false">
      <c r="A526" s="12" t="s">
        <v>1192</v>
      </c>
      <c r="B526" s="12" t="s">
        <v>1091</v>
      </c>
      <c r="C526" s="12" t="s">
        <v>1092</v>
      </c>
      <c r="D526" s="12" t="s">
        <v>349</v>
      </c>
      <c r="E526" s="12" t="s">
        <v>1193</v>
      </c>
      <c r="F526" s="13" t="n">
        <v>933191722</v>
      </c>
      <c r="G526" s="13" t="n">
        <v>1065665879</v>
      </c>
      <c r="H526" s="14" t="n">
        <v>843587</v>
      </c>
      <c r="I526" s="14" t="n">
        <v>920863</v>
      </c>
      <c r="J526" s="15" t="n">
        <f aca="false">I526/H526</f>
        <v>1.091604066919</v>
      </c>
      <c r="K526" s="16" t="n">
        <f aca="false">ROUND(I526*J526^($F$8-1),0)</f>
        <v>902415</v>
      </c>
      <c r="L526" s="16" t="n">
        <f aca="false">ROUND(I526*J526^($F$9-1),0)</f>
        <v>916679</v>
      </c>
      <c r="M526" s="17" t="n">
        <f aca="false">G526*$F$7</f>
        <v>1026558323.54678</v>
      </c>
      <c r="N526" s="18" t="n">
        <f aca="false">F526/K526</f>
        <v>1034.10484311542</v>
      </c>
      <c r="O526" s="18" t="n">
        <f aca="false">G526/L526</f>
        <v>1162.52895397407</v>
      </c>
      <c r="P526" s="18" t="n">
        <f aca="false">M526/L526</f>
        <v>1119.86674020762</v>
      </c>
      <c r="Q526" s="19" t="n">
        <f aca="false">IF(N526=0,"n.a.",P526/N526-1)</f>
        <v>0.0829334643031241</v>
      </c>
    </row>
    <row r="527" customFormat="false" ht="15" hidden="false" customHeight="false" outlineLevel="0" collapsed="false">
      <c r="A527" s="12" t="s">
        <v>1194</v>
      </c>
      <c r="B527" s="12" t="s">
        <v>1091</v>
      </c>
      <c r="C527" s="12" t="s">
        <v>1092</v>
      </c>
      <c r="D527" s="12" t="s">
        <v>355</v>
      </c>
      <c r="E527" s="12" t="s">
        <v>1195</v>
      </c>
      <c r="F527" s="13" t="n">
        <v>3386395</v>
      </c>
      <c r="G527" s="13" t="n">
        <v>3367904</v>
      </c>
      <c r="H527" s="14" t="n">
        <v>45714</v>
      </c>
      <c r="I527" s="14" t="n">
        <v>45092</v>
      </c>
      <c r="J527" s="15" t="n">
        <f aca="false">I527/H527</f>
        <v>0.986393664960406</v>
      </c>
      <c r="K527" s="16" t="n">
        <f aca="false">ROUND(I527*J527^($F$8-1),0)</f>
        <v>45235</v>
      </c>
      <c r="L527" s="16" t="n">
        <f aca="false">ROUND(I527*J527^($F$9-1),0)</f>
        <v>45124</v>
      </c>
      <c r="M527" s="17" t="n">
        <f aca="false">G527*$F$7</f>
        <v>3244309.45218102</v>
      </c>
      <c r="N527" s="18" t="n">
        <f aca="false">F527/K527</f>
        <v>74.8622747872223</v>
      </c>
      <c r="O527" s="18" t="n">
        <f aca="false">G527/L527</f>
        <v>74.6366456874391</v>
      </c>
      <c r="P527" s="18" t="n">
        <f aca="false">M527/L527</f>
        <v>71.8976476416323</v>
      </c>
      <c r="Q527" s="19" t="n">
        <f aca="false">IF(N527=0,"n.a.",P527/N527-1)</f>
        <v>-0.039601082842008</v>
      </c>
    </row>
    <row r="528" customFormat="false" ht="15" hidden="false" customHeight="false" outlineLevel="0" collapsed="false">
      <c r="A528" s="12" t="s">
        <v>1196</v>
      </c>
      <c r="B528" s="12" t="s">
        <v>1091</v>
      </c>
      <c r="C528" s="12" t="s">
        <v>1092</v>
      </c>
      <c r="D528" s="12" t="s">
        <v>361</v>
      </c>
      <c r="E528" s="12" t="s">
        <v>1197</v>
      </c>
      <c r="F528" s="13" t="n">
        <v>838204</v>
      </c>
      <c r="G528" s="13" t="n">
        <v>883011</v>
      </c>
      <c r="H528" s="14" t="n">
        <v>8146</v>
      </c>
      <c r="I528" s="14" t="n">
        <v>8216</v>
      </c>
      <c r="J528" s="15" t="n">
        <f aca="false">I528/H528</f>
        <v>1.0085931745642</v>
      </c>
      <c r="K528" s="16" t="n">
        <f aca="false">ROUND(I528*J528^($F$8-1),0)</f>
        <v>8200</v>
      </c>
      <c r="L528" s="16" t="n">
        <f aca="false">ROUND(I528*J528^($F$9-1),0)</f>
        <v>8212</v>
      </c>
      <c r="M528" s="17" t="n">
        <f aca="false">G528*$F$7</f>
        <v>850606.470279382</v>
      </c>
      <c r="N528" s="18" t="n">
        <f aca="false">F528/K528</f>
        <v>102.22</v>
      </c>
      <c r="O528" s="18" t="n">
        <f aca="false">G528/L528</f>
        <v>107.526911836337</v>
      </c>
      <c r="P528" s="18" t="n">
        <f aca="false">M528/L528</f>
        <v>103.580914549365</v>
      </c>
      <c r="Q528" s="19" t="n">
        <f aca="false">IF(N528=0,"n.a.",P528/N528-1)</f>
        <v>0.0133135839303915</v>
      </c>
    </row>
    <row r="529" customFormat="false" ht="15" hidden="false" customHeight="false" outlineLevel="0" collapsed="false">
      <c r="A529" s="12" t="s">
        <v>1198</v>
      </c>
      <c r="B529" s="12" t="s">
        <v>1091</v>
      </c>
      <c r="C529" s="12" t="s">
        <v>1092</v>
      </c>
      <c r="D529" s="12" t="s">
        <v>364</v>
      </c>
      <c r="E529" s="12" t="s">
        <v>1199</v>
      </c>
      <c r="F529" s="13" t="n">
        <v>3122212</v>
      </c>
      <c r="G529" s="13" t="n">
        <v>6629055</v>
      </c>
      <c r="H529" s="14" t="n">
        <v>20923</v>
      </c>
      <c r="I529" s="14" t="n">
        <v>20840</v>
      </c>
      <c r="J529" s="15" t="n">
        <f aca="false">I529/H529</f>
        <v>0.996033073651006</v>
      </c>
      <c r="K529" s="16" t="n">
        <f aca="false">ROUND(I529*J529^($F$8-1),0)</f>
        <v>20859</v>
      </c>
      <c r="L529" s="16" t="n">
        <f aca="false">ROUND(I529*J529^($F$9-1),0)</f>
        <v>20844</v>
      </c>
      <c r="M529" s="17" t="n">
        <f aca="false">G529*$F$7</f>
        <v>6385783.5008147</v>
      </c>
      <c r="N529" s="18" t="n">
        <f aca="false">F529/K529</f>
        <v>149.681768061748</v>
      </c>
      <c r="O529" s="18" t="n">
        <f aca="false">G529/L529</f>
        <v>318.03180771445</v>
      </c>
      <c r="P529" s="18" t="n">
        <f aca="false">M529/L529</f>
        <v>306.360751334422</v>
      </c>
      <c r="Q529" s="19" t="n">
        <f aca="false">IF(N529=0,"n.a.",P529/N529-1)</f>
        <v>1.04674727791858</v>
      </c>
    </row>
    <row r="530" customFormat="false" ht="15" hidden="false" customHeight="false" outlineLevel="0" collapsed="false">
      <c r="A530" s="12" t="s">
        <v>1200</v>
      </c>
      <c r="B530" s="12" t="s">
        <v>1091</v>
      </c>
      <c r="C530" s="12" t="s">
        <v>1092</v>
      </c>
      <c r="D530" s="12" t="s">
        <v>367</v>
      </c>
      <c r="E530" s="12" t="s">
        <v>1201</v>
      </c>
      <c r="F530" s="13" t="n">
        <v>764161</v>
      </c>
      <c r="G530" s="13" t="n">
        <v>878499</v>
      </c>
      <c r="H530" s="14" t="n">
        <v>9024</v>
      </c>
      <c r="I530" s="14" t="n">
        <v>9189</v>
      </c>
      <c r="J530" s="15" t="n">
        <f aca="false">I530/H530</f>
        <v>1.01828457446809</v>
      </c>
      <c r="K530" s="16" t="n">
        <f aca="false">ROUND(I530*J530^($F$8-1),0)</f>
        <v>9151</v>
      </c>
      <c r="L530" s="16" t="n">
        <f aca="false">ROUND(I530*J530^($F$9-1),0)</f>
        <v>9180</v>
      </c>
      <c r="M530" s="17" t="n">
        <f aca="false">G530*$F$7</f>
        <v>846260.050592764</v>
      </c>
      <c r="N530" s="18" t="n">
        <f aca="false">F530/K530</f>
        <v>83.505737077915</v>
      </c>
      <c r="O530" s="18" t="n">
        <f aca="false">G530/L530</f>
        <v>95.6970588235294</v>
      </c>
      <c r="P530" s="18" t="n">
        <f aca="false">M530/L530</f>
        <v>92.1851906963795</v>
      </c>
      <c r="Q530" s="19" t="n">
        <f aca="false">IF(N530=0,"n.a.",P530/N530-1)</f>
        <v>0.103938410966496</v>
      </c>
    </row>
    <row r="531" customFormat="false" ht="15" hidden="false" customHeight="false" outlineLevel="0" collapsed="false">
      <c r="A531" s="12" t="s">
        <v>1202</v>
      </c>
      <c r="B531" s="12" t="s">
        <v>1091</v>
      </c>
      <c r="C531" s="12" t="s">
        <v>1092</v>
      </c>
      <c r="D531" s="12" t="s">
        <v>370</v>
      </c>
      <c r="E531" s="12" t="s">
        <v>1203</v>
      </c>
      <c r="F531" s="13" t="n">
        <v>4725994</v>
      </c>
      <c r="G531" s="13" t="n">
        <v>6123373</v>
      </c>
      <c r="H531" s="14" t="n">
        <v>9433</v>
      </c>
      <c r="I531" s="14" t="n">
        <v>9787</v>
      </c>
      <c r="J531" s="15" t="n">
        <f aca="false">I531/H531</f>
        <v>1.03752782783844</v>
      </c>
      <c r="K531" s="16" t="n">
        <f aca="false">ROUND(I531*J531^($F$8-1),0)</f>
        <v>9704</v>
      </c>
      <c r="L531" s="16" t="n">
        <f aca="false">ROUND(I531*J531^($F$9-1),0)</f>
        <v>9768</v>
      </c>
      <c r="M531" s="17" t="n">
        <f aca="false">G531*$F$7</f>
        <v>5898658.89975784</v>
      </c>
      <c r="N531" s="18" t="n">
        <f aca="false">F531/K531</f>
        <v>487.015045342127</v>
      </c>
      <c r="O531" s="18" t="n">
        <f aca="false">G531/L531</f>
        <v>626.880937755938</v>
      </c>
      <c r="P531" s="18" t="n">
        <f aca="false">M531/L531</f>
        <v>603.875808738518</v>
      </c>
      <c r="Q531" s="19" t="n">
        <f aca="false">IF(N531=0,"n.a.",P531/N531-1)</f>
        <v>0.239953086694265</v>
      </c>
    </row>
    <row r="532" customFormat="false" ht="15" hidden="false" customHeight="false" outlineLevel="0" collapsed="false">
      <c r="A532" s="12" t="s">
        <v>1204</v>
      </c>
      <c r="B532" s="12" t="s">
        <v>1091</v>
      </c>
      <c r="C532" s="12" t="s">
        <v>1092</v>
      </c>
      <c r="D532" s="12" t="s">
        <v>373</v>
      </c>
      <c r="E532" s="12" t="s">
        <v>191</v>
      </c>
      <c r="F532" s="13" t="n">
        <v>826728</v>
      </c>
      <c r="G532" s="13" t="n">
        <v>793083</v>
      </c>
      <c r="H532" s="14" t="n">
        <v>24771</v>
      </c>
      <c r="I532" s="14" t="n">
        <v>28626</v>
      </c>
      <c r="J532" s="15" t="n">
        <f aca="false">I532/H532</f>
        <v>1.15562552985346</v>
      </c>
      <c r="K532" s="16" t="n">
        <f aca="false">ROUND(I532*J532^($F$8-1),0)</f>
        <v>27686</v>
      </c>
      <c r="L532" s="16" t="n">
        <f aca="false">ROUND(I532*J532^($F$9-1),0)</f>
        <v>28412</v>
      </c>
      <c r="M532" s="17" t="n">
        <f aca="false">G532*$F$7</f>
        <v>763978.626844494</v>
      </c>
      <c r="N532" s="18" t="n">
        <f aca="false">F532/K532</f>
        <v>29.8608683088926</v>
      </c>
      <c r="O532" s="18" t="n">
        <f aca="false">G532/L532</f>
        <v>27.9136632408841</v>
      </c>
      <c r="P532" s="18" t="n">
        <f aca="false">M532/L532</f>
        <v>26.8892942012</v>
      </c>
      <c r="Q532" s="19" t="n">
        <f aca="false">IF(N532=0,"n.a.",P532/N532-1)</f>
        <v>-0.0995139885737236</v>
      </c>
    </row>
    <row r="533" customFormat="false" ht="15" hidden="false" customHeight="false" outlineLevel="0" collapsed="false">
      <c r="A533" s="12" t="s">
        <v>1205</v>
      </c>
      <c r="B533" s="12" t="s">
        <v>1091</v>
      </c>
      <c r="C533" s="12" t="s">
        <v>1092</v>
      </c>
      <c r="D533" s="12" t="s">
        <v>376</v>
      </c>
      <c r="E533" s="12" t="s">
        <v>1206</v>
      </c>
      <c r="F533" s="13" t="n">
        <v>4098973</v>
      </c>
      <c r="G533" s="13" t="n">
        <v>4521187</v>
      </c>
      <c r="H533" s="14" t="n">
        <v>21023</v>
      </c>
      <c r="I533" s="14" t="n">
        <v>22525</v>
      </c>
      <c r="J533" s="15" t="n">
        <f aca="false">I533/H533</f>
        <v>1.07144555962517</v>
      </c>
      <c r="K533" s="16" t="n">
        <f aca="false">ROUND(I533*J533^($F$8-1),0)</f>
        <v>22169</v>
      </c>
      <c r="L533" s="16" t="n">
        <f aca="false">ROUND(I533*J533^($F$9-1),0)</f>
        <v>22444</v>
      </c>
      <c r="M533" s="17" t="n">
        <f aca="false">G533*$F$7</f>
        <v>4355269.54425599</v>
      </c>
      <c r="N533" s="18" t="n">
        <f aca="false">F533/K533</f>
        <v>184.896612386666</v>
      </c>
      <c r="O533" s="18" t="n">
        <f aca="false">G533/L533</f>
        <v>201.443013723044</v>
      </c>
      <c r="P533" s="18" t="n">
        <f aca="false">M533/L533</f>
        <v>194.050505447157</v>
      </c>
      <c r="Q533" s="19" t="n">
        <f aca="false">IF(N533=0,"n.a.",P533/N533-1)</f>
        <v>0.0495081707681475</v>
      </c>
    </row>
    <row r="534" customFormat="false" ht="15" hidden="false" customHeight="false" outlineLevel="0" collapsed="false">
      <c r="A534" s="12" t="s">
        <v>1207</v>
      </c>
      <c r="B534" s="12" t="s">
        <v>1091</v>
      </c>
      <c r="C534" s="12" t="s">
        <v>1092</v>
      </c>
      <c r="D534" s="12" t="s">
        <v>379</v>
      </c>
      <c r="E534" s="12" t="s">
        <v>1208</v>
      </c>
      <c r="F534" s="13" t="n">
        <v>5422649</v>
      </c>
      <c r="G534" s="13" t="n">
        <v>6890012</v>
      </c>
      <c r="H534" s="14" t="n">
        <v>14889</v>
      </c>
      <c r="I534" s="14" t="n">
        <v>16107</v>
      </c>
      <c r="J534" s="15" t="n">
        <f aca="false">I534/H534</f>
        <v>1.0818053596615</v>
      </c>
      <c r="K534" s="16" t="n">
        <f aca="false">ROUND(I534*J534^($F$8-1),0)</f>
        <v>15817</v>
      </c>
      <c r="L534" s="16" t="n">
        <f aca="false">ROUND(I534*J534^($F$9-1),0)</f>
        <v>16041</v>
      </c>
      <c r="M534" s="17" t="n">
        <f aca="false">G534*$F$7</f>
        <v>6637163.96228653</v>
      </c>
      <c r="N534" s="18" t="n">
        <f aca="false">F534/K534</f>
        <v>342.836757918695</v>
      </c>
      <c r="O534" s="18" t="n">
        <f aca="false">G534/L534</f>
        <v>429.525091951873</v>
      </c>
      <c r="P534" s="18" t="n">
        <f aca="false">M534/L534</f>
        <v>413.762481284616</v>
      </c>
      <c r="Q534" s="19" t="n">
        <f aca="false">IF(N534=0,"n.a.",P534/N534-1)</f>
        <v>0.206878993362611</v>
      </c>
    </row>
    <row r="535" customFormat="false" ht="15" hidden="false" customHeight="false" outlineLevel="0" collapsed="false">
      <c r="A535" s="12" t="s">
        <v>1209</v>
      </c>
      <c r="B535" s="12" t="s">
        <v>1091</v>
      </c>
      <c r="C535" s="12" t="s">
        <v>1092</v>
      </c>
      <c r="D535" s="12" t="s">
        <v>382</v>
      </c>
      <c r="E535" s="12" t="s">
        <v>1210</v>
      </c>
      <c r="F535" s="13" t="n">
        <v>1440963</v>
      </c>
      <c r="G535" s="13" t="n">
        <v>2416616</v>
      </c>
      <c r="H535" s="14" t="n">
        <v>26798</v>
      </c>
      <c r="I535" s="14" t="n">
        <v>25603</v>
      </c>
      <c r="J535" s="15" t="n">
        <f aca="false">I535/H535</f>
        <v>0.955407119934324</v>
      </c>
      <c r="K535" s="16" t="n">
        <f aca="false">ROUND(I535*J535^($F$8-1),0)</f>
        <v>25874</v>
      </c>
      <c r="L535" s="16" t="n">
        <f aca="false">ROUND(I535*J535^($F$9-1),0)</f>
        <v>25664</v>
      </c>
      <c r="M535" s="17" t="n">
        <f aca="false">G535*$F$7</f>
        <v>2327931.59516776</v>
      </c>
      <c r="N535" s="18" t="n">
        <f aca="false">F535/K535</f>
        <v>55.6915436345366</v>
      </c>
      <c r="O535" s="18" t="n">
        <f aca="false">G535/L535</f>
        <v>94.1636533665836</v>
      </c>
      <c r="P535" s="18" t="n">
        <f aca="false">M535/L535</f>
        <v>90.7080577917613</v>
      </c>
      <c r="Q535" s="19" t="n">
        <f aca="false">IF(N535=0,"n.a.",P535/N535-1)</f>
        <v>0.628758189699548</v>
      </c>
    </row>
    <row r="536" customFormat="false" ht="15" hidden="false" customHeight="false" outlineLevel="0" collapsed="false">
      <c r="A536" s="12" t="s">
        <v>1211</v>
      </c>
      <c r="B536" s="12" t="s">
        <v>1091</v>
      </c>
      <c r="C536" s="12" t="s">
        <v>1092</v>
      </c>
      <c r="D536" s="12" t="s">
        <v>385</v>
      </c>
      <c r="E536" s="12" t="s">
        <v>1212</v>
      </c>
      <c r="F536" s="13" t="n">
        <v>4024785</v>
      </c>
      <c r="G536" s="13" t="n">
        <v>5126540</v>
      </c>
      <c r="H536" s="14" t="n">
        <v>39388</v>
      </c>
      <c r="I536" s="14" t="n">
        <v>41445</v>
      </c>
      <c r="J536" s="15" t="n">
        <f aca="false">I536/H536</f>
        <v>1.05222402762263</v>
      </c>
      <c r="K536" s="16" t="n">
        <f aca="false">ROUND(I536*J536^($F$8-1),0)</f>
        <v>40961</v>
      </c>
      <c r="L536" s="16" t="n">
        <f aca="false">ROUND(I536*J536^($F$9-1),0)</f>
        <v>41336</v>
      </c>
      <c r="M536" s="17" t="n">
        <f aca="false">G536*$F$7</f>
        <v>4938407.44242831</v>
      </c>
      <c r="N536" s="18" t="n">
        <f aca="false">F536/K536</f>
        <v>98.2589536388272</v>
      </c>
      <c r="O536" s="18" t="n">
        <f aca="false">G536/L536</f>
        <v>124.02119218115</v>
      </c>
      <c r="P536" s="18" t="n">
        <f aca="false">M536/L536</f>
        <v>119.469891678641</v>
      </c>
      <c r="Q536" s="19" t="n">
        <f aca="false">IF(N536=0,"n.a.",P536/N536-1)</f>
        <v>0.215867737791912</v>
      </c>
    </row>
    <row r="537" customFormat="false" ht="15" hidden="false" customHeight="false" outlineLevel="0" collapsed="false">
      <c r="A537" s="12" t="s">
        <v>1213</v>
      </c>
      <c r="B537" s="12" t="s">
        <v>1091</v>
      </c>
      <c r="C537" s="12" t="s">
        <v>1092</v>
      </c>
      <c r="D537" s="12" t="s">
        <v>646</v>
      </c>
      <c r="E537" s="12" t="s">
        <v>1214</v>
      </c>
      <c r="F537" s="13" t="n">
        <v>43021281</v>
      </c>
      <c r="G537" s="13" t="n">
        <v>53983042</v>
      </c>
      <c r="H537" s="14" t="n">
        <v>97932</v>
      </c>
      <c r="I537" s="14" t="n">
        <v>97052</v>
      </c>
      <c r="J537" s="15" t="n">
        <f aca="false">I537/H537</f>
        <v>0.991014173099702</v>
      </c>
      <c r="K537" s="16" t="n">
        <f aca="false">ROUND(I537*J537^($F$8-1),0)</f>
        <v>97254</v>
      </c>
      <c r="L537" s="16" t="n">
        <f aca="false">ROUND(I537*J537^($F$9-1),0)</f>
        <v>97098</v>
      </c>
      <c r="M537" s="17" t="n">
        <f aca="false">G537*$F$7</f>
        <v>52001985.0381973</v>
      </c>
      <c r="N537" s="18" t="n">
        <f aca="false">F537/K537</f>
        <v>442.360016040471</v>
      </c>
      <c r="O537" s="18" t="n">
        <f aca="false">G537/L537</f>
        <v>555.964510082597</v>
      </c>
      <c r="P537" s="18" t="n">
        <f aca="false">M537/L537</f>
        <v>535.561855426449</v>
      </c>
      <c r="Q537" s="19" t="n">
        <f aca="false">IF(N537=0,"n.a.",P537/N537-1)</f>
        <v>0.21069227779721</v>
      </c>
    </row>
    <row r="538" customFormat="false" ht="15" hidden="false" customHeight="false" outlineLevel="0" collapsed="false">
      <c r="A538" s="12" t="s">
        <v>1215</v>
      </c>
      <c r="B538" s="12" t="s">
        <v>1091</v>
      </c>
      <c r="C538" s="12" t="s">
        <v>1092</v>
      </c>
      <c r="D538" s="12" t="s">
        <v>388</v>
      </c>
      <c r="E538" s="12" t="s">
        <v>1216</v>
      </c>
      <c r="F538" s="13" t="n">
        <v>8088643</v>
      </c>
      <c r="G538" s="13" t="n">
        <v>8571287</v>
      </c>
      <c r="H538" s="14" t="n">
        <v>16621</v>
      </c>
      <c r="I538" s="14" t="n">
        <v>15121</v>
      </c>
      <c r="J538" s="15" t="n">
        <f aca="false">I538/H538</f>
        <v>0.909752722459539</v>
      </c>
      <c r="K538" s="16" t="n">
        <f aca="false">ROUND(I538*J538^($F$8-1),0)</f>
        <v>15455</v>
      </c>
      <c r="L538" s="16" t="n">
        <f aca="false">ROUND(I538*J538^($F$9-1),0)</f>
        <v>15195</v>
      </c>
      <c r="M538" s="17" t="n">
        <f aca="false">G538*$F$7</f>
        <v>8256739.92829258</v>
      </c>
      <c r="N538" s="18" t="n">
        <f aca="false">F538/K538</f>
        <v>523.367389194435</v>
      </c>
      <c r="O538" s="18" t="n">
        <f aca="false">G538/L538</f>
        <v>564.086015136558</v>
      </c>
      <c r="P538" s="18" t="n">
        <f aca="false">M538/L538</f>
        <v>543.38531940063</v>
      </c>
      <c r="Q538" s="19" t="n">
        <f aca="false">IF(N538=0,"n.a.",P538/N538-1)</f>
        <v>0.0382483330438417</v>
      </c>
    </row>
    <row r="539" customFormat="false" ht="15" hidden="false" customHeight="false" outlineLevel="0" collapsed="false">
      <c r="A539" s="12" t="s">
        <v>1217</v>
      </c>
      <c r="B539" s="12" t="s">
        <v>1091</v>
      </c>
      <c r="C539" s="12" t="s">
        <v>1092</v>
      </c>
      <c r="D539" s="12" t="s">
        <v>391</v>
      </c>
      <c r="E539" s="12" t="s">
        <v>1218</v>
      </c>
      <c r="F539" s="13" t="n">
        <v>9465688</v>
      </c>
      <c r="G539" s="13" t="n">
        <v>13430351</v>
      </c>
      <c r="H539" s="14" t="n">
        <v>29302</v>
      </c>
      <c r="I539" s="14" t="n">
        <v>32985</v>
      </c>
      <c r="J539" s="15" t="n">
        <f aca="false">I539/H539</f>
        <v>1.12569107910723</v>
      </c>
      <c r="K539" s="16" t="n">
        <f aca="false">ROUND(I539*J539^($F$8-1),0)</f>
        <v>32096</v>
      </c>
      <c r="L539" s="16" t="n">
        <f aca="false">ROUND(I539*J539^($F$9-1),0)</f>
        <v>32783</v>
      </c>
      <c r="M539" s="17" t="n">
        <f aca="false">G539*$F$7</f>
        <v>12937487.1419758</v>
      </c>
      <c r="N539" s="18" t="n">
        <f aca="false">F539/K539</f>
        <v>294.917996011964</v>
      </c>
      <c r="O539" s="18" t="n">
        <f aca="false">G539/L539</f>
        <v>409.67425189885</v>
      </c>
      <c r="P539" s="18" t="n">
        <f aca="false">M539/L539</f>
        <v>394.640122684799</v>
      </c>
      <c r="Q539" s="19" t="n">
        <f aca="false">IF(N539=0,"n.a.",P539/N539-1)</f>
        <v>0.33813510203287</v>
      </c>
    </row>
    <row r="540" customFormat="false" ht="15" hidden="false" customHeight="false" outlineLevel="0" collapsed="false">
      <c r="A540" s="12" t="s">
        <v>1219</v>
      </c>
      <c r="B540" s="12" t="s">
        <v>1091</v>
      </c>
      <c r="C540" s="12" t="s">
        <v>1092</v>
      </c>
      <c r="D540" s="12" t="s">
        <v>972</v>
      </c>
      <c r="E540" s="12" t="s">
        <v>1220</v>
      </c>
      <c r="F540" s="13" t="n">
        <v>65871655</v>
      </c>
      <c r="G540" s="13" t="n">
        <v>75126716</v>
      </c>
      <c r="H540" s="14" t="n">
        <v>105849</v>
      </c>
      <c r="I540" s="14" t="n">
        <v>103402</v>
      </c>
      <c r="J540" s="15" t="n">
        <f aca="false">I540/H540</f>
        <v>0.976882162325577</v>
      </c>
      <c r="K540" s="16" t="n">
        <f aca="false">ROUND(I540*J540^($F$8-1),0)</f>
        <v>103962</v>
      </c>
      <c r="L540" s="16" t="n">
        <f aca="false">ROUND(I540*J540^($F$9-1),0)</f>
        <v>103528</v>
      </c>
      <c r="M540" s="17" t="n">
        <f aca="false">G540*$F$7</f>
        <v>72369733.4692791</v>
      </c>
      <c r="N540" s="18" t="n">
        <f aca="false">F540/K540</f>
        <v>633.612810449972</v>
      </c>
      <c r="O540" s="18" t="n">
        <f aca="false">G540/L540</f>
        <v>725.665674986477</v>
      </c>
      <c r="P540" s="18" t="n">
        <f aca="false">M540/L540</f>
        <v>699.035366946904</v>
      </c>
      <c r="Q540" s="19" t="n">
        <f aca="false">IF(N540=0,"n.a.",P540/N540-1)</f>
        <v>0.103253209875082</v>
      </c>
    </row>
    <row r="541" customFormat="false" ht="15" hidden="false" customHeight="false" outlineLevel="0" collapsed="false">
      <c r="A541" s="12" t="s">
        <v>1221</v>
      </c>
      <c r="B541" s="12" t="s">
        <v>1091</v>
      </c>
      <c r="C541" s="12" t="s">
        <v>1092</v>
      </c>
      <c r="D541" s="12" t="s">
        <v>394</v>
      </c>
      <c r="E541" s="12" t="s">
        <v>1222</v>
      </c>
      <c r="F541" s="13" t="n">
        <v>11679027</v>
      </c>
      <c r="G541" s="13" t="n">
        <v>12511364</v>
      </c>
      <c r="H541" s="14" t="n">
        <v>15497</v>
      </c>
      <c r="I541" s="14" t="n">
        <v>17590</v>
      </c>
      <c r="J541" s="15" t="n">
        <f aca="false">I541/H541</f>
        <v>1.13505839839969</v>
      </c>
      <c r="K541" s="16" t="n">
        <f aca="false">ROUND(I541*J541^($F$8-1),0)</f>
        <v>17083</v>
      </c>
      <c r="L541" s="16" t="n">
        <f aca="false">ROUND(I541*J541^($F$9-1),0)</f>
        <v>17475</v>
      </c>
      <c r="M541" s="17" t="n">
        <f aca="false">G541*$F$7</f>
        <v>12052224.9104717</v>
      </c>
      <c r="N541" s="18" t="n">
        <f aca="false">F541/K541</f>
        <v>683.663700755137</v>
      </c>
      <c r="O541" s="18" t="n">
        <f aca="false">G541/L541</f>
        <v>715.957882689557</v>
      </c>
      <c r="P541" s="18" t="n">
        <f aca="false">M541/L541</f>
        <v>689.68382892542</v>
      </c>
      <c r="Q541" s="19" t="n">
        <f aca="false">IF(N541=0,"n.a.",P541/N541-1)</f>
        <v>0.00880568642686952</v>
      </c>
    </row>
    <row r="542" customFormat="false" ht="15" hidden="false" customHeight="false" outlineLevel="0" collapsed="false">
      <c r="A542" s="12" t="s">
        <v>1223</v>
      </c>
      <c r="B542" s="12" t="s">
        <v>1091</v>
      </c>
      <c r="C542" s="12" t="s">
        <v>1092</v>
      </c>
      <c r="D542" s="12" t="s">
        <v>976</v>
      </c>
      <c r="E542" s="12" t="s">
        <v>1224</v>
      </c>
      <c r="F542" s="13" t="n">
        <v>10676992</v>
      </c>
      <c r="G542" s="13" t="n">
        <v>10240562</v>
      </c>
      <c r="H542" s="14" t="n">
        <v>69212</v>
      </c>
      <c r="I542" s="14" t="n">
        <v>69341</v>
      </c>
      <c r="J542" s="15" t="n">
        <f aca="false">I542/H542</f>
        <v>1.0018638386407</v>
      </c>
      <c r="K542" s="16" t="n">
        <f aca="false">ROUND(I542*J542^($F$8-1),0)</f>
        <v>69311</v>
      </c>
      <c r="L542" s="16" t="n">
        <f aca="false">ROUND(I542*J542^($F$9-1),0)</f>
        <v>69334</v>
      </c>
      <c r="M542" s="17" t="n">
        <f aca="false">G542*$F$7</f>
        <v>9864756.26747251</v>
      </c>
      <c r="N542" s="18" t="n">
        <f aca="false">F542/K542</f>
        <v>154.044697089928</v>
      </c>
      <c r="O542" s="18" t="n">
        <f aca="false">G542/L542</f>
        <v>147.698993278911</v>
      </c>
      <c r="P542" s="18" t="n">
        <f aca="false">M542/L542</f>
        <v>142.278770408061</v>
      </c>
      <c r="Q542" s="19" t="n">
        <f aca="false">IF(N542=0,"n.a.",P542/N542-1)</f>
        <v>-0.0763799527289026</v>
      </c>
    </row>
    <row r="543" customFormat="false" ht="15" hidden="false" customHeight="false" outlineLevel="0" collapsed="false">
      <c r="A543" s="12" t="s">
        <v>1225</v>
      </c>
      <c r="B543" s="12" t="s">
        <v>1091</v>
      </c>
      <c r="C543" s="12" t="s">
        <v>1092</v>
      </c>
      <c r="D543" s="12" t="s">
        <v>397</v>
      </c>
      <c r="E543" s="12" t="s">
        <v>1226</v>
      </c>
      <c r="F543" s="13" t="n">
        <v>1333030</v>
      </c>
      <c r="G543" s="13" t="n">
        <v>2327434</v>
      </c>
      <c r="H543" s="14" t="n">
        <v>13953</v>
      </c>
      <c r="I543" s="14" t="n">
        <v>13485</v>
      </c>
      <c r="J543" s="15" t="n">
        <f aca="false">I543/H543</f>
        <v>0.966458826058912</v>
      </c>
      <c r="K543" s="16" t="n">
        <f aca="false">ROUND(I543*J543^($F$8-1),0)</f>
        <v>13592</v>
      </c>
      <c r="L543" s="16" t="n">
        <f aca="false">ROUND(I543*J543^($F$9-1),0)</f>
        <v>13509</v>
      </c>
      <c r="M543" s="17" t="n">
        <f aca="false">G543*$F$7</f>
        <v>2242022.37520056</v>
      </c>
      <c r="N543" s="18" t="n">
        <f aca="false">F543/K543</f>
        <v>98.074602707475</v>
      </c>
      <c r="O543" s="18" t="n">
        <f aca="false">G543/L543</f>
        <v>172.287660078466</v>
      </c>
      <c r="P543" s="18" t="n">
        <f aca="false">M543/L543</f>
        <v>165.965088104268</v>
      </c>
      <c r="Q543" s="19" t="n">
        <f aca="false">IF(N543=0,"n.a.",P543/N543-1)</f>
        <v>0.692233091163152</v>
      </c>
    </row>
    <row r="544" customFormat="false" ht="15" hidden="false" customHeight="false" outlineLevel="0" collapsed="false">
      <c r="A544" s="12" t="s">
        <v>1227</v>
      </c>
      <c r="B544" s="12" t="s">
        <v>1091</v>
      </c>
      <c r="C544" s="12" t="s">
        <v>1092</v>
      </c>
      <c r="D544" s="12" t="s">
        <v>400</v>
      </c>
      <c r="E544" s="12" t="s">
        <v>1228</v>
      </c>
      <c r="F544" s="13" t="n">
        <v>8446431</v>
      </c>
      <c r="G544" s="13" t="n">
        <v>9306031</v>
      </c>
      <c r="H544" s="14" t="n">
        <v>27154</v>
      </c>
      <c r="I544" s="14" t="n">
        <v>31806</v>
      </c>
      <c r="J544" s="15" t="n">
        <f aca="false">I544/H544</f>
        <v>1.17131914266775</v>
      </c>
      <c r="K544" s="16" t="n">
        <f aca="false">ROUND(I544*J544^($F$8-1),0)</f>
        <v>30666</v>
      </c>
      <c r="L544" s="16" t="n">
        <f aca="false">ROUND(I544*J544^($F$9-1),0)</f>
        <v>31546</v>
      </c>
      <c r="M544" s="17" t="n">
        <f aca="false">G544*$F$7</f>
        <v>8964520.46601969</v>
      </c>
      <c r="N544" s="18" t="n">
        <f aca="false">F544/K544</f>
        <v>275.433085501859</v>
      </c>
      <c r="O544" s="18" t="n">
        <f aca="false">G544/L544</f>
        <v>294.998763710138</v>
      </c>
      <c r="P544" s="18" t="n">
        <f aca="false">M544/L544</f>
        <v>284.172968554482</v>
      </c>
      <c r="Q544" s="19" t="n">
        <f aca="false">IF(N544=0,"n.a.",P544/N544-1)</f>
        <v>0.031731420488931</v>
      </c>
    </row>
    <row r="545" customFormat="false" ht="15" hidden="false" customHeight="false" outlineLevel="0" collapsed="false">
      <c r="A545" s="12" t="s">
        <v>1229</v>
      </c>
      <c r="B545" s="12" t="s">
        <v>1091</v>
      </c>
      <c r="C545" s="12" t="s">
        <v>1092</v>
      </c>
      <c r="D545" s="12" t="s">
        <v>403</v>
      </c>
      <c r="E545" s="12" t="s">
        <v>1230</v>
      </c>
      <c r="F545" s="13" t="n">
        <v>2782579</v>
      </c>
      <c r="G545" s="13" t="n">
        <v>2606820</v>
      </c>
      <c r="H545" s="14" t="n">
        <v>10553</v>
      </c>
      <c r="I545" s="14" t="n">
        <v>10349</v>
      </c>
      <c r="J545" s="15" t="n">
        <f aca="false">I545/H545</f>
        <v>0.980669004074671</v>
      </c>
      <c r="K545" s="16" t="n">
        <f aca="false">ROUND(I545*J545^($F$8-1),0)</f>
        <v>10396</v>
      </c>
      <c r="L545" s="16" t="n">
        <f aca="false">ROUND(I545*J545^($F$9-1),0)</f>
        <v>10360</v>
      </c>
      <c r="M545" s="17" t="n">
        <f aca="false">G545*$F$7</f>
        <v>2511155.53357059</v>
      </c>
      <c r="N545" s="18" t="n">
        <f aca="false">F545/K545</f>
        <v>267.6586186995</v>
      </c>
      <c r="O545" s="18" t="n">
        <f aca="false">G545/L545</f>
        <v>251.623552123552</v>
      </c>
      <c r="P545" s="18" t="n">
        <f aca="false">M545/L545</f>
        <v>242.389530267431</v>
      </c>
      <c r="Q545" s="19" t="n">
        <f aca="false">IF(N545=0,"n.a.",P545/N545-1)</f>
        <v>-0.0944079012095553</v>
      </c>
    </row>
    <row r="546" customFormat="false" ht="15" hidden="false" customHeight="false" outlineLevel="0" collapsed="false">
      <c r="A546" s="12" t="s">
        <v>1231</v>
      </c>
      <c r="B546" s="12" t="s">
        <v>1091</v>
      </c>
      <c r="C546" s="12" t="s">
        <v>1092</v>
      </c>
      <c r="D546" s="12" t="s">
        <v>406</v>
      </c>
      <c r="E546" s="12" t="s">
        <v>1232</v>
      </c>
      <c r="F546" s="13" t="n">
        <v>17174113</v>
      </c>
      <c r="G546" s="13" t="n">
        <v>20023878</v>
      </c>
      <c r="H546" s="14" t="n">
        <v>78657</v>
      </c>
      <c r="I546" s="14" t="n">
        <v>82911</v>
      </c>
      <c r="J546" s="15" t="n">
        <f aca="false">I546/H546</f>
        <v>1.05408291696861</v>
      </c>
      <c r="K546" s="16" t="n">
        <f aca="false">ROUND(I546*J546^($F$8-1),0)</f>
        <v>81909</v>
      </c>
      <c r="L546" s="16" t="n">
        <f aca="false">ROUND(I546*J546^($F$9-1),0)</f>
        <v>82684</v>
      </c>
      <c r="M546" s="17" t="n">
        <f aca="false">G546*$F$7</f>
        <v>19289046.4409673</v>
      </c>
      <c r="N546" s="18" t="n">
        <f aca="false">F546/K546</f>
        <v>209.673088427401</v>
      </c>
      <c r="O546" s="18" t="n">
        <f aca="false">G546/L546</f>
        <v>242.173552319675</v>
      </c>
      <c r="P546" s="18" t="n">
        <f aca="false">M546/L546</f>
        <v>233.286324330793</v>
      </c>
      <c r="Q546" s="19" t="n">
        <f aca="false">IF(N546=0,"n.a.",P546/N546-1)</f>
        <v>0.112619297404817</v>
      </c>
    </row>
    <row r="547" customFormat="false" ht="15" hidden="false" customHeight="false" outlineLevel="0" collapsed="false">
      <c r="A547" s="12" t="s">
        <v>1233</v>
      </c>
      <c r="B547" s="12" t="s">
        <v>1091</v>
      </c>
      <c r="C547" s="12" t="s">
        <v>1092</v>
      </c>
      <c r="D547" s="12" t="s">
        <v>748</v>
      </c>
      <c r="E547" s="12" t="s">
        <v>1234</v>
      </c>
      <c r="F547" s="13" t="n">
        <v>31266936</v>
      </c>
      <c r="G547" s="13" t="n">
        <v>36055356</v>
      </c>
      <c r="H547" s="14" t="n">
        <v>78216</v>
      </c>
      <c r="I547" s="14" t="n">
        <v>78840</v>
      </c>
      <c r="J547" s="15" t="n">
        <f aca="false">I547/H547</f>
        <v>1.00797790733354</v>
      </c>
      <c r="K547" s="16" t="n">
        <f aca="false">ROUND(I547*J547^($F$8-1),0)</f>
        <v>78695</v>
      </c>
      <c r="L547" s="16" t="n">
        <f aca="false">ROUND(I547*J547^($F$9-1),0)</f>
        <v>78807</v>
      </c>
      <c r="M547" s="17" t="n">
        <f aca="false">G547*$F$7</f>
        <v>34732205.0368869</v>
      </c>
      <c r="N547" s="18" t="n">
        <f aca="false">F547/K547</f>
        <v>397.317949043777</v>
      </c>
      <c r="O547" s="18" t="n">
        <f aca="false">G547/L547</f>
        <v>457.51463702463</v>
      </c>
      <c r="P547" s="18" t="n">
        <f aca="false">M547/L547</f>
        <v>440.724872624093</v>
      </c>
      <c r="Q547" s="19" t="n">
        <f aca="false">IF(N547=0,"n.a.",P547/N547-1)</f>
        <v>0.109249843065947</v>
      </c>
    </row>
    <row r="548" customFormat="false" ht="15" hidden="false" customHeight="false" outlineLevel="0" collapsed="false">
      <c r="A548" s="12" t="s">
        <v>1235</v>
      </c>
      <c r="B548" s="12" t="s">
        <v>1091</v>
      </c>
      <c r="C548" s="12" t="s">
        <v>1092</v>
      </c>
      <c r="D548" s="12" t="s">
        <v>412</v>
      </c>
      <c r="E548" s="12" t="s">
        <v>1236</v>
      </c>
      <c r="F548" s="13" t="n">
        <v>5904671</v>
      </c>
      <c r="G548" s="13" t="n">
        <v>6710693</v>
      </c>
      <c r="H548" s="14" t="n">
        <v>12812</v>
      </c>
      <c r="I548" s="14" t="n">
        <v>11817</v>
      </c>
      <c r="J548" s="15" t="n">
        <f aca="false">I548/H548</f>
        <v>0.922338432719326</v>
      </c>
      <c r="K548" s="16" t="n">
        <f aca="false">ROUND(I548*J548^($F$8-1),0)</f>
        <v>12040</v>
      </c>
      <c r="L548" s="16" t="n">
        <f aca="false">ROUND(I548*J548^($F$9-1),0)</f>
        <v>11867</v>
      </c>
      <c r="M548" s="17" t="n">
        <f aca="false">G548*$F$7</f>
        <v>6464425.56871722</v>
      </c>
      <c r="N548" s="18" t="n">
        <f aca="false">F548/K548</f>
        <v>490.421179401993</v>
      </c>
      <c r="O548" s="18" t="n">
        <f aca="false">G548/L548</f>
        <v>565.491952473245</v>
      </c>
      <c r="P548" s="18" t="n">
        <f aca="false">M548/L548</f>
        <v>544.739661980047</v>
      </c>
      <c r="Q548" s="19" t="n">
        <f aca="false">IF(N548=0,"n.a.",P548/N548-1)</f>
        <v>0.110758843336024</v>
      </c>
    </row>
    <row r="549" customFormat="false" ht="15" hidden="false" customHeight="false" outlineLevel="0" collapsed="false">
      <c r="A549" s="12" t="s">
        <v>1237</v>
      </c>
      <c r="B549" s="12" t="s">
        <v>1091</v>
      </c>
      <c r="C549" s="12" t="s">
        <v>1092</v>
      </c>
      <c r="D549" s="12" t="s">
        <v>415</v>
      </c>
      <c r="E549" s="12" t="s">
        <v>1238</v>
      </c>
      <c r="F549" s="13" t="n">
        <v>10381999</v>
      </c>
      <c r="G549" s="13" t="n">
        <v>15897036</v>
      </c>
      <c r="H549" s="14" t="n">
        <v>49849</v>
      </c>
      <c r="I549" s="14" t="n">
        <v>55918</v>
      </c>
      <c r="J549" s="15" t="n">
        <f aca="false">I549/H549</f>
        <v>1.12174767798752</v>
      </c>
      <c r="K549" s="16" t="n">
        <f aca="false">ROUND(I549*J549^($F$8-1),0)</f>
        <v>54454</v>
      </c>
      <c r="L549" s="16" t="n">
        <f aca="false">ROUND(I549*J549^($F$9-1),0)</f>
        <v>55585</v>
      </c>
      <c r="M549" s="17" t="n">
        <f aca="false">G549*$F$7</f>
        <v>15313650.3167733</v>
      </c>
      <c r="N549" s="18" t="n">
        <f aca="false">F549/K549</f>
        <v>190.656315422191</v>
      </c>
      <c r="O549" s="18" t="n">
        <f aca="false">G549/L549</f>
        <v>285.995070612575</v>
      </c>
      <c r="P549" s="18" t="n">
        <f aca="false">M549/L549</f>
        <v>275.49969086576</v>
      </c>
      <c r="Q549" s="19" t="n">
        <f aca="false">IF(N549=0,"n.a.",P549/N549-1)</f>
        <v>0.445006897650836</v>
      </c>
    </row>
    <row r="550" customFormat="false" ht="15" hidden="false" customHeight="false" outlineLevel="0" collapsed="false">
      <c r="A550" s="12" t="s">
        <v>1239</v>
      </c>
      <c r="B550" s="12" t="s">
        <v>1091</v>
      </c>
      <c r="C550" s="12" t="s">
        <v>1092</v>
      </c>
      <c r="D550" s="12" t="s">
        <v>994</v>
      </c>
      <c r="E550" s="12" t="s">
        <v>1240</v>
      </c>
      <c r="F550" s="13" t="n">
        <v>1980139</v>
      </c>
      <c r="G550" s="13" t="n">
        <v>1705403</v>
      </c>
      <c r="H550" s="14" t="n">
        <v>19831</v>
      </c>
      <c r="I550" s="14" t="n">
        <v>20215</v>
      </c>
      <c r="J550" s="15" t="n">
        <f aca="false">I550/H550</f>
        <v>1.01936362261106</v>
      </c>
      <c r="K550" s="16" t="n">
        <f aca="false">ROUND(I550*J550^($F$8-1),0)</f>
        <v>20126</v>
      </c>
      <c r="L550" s="16" t="n">
        <f aca="false">ROUND(I550*J550^($F$9-1),0)</f>
        <v>20195</v>
      </c>
      <c r="M550" s="17" t="n">
        <f aca="false">G550*$F$7</f>
        <v>1642818.52234442</v>
      </c>
      <c r="N550" s="18" t="n">
        <f aca="false">F550/K550</f>
        <v>98.3871111994435</v>
      </c>
      <c r="O550" s="18" t="n">
        <f aca="false">G550/L550</f>
        <v>84.4467937608319</v>
      </c>
      <c r="P550" s="18" t="n">
        <f aca="false">M550/L550</f>
        <v>81.3477852114098</v>
      </c>
      <c r="Q550" s="19" t="n">
        <f aca="false">IF(N550=0,"n.a.",P550/N550-1)</f>
        <v>-0.173186566617377</v>
      </c>
    </row>
    <row r="551" customFormat="false" ht="15" hidden="false" customHeight="false" outlineLevel="0" collapsed="false">
      <c r="A551" s="12" t="s">
        <v>1241</v>
      </c>
      <c r="B551" s="12" t="s">
        <v>1091</v>
      </c>
      <c r="C551" s="12" t="s">
        <v>1092</v>
      </c>
      <c r="D551" s="12" t="s">
        <v>798</v>
      </c>
      <c r="E551" s="12" t="s">
        <v>1242</v>
      </c>
      <c r="F551" s="13" t="n">
        <v>638271</v>
      </c>
      <c r="G551" s="13" t="n">
        <v>326004</v>
      </c>
      <c r="H551" s="14" t="n">
        <v>9028</v>
      </c>
      <c r="I551" s="14" t="n">
        <v>7230</v>
      </c>
      <c r="J551" s="15" t="n">
        <f aca="false">I551/H551</f>
        <v>0.800841825431989</v>
      </c>
      <c r="K551" s="16" t="n">
        <f aca="false">ROUND(I551*J551^($F$8-1),0)</f>
        <v>7610</v>
      </c>
      <c r="L551" s="16" t="n">
        <f aca="false">ROUND(I551*J551^($F$9-1),0)</f>
        <v>7314</v>
      </c>
      <c r="M551" s="17" t="n">
        <f aca="false">G551*$F$7</f>
        <v>314040.381985003</v>
      </c>
      <c r="N551" s="18" t="n">
        <f aca="false">F551/K551</f>
        <v>83.872667542707</v>
      </c>
      <c r="O551" s="18" t="n">
        <f aca="false">G551/L551</f>
        <v>44.5726004922067</v>
      </c>
      <c r="P551" s="18" t="n">
        <f aca="false">M551/L551</f>
        <v>42.9368856966097</v>
      </c>
      <c r="Q551" s="19" t="n">
        <f aca="false">IF(N551=0,"n.a.",P551/N551-1)</f>
        <v>-0.488070584201382</v>
      </c>
    </row>
    <row r="552" customFormat="false" ht="15" hidden="false" customHeight="false" outlineLevel="0" collapsed="false">
      <c r="A552" s="12" t="s">
        <v>1243</v>
      </c>
      <c r="B552" s="12" t="s">
        <v>1091</v>
      </c>
      <c r="C552" s="12" t="s">
        <v>1092</v>
      </c>
      <c r="D552" s="12" t="s">
        <v>999</v>
      </c>
      <c r="E552" s="12" t="s">
        <v>1244</v>
      </c>
      <c r="F552" s="13" t="n">
        <v>30574556</v>
      </c>
      <c r="G552" s="13" t="n">
        <v>29946384</v>
      </c>
      <c r="H552" s="14" t="n">
        <v>78902</v>
      </c>
      <c r="I552" s="14" t="n">
        <v>70496</v>
      </c>
      <c r="J552" s="15" t="n">
        <f aca="false">I552/H552</f>
        <v>0.893462776608958</v>
      </c>
      <c r="K552" s="16" t="n">
        <f aca="false">ROUND(I552*J552^($F$8-1),0)</f>
        <v>72354</v>
      </c>
      <c r="L552" s="16" t="n">
        <f aca="false">ROUND(I552*J552^($F$9-1),0)</f>
        <v>70910</v>
      </c>
      <c r="M552" s="17" t="n">
        <f aca="false">G552*$F$7</f>
        <v>28847418.6526226</v>
      </c>
      <c r="N552" s="18" t="n">
        <f aca="false">F552/K552</f>
        <v>422.568980291345</v>
      </c>
      <c r="O552" s="18" t="n">
        <f aca="false">G552/L552</f>
        <v>422.315385700183</v>
      </c>
      <c r="P552" s="18" t="n">
        <f aca="false">M552/L552</f>
        <v>406.817355134997</v>
      </c>
      <c r="Q552" s="19" t="n">
        <f aca="false">IF(N552=0,"n.a.",P552/N552-1)</f>
        <v>-0.037275867115206</v>
      </c>
    </row>
    <row r="553" customFormat="false" ht="15" hidden="false" customHeight="false" outlineLevel="0" collapsed="false">
      <c r="A553" s="12" t="s">
        <v>1245</v>
      </c>
      <c r="B553" s="12" t="s">
        <v>1091</v>
      </c>
      <c r="C553" s="12" t="s">
        <v>1092</v>
      </c>
      <c r="D553" s="12" t="s">
        <v>418</v>
      </c>
      <c r="E553" s="12" t="s">
        <v>1246</v>
      </c>
      <c r="F553" s="13" t="n">
        <v>12324293</v>
      </c>
      <c r="G553" s="13" t="n">
        <v>18583969</v>
      </c>
      <c r="H553" s="14" t="n">
        <v>33432</v>
      </c>
      <c r="I553" s="14" t="n">
        <v>34368</v>
      </c>
      <c r="J553" s="15" t="n">
        <f aca="false">I553/H553</f>
        <v>1.02799712849964</v>
      </c>
      <c r="K553" s="16" t="n">
        <f aca="false">ROUND(I553*J553^($F$8-1),0)</f>
        <v>34150</v>
      </c>
      <c r="L553" s="16" t="n">
        <f aca="false">ROUND(I553*J553^($F$9-1),0)</f>
        <v>34319</v>
      </c>
      <c r="M553" s="17" t="n">
        <f aca="false">G553*$F$7</f>
        <v>17901978.8823372</v>
      </c>
      <c r="N553" s="18" t="n">
        <f aca="false">F553/K553</f>
        <v>360.887057101025</v>
      </c>
      <c r="O553" s="18" t="n">
        <f aca="false">G553/L553</f>
        <v>541.506716396165</v>
      </c>
      <c r="P553" s="18" t="n">
        <f aca="false">M553/L553</f>
        <v>521.634630447776</v>
      </c>
      <c r="Q553" s="19" t="n">
        <f aca="false">IF(N553=0,"n.a.",P553/N553-1)</f>
        <v>0.445423492430076</v>
      </c>
    </row>
    <row r="554" customFormat="false" ht="15" hidden="false" customHeight="false" outlineLevel="0" collapsed="false">
      <c r="A554" s="12" t="s">
        <v>1247</v>
      </c>
      <c r="B554" s="12" t="s">
        <v>1091</v>
      </c>
      <c r="C554" s="12" t="s">
        <v>1092</v>
      </c>
      <c r="D554" s="12" t="s">
        <v>421</v>
      </c>
      <c r="E554" s="12" t="s">
        <v>1248</v>
      </c>
      <c r="F554" s="13" t="n">
        <v>4102446</v>
      </c>
      <c r="G554" s="13" t="n">
        <v>6073088</v>
      </c>
      <c r="H554" s="14" t="n">
        <v>31672</v>
      </c>
      <c r="I554" s="14" t="n">
        <v>31829</v>
      </c>
      <c r="J554" s="15" t="n">
        <f aca="false">I554/H554</f>
        <v>1.0049570598636</v>
      </c>
      <c r="K554" s="16" t="n">
        <f aca="false">ROUND(I554*J554^($F$8-1),0)</f>
        <v>31793</v>
      </c>
      <c r="L554" s="16" t="n">
        <f aca="false">ROUND(I554*J554^($F$9-1),0)</f>
        <v>31821</v>
      </c>
      <c r="M554" s="17" t="n">
        <f aca="false">G554*$F$7</f>
        <v>5850219.24684525</v>
      </c>
      <c r="N554" s="18" t="n">
        <f aca="false">F554/K554</f>
        <v>129.036140030824</v>
      </c>
      <c r="O554" s="18" t="n">
        <f aca="false">G554/L554</f>
        <v>190.851576003268</v>
      </c>
      <c r="P554" s="18" t="n">
        <f aca="false">M554/L554</f>
        <v>183.847749814439</v>
      </c>
      <c r="Q554" s="19" t="n">
        <f aca="false">IF(N554=0,"n.a.",P554/N554-1)</f>
        <v>0.424777196299585</v>
      </c>
    </row>
    <row r="555" customFormat="false" ht="15" hidden="false" customHeight="false" outlineLevel="0" collapsed="false">
      <c r="A555" s="12" t="s">
        <v>1249</v>
      </c>
      <c r="B555" s="12" t="s">
        <v>1091</v>
      </c>
      <c r="C555" s="12" t="s">
        <v>1092</v>
      </c>
      <c r="D555" s="12" t="s">
        <v>424</v>
      </c>
      <c r="E555" s="12" t="s">
        <v>1250</v>
      </c>
      <c r="F555" s="13" t="n">
        <v>13735795</v>
      </c>
      <c r="G555" s="13" t="n">
        <v>14995928</v>
      </c>
      <c r="H555" s="14" t="n">
        <v>35227</v>
      </c>
      <c r="I555" s="14" t="n">
        <v>33430</v>
      </c>
      <c r="J555" s="15" t="n">
        <f aca="false">I555/H555</f>
        <v>0.948987992165101</v>
      </c>
      <c r="K555" s="16" t="n">
        <f aca="false">ROUND(I555*J555^($F$8-1),0)</f>
        <v>33837</v>
      </c>
      <c r="L555" s="16" t="n">
        <f aca="false">ROUND(I555*J555^($F$9-1),0)</f>
        <v>33521</v>
      </c>
      <c r="M555" s="17" t="n">
        <f aca="false">G555*$F$7</f>
        <v>14445610.9659379</v>
      </c>
      <c r="N555" s="18" t="n">
        <f aca="false">F555/K555</f>
        <v>405.940095162101</v>
      </c>
      <c r="O555" s="18" t="n">
        <f aca="false">G555/L555</f>
        <v>447.359207660869</v>
      </c>
      <c r="P555" s="18" t="n">
        <f aca="false">M555/L555</f>
        <v>430.942124815425</v>
      </c>
      <c r="Q555" s="19" t="n">
        <f aca="false">IF(N555=0,"n.a.",P555/N555-1)</f>
        <v>0.0615904414254533</v>
      </c>
    </row>
    <row r="556" customFormat="false" ht="15" hidden="false" customHeight="false" outlineLevel="0" collapsed="false">
      <c r="A556" s="12" t="s">
        <v>1251</v>
      </c>
      <c r="B556" s="12" t="s">
        <v>1091</v>
      </c>
      <c r="C556" s="12" t="s">
        <v>1092</v>
      </c>
      <c r="D556" s="12" t="s">
        <v>427</v>
      </c>
      <c r="E556" s="12" t="s">
        <v>1252</v>
      </c>
      <c r="F556" s="13" t="n">
        <v>4545496</v>
      </c>
      <c r="G556" s="13" t="n">
        <v>4254044</v>
      </c>
      <c r="H556" s="14" t="n">
        <v>15510</v>
      </c>
      <c r="I556" s="14" t="n">
        <v>16657</v>
      </c>
      <c r="J556" s="15" t="n">
        <f aca="false">I556/H556</f>
        <v>1.07395228884591</v>
      </c>
      <c r="K556" s="16" t="n">
        <f aca="false">ROUND(I556*J556^($F$8-1),0)</f>
        <v>16385</v>
      </c>
      <c r="L556" s="16" t="n">
        <f aca="false">ROUND(I556*J556^($F$9-1),0)</f>
        <v>16595</v>
      </c>
      <c r="M556" s="17" t="n">
        <f aca="false">G556*$F$7</f>
        <v>4097930.09515531</v>
      </c>
      <c r="N556" s="18" t="n">
        <f aca="false">F556/K556</f>
        <v>277.418126335063</v>
      </c>
      <c r="O556" s="18" t="n">
        <f aca="false">G556/L556</f>
        <v>256.344923169629</v>
      </c>
      <c r="P556" s="18" t="n">
        <f aca="false">M556/L556</f>
        <v>246.937637550787</v>
      </c>
      <c r="Q556" s="19" t="n">
        <f aca="false">IF(N556=0,"n.a.",P556/N556-1)</f>
        <v>-0.109872015887893</v>
      </c>
    </row>
    <row r="557" customFormat="false" ht="15" hidden="false" customHeight="false" outlineLevel="0" collapsed="false">
      <c r="A557" s="12" t="s">
        <v>1253</v>
      </c>
      <c r="B557" s="12" t="s">
        <v>1091</v>
      </c>
      <c r="C557" s="12" t="s">
        <v>1092</v>
      </c>
      <c r="D557" s="12" t="s">
        <v>430</v>
      </c>
      <c r="E557" s="12" t="s">
        <v>1254</v>
      </c>
      <c r="F557" s="13" t="n">
        <v>2707205</v>
      </c>
      <c r="G557" s="13" t="n">
        <v>3037937</v>
      </c>
      <c r="H557" s="14" t="n">
        <v>15538</v>
      </c>
      <c r="I557" s="14" t="n">
        <v>15953</v>
      </c>
      <c r="J557" s="15" t="n">
        <f aca="false">I557/H557</f>
        <v>1.02670871412022</v>
      </c>
      <c r="K557" s="16" t="n">
        <f aca="false">ROUND(I557*J557^($F$8-1),0)</f>
        <v>15856</v>
      </c>
      <c r="L557" s="16" t="n">
        <f aca="false">ROUND(I557*J557^($F$9-1),0)</f>
        <v>15931</v>
      </c>
      <c r="M557" s="17" t="n">
        <f aca="false">G557*$F$7</f>
        <v>2926451.50343669</v>
      </c>
      <c r="N557" s="18" t="n">
        <f aca="false">F557/K557</f>
        <v>170.736945005045</v>
      </c>
      <c r="O557" s="18" t="n">
        <f aca="false">G557/L557</f>
        <v>190.693427907853</v>
      </c>
      <c r="P557" s="18" t="n">
        <f aca="false">M557/L557</f>
        <v>183.695405400583</v>
      </c>
      <c r="Q557" s="19" t="n">
        <f aca="false">IF(N557=0,"n.a.",P557/N557-1)</f>
        <v>0.0758972253788122</v>
      </c>
    </row>
    <row r="558" customFormat="false" ht="15" hidden="false" customHeight="false" outlineLevel="0" collapsed="false">
      <c r="A558" s="12" t="s">
        <v>1255</v>
      </c>
      <c r="B558" s="12" t="s">
        <v>1091</v>
      </c>
      <c r="C558" s="12" t="s">
        <v>1092</v>
      </c>
      <c r="D558" s="12" t="s">
        <v>433</v>
      </c>
      <c r="E558" s="12" t="s">
        <v>1256</v>
      </c>
      <c r="F558" s="13" t="n">
        <v>39559129</v>
      </c>
      <c r="G558" s="13" t="n">
        <v>56298455</v>
      </c>
      <c r="H558" s="14" t="n">
        <v>114257</v>
      </c>
      <c r="I558" s="14" t="n">
        <v>112910</v>
      </c>
      <c r="J558" s="15" t="n">
        <f aca="false">I558/H558</f>
        <v>0.988210787960475</v>
      </c>
      <c r="K558" s="16" t="n">
        <f aca="false">ROUND(I558*J558^($F$8-1),0)</f>
        <v>113220</v>
      </c>
      <c r="L558" s="16" t="n">
        <f aca="false">ROUND(I558*J558^($F$9-1),0)</f>
        <v>112980</v>
      </c>
      <c r="M558" s="17" t="n">
        <f aca="false">G558*$F$7</f>
        <v>54232427.5572248</v>
      </c>
      <c r="N558" s="18" t="n">
        <f aca="false">F558/K558</f>
        <v>349.400538774068</v>
      </c>
      <c r="O558" s="18" t="n">
        <f aca="false">G558/L558</f>
        <v>498.304611435652</v>
      </c>
      <c r="P558" s="18" t="n">
        <f aca="false">M558/L558</f>
        <v>480.017946160602</v>
      </c>
      <c r="Q558" s="19" t="n">
        <f aca="false">IF(N558=0,"n.a.",P558/N558-1)</f>
        <v>0.37383287342609</v>
      </c>
    </row>
    <row r="559" customFormat="false" ht="15" hidden="false" customHeight="false" outlineLevel="0" collapsed="false">
      <c r="A559" s="12" t="s">
        <v>1257</v>
      </c>
      <c r="B559" s="12" t="s">
        <v>1091</v>
      </c>
      <c r="C559" s="12" t="s">
        <v>1092</v>
      </c>
      <c r="D559" s="12" t="s">
        <v>436</v>
      </c>
      <c r="E559" s="12" t="s">
        <v>1258</v>
      </c>
      <c r="F559" s="13" t="n">
        <v>2154668</v>
      </c>
      <c r="G559" s="13" t="n">
        <v>2687957</v>
      </c>
      <c r="H559" s="14" t="n">
        <v>24033</v>
      </c>
      <c r="I559" s="14" t="n">
        <v>21576</v>
      </c>
      <c r="J559" s="15" t="n">
        <f aca="false">I559/H559</f>
        <v>0.897765572338035</v>
      </c>
      <c r="K559" s="16" t="n">
        <f aca="false">ROUND(I559*J559^($F$8-1),0)</f>
        <v>22120</v>
      </c>
      <c r="L559" s="16" t="n">
        <f aca="false">ROUND(I559*J559^($F$9-1),0)</f>
        <v>21697</v>
      </c>
      <c r="M559" s="17" t="n">
        <f aca="false">G559*$F$7</f>
        <v>2589314.98705311</v>
      </c>
      <c r="N559" s="18" t="n">
        <f aca="false">F559/K559</f>
        <v>97.4081374321881</v>
      </c>
      <c r="O559" s="18" t="n">
        <f aca="false">G559/L559</f>
        <v>123.886113287551</v>
      </c>
      <c r="P559" s="18" t="n">
        <f aca="false">M559/L559</f>
        <v>119.339769878468</v>
      </c>
      <c r="Q559" s="19" t="n">
        <f aca="false">IF(N559=0,"n.a.",P559/N559-1)</f>
        <v>0.225151953670684</v>
      </c>
    </row>
    <row r="560" customFormat="false" ht="15" hidden="false" customHeight="false" outlineLevel="0" collapsed="false">
      <c r="A560" s="12" t="s">
        <v>1259</v>
      </c>
      <c r="B560" s="12" t="s">
        <v>1091</v>
      </c>
      <c r="C560" s="12" t="s">
        <v>1092</v>
      </c>
      <c r="D560" s="12" t="s">
        <v>439</v>
      </c>
      <c r="E560" s="12" t="s">
        <v>1260</v>
      </c>
      <c r="F560" s="13" t="n">
        <v>2095696</v>
      </c>
      <c r="G560" s="13" t="n">
        <v>2568374</v>
      </c>
      <c r="H560" s="14" t="n">
        <v>16320</v>
      </c>
      <c r="I560" s="14" t="n">
        <v>16723</v>
      </c>
      <c r="J560" s="15" t="n">
        <f aca="false">I560/H560</f>
        <v>1.02469362745098</v>
      </c>
      <c r="K560" s="16" t="n">
        <f aca="false">ROUND(I560*J560^($F$8-1),0)</f>
        <v>16629</v>
      </c>
      <c r="L560" s="16" t="n">
        <f aca="false">ROUND(I560*J560^($F$9-1),0)</f>
        <v>16702</v>
      </c>
      <c r="M560" s="17" t="n">
        <f aca="false">G560*$F$7</f>
        <v>2474120.4158242</v>
      </c>
      <c r="N560" s="18" t="n">
        <f aca="false">F560/K560</f>
        <v>126.02658007096</v>
      </c>
      <c r="O560" s="18" t="n">
        <f aca="false">G560/L560</f>
        <v>153.776433960005</v>
      </c>
      <c r="P560" s="18" t="n">
        <f aca="false">M560/L560</f>
        <v>148.133182602335</v>
      </c>
      <c r="Q560" s="19" t="n">
        <f aca="false">IF(N560=0,"n.a.",P560/N560-1)</f>
        <v>0.175412222714661</v>
      </c>
    </row>
    <row r="561" customFormat="false" ht="15" hidden="false" customHeight="false" outlineLevel="0" collapsed="false">
      <c r="A561" s="12" t="s">
        <v>1261</v>
      </c>
      <c r="B561" s="12" t="s">
        <v>1091</v>
      </c>
      <c r="C561" s="12" t="s">
        <v>1092</v>
      </c>
      <c r="D561" s="12" t="s">
        <v>442</v>
      </c>
      <c r="E561" s="12" t="s">
        <v>1262</v>
      </c>
      <c r="F561" s="13" t="n">
        <v>6688302</v>
      </c>
      <c r="G561" s="13" t="n">
        <v>7399871</v>
      </c>
      <c r="H561" s="14" t="n">
        <v>14934</v>
      </c>
      <c r="I561" s="14" t="n">
        <v>15603</v>
      </c>
      <c r="J561" s="15" t="n">
        <f aca="false">I561/H561</f>
        <v>1.044797107272</v>
      </c>
      <c r="K561" s="16" t="n">
        <f aca="false">ROUND(I561*J561^($F$8-1),0)</f>
        <v>15446</v>
      </c>
      <c r="L561" s="16" t="n">
        <f aca="false">ROUND(I561*J561^($F$9-1),0)</f>
        <v>15568</v>
      </c>
      <c r="M561" s="17" t="n">
        <f aca="false">G561*$F$7</f>
        <v>7128312.27678111</v>
      </c>
      <c r="N561" s="18" t="n">
        <f aca="false">F561/K561</f>
        <v>433.011912469248</v>
      </c>
      <c r="O561" s="18" t="n">
        <f aca="false">G561/L561</f>
        <v>475.325732271326</v>
      </c>
      <c r="P561" s="18" t="n">
        <f aca="false">M561/L561</f>
        <v>457.882340492106</v>
      </c>
      <c r="Q561" s="19" t="n">
        <f aca="false">IF(N561=0,"n.a.",P561/N561-1)</f>
        <v>0.05743589796649</v>
      </c>
    </row>
    <row r="562" customFormat="false" ht="15" hidden="false" customHeight="false" outlineLevel="0" collapsed="false">
      <c r="A562" s="12" t="s">
        <v>1263</v>
      </c>
      <c r="B562" s="12" t="s">
        <v>1091</v>
      </c>
      <c r="C562" s="12" t="s">
        <v>1092</v>
      </c>
      <c r="D562" s="12" t="s">
        <v>445</v>
      </c>
      <c r="E562" s="12" t="s">
        <v>1264</v>
      </c>
      <c r="F562" s="13" t="n">
        <v>1085622</v>
      </c>
      <c r="G562" s="13" t="n">
        <v>1194522</v>
      </c>
      <c r="H562" s="14" t="n">
        <v>12834</v>
      </c>
      <c r="I562" s="14" t="n">
        <v>12408</v>
      </c>
      <c r="J562" s="15" t="n">
        <f aca="false">I562/H562</f>
        <v>0.966806919121085</v>
      </c>
      <c r="K562" s="16" t="n">
        <f aca="false">ROUND(I562*J562^($F$8-1),0)</f>
        <v>12505</v>
      </c>
      <c r="L562" s="16" t="n">
        <f aca="false">ROUND(I562*J562^($F$9-1),0)</f>
        <v>12430</v>
      </c>
      <c r="M562" s="17" t="n">
        <f aca="false">G562*$F$7</f>
        <v>1150685.71296515</v>
      </c>
      <c r="N562" s="18" t="n">
        <f aca="false">F562/K562</f>
        <v>86.8150339864054</v>
      </c>
      <c r="O562" s="18" t="n">
        <f aca="false">G562/L562</f>
        <v>96.0999195494771</v>
      </c>
      <c r="P562" s="18" t="n">
        <f aca="false">M562/L562</f>
        <v>92.5732673342838</v>
      </c>
      <c r="Q562" s="19" t="n">
        <f aca="false">IF(N562=0,"n.a.",P562/N562-1)</f>
        <v>0.0663276057552438</v>
      </c>
    </row>
    <row r="563" customFormat="false" ht="15" hidden="false" customHeight="false" outlineLevel="0" collapsed="false">
      <c r="A563" s="12" t="s">
        <v>1265</v>
      </c>
      <c r="B563" s="12" t="s">
        <v>1091</v>
      </c>
      <c r="C563" s="12" t="s">
        <v>1092</v>
      </c>
      <c r="D563" s="12" t="s">
        <v>448</v>
      </c>
      <c r="E563" s="12" t="s">
        <v>1266</v>
      </c>
      <c r="F563" s="13" t="n">
        <v>4365153</v>
      </c>
      <c r="G563" s="13" t="n">
        <v>4934156</v>
      </c>
      <c r="H563" s="14" t="n">
        <v>28548</v>
      </c>
      <c r="I563" s="14" t="n">
        <v>28778</v>
      </c>
      <c r="J563" s="15" t="n">
        <f aca="false">I563/H563</f>
        <v>1.00805660641726</v>
      </c>
      <c r="K563" s="16" t="n">
        <f aca="false">ROUND(I563*J563^($F$8-1),0)</f>
        <v>28725</v>
      </c>
      <c r="L563" s="16" t="n">
        <f aca="false">ROUND(I563*J563^($F$9-1),0)</f>
        <v>28766</v>
      </c>
      <c r="M563" s="17" t="n">
        <f aca="false">G563*$F$7</f>
        <v>4753083.50515207</v>
      </c>
      <c r="N563" s="18" t="n">
        <f aca="false">F563/K563</f>
        <v>151.963550913838</v>
      </c>
      <c r="O563" s="18" t="n">
        <f aca="false">G563/L563</f>
        <v>171.527358687339</v>
      </c>
      <c r="P563" s="18" t="n">
        <f aca="false">M563/L563</f>
        <v>165.232688074535</v>
      </c>
      <c r="Q563" s="19" t="n">
        <f aca="false">IF(N563=0,"n.a.",P563/N563-1)</f>
        <v>0.0873178935402756</v>
      </c>
    </row>
    <row r="564" customFormat="false" ht="15" hidden="false" customHeight="false" outlineLevel="0" collapsed="false">
      <c r="A564" s="12" t="s">
        <v>1267</v>
      </c>
      <c r="B564" s="12" t="s">
        <v>1091</v>
      </c>
      <c r="C564" s="12" t="s">
        <v>1092</v>
      </c>
      <c r="D564" s="12" t="s">
        <v>809</v>
      </c>
      <c r="E564" s="12" t="s">
        <v>1268</v>
      </c>
      <c r="F564" s="13" t="n">
        <v>3008090</v>
      </c>
      <c r="G564" s="13" t="n">
        <v>3103350</v>
      </c>
      <c r="H564" s="14" t="n">
        <v>12298</v>
      </c>
      <c r="I564" s="14" t="n">
        <v>12539</v>
      </c>
      <c r="J564" s="15" t="n">
        <f aca="false">I564/H564</f>
        <v>1.01959668238738</v>
      </c>
      <c r="K564" s="16" t="n">
        <f aca="false">ROUND(I564*J564^($F$8-1),0)</f>
        <v>12483</v>
      </c>
      <c r="L564" s="16" t="n">
        <f aca="false">ROUND(I564*J564^($F$9-1),0)</f>
        <v>12526</v>
      </c>
      <c r="M564" s="17" t="n">
        <f aca="false">G564*$F$7</f>
        <v>2989463.99256807</v>
      </c>
      <c r="N564" s="18" t="n">
        <f aca="false">F564/K564</f>
        <v>240.974925899223</v>
      </c>
      <c r="O564" s="18" t="n">
        <f aca="false">G564/L564</f>
        <v>247.752674437171</v>
      </c>
      <c r="P564" s="18" t="n">
        <f aca="false">M564/L564</f>
        <v>238.660705138757</v>
      </c>
      <c r="Q564" s="19" t="n">
        <f aca="false">IF(N564=0,"n.a.",P564/N564-1)</f>
        <v>-0.0096035749438681</v>
      </c>
    </row>
    <row r="565" customFormat="false" ht="15" hidden="false" customHeight="false" outlineLevel="0" collapsed="false">
      <c r="A565" s="12" t="s">
        <v>1269</v>
      </c>
      <c r="B565" s="12" t="s">
        <v>1091</v>
      </c>
      <c r="C565" s="12" t="s">
        <v>1092</v>
      </c>
      <c r="D565" s="12" t="s">
        <v>451</v>
      </c>
      <c r="E565" s="12" t="s">
        <v>1270</v>
      </c>
      <c r="F565" s="13" t="n">
        <v>628739</v>
      </c>
      <c r="G565" s="13" t="n">
        <v>743726</v>
      </c>
      <c r="H565" s="14" t="n">
        <v>5921</v>
      </c>
      <c r="I565" s="14" t="n">
        <v>4293</v>
      </c>
      <c r="J565" s="15" t="n">
        <f aca="false">I565/H565</f>
        <v>0.725046444857288</v>
      </c>
      <c r="K565" s="16" t="n">
        <f aca="false">ROUND(I565*J565^($F$8-1),0)</f>
        <v>4624</v>
      </c>
      <c r="L565" s="16" t="n">
        <f aca="false">ROUND(I565*J565^($F$9-1),0)</f>
        <v>4365</v>
      </c>
      <c r="M565" s="17" t="n">
        <f aca="false">G565*$F$7</f>
        <v>716432.918406457</v>
      </c>
      <c r="N565" s="18" t="n">
        <f aca="false">F565/K565</f>
        <v>135.972967128028</v>
      </c>
      <c r="O565" s="18" t="n">
        <f aca="false">G565/L565</f>
        <v>170.383963344788</v>
      </c>
      <c r="P565" s="18" t="n">
        <f aca="false">M565/L565</f>
        <v>164.131252784984</v>
      </c>
      <c r="Q565" s="19" t="n">
        <f aca="false">IF(N565=0,"n.a.",P565/N565-1)</f>
        <v>0.207087381055999</v>
      </c>
    </row>
    <row r="566" customFormat="false" ht="15" hidden="false" customHeight="false" outlineLevel="0" collapsed="false">
      <c r="A566" s="12" t="s">
        <v>1271</v>
      </c>
      <c r="B566" s="12" t="s">
        <v>1091</v>
      </c>
      <c r="C566" s="12" t="s">
        <v>1092</v>
      </c>
      <c r="D566" s="12" t="s">
        <v>454</v>
      </c>
      <c r="E566" s="12" t="s">
        <v>1272</v>
      </c>
      <c r="F566" s="13" t="n">
        <v>1414038</v>
      </c>
      <c r="G566" s="13" t="n">
        <v>1450329</v>
      </c>
      <c r="H566" s="14" t="n">
        <v>28659</v>
      </c>
      <c r="I566" s="14" t="n">
        <v>32309</v>
      </c>
      <c r="J566" s="15" t="n">
        <f aca="false">I566/H566</f>
        <v>1.12735964269514</v>
      </c>
      <c r="K566" s="16" t="n">
        <f aca="false">ROUND(I566*J566^($F$8-1),0)</f>
        <v>31427</v>
      </c>
      <c r="L566" s="16" t="n">
        <f aca="false">ROUND(I566*J566^($F$9-1),0)</f>
        <v>32108</v>
      </c>
      <c r="M566" s="17" t="n">
        <f aca="false">G566*$F$7</f>
        <v>1397105.1679241</v>
      </c>
      <c r="N566" s="18" t="n">
        <f aca="false">F566/K566</f>
        <v>44.9943679002132</v>
      </c>
      <c r="O566" s="18" t="n">
        <f aca="false">G566/L566</f>
        <v>45.1703313815872</v>
      </c>
      <c r="P566" s="18" t="n">
        <f aca="false">M566/L566</f>
        <v>43.5126811985829</v>
      </c>
      <c r="Q566" s="19" t="n">
        <f aca="false">IF(N566=0,"n.a.",P566/N566-1)</f>
        <v>-0.0329304926544665</v>
      </c>
    </row>
    <row r="567" customFormat="false" ht="15" hidden="false" customHeight="false" outlineLevel="0" collapsed="false">
      <c r="A567" s="12" t="s">
        <v>1273</v>
      </c>
      <c r="B567" s="12" t="s">
        <v>1091</v>
      </c>
      <c r="C567" s="12" t="s">
        <v>1092</v>
      </c>
      <c r="D567" s="12" t="s">
        <v>457</v>
      </c>
      <c r="E567" s="12" t="s">
        <v>818</v>
      </c>
      <c r="F567" s="13" t="n">
        <v>5334578</v>
      </c>
      <c r="G567" s="13" t="n">
        <v>4868280</v>
      </c>
      <c r="H567" s="14" t="n">
        <v>25739</v>
      </c>
      <c r="I567" s="14" t="n">
        <v>29045</v>
      </c>
      <c r="J567" s="15" t="n">
        <f aca="false">I567/H567</f>
        <v>1.12844321846226</v>
      </c>
      <c r="K567" s="16" t="n">
        <f aca="false">ROUND(I567*J567^($F$8-1),0)</f>
        <v>28246</v>
      </c>
      <c r="L567" s="16" t="n">
        <f aca="false">ROUND(I567*J567^($F$9-1),0)</f>
        <v>28863</v>
      </c>
      <c r="M567" s="17" t="n">
        <f aca="false">G567*$F$7</f>
        <v>4689625.00708566</v>
      </c>
      <c r="N567" s="18" t="n">
        <f aca="false">F567/K567</f>
        <v>188.861360900659</v>
      </c>
      <c r="O567" s="18" t="n">
        <f aca="false">G567/L567</f>
        <v>168.668537574057</v>
      </c>
      <c r="P567" s="18" t="n">
        <f aca="false">M567/L567</f>
        <v>162.478779305188</v>
      </c>
      <c r="Q567" s="19" t="n">
        <f aca="false">IF(N567=0,"n.a.",P567/N567-1)</f>
        <v>-0.139692849133642</v>
      </c>
    </row>
    <row r="568" customFormat="false" ht="15" hidden="false" customHeight="false" outlineLevel="0" collapsed="false">
      <c r="A568" s="12" t="s">
        <v>1274</v>
      </c>
      <c r="B568" s="12" t="s">
        <v>1091</v>
      </c>
      <c r="C568" s="12" t="s">
        <v>1092</v>
      </c>
      <c r="D568" s="12" t="s">
        <v>460</v>
      </c>
      <c r="E568" s="12" t="s">
        <v>1275</v>
      </c>
      <c r="F568" s="13" t="n">
        <v>1720918</v>
      </c>
      <c r="G568" s="13" t="n">
        <v>1897861</v>
      </c>
      <c r="H568" s="14" t="n">
        <v>14275</v>
      </c>
      <c r="I568" s="14" t="n">
        <v>10342</v>
      </c>
      <c r="J568" s="15" t="n">
        <f aca="false">I568/H568</f>
        <v>0.724483362521891</v>
      </c>
      <c r="K568" s="16" t="n">
        <f aca="false">ROUND(I568*J568^($F$8-1),0)</f>
        <v>11141</v>
      </c>
      <c r="L568" s="16" t="n">
        <f aca="false">ROUND(I568*J568^($F$9-1),0)</f>
        <v>10517</v>
      </c>
      <c r="M568" s="17" t="n">
        <f aca="false">G568*$F$7</f>
        <v>1828213.74398609</v>
      </c>
      <c r="N568" s="18" t="n">
        <f aca="false">F568/K568</f>
        <v>154.467103491608</v>
      </c>
      <c r="O568" s="18" t="n">
        <f aca="false">G568/L568</f>
        <v>180.456499001616</v>
      </c>
      <c r="P568" s="18" t="n">
        <f aca="false">M568/L568</f>
        <v>173.834148900455</v>
      </c>
      <c r="Q568" s="19" t="n">
        <f aca="false">IF(N568=0,"n.a.",P568/N568-1)</f>
        <v>0.125379740870844</v>
      </c>
    </row>
    <row r="569" customFormat="false" ht="15" hidden="false" customHeight="false" outlineLevel="0" collapsed="false">
      <c r="A569" s="12" t="s">
        <v>1276</v>
      </c>
      <c r="B569" s="12" t="s">
        <v>1091</v>
      </c>
      <c r="C569" s="12" t="s">
        <v>1092</v>
      </c>
      <c r="D569" s="12" t="s">
        <v>463</v>
      </c>
      <c r="E569" s="12" t="s">
        <v>1277</v>
      </c>
      <c r="F569" s="13" t="n">
        <v>6287516</v>
      </c>
      <c r="G569" s="13" t="n">
        <v>8037246</v>
      </c>
      <c r="H569" s="14" t="n">
        <v>14906</v>
      </c>
      <c r="I569" s="14" t="n">
        <v>14072</v>
      </c>
      <c r="J569" s="15" t="n">
        <f aca="false">I569/H569</f>
        <v>0.944049376090165</v>
      </c>
      <c r="K569" s="16" t="n">
        <f aca="false">ROUND(I569*J569^($F$8-1),0)</f>
        <v>14260</v>
      </c>
      <c r="L569" s="16" t="n">
        <f aca="false">ROUND(I569*J569^($F$9-1),0)</f>
        <v>14114</v>
      </c>
      <c r="M569" s="17" t="n">
        <f aca="false">G569*$F$7</f>
        <v>7742297.03913891</v>
      </c>
      <c r="N569" s="18" t="n">
        <f aca="false">F569/K569</f>
        <v>440.919775596073</v>
      </c>
      <c r="O569" s="18" t="n">
        <f aca="false">G569/L569</f>
        <v>569.452033441973</v>
      </c>
      <c r="P569" s="18" t="n">
        <f aca="false">M569/L569</f>
        <v>548.55441683002</v>
      </c>
      <c r="Q569" s="19" t="n">
        <f aca="false">IF(N569=0,"n.a.",P569/N569-1)</f>
        <v>0.244113889172781</v>
      </c>
    </row>
    <row r="570" customFormat="false" ht="15" hidden="false" customHeight="false" outlineLevel="0" collapsed="false">
      <c r="A570" s="12" t="s">
        <v>1278</v>
      </c>
      <c r="B570" s="12" t="s">
        <v>1091</v>
      </c>
      <c r="C570" s="12" t="s">
        <v>1092</v>
      </c>
      <c r="D570" s="12" t="s">
        <v>466</v>
      </c>
      <c r="E570" s="12" t="s">
        <v>1279</v>
      </c>
      <c r="F570" s="13" t="n">
        <v>1837220</v>
      </c>
      <c r="G570" s="13" t="n">
        <v>2162419</v>
      </c>
      <c r="H570" s="14" t="n">
        <v>8683</v>
      </c>
      <c r="I570" s="14" t="n">
        <v>7788</v>
      </c>
      <c r="J570" s="15" t="n">
        <f aca="false">I570/H570</f>
        <v>0.896925025912703</v>
      </c>
      <c r="K570" s="16" t="n">
        <f aca="false">ROUND(I570*J570^($F$8-1),0)</f>
        <v>7986</v>
      </c>
      <c r="L570" s="16" t="n">
        <f aca="false">ROUND(I570*J570^($F$9-1),0)</f>
        <v>7832</v>
      </c>
      <c r="M570" s="17" t="n">
        <f aca="false">G570*$F$7</f>
        <v>2083063.05680798</v>
      </c>
      <c r="N570" s="18" t="n">
        <f aca="false">F570/K570</f>
        <v>230.055096418733</v>
      </c>
      <c r="O570" s="18" t="n">
        <f aca="false">G570/L570</f>
        <v>276.100485188968</v>
      </c>
      <c r="P570" s="18" t="n">
        <f aca="false">M570/L570</f>
        <v>265.968214607761</v>
      </c>
      <c r="Q570" s="19" t="n">
        <f aca="false">IF(N570=0,"n.a.",P570/N570-1)</f>
        <v>0.156106596846091</v>
      </c>
    </row>
    <row r="571" customFormat="false" ht="15" hidden="false" customHeight="false" outlineLevel="0" collapsed="false">
      <c r="A571" s="12" t="s">
        <v>1280</v>
      </c>
      <c r="B571" s="12" t="s">
        <v>1091</v>
      </c>
      <c r="C571" s="12" t="s">
        <v>1092</v>
      </c>
      <c r="D571" s="12" t="s">
        <v>469</v>
      </c>
      <c r="E571" s="12" t="s">
        <v>1281</v>
      </c>
      <c r="F571" s="13" t="n">
        <v>164593132</v>
      </c>
      <c r="G571" s="13" t="n">
        <v>182830282</v>
      </c>
      <c r="H571" s="14" t="n">
        <v>354706</v>
      </c>
      <c r="I571" s="14" t="n">
        <v>378667</v>
      </c>
      <c r="J571" s="15" t="n">
        <f aca="false">I571/H571</f>
        <v>1.06755171888832</v>
      </c>
      <c r="K571" s="16" t="n">
        <f aca="false">ROUND(I571*J571^($F$8-1),0)</f>
        <v>372995</v>
      </c>
      <c r="L571" s="16" t="n">
        <f aca="false">ROUND(I571*J571^($F$9-1),0)</f>
        <v>377383</v>
      </c>
      <c r="M571" s="17" t="n">
        <f aca="false">G571*$F$7</f>
        <v>176120819.369412</v>
      </c>
      <c r="N571" s="18" t="n">
        <f aca="false">F571/K571</f>
        <v>441.274365608118</v>
      </c>
      <c r="O571" s="18" t="n">
        <f aca="false">G571/L571</f>
        <v>484.468781052671</v>
      </c>
      <c r="P571" s="18" t="n">
        <f aca="false">M571/L571</f>
        <v>466.689859822547</v>
      </c>
      <c r="Q571" s="19" t="n">
        <f aca="false">IF(N571=0,"n.a.",P571/N571-1)</f>
        <v>0.0575956733389758</v>
      </c>
    </row>
    <row r="572" customFormat="false" ht="15" hidden="false" customHeight="false" outlineLevel="0" collapsed="false">
      <c r="A572" s="12" t="s">
        <v>1282</v>
      </c>
      <c r="B572" s="12" t="s">
        <v>1091</v>
      </c>
      <c r="C572" s="12" t="s">
        <v>1092</v>
      </c>
      <c r="D572" s="12" t="s">
        <v>472</v>
      </c>
      <c r="E572" s="12" t="s">
        <v>482</v>
      </c>
      <c r="F572" s="13" t="n">
        <v>6084776</v>
      </c>
      <c r="G572" s="13" t="n">
        <v>7878724</v>
      </c>
      <c r="H572" s="14" t="n">
        <v>23420</v>
      </c>
      <c r="I572" s="14" t="n">
        <v>23953</v>
      </c>
      <c r="J572" s="15" t="n">
        <f aca="false">I572/H572</f>
        <v>1.02275832621691</v>
      </c>
      <c r="K572" s="16" t="n">
        <f aca="false">ROUND(I572*J572^($F$8-1),0)</f>
        <v>23829</v>
      </c>
      <c r="L572" s="16" t="n">
        <f aca="false">ROUND(I572*J572^($F$9-1),0)</f>
        <v>23925</v>
      </c>
      <c r="M572" s="17" t="n">
        <f aca="false">G572*$F$7</f>
        <v>7589592.44216149</v>
      </c>
      <c r="N572" s="18" t="n">
        <f aca="false">F572/K572</f>
        <v>255.351714297705</v>
      </c>
      <c r="O572" s="18" t="n">
        <f aca="false">G572/L572</f>
        <v>329.309258098224</v>
      </c>
      <c r="P572" s="18" t="n">
        <f aca="false">M572/L572</f>
        <v>317.224344499958</v>
      </c>
      <c r="Q572" s="19" t="n">
        <f aca="false">IF(N572=0,"n.a.",P572/N572-1)</f>
        <v>0.242303563038227</v>
      </c>
    </row>
    <row r="573" customFormat="false" ht="15" hidden="false" customHeight="false" outlineLevel="0" collapsed="false">
      <c r="A573" s="12" t="s">
        <v>1283</v>
      </c>
      <c r="B573" s="12" t="s">
        <v>1091</v>
      </c>
      <c r="C573" s="12" t="s">
        <v>1092</v>
      </c>
      <c r="D573" s="12" t="s">
        <v>475</v>
      </c>
      <c r="E573" s="12" t="s">
        <v>1284</v>
      </c>
      <c r="F573" s="13" t="n">
        <v>2587893</v>
      </c>
      <c r="G573" s="13" t="n">
        <v>5161469</v>
      </c>
      <c r="H573" s="14" t="n">
        <v>15836</v>
      </c>
      <c r="I573" s="14" t="n">
        <v>15410</v>
      </c>
      <c r="J573" s="15" t="n">
        <f aca="false">I573/H573</f>
        <v>0.973099267491791</v>
      </c>
      <c r="K573" s="16" t="n">
        <f aca="false">ROUND(I573*J573^($F$8-1),0)</f>
        <v>15507</v>
      </c>
      <c r="L573" s="16" t="n">
        <f aca="false">ROUND(I573*J573^($F$9-1),0)</f>
        <v>15432</v>
      </c>
      <c r="M573" s="17" t="n">
        <f aca="false">G573*$F$7</f>
        <v>4972054.62621242</v>
      </c>
      <c r="N573" s="18" t="n">
        <f aca="false">F573/K573</f>
        <v>166.885471077578</v>
      </c>
      <c r="O573" s="18" t="n">
        <f aca="false">G573/L573</f>
        <v>334.465331778123</v>
      </c>
      <c r="P573" s="18" t="n">
        <f aca="false">M573/L573</f>
        <v>322.191201802256</v>
      </c>
      <c r="Q573" s="19" t="n">
        <f aca="false">IF(N573=0,"n.a.",P573/N573-1)</f>
        <v>0.930612651430174</v>
      </c>
    </row>
    <row r="574" customFormat="false" ht="15" hidden="false" customHeight="false" outlineLevel="0" collapsed="false">
      <c r="A574" s="12" t="s">
        <v>1285</v>
      </c>
      <c r="B574" s="12" t="s">
        <v>1091</v>
      </c>
      <c r="C574" s="12" t="s">
        <v>1092</v>
      </c>
      <c r="D574" s="12" t="s">
        <v>478</v>
      </c>
      <c r="E574" s="12" t="s">
        <v>1286</v>
      </c>
      <c r="F574" s="13" t="n">
        <v>4674142</v>
      </c>
      <c r="G574" s="13" t="n">
        <v>4307937</v>
      </c>
      <c r="H574" s="14" t="n">
        <v>20979</v>
      </c>
      <c r="I574" s="14" t="n">
        <v>21273</v>
      </c>
      <c r="J574" s="15" t="n">
        <f aca="false">I574/H574</f>
        <v>1.01401401401401</v>
      </c>
      <c r="K574" s="16" t="n">
        <f aca="false">ROUND(I574*J574^($F$8-1),0)</f>
        <v>21205</v>
      </c>
      <c r="L574" s="16" t="n">
        <f aca="false">ROUND(I574*J574^($F$9-1),0)</f>
        <v>21258</v>
      </c>
      <c r="M574" s="17" t="n">
        <f aca="false">G574*$F$7</f>
        <v>4149845.34253362</v>
      </c>
      <c r="N574" s="18" t="n">
        <f aca="false">F574/K574</f>
        <v>220.426408865834</v>
      </c>
      <c r="O574" s="18" t="n">
        <f aca="false">G574/L574</f>
        <v>202.650155235676</v>
      </c>
      <c r="P574" s="18" t="n">
        <f aca="false">M574/L574</f>
        <v>195.213347564852</v>
      </c>
      <c r="Q574" s="19" t="n">
        <f aca="false">IF(N574=0,"n.a.",P574/N574-1)</f>
        <v>-0.114383124194199</v>
      </c>
    </row>
    <row r="575" customFormat="false" ht="15" hidden="false" customHeight="false" outlineLevel="0" collapsed="false">
      <c r="A575" s="12" t="s">
        <v>1287</v>
      </c>
      <c r="B575" s="12" t="s">
        <v>1091</v>
      </c>
      <c r="C575" s="12" t="s">
        <v>1092</v>
      </c>
      <c r="D575" s="12" t="s">
        <v>481</v>
      </c>
      <c r="E575" s="12" t="s">
        <v>1288</v>
      </c>
      <c r="F575" s="13" t="n">
        <v>9013201</v>
      </c>
      <c r="G575" s="13" t="n">
        <v>10837679</v>
      </c>
      <c r="H575" s="14" t="n">
        <v>32109</v>
      </c>
      <c r="I575" s="14" t="n">
        <v>38553</v>
      </c>
      <c r="J575" s="15" t="n">
        <f aca="false">I575/H575</f>
        <v>1.200691394936</v>
      </c>
      <c r="K575" s="16" t="n">
        <f aca="false">ROUND(I575*J575^($F$8-1),0)</f>
        <v>36959</v>
      </c>
      <c r="L575" s="16" t="n">
        <f aca="false">ROUND(I575*J575^($F$9-1),0)</f>
        <v>38188</v>
      </c>
      <c r="M575" s="17" t="n">
        <f aca="false">G575*$F$7</f>
        <v>10439960.4084332</v>
      </c>
      <c r="N575" s="18" t="n">
        <f aca="false">F575/K575</f>
        <v>243.870261641278</v>
      </c>
      <c r="O575" s="18" t="n">
        <f aca="false">G575/L575</f>
        <v>283.798025557767</v>
      </c>
      <c r="P575" s="18" t="n">
        <f aca="false">M575/L575</f>
        <v>273.383272452948</v>
      </c>
      <c r="Q575" s="19" t="n">
        <f aca="false">IF(N575=0,"n.a.",P575/N575-1)</f>
        <v>0.121019310075133</v>
      </c>
    </row>
    <row r="576" customFormat="false" ht="15" hidden="false" customHeight="false" outlineLevel="0" collapsed="false">
      <c r="A576" s="12" t="s">
        <v>1289</v>
      </c>
      <c r="B576" s="12" t="s">
        <v>1091</v>
      </c>
      <c r="C576" s="12" t="s">
        <v>1092</v>
      </c>
      <c r="D576" s="12" t="s">
        <v>484</v>
      </c>
      <c r="E576" s="12" t="s">
        <v>1290</v>
      </c>
      <c r="F576" s="13" t="n">
        <v>28311675</v>
      </c>
      <c r="G576" s="13" t="n">
        <v>29069735</v>
      </c>
      <c r="H576" s="14" t="n">
        <v>76730</v>
      </c>
      <c r="I576" s="14" t="n">
        <v>84948</v>
      </c>
      <c r="J576" s="15" t="n">
        <f aca="false">I576/H576</f>
        <v>1.10710282809853</v>
      </c>
      <c r="K576" s="16" t="n">
        <f aca="false">ROUND(I576*J576^($F$8-1),0)</f>
        <v>82976</v>
      </c>
      <c r="L576" s="16" t="n">
        <f aca="false">ROUND(I576*J576^($F$9-1),0)</f>
        <v>84500</v>
      </c>
      <c r="M576" s="17" t="n">
        <f aca="false">G576*$F$7</f>
        <v>28002940.7111656</v>
      </c>
      <c r="N576" s="18" t="n">
        <f aca="false">F576/K576</f>
        <v>341.203179232549</v>
      </c>
      <c r="O576" s="18" t="n">
        <f aca="false">G576/L576</f>
        <v>344.020532544379</v>
      </c>
      <c r="P576" s="18" t="n">
        <f aca="false">M576/L576</f>
        <v>331.395748061131</v>
      </c>
      <c r="Q576" s="19" t="n">
        <f aca="false">IF(N576=0,"n.a.",P576/N576-1)</f>
        <v>-0.028743668782564</v>
      </c>
    </row>
    <row r="577" customFormat="false" ht="15" hidden="false" customHeight="false" outlineLevel="0" collapsed="false">
      <c r="A577" s="12" t="s">
        <v>1291</v>
      </c>
      <c r="B577" s="12" t="s">
        <v>1091</v>
      </c>
      <c r="C577" s="12" t="s">
        <v>1092</v>
      </c>
      <c r="D577" s="12" t="s">
        <v>817</v>
      </c>
      <c r="E577" s="12" t="s">
        <v>1292</v>
      </c>
      <c r="F577" s="13" t="n">
        <v>126387101</v>
      </c>
      <c r="G577" s="13" t="n">
        <v>132329729</v>
      </c>
      <c r="H577" s="14" t="n">
        <v>204225</v>
      </c>
      <c r="I577" s="14" t="n">
        <v>210099</v>
      </c>
      <c r="J577" s="15" t="n">
        <f aca="false">I577/H577</f>
        <v>1.02876239441792</v>
      </c>
      <c r="K577" s="16" t="n">
        <f aca="false">ROUND(I577*J577^($F$8-1),0)</f>
        <v>208728</v>
      </c>
      <c r="L577" s="16" t="n">
        <f aca="false">ROUND(I577*J577^($F$9-1),0)</f>
        <v>209790</v>
      </c>
      <c r="M577" s="17" t="n">
        <f aca="false">G577*$F$7</f>
        <v>127473523.770052</v>
      </c>
      <c r="N577" s="18" t="n">
        <f aca="false">F577/K577</f>
        <v>605.511004752597</v>
      </c>
      <c r="O577" s="18" t="n">
        <f aca="false">G577/L577</f>
        <v>630.772339005672</v>
      </c>
      <c r="P577" s="18" t="n">
        <f aca="false">M577/L577</f>
        <v>607.624404261651</v>
      </c>
      <c r="Q577" s="19" t="n">
        <f aca="false">IF(N577=0,"n.a.",P577/N577-1)</f>
        <v>0.00349027431783511</v>
      </c>
    </row>
    <row r="578" customFormat="false" ht="15" hidden="false" customHeight="false" outlineLevel="0" collapsed="false">
      <c r="A578" s="12" t="s">
        <v>1293</v>
      </c>
      <c r="B578" s="12" t="s">
        <v>1091</v>
      </c>
      <c r="C578" s="12" t="s">
        <v>1092</v>
      </c>
      <c r="D578" s="12" t="s">
        <v>490</v>
      </c>
      <c r="E578" s="12" t="s">
        <v>1294</v>
      </c>
      <c r="F578" s="13" t="n">
        <v>16531093</v>
      </c>
      <c r="G578" s="13" t="n">
        <v>18633224</v>
      </c>
      <c r="H578" s="14" t="n">
        <v>48907</v>
      </c>
      <c r="I578" s="14" t="n">
        <v>53157</v>
      </c>
      <c r="J578" s="15" t="n">
        <f aca="false">I578/H578</f>
        <v>1.08689962582043</v>
      </c>
      <c r="K578" s="16" t="n">
        <f aca="false">ROUND(I578*J578^($F$8-1),0)</f>
        <v>52144</v>
      </c>
      <c r="L578" s="16" t="n">
        <f aca="false">ROUND(I578*J578^($F$9-1),0)</f>
        <v>52927</v>
      </c>
      <c r="M578" s="17" t="n">
        <f aca="false">G578*$F$7</f>
        <v>17949426.3339472</v>
      </c>
      <c r="N578" s="18" t="n">
        <f aca="false">F578/K578</f>
        <v>317.027711721387</v>
      </c>
      <c r="O578" s="18" t="n">
        <f aca="false">G578/L578</f>
        <v>352.055170328944</v>
      </c>
      <c r="P578" s="18" t="n">
        <f aca="false">M578/L578</f>
        <v>339.135532600511</v>
      </c>
      <c r="Q578" s="19" t="n">
        <f aca="false">IF(N578=0,"n.a.",P578/N578-1)</f>
        <v>0.0697346637588345</v>
      </c>
    </row>
    <row r="579" customFormat="false" ht="15" hidden="false" customHeight="false" outlineLevel="0" collapsed="false">
      <c r="A579" s="12" t="s">
        <v>1295</v>
      </c>
      <c r="B579" s="12" t="s">
        <v>1091</v>
      </c>
      <c r="C579" s="12" t="s">
        <v>1092</v>
      </c>
      <c r="D579" s="12" t="s">
        <v>493</v>
      </c>
      <c r="E579" s="12" t="s">
        <v>1296</v>
      </c>
      <c r="F579" s="13" t="n">
        <v>2789765</v>
      </c>
      <c r="G579" s="13" t="n">
        <v>1850298</v>
      </c>
      <c r="H579" s="14" t="n">
        <v>18370</v>
      </c>
      <c r="I579" s="14" t="n">
        <v>20491</v>
      </c>
      <c r="J579" s="15" t="n">
        <f aca="false">I579/H579</f>
        <v>1.11545998911268</v>
      </c>
      <c r="K579" s="16" t="n">
        <f aca="false">ROUND(I579*J579^($F$8-1),0)</f>
        <v>19981</v>
      </c>
      <c r="L579" s="16" t="n">
        <f aca="false">ROUND(I579*J579^($F$9-1),0)</f>
        <v>20375</v>
      </c>
      <c r="M579" s="17" t="n">
        <f aca="false">G579*$F$7</f>
        <v>1782396.19975855</v>
      </c>
      <c r="N579" s="18" t="n">
        <f aca="false">F579/K579</f>
        <v>139.620889845353</v>
      </c>
      <c r="O579" s="18" t="n">
        <f aca="false">G579/L579</f>
        <v>90.8121717791411</v>
      </c>
      <c r="P579" s="18" t="n">
        <f aca="false">M579/L579</f>
        <v>87.4795680863094</v>
      </c>
      <c r="Q579" s="19" t="n">
        <f aca="false">IF(N579=0,"n.a.",P579/N579-1)</f>
        <v>-0.373449286971287</v>
      </c>
    </row>
    <row r="580" customFormat="false" ht="15" hidden="false" customHeight="false" outlineLevel="0" collapsed="false">
      <c r="A580" s="12" t="s">
        <v>1297</v>
      </c>
      <c r="B580" s="12" t="s">
        <v>1091</v>
      </c>
      <c r="C580" s="12" t="s">
        <v>1092</v>
      </c>
      <c r="D580" s="12" t="s">
        <v>496</v>
      </c>
      <c r="E580" s="12" t="s">
        <v>1298</v>
      </c>
      <c r="F580" s="13" t="n">
        <v>38256394</v>
      </c>
      <c r="G580" s="13" t="n">
        <v>49087265</v>
      </c>
      <c r="H580" s="14" t="n">
        <v>156638</v>
      </c>
      <c r="I580" s="14" t="n">
        <v>147913</v>
      </c>
      <c r="J580" s="15" t="n">
        <f aca="false">I580/H580</f>
        <v>0.94429831841571</v>
      </c>
      <c r="K580" s="16" t="n">
        <f aca="false">ROUND(I580*J580^($F$8-1),0)</f>
        <v>149883</v>
      </c>
      <c r="L580" s="16" t="n">
        <f aca="false">ROUND(I580*J580^($F$9-1),0)</f>
        <v>148354</v>
      </c>
      <c r="M580" s="17" t="n">
        <f aca="false">G580*$F$7</f>
        <v>47285872.1095419</v>
      </c>
      <c r="N580" s="18" t="n">
        <f aca="false">F580/K580</f>
        <v>255.241715204526</v>
      </c>
      <c r="O580" s="18" t="n">
        <f aca="false">G580/L580</f>
        <v>330.879281987678</v>
      </c>
      <c r="P580" s="18" t="n">
        <f aca="false">M580/L580</f>
        <v>318.736752022472</v>
      </c>
      <c r="Q580" s="19" t="n">
        <f aca="false">IF(N580=0,"n.a.",P580/N580-1)</f>
        <v>0.248764339978938</v>
      </c>
    </row>
    <row r="581" customFormat="false" ht="15" hidden="false" customHeight="false" outlineLevel="0" collapsed="false">
      <c r="A581" s="12" t="s">
        <v>1299</v>
      </c>
      <c r="B581" s="12" t="s">
        <v>1091</v>
      </c>
      <c r="C581" s="12" t="s">
        <v>1092</v>
      </c>
      <c r="D581" s="12" t="s">
        <v>1063</v>
      </c>
      <c r="E581" s="12" t="s">
        <v>1300</v>
      </c>
      <c r="F581" s="13" t="n">
        <v>877865</v>
      </c>
      <c r="G581" s="13" t="n">
        <v>926158</v>
      </c>
      <c r="H581" s="14" t="n">
        <v>26210</v>
      </c>
      <c r="I581" s="14" t="n">
        <v>24464</v>
      </c>
      <c r="J581" s="15" t="n">
        <f aca="false">I581/H581</f>
        <v>0.933384204502099</v>
      </c>
      <c r="K581" s="16" t="n">
        <f aca="false">ROUND(I581*J581^($F$8-1),0)</f>
        <v>24857</v>
      </c>
      <c r="L581" s="16" t="n">
        <f aca="false">ROUND(I581*J581^($F$9-1),0)</f>
        <v>24552</v>
      </c>
      <c r="M581" s="17" t="n">
        <f aca="false">G581*$F$7</f>
        <v>892170.071834906</v>
      </c>
      <c r="N581" s="18" t="n">
        <f aca="false">F581/K581</f>
        <v>35.3166110150058</v>
      </c>
      <c r="O581" s="18" t="n">
        <f aca="false">G581/L581</f>
        <v>37.7223036819811</v>
      </c>
      <c r="P581" s="18" t="n">
        <f aca="false">M581/L581</f>
        <v>36.3379794654165</v>
      </c>
      <c r="Q581" s="19" t="n">
        <f aca="false">IF(N581=0,"n.a.",P581/N581-1)</f>
        <v>0.0289203414783117</v>
      </c>
    </row>
    <row r="582" customFormat="false" ht="15" hidden="false" customHeight="false" outlineLevel="0" collapsed="false">
      <c r="A582" s="12" t="s">
        <v>1301</v>
      </c>
      <c r="B582" s="12" t="s">
        <v>1302</v>
      </c>
      <c r="C582" s="12" t="s">
        <v>179</v>
      </c>
      <c r="D582" s="12" t="s">
        <v>48</v>
      </c>
      <c r="E582" s="12" t="s">
        <v>1303</v>
      </c>
      <c r="F582" s="13" t="n">
        <v>85028935</v>
      </c>
      <c r="G582" s="13" t="n">
        <v>136988601</v>
      </c>
      <c r="H582" s="14" t="n">
        <v>25209</v>
      </c>
      <c r="I582" s="14" t="n">
        <v>27069</v>
      </c>
      <c r="J582" s="15" t="n">
        <f aca="false">I582/H582</f>
        <v>1.07378317267643</v>
      </c>
      <c r="K582" s="16" t="n">
        <f aca="false">ROUND(I582*J582^($F$8-1),0)</f>
        <v>26628</v>
      </c>
      <c r="L582" s="16" t="n">
        <f aca="false">ROUND(I582*J582^($F$9-1),0)</f>
        <v>26969</v>
      </c>
      <c r="M582" s="17" t="n">
        <f aca="false">G582*$F$7</f>
        <v>131961425.582604</v>
      </c>
      <c r="N582" s="18" t="n">
        <f aca="false">F582/K582</f>
        <v>3193.21522457563</v>
      </c>
      <c r="O582" s="18" t="n">
        <f aca="false">G582/L582</f>
        <v>5079.48388890949</v>
      </c>
      <c r="P582" s="18" t="n">
        <f aca="false">M582/L582</f>
        <v>4893.07818542044</v>
      </c>
      <c r="Q582" s="19" t="n">
        <f aca="false">IF(N582=0,"n.a.",P582/N582-1)</f>
        <v>0.532335856274991</v>
      </c>
    </row>
    <row r="583" customFormat="false" ht="15" hidden="false" customHeight="false" outlineLevel="0" collapsed="false">
      <c r="A583" s="12" t="s">
        <v>1304</v>
      </c>
      <c r="B583" s="12" t="s">
        <v>1302</v>
      </c>
      <c r="C583" s="12" t="s">
        <v>179</v>
      </c>
      <c r="D583" s="12" t="s">
        <v>54</v>
      </c>
      <c r="E583" s="12" t="s">
        <v>1305</v>
      </c>
      <c r="F583" s="13" t="n">
        <v>42234543</v>
      </c>
      <c r="G583" s="13" t="n">
        <v>50270499</v>
      </c>
      <c r="H583" s="14" t="n">
        <v>89436</v>
      </c>
      <c r="I583" s="14" t="n">
        <v>89850</v>
      </c>
      <c r="J583" s="15" t="n">
        <f aca="false">I583/H583</f>
        <v>1.00462900845297</v>
      </c>
      <c r="K583" s="16" t="n">
        <f aca="false">ROUND(I583*J583^($F$8-1),0)</f>
        <v>89754</v>
      </c>
      <c r="L583" s="16" t="n">
        <f aca="false">ROUND(I583*J583^($F$9-1),0)</f>
        <v>89828</v>
      </c>
      <c r="M583" s="17" t="n">
        <f aca="false">G583*$F$7</f>
        <v>48425684.0668726</v>
      </c>
      <c r="N583" s="18" t="n">
        <f aca="false">F583/K583</f>
        <v>470.558894311117</v>
      </c>
      <c r="O583" s="18" t="n">
        <f aca="false">G583/L583</f>
        <v>559.630616288908</v>
      </c>
      <c r="P583" s="18" t="n">
        <f aca="false">M583/L583</f>
        <v>539.093423730603</v>
      </c>
      <c r="Q583" s="19" t="n">
        <f aca="false">IF(N583=0,"n.a.",P583/N583-1)</f>
        <v>0.14564495591953</v>
      </c>
    </row>
    <row r="584" customFormat="false" ht="15" hidden="false" customHeight="false" outlineLevel="0" collapsed="false">
      <c r="A584" s="12" t="s">
        <v>1306</v>
      </c>
      <c r="B584" s="12" t="s">
        <v>1302</v>
      </c>
      <c r="C584" s="12" t="s">
        <v>179</v>
      </c>
      <c r="D584" s="12" t="s">
        <v>57</v>
      </c>
      <c r="E584" s="12" t="s">
        <v>1307</v>
      </c>
      <c r="F584" s="13" t="n">
        <v>1405227</v>
      </c>
      <c r="G584" s="13" t="n">
        <v>1794819</v>
      </c>
      <c r="H584" s="14" t="n">
        <v>9687</v>
      </c>
      <c r="I584" s="14" t="n">
        <v>9521</v>
      </c>
      <c r="J584" s="15" t="n">
        <f aca="false">I584/H584</f>
        <v>0.982863631671312</v>
      </c>
      <c r="K584" s="16" t="n">
        <f aca="false">ROUND(I584*J584^($F$8-1),0)</f>
        <v>9559</v>
      </c>
      <c r="L584" s="16" t="n">
        <f aca="false">ROUND(I584*J584^($F$9-1),0)</f>
        <v>9530</v>
      </c>
      <c r="M584" s="17" t="n">
        <f aca="false">G584*$F$7</f>
        <v>1728953.15503473</v>
      </c>
      <c r="N584" s="18" t="n">
        <f aca="false">F584/K584</f>
        <v>147.005649126478</v>
      </c>
      <c r="O584" s="18" t="n">
        <f aca="false">G584/L584</f>
        <v>188.333578174187</v>
      </c>
      <c r="P584" s="18" t="n">
        <f aca="false">M584/L584</f>
        <v>181.422156876677</v>
      </c>
      <c r="Q584" s="19" t="n">
        <f aca="false">IF(N584=0,"n.a.",P584/N584-1)</f>
        <v>0.234116906082898</v>
      </c>
    </row>
    <row r="585" customFormat="false" ht="15" hidden="false" customHeight="false" outlineLevel="0" collapsed="false">
      <c r="A585" s="12" t="s">
        <v>1308</v>
      </c>
      <c r="B585" s="12" t="s">
        <v>1302</v>
      </c>
      <c r="C585" s="12" t="s">
        <v>179</v>
      </c>
      <c r="D585" s="12" t="s">
        <v>60</v>
      </c>
      <c r="E585" s="12" t="s">
        <v>1309</v>
      </c>
      <c r="F585" s="13" t="n">
        <v>86025519</v>
      </c>
      <c r="G585" s="13" t="n">
        <v>123400535</v>
      </c>
      <c r="H585" s="14" t="n">
        <v>185746</v>
      </c>
      <c r="I585" s="14" t="n">
        <v>184225</v>
      </c>
      <c r="J585" s="15" t="n">
        <f aca="false">I585/H585</f>
        <v>0.991811398361203</v>
      </c>
      <c r="K585" s="16" t="n">
        <f aca="false">ROUND(I585*J585^($F$8-1),0)</f>
        <v>184575</v>
      </c>
      <c r="L585" s="16" t="n">
        <f aca="false">ROUND(I585*J585^($F$9-1),0)</f>
        <v>184304</v>
      </c>
      <c r="M585" s="17" t="n">
        <f aca="false">G585*$F$7</f>
        <v>118872011.228555</v>
      </c>
      <c r="N585" s="18" t="n">
        <f aca="false">F585/K585</f>
        <v>466.073514831369</v>
      </c>
      <c r="O585" s="18" t="n">
        <f aca="false">G585/L585</f>
        <v>669.548870344648</v>
      </c>
      <c r="P585" s="18" t="n">
        <f aca="false">M585/L585</f>
        <v>644.977923585786</v>
      </c>
      <c r="Q585" s="19" t="n">
        <f aca="false">IF(N585=0,"n.a.",P585/N585-1)</f>
        <v>0.383854484456484</v>
      </c>
    </row>
    <row r="586" customFormat="false" ht="15" hidden="false" customHeight="false" outlineLevel="0" collapsed="false">
      <c r="A586" s="12" t="s">
        <v>1310</v>
      </c>
      <c r="B586" s="12" t="s">
        <v>1302</v>
      </c>
      <c r="C586" s="12" t="s">
        <v>179</v>
      </c>
      <c r="D586" s="12" t="s">
        <v>63</v>
      </c>
      <c r="E586" s="12" t="s">
        <v>1311</v>
      </c>
      <c r="F586" s="13" t="n">
        <v>468421031</v>
      </c>
      <c r="G586" s="13" t="n">
        <v>524240712</v>
      </c>
      <c r="H586" s="14" t="n">
        <v>376493</v>
      </c>
      <c r="I586" s="14" t="n">
        <v>379825</v>
      </c>
      <c r="J586" s="15" t="n">
        <f aca="false">I586/H586</f>
        <v>1.0088500981426</v>
      </c>
      <c r="K586" s="16" t="n">
        <f aca="false">ROUND(I586*J586^($F$8-1),0)</f>
        <v>379053</v>
      </c>
      <c r="L586" s="16" t="n">
        <f aca="false">ROUND(I586*J586^($F$9-1),0)</f>
        <v>379651</v>
      </c>
      <c r="M586" s="17" t="n">
        <f aca="false">G586*$F$7</f>
        <v>505002249.814634</v>
      </c>
      <c r="N586" s="18" t="n">
        <f aca="false">F586/K586</f>
        <v>1235.76658409246</v>
      </c>
      <c r="O586" s="18" t="n">
        <f aca="false">G586/L586</f>
        <v>1380.84902186482</v>
      </c>
      <c r="P586" s="18" t="n">
        <f aca="false">M586/L586</f>
        <v>1330.17494966333</v>
      </c>
      <c r="Q586" s="19" t="n">
        <f aca="false">IF(N586=0,"n.a.",P586/N586-1)</f>
        <v>0.0763966001234813</v>
      </c>
    </row>
    <row r="587" customFormat="false" ht="15" hidden="false" customHeight="false" outlineLevel="0" collapsed="false">
      <c r="A587" s="12" t="s">
        <v>1312</v>
      </c>
      <c r="B587" s="12" t="s">
        <v>1302</v>
      </c>
      <c r="C587" s="12" t="s">
        <v>179</v>
      </c>
      <c r="D587" s="12" t="s">
        <v>66</v>
      </c>
      <c r="E587" s="12" t="s">
        <v>521</v>
      </c>
      <c r="F587" s="13" t="n">
        <v>107366553</v>
      </c>
      <c r="G587" s="13" t="n">
        <v>127572257</v>
      </c>
      <c r="H587" s="14" t="n">
        <v>106748</v>
      </c>
      <c r="I587" s="14" t="n">
        <v>108147</v>
      </c>
      <c r="J587" s="15" t="n">
        <f aca="false">I587/H587</f>
        <v>1.01310563195563</v>
      </c>
      <c r="K587" s="16" t="n">
        <f aca="false">ROUND(I587*J587^($F$8-1),0)</f>
        <v>107822</v>
      </c>
      <c r="L587" s="16" t="n">
        <f aca="false">ROUND(I587*J587^($F$9-1),0)</f>
        <v>108074</v>
      </c>
      <c r="M587" s="17" t="n">
        <f aca="false">G587*$F$7</f>
        <v>122890640.357078</v>
      </c>
      <c r="N587" s="18" t="n">
        <f aca="false">F587/K587</f>
        <v>995.775936265326</v>
      </c>
      <c r="O587" s="18" t="n">
        <f aca="false">G587/L587</f>
        <v>1180.41579843441</v>
      </c>
      <c r="P587" s="18" t="n">
        <f aca="false">M587/L587</f>
        <v>1137.09717746247</v>
      </c>
      <c r="Q587" s="19" t="n">
        <f aca="false">IF(N587=0,"n.a.",P587/N587-1)</f>
        <v>0.141920723377958</v>
      </c>
    </row>
    <row r="588" customFormat="false" ht="15" hidden="false" customHeight="false" outlineLevel="0" collapsed="false">
      <c r="A588" s="12" t="s">
        <v>1313</v>
      </c>
      <c r="B588" s="12" t="s">
        <v>1302</v>
      </c>
      <c r="C588" s="12" t="s">
        <v>179</v>
      </c>
      <c r="D588" s="12" t="s">
        <v>75</v>
      </c>
      <c r="E588" s="12" t="s">
        <v>1314</v>
      </c>
      <c r="F588" s="13" t="n">
        <v>142020252</v>
      </c>
      <c r="G588" s="13" t="n">
        <v>160285450</v>
      </c>
      <c r="H588" s="14" t="n">
        <v>215158</v>
      </c>
      <c r="I588" s="14" t="n">
        <v>201901</v>
      </c>
      <c r="J588" s="15" t="n">
        <f aca="false">I588/H588</f>
        <v>0.938384814880228</v>
      </c>
      <c r="K588" s="16" t="n">
        <f aca="false">ROUND(I588*J588^($F$8-1),0)</f>
        <v>204887</v>
      </c>
      <c r="L588" s="16" t="n">
        <f aca="false">ROUND(I588*J588^($F$9-1),0)</f>
        <v>202569</v>
      </c>
      <c r="M588" s="17" t="n">
        <f aca="false">G588*$F$7</f>
        <v>154403332.304629</v>
      </c>
      <c r="N588" s="18" t="n">
        <f aca="false">F588/K588</f>
        <v>693.163802486249</v>
      </c>
      <c r="O588" s="18" t="n">
        <f aca="false">G588/L588</f>
        <v>791.263470718619</v>
      </c>
      <c r="P588" s="18" t="n">
        <f aca="false">M588/L588</f>
        <v>762.225870220165</v>
      </c>
      <c r="Q588" s="19" t="n">
        <f aca="false">IF(N588=0,"n.a.",P588/N588-1)</f>
        <v>0.0996331133942709</v>
      </c>
    </row>
    <row r="589" customFormat="false" ht="15" hidden="false" customHeight="false" outlineLevel="0" collapsed="false">
      <c r="A589" s="12" t="s">
        <v>1315</v>
      </c>
      <c r="B589" s="12" t="s">
        <v>1302</v>
      </c>
      <c r="C589" s="12" t="s">
        <v>179</v>
      </c>
      <c r="D589" s="12" t="s">
        <v>129</v>
      </c>
      <c r="E589" s="12" t="s">
        <v>1316</v>
      </c>
      <c r="F589" s="13" t="n">
        <v>43186139</v>
      </c>
      <c r="G589" s="13" t="n">
        <v>44253400</v>
      </c>
      <c r="H589" s="14" t="n">
        <v>57282</v>
      </c>
      <c r="I589" s="14" t="n">
        <v>55498</v>
      </c>
      <c r="J589" s="15" t="n">
        <f aca="false">I589/H589</f>
        <v>0.968855836039244</v>
      </c>
      <c r="K589" s="16" t="n">
        <f aca="false">ROUND(I589*J589^($F$8-1),0)</f>
        <v>55905</v>
      </c>
      <c r="L589" s="16" t="n">
        <f aca="false">ROUND(I589*J589^($F$9-1),0)</f>
        <v>55589</v>
      </c>
      <c r="M589" s="17" t="n">
        <f aca="false">G589*$F$7</f>
        <v>42629399.1488913</v>
      </c>
      <c r="N589" s="18" t="n">
        <f aca="false">F589/K589</f>
        <v>772.491530274573</v>
      </c>
      <c r="O589" s="18" t="n">
        <f aca="false">G589/L589</f>
        <v>796.081958660886</v>
      </c>
      <c r="P589" s="18" t="n">
        <f aca="false">M589/L589</f>
        <v>766.867530426726</v>
      </c>
      <c r="Q589" s="19" t="n">
        <f aca="false">IF(N589=0,"n.a.",P589/N589-1)</f>
        <v>-0.00728033852468035</v>
      </c>
    </row>
    <row r="590" customFormat="false" ht="15" hidden="false" customHeight="false" outlineLevel="0" collapsed="false">
      <c r="A590" s="12" t="s">
        <v>1317</v>
      </c>
      <c r="B590" s="12" t="s">
        <v>1302</v>
      </c>
      <c r="C590" s="12" t="s">
        <v>179</v>
      </c>
      <c r="D590" s="12" t="s">
        <v>132</v>
      </c>
      <c r="E590" s="12" t="s">
        <v>1318</v>
      </c>
      <c r="F590" s="13" t="n">
        <v>2257346</v>
      </c>
      <c r="G590" s="13" t="n">
        <v>2332645</v>
      </c>
      <c r="H590" s="14" t="n">
        <v>16592</v>
      </c>
      <c r="I590" s="14" t="n">
        <v>15598</v>
      </c>
      <c r="J590" s="15" t="n">
        <f aca="false">I590/H590</f>
        <v>0.940091610414658</v>
      </c>
      <c r="K590" s="16" t="n">
        <f aca="false">ROUND(I590*J590^($F$8-1),0)</f>
        <v>15822</v>
      </c>
      <c r="L590" s="16" t="n">
        <f aca="false">ROUND(I590*J590^($F$9-1),0)</f>
        <v>15648</v>
      </c>
      <c r="M590" s="17" t="n">
        <f aca="false">G590*$F$7</f>
        <v>2247042.1431498</v>
      </c>
      <c r="N590" s="18" t="n">
        <f aca="false">F590/K590</f>
        <v>142.671343698647</v>
      </c>
      <c r="O590" s="18" t="n">
        <f aca="false">G590/L590</f>
        <v>149.069849182004</v>
      </c>
      <c r="P590" s="18" t="n">
        <f aca="false">M590/L590</f>
        <v>143.599318964072</v>
      </c>
      <c r="Q590" s="19" t="n">
        <f aca="false">IF(N590=0,"n.a.",P590/N590-1)</f>
        <v>0.00650428629441402</v>
      </c>
    </row>
    <row r="591" customFormat="false" ht="15" hidden="false" customHeight="false" outlineLevel="0" collapsed="false">
      <c r="A591" s="12" t="s">
        <v>1319</v>
      </c>
      <c r="B591" s="12" t="s">
        <v>1302</v>
      </c>
      <c r="C591" s="12" t="s">
        <v>179</v>
      </c>
      <c r="D591" s="12" t="s">
        <v>163</v>
      </c>
      <c r="E591" s="12" t="s">
        <v>1320</v>
      </c>
      <c r="F591" s="13" t="n">
        <v>1430024</v>
      </c>
      <c r="G591" s="13" t="n">
        <v>1287214</v>
      </c>
      <c r="H591" s="14" t="n">
        <v>9617</v>
      </c>
      <c r="I591" s="14" t="n">
        <v>10140</v>
      </c>
      <c r="J591" s="15" t="n">
        <f aca="false">I591/H591</f>
        <v>1.0543828636789</v>
      </c>
      <c r="K591" s="16" t="n">
        <f aca="false">ROUND(I591*J591^($F$8-1),0)</f>
        <v>10017</v>
      </c>
      <c r="L591" s="16" t="n">
        <f aca="false">ROUND(I591*J591^($F$9-1),0)</f>
        <v>10112</v>
      </c>
      <c r="M591" s="17" t="n">
        <f aca="false">G591*$F$7</f>
        <v>1239976.12377898</v>
      </c>
      <c r="N591" s="18" t="n">
        <f aca="false">F591/K591</f>
        <v>142.759708495558</v>
      </c>
      <c r="O591" s="18" t="n">
        <f aca="false">G591/L591</f>
        <v>127.295688291139</v>
      </c>
      <c r="P591" s="18" t="n">
        <f aca="false">M591/L591</f>
        <v>122.624221101561</v>
      </c>
      <c r="Q591" s="19" t="n">
        <f aca="false">IF(N591=0,"n.a.",P591/N591-1)</f>
        <v>-0.14104460989862</v>
      </c>
    </row>
    <row r="592" customFormat="false" ht="15" hidden="false" customHeight="false" outlineLevel="0" collapsed="false">
      <c r="A592" s="12" t="s">
        <v>1321</v>
      </c>
      <c r="B592" s="12" t="s">
        <v>1302</v>
      </c>
      <c r="C592" s="12" t="s">
        <v>179</v>
      </c>
      <c r="D592" s="12" t="s">
        <v>166</v>
      </c>
      <c r="E592" s="12" t="s">
        <v>1322</v>
      </c>
      <c r="F592" s="13" t="n">
        <v>1833608</v>
      </c>
      <c r="G592" s="13" t="n">
        <v>1898971</v>
      </c>
      <c r="H592" s="14" t="n">
        <v>15429</v>
      </c>
      <c r="I592" s="14" t="n">
        <v>15017</v>
      </c>
      <c r="J592" s="15" t="n">
        <f aca="false">I592/H592</f>
        <v>0.97329703804524</v>
      </c>
      <c r="K592" s="16" t="n">
        <f aca="false">ROUND(I592*J592^($F$8-1),0)</f>
        <v>15111</v>
      </c>
      <c r="L592" s="16" t="n">
        <f aca="false">ROUND(I592*J592^($F$9-1),0)</f>
        <v>15038</v>
      </c>
      <c r="M592" s="17" t="n">
        <f aca="false">G592*$F$7</f>
        <v>1829283.0094675</v>
      </c>
      <c r="N592" s="18" t="n">
        <f aca="false">F592/K592</f>
        <v>121.342598107339</v>
      </c>
      <c r="O592" s="18" t="n">
        <f aca="false">G592/L592</f>
        <v>126.278161989626</v>
      </c>
      <c r="P592" s="18" t="n">
        <f aca="false">M592/L592</f>
        <v>121.644035740624</v>
      </c>
      <c r="Q592" s="19" t="n">
        <f aca="false">IF(N592=0,"n.a.",P592/N592-1)</f>
        <v>0.00248418641092751</v>
      </c>
    </row>
    <row r="593" customFormat="false" ht="15" hidden="false" customHeight="false" outlineLevel="0" collapsed="false">
      <c r="A593" s="12" t="s">
        <v>1323</v>
      </c>
      <c r="B593" s="12" t="s">
        <v>1302</v>
      </c>
      <c r="C593" s="12" t="s">
        <v>179</v>
      </c>
      <c r="D593" s="12" t="s">
        <v>169</v>
      </c>
      <c r="E593" s="12" t="s">
        <v>1324</v>
      </c>
      <c r="F593" s="13" t="n">
        <v>3813984</v>
      </c>
      <c r="G593" s="13" t="n">
        <v>2452116</v>
      </c>
      <c r="H593" s="14" t="n">
        <v>19217</v>
      </c>
      <c r="I593" s="14" t="n">
        <v>18996</v>
      </c>
      <c r="J593" s="15" t="n">
        <f aca="false">I593/H593</f>
        <v>0.988499765832336</v>
      </c>
      <c r="K593" s="16" t="n">
        <f aca="false">ROUND(I593*J593^($F$8-1),0)</f>
        <v>19047</v>
      </c>
      <c r="L593" s="16" t="n">
        <f aca="false">ROUND(I593*J593^($F$9-1),0)</f>
        <v>19007</v>
      </c>
      <c r="M593" s="17" t="n">
        <f aca="false">G593*$F$7</f>
        <v>2362128.82452834</v>
      </c>
      <c r="N593" s="18" t="n">
        <f aca="false">F593/K593</f>
        <v>200.240667821704</v>
      </c>
      <c r="O593" s="18" t="n">
        <f aca="false">G593/L593</f>
        <v>129.011206397643</v>
      </c>
      <c r="P593" s="18" t="n">
        <f aca="false">M593/L593</f>
        <v>124.276783528613</v>
      </c>
      <c r="Q593" s="19" t="n">
        <f aca="false">IF(N593=0,"n.a.",P593/N593-1)</f>
        <v>-0.379362919228427</v>
      </c>
    </row>
    <row r="594" customFormat="false" ht="15" hidden="false" customHeight="false" outlineLevel="0" collapsed="false">
      <c r="A594" s="12" t="s">
        <v>1325</v>
      </c>
      <c r="B594" s="12" t="s">
        <v>1302</v>
      </c>
      <c r="C594" s="12" t="s">
        <v>179</v>
      </c>
      <c r="D594" s="12" t="s">
        <v>172</v>
      </c>
      <c r="E594" s="12" t="s">
        <v>1326</v>
      </c>
      <c r="F594" s="13" t="n">
        <v>10826066</v>
      </c>
      <c r="G594" s="13" t="n">
        <v>9682955</v>
      </c>
      <c r="H594" s="14" t="n">
        <v>39869</v>
      </c>
      <c r="I594" s="14" t="n">
        <v>36381</v>
      </c>
      <c r="J594" s="15" t="n">
        <f aca="false">I594/H594</f>
        <v>0.912513481652412</v>
      </c>
      <c r="K594" s="16" t="n">
        <f aca="false">ROUND(I594*J594^($F$8-1),0)</f>
        <v>37158</v>
      </c>
      <c r="L594" s="16" t="n">
        <f aca="false">ROUND(I594*J594^($F$9-1),0)</f>
        <v>36554</v>
      </c>
      <c r="M594" s="17" t="n">
        <f aca="false">G594*$F$7</f>
        <v>9327612.19783683</v>
      </c>
      <c r="N594" s="18" t="n">
        <f aca="false">F594/K594</f>
        <v>291.352225631089</v>
      </c>
      <c r="O594" s="18" t="n">
        <f aca="false">G594/L594</f>
        <v>264.894539585271</v>
      </c>
      <c r="P594" s="18" t="n">
        <f aca="false">M594/L594</f>
        <v>255.173502156722</v>
      </c>
      <c r="Q594" s="19" t="n">
        <f aca="false">IF(N594=0,"n.a.",P594/N594-1)</f>
        <v>-0.124175208876475</v>
      </c>
    </row>
    <row r="595" customFormat="false" ht="15" hidden="false" customHeight="false" outlineLevel="0" collapsed="false">
      <c r="A595" s="12" t="s">
        <v>1327</v>
      </c>
      <c r="B595" s="12" t="s">
        <v>1302</v>
      </c>
      <c r="C595" s="12" t="s">
        <v>179</v>
      </c>
      <c r="D595" s="12" t="s">
        <v>175</v>
      </c>
      <c r="E595" s="12" t="s">
        <v>1328</v>
      </c>
      <c r="F595" s="13" t="n">
        <v>120283273</v>
      </c>
      <c r="G595" s="13" t="n">
        <v>123309089</v>
      </c>
      <c r="H595" s="14" t="n">
        <v>122218</v>
      </c>
      <c r="I595" s="14" t="n">
        <v>134162</v>
      </c>
      <c r="J595" s="15" t="n">
        <f aca="false">I595/H595</f>
        <v>1.0977270123877</v>
      </c>
      <c r="K595" s="16" t="n">
        <f aca="false">ROUND(I595*J595^($F$8-1),0)</f>
        <v>131305</v>
      </c>
      <c r="L595" s="16" t="n">
        <f aca="false">ROUND(I595*J595^($F$9-1),0)</f>
        <v>133514</v>
      </c>
      <c r="M595" s="17" t="n">
        <f aca="false">G595*$F$7</f>
        <v>118783921.092326</v>
      </c>
      <c r="N595" s="18" t="n">
        <f aca="false">F595/K595</f>
        <v>916.060111953086</v>
      </c>
      <c r="O595" s="18" t="n">
        <f aca="false">G595/L595</f>
        <v>923.566734574651</v>
      </c>
      <c r="P595" s="18" t="n">
        <f aca="false">M595/L595</f>
        <v>889.673900057869</v>
      </c>
      <c r="Q595" s="19" t="n">
        <f aca="false">IF(N595=0,"n.a.",P595/N595-1)</f>
        <v>-0.0288040179360722</v>
      </c>
    </row>
    <row r="596" customFormat="false" ht="15" hidden="false" customHeight="false" outlineLevel="0" collapsed="false">
      <c r="A596" s="12" t="s">
        <v>1329</v>
      </c>
      <c r="B596" s="12" t="s">
        <v>1302</v>
      </c>
      <c r="C596" s="12" t="s">
        <v>179</v>
      </c>
      <c r="D596" s="12" t="s">
        <v>184</v>
      </c>
      <c r="E596" s="12" t="s">
        <v>1330</v>
      </c>
      <c r="F596" s="13" t="n">
        <v>1614832</v>
      </c>
      <c r="G596" s="13" t="n">
        <v>1546683</v>
      </c>
      <c r="H596" s="14" t="n">
        <v>7617</v>
      </c>
      <c r="I596" s="14" t="n">
        <v>7388</v>
      </c>
      <c r="J596" s="15" t="n">
        <f aca="false">I596/H596</f>
        <v>0.969935670211369</v>
      </c>
      <c r="K596" s="16" t="n">
        <f aca="false">ROUND(I596*J596^($F$8-1),0)</f>
        <v>7440</v>
      </c>
      <c r="L596" s="16" t="n">
        <f aca="false">ROUND(I596*J596^($F$9-1),0)</f>
        <v>7400</v>
      </c>
      <c r="M596" s="17" t="n">
        <f aca="false">G596*$F$7</f>
        <v>1489923.19152437</v>
      </c>
      <c r="N596" s="18" t="n">
        <f aca="false">F596/K596</f>
        <v>217.047311827957</v>
      </c>
      <c r="O596" s="18" t="n">
        <f aca="false">G596/L596</f>
        <v>209.011216216216</v>
      </c>
      <c r="P596" s="18" t="n">
        <f aca="false">M596/L596</f>
        <v>201.340971827618</v>
      </c>
      <c r="Q596" s="19" t="n">
        <f aca="false">IF(N596=0,"n.a.",P596/N596-1)</f>
        <v>-0.0723636697826926</v>
      </c>
    </row>
    <row r="597" customFormat="false" ht="15" hidden="false" customHeight="false" outlineLevel="0" collapsed="false">
      <c r="A597" s="12" t="s">
        <v>1331</v>
      </c>
      <c r="B597" s="12" t="s">
        <v>1302</v>
      </c>
      <c r="C597" s="12" t="s">
        <v>179</v>
      </c>
      <c r="D597" s="12" t="s">
        <v>187</v>
      </c>
      <c r="E597" s="12" t="s">
        <v>1332</v>
      </c>
      <c r="F597" s="13" t="n">
        <v>1377492</v>
      </c>
      <c r="G597" s="13" t="n">
        <v>1535658</v>
      </c>
      <c r="H597" s="14" t="n">
        <v>14844</v>
      </c>
      <c r="I597" s="14" t="n">
        <v>15007</v>
      </c>
      <c r="J597" s="15" t="n">
        <f aca="false">I597/H597</f>
        <v>1.01098086769065</v>
      </c>
      <c r="K597" s="16" t="n">
        <f aca="false">ROUND(I597*J597^($F$8-1),0)</f>
        <v>14969</v>
      </c>
      <c r="L597" s="16" t="n">
        <f aca="false">ROUND(I597*J597^($F$9-1),0)</f>
        <v>14998</v>
      </c>
      <c r="M597" s="17" t="n">
        <f aca="false">G597*$F$7</f>
        <v>1479302.78437788</v>
      </c>
      <c r="N597" s="18" t="n">
        <f aca="false">F597/K597</f>
        <v>92.0229808270426</v>
      </c>
      <c r="O597" s="18" t="n">
        <f aca="false">G597/L597</f>
        <v>102.390852113615</v>
      </c>
      <c r="P597" s="18" t="n">
        <f aca="false">M597/L597</f>
        <v>98.6333367367569</v>
      </c>
      <c r="Q597" s="19" t="n">
        <f aca="false">IF(N597=0,"n.a.",P597/N597-1)</f>
        <v>0.0718337512032834</v>
      </c>
    </row>
    <row r="598" customFormat="false" ht="15" hidden="false" customHeight="false" outlineLevel="0" collapsed="false">
      <c r="A598" s="12" t="s">
        <v>1333</v>
      </c>
      <c r="B598" s="12" t="s">
        <v>1302</v>
      </c>
      <c r="C598" s="12" t="s">
        <v>179</v>
      </c>
      <c r="D598" s="12" t="s">
        <v>190</v>
      </c>
      <c r="E598" s="12" t="s">
        <v>1334</v>
      </c>
      <c r="F598" s="13" t="n">
        <v>1144915</v>
      </c>
      <c r="G598" s="13" t="n">
        <v>1373815</v>
      </c>
      <c r="H598" s="14" t="n">
        <v>7942</v>
      </c>
      <c r="I598" s="14" t="n">
        <v>7252</v>
      </c>
      <c r="J598" s="15" t="n">
        <f aca="false">I598/H598</f>
        <v>0.913120120876354</v>
      </c>
      <c r="K598" s="16" t="n">
        <f aca="false">ROUND(I598*J598^($F$8-1),0)</f>
        <v>7406</v>
      </c>
      <c r="L598" s="16" t="n">
        <f aca="false">ROUND(I598*J598^($F$9-1),0)</f>
        <v>7286</v>
      </c>
      <c r="M598" s="17" t="n">
        <f aca="false">G598*$F$7</f>
        <v>1323399.06067633</v>
      </c>
      <c r="N598" s="18" t="n">
        <f aca="false">F598/K598</f>
        <v>154.592897650554</v>
      </c>
      <c r="O598" s="18" t="n">
        <f aca="false">G598/L598</f>
        <v>188.555448805929</v>
      </c>
      <c r="P598" s="18" t="n">
        <f aca="false">M598/L598</f>
        <v>181.635885352228</v>
      </c>
      <c r="Q598" s="19" t="n">
        <f aca="false">IF(N598=0,"n.a.",P598/N598-1)</f>
        <v>0.174930337115507</v>
      </c>
    </row>
    <row r="599" customFormat="false" ht="15" hidden="false" customHeight="false" outlineLevel="0" collapsed="false">
      <c r="A599" s="12" t="s">
        <v>1335</v>
      </c>
      <c r="B599" s="12" t="s">
        <v>1302</v>
      </c>
      <c r="C599" s="12" t="s">
        <v>179</v>
      </c>
      <c r="D599" s="12" t="s">
        <v>193</v>
      </c>
      <c r="E599" s="12" t="s">
        <v>1336</v>
      </c>
      <c r="F599" s="13" t="n">
        <v>26248592</v>
      </c>
      <c r="G599" s="13" t="n">
        <v>21094012</v>
      </c>
      <c r="H599" s="14" t="n">
        <v>52064</v>
      </c>
      <c r="I599" s="14" t="n">
        <v>55219</v>
      </c>
      <c r="J599" s="15" t="n">
        <f aca="false">I599/H599</f>
        <v>1.06059849416103</v>
      </c>
      <c r="K599" s="16" t="n">
        <f aca="false">ROUND(I599*J599^($F$8-1),0)</f>
        <v>54474</v>
      </c>
      <c r="L599" s="16" t="n">
        <f aca="false">ROUND(I599*J599^($F$9-1),0)</f>
        <v>55050</v>
      </c>
      <c r="M599" s="17" t="n">
        <f aca="false">G599*$F$7</f>
        <v>20319908.9154619</v>
      </c>
      <c r="N599" s="18" t="n">
        <f aca="false">F599/K599</f>
        <v>481.855417263282</v>
      </c>
      <c r="O599" s="18" t="n">
        <f aca="false">G599/L599</f>
        <v>383.179146230699</v>
      </c>
      <c r="P599" s="18" t="n">
        <f aca="false">M599/L599</f>
        <v>369.117328164612</v>
      </c>
      <c r="Q599" s="19" t="n">
        <f aca="false">IF(N599=0,"n.a.",P599/N599-1)</f>
        <v>-0.233966632022049</v>
      </c>
    </row>
    <row r="600" customFormat="false" ht="15" hidden="false" customHeight="false" outlineLevel="0" collapsed="false">
      <c r="A600" s="12" t="s">
        <v>1337</v>
      </c>
      <c r="B600" s="12" t="s">
        <v>1302</v>
      </c>
      <c r="C600" s="12" t="s">
        <v>179</v>
      </c>
      <c r="D600" s="12" t="s">
        <v>199</v>
      </c>
      <c r="E600" s="12" t="s">
        <v>1338</v>
      </c>
      <c r="F600" s="13" t="n">
        <v>28121445</v>
      </c>
      <c r="G600" s="13" t="n">
        <v>28621009</v>
      </c>
      <c r="H600" s="14" t="n">
        <v>19407</v>
      </c>
      <c r="I600" s="14" t="n">
        <v>21022</v>
      </c>
      <c r="J600" s="15" t="n">
        <f aca="false">I600/H600</f>
        <v>1.08321739578503</v>
      </c>
      <c r="K600" s="16" t="n">
        <f aca="false">ROUND(I600*J600^($F$8-1),0)</f>
        <v>20638</v>
      </c>
      <c r="L600" s="16" t="n">
        <f aca="false">ROUND(I600*J600^($F$9-1),0)</f>
        <v>20935</v>
      </c>
      <c r="M600" s="17" t="n">
        <f aca="false">G600*$F$7</f>
        <v>27570681.9522344</v>
      </c>
      <c r="N600" s="18" t="n">
        <f aca="false">F600/K600</f>
        <v>1362.60514584747</v>
      </c>
      <c r="O600" s="18" t="n">
        <f aca="false">G600/L600</f>
        <v>1367.13680439455</v>
      </c>
      <c r="P600" s="18" t="n">
        <f aca="false">M600/L600</f>
        <v>1316.96593992044</v>
      </c>
      <c r="Q600" s="19" t="n">
        <f aca="false">IF(N600=0,"n.a.",P600/N600-1)</f>
        <v>-0.0334940801200645</v>
      </c>
    </row>
    <row r="601" customFormat="false" ht="15" hidden="false" customHeight="false" outlineLevel="0" collapsed="false">
      <c r="A601" s="12" t="s">
        <v>1339</v>
      </c>
      <c r="B601" s="12" t="s">
        <v>1302</v>
      </c>
      <c r="C601" s="12" t="s">
        <v>179</v>
      </c>
      <c r="D601" s="12" t="s">
        <v>202</v>
      </c>
      <c r="E601" s="12" t="s">
        <v>1340</v>
      </c>
      <c r="F601" s="13" t="n">
        <v>3823870</v>
      </c>
      <c r="G601" s="13" t="n">
        <v>3803492</v>
      </c>
      <c r="H601" s="14" t="n">
        <v>12739</v>
      </c>
      <c r="I601" s="14" t="n">
        <v>13819</v>
      </c>
      <c r="J601" s="15" t="n">
        <f aca="false">I601/H601</f>
        <v>1.08477902504121</v>
      </c>
      <c r="K601" s="16" t="n">
        <f aca="false">ROUND(I601*J601^($F$8-1),0)</f>
        <v>13562</v>
      </c>
      <c r="L601" s="16" t="n">
        <f aca="false">ROUND(I601*J601^($F$9-1),0)</f>
        <v>13761</v>
      </c>
      <c r="M601" s="17" t="n">
        <f aca="false">G601*$F$7</f>
        <v>3663912.34634208</v>
      </c>
      <c r="N601" s="18" t="n">
        <f aca="false">F601/K601</f>
        <v>281.954726441528</v>
      </c>
      <c r="O601" s="18" t="n">
        <f aca="false">G601/L601</f>
        <v>276.396482813749</v>
      </c>
      <c r="P601" s="18" t="n">
        <f aca="false">M601/L601</f>
        <v>266.253349781417</v>
      </c>
      <c r="Q601" s="19" t="n">
        <f aca="false">IF(N601=0,"n.a.",P601/N601-1)</f>
        <v>-0.0556875809754044</v>
      </c>
    </row>
    <row r="602" customFormat="false" ht="15" hidden="false" customHeight="false" outlineLevel="0" collapsed="false">
      <c r="A602" s="12" t="s">
        <v>1341</v>
      </c>
      <c r="B602" s="12" t="s">
        <v>1302</v>
      </c>
      <c r="C602" s="12" t="s">
        <v>179</v>
      </c>
      <c r="D602" s="12" t="s">
        <v>205</v>
      </c>
      <c r="E602" s="12" t="s">
        <v>1342</v>
      </c>
      <c r="F602" s="13" t="n">
        <v>107476607</v>
      </c>
      <c r="G602" s="13" t="n">
        <v>105690004</v>
      </c>
      <c r="H602" s="14" t="n">
        <v>70962</v>
      </c>
      <c r="I602" s="14" t="n">
        <v>80695</v>
      </c>
      <c r="J602" s="15" t="n">
        <f aca="false">I602/H602</f>
        <v>1.13715791550407</v>
      </c>
      <c r="K602" s="16" t="n">
        <f aca="false">ROUND(I602*J602^($F$8-1),0)</f>
        <v>78335</v>
      </c>
      <c r="L602" s="16" t="n">
        <f aca="false">ROUND(I602*J602^($F$9-1),0)</f>
        <v>80158</v>
      </c>
      <c r="M602" s="17" t="n">
        <f aca="false">G602*$F$7</f>
        <v>101811417.124196</v>
      </c>
      <c r="N602" s="18" t="n">
        <f aca="false">F602/K602</f>
        <v>1372.01259973192</v>
      </c>
      <c r="O602" s="18" t="n">
        <f aca="false">G602/L602</f>
        <v>1318.52097108211</v>
      </c>
      <c r="P602" s="18" t="n">
        <f aca="false">M602/L602</f>
        <v>1270.13419900941</v>
      </c>
      <c r="Q602" s="19" t="n">
        <f aca="false">IF(N602=0,"n.a.",P602/N602-1)</f>
        <v>-0.0742547121960944</v>
      </c>
    </row>
    <row r="603" customFormat="false" ht="15" hidden="false" customHeight="false" outlineLevel="0" collapsed="false">
      <c r="A603" s="12" t="s">
        <v>1343</v>
      </c>
      <c r="B603" s="12" t="s">
        <v>1302</v>
      </c>
      <c r="C603" s="12" t="s">
        <v>179</v>
      </c>
      <c r="D603" s="12" t="s">
        <v>208</v>
      </c>
      <c r="E603" s="12" t="s">
        <v>1344</v>
      </c>
      <c r="F603" s="13" t="n">
        <v>139874522</v>
      </c>
      <c r="G603" s="13" t="n">
        <v>133443509</v>
      </c>
      <c r="H603" s="14" t="n">
        <v>105681</v>
      </c>
      <c r="I603" s="14" t="n">
        <v>116193</v>
      </c>
      <c r="J603" s="15" t="n">
        <f aca="false">I603/H603</f>
        <v>1.09946915718057</v>
      </c>
      <c r="K603" s="16" t="n">
        <f aca="false">ROUND(I603*J603^($F$8-1),0)</f>
        <v>113677</v>
      </c>
      <c r="L603" s="16" t="n">
        <f aca="false">ROUND(I603*J603^($F$9-1),0)</f>
        <v>115622</v>
      </c>
      <c r="M603" s="17" t="n">
        <f aca="false">G603*$F$7</f>
        <v>128546430.533917</v>
      </c>
      <c r="N603" s="18" t="n">
        <f aca="false">F603/K603</f>
        <v>1230.45578261214</v>
      </c>
      <c r="O603" s="18" t="n">
        <f aca="false">G603/L603</f>
        <v>1154.13596893325</v>
      </c>
      <c r="P603" s="18" t="n">
        <f aca="false">M603/L603</f>
        <v>1111.78175895519</v>
      </c>
      <c r="Q603" s="19" t="n">
        <f aca="false">IF(N603=0,"n.a.",P603/N603-1)</f>
        <v>-0.0964472070707089</v>
      </c>
    </row>
    <row r="604" customFormat="false" ht="15" hidden="false" customHeight="false" outlineLevel="0" collapsed="false">
      <c r="A604" s="12" t="s">
        <v>1345</v>
      </c>
      <c r="B604" s="12" t="s">
        <v>1302</v>
      </c>
      <c r="C604" s="12" t="s">
        <v>179</v>
      </c>
      <c r="D604" s="12" t="s">
        <v>211</v>
      </c>
      <c r="E604" s="12" t="s">
        <v>1346</v>
      </c>
      <c r="F604" s="13" t="n">
        <v>41198399</v>
      </c>
      <c r="G604" s="13" t="n">
        <v>36384199</v>
      </c>
      <c r="H604" s="14" t="n">
        <v>56068</v>
      </c>
      <c r="I604" s="14" t="n">
        <v>64932</v>
      </c>
      <c r="J604" s="15" t="n">
        <f aca="false">I604/H604</f>
        <v>1.15809374331169</v>
      </c>
      <c r="K604" s="16" t="n">
        <f aca="false">ROUND(I604*J604^($F$8-1),0)</f>
        <v>62768</v>
      </c>
      <c r="L604" s="16" t="n">
        <f aca="false">ROUND(I604*J604^($F$9-1),0)</f>
        <v>64439</v>
      </c>
      <c r="M604" s="17" t="n">
        <f aca="false">G604*$F$7</f>
        <v>35048980.2339185</v>
      </c>
      <c r="N604" s="18" t="n">
        <f aca="false">F604/K604</f>
        <v>656.359912694367</v>
      </c>
      <c r="O604" s="18" t="n">
        <f aca="false">G604/L604</f>
        <v>564.630099784292</v>
      </c>
      <c r="P604" s="18" t="n">
        <f aca="false">M604/L604</f>
        <v>543.909437358099</v>
      </c>
      <c r="Q604" s="19" t="n">
        <f aca="false">IF(N604=0,"n.a.",P604/N604-1)</f>
        <v>-0.171324410832248</v>
      </c>
    </row>
    <row r="605" customFormat="false" ht="15" hidden="false" customHeight="false" outlineLevel="0" collapsed="false">
      <c r="A605" s="12" t="s">
        <v>1347</v>
      </c>
      <c r="B605" s="12" t="s">
        <v>1302</v>
      </c>
      <c r="C605" s="12" t="s">
        <v>179</v>
      </c>
      <c r="D605" s="12" t="s">
        <v>214</v>
      </c>
      <c r="E605" s="12" t="s">
        <v>1348</v>
      </c>
      <c r="F605" s="13" t="n">
        <v>10369514</v>
      </c>
      <c r="G605" s="13" t="n">
        <v>12549116</v>
      </c>
      <c r="H605" s="14" t="n">
        <v>36080</v>
      </c>
      <c r="I605" s="14" t="n">
        <v>32928</v>
      </c>
      <c r="J605" s="15" t="n">
        <f aca="false">I605/H605</f>
        <v>0.912638580931264</v>
      </c>
      <c r="K605" s="16" t="n">
        <f aca="false">ROUND(I605*J605^($F$8-1),0)</f>
        <v>33630</v>
      </c>
      <c r="L605" s="16" t="n">
        <f aca="false">ROUND(I605*J605^($F$9-1),0)</f>
        <v>33085</v>
      </c>
      <c r="M605" s="17" t="n">
        <f aca="false">G605*$F$7</f>
        <v>12088591.4964667</v>
      </c>
      <c r="N605" s="18" t="n">
        <f aca="false">F605/K605</f>
        <v>308.341183467142</v>
      </c>
      <c r="O605" s="18" t="n">
        <f aca="false">G605/L605</f>
        <v>379.299259483149</v>
      </c>
      <c r="P605" s="18" t="n">
        <f aca="false">M605/L605</f>
        <v>365.379824587174</v>
      </c>
      <c r="Q605" s="19" t="n">
        <f aca="false">IF(N605=0,"n.a.",P605/N605-1)</f>
        <v>0.18498547770577</v>
      </c>
    </row>
    <row r="606" customFormat="false" ht="15" hidden="false" customHeight="false" outlineLevel="0" collapsed="false">
      <c r="A606" s="12" t="s">
        <v>1349</v>
      </c>
      <c r="B606" s="12" t="s">
        <v>1302</v>
      </c>
      <c r="C606" s="12" t="s">
        <v>179</v>
      </c>
      <c r="D606" s="12" t="s">
        <v>220</v>
      </c>
      <c r="E606" s="12" t="s">
        <v>1350</v>
      </c>
      <c r="F606" s="13" t="n">
        <v>855577</v>
      </c>
      <c r="G606" s="13" t="n">
        <v>983580</v>
      </c>
      <c r="H606" s="14" t="n">
        <v>16223</v>
      </c>
      <c r="I606" s="14" t="n">
        <v>16311</v>
      </c>
      <c r="J606" s="15" t="n">
        <f aca="false">I606/H606</f>
        <v>1.0054243974604</v>
      </c>
      <c r="K606" s="16" t="n">
        <f aca="false">ROUND(I606*J606^($F$8-1),0)</f>
        <v>16291</v>
      </c>
      <c r="L606" s="16" t="n">
        <f aca="false">ROUND(I606*J606^($F$9-1),0)</f>
        <v>16306</v>
      </c>
      <c r="M606" s="17" t="n">
        <f aca="false">G606*$F$7</f>
        <v>947484.812802326</v>
      </c>
      <c r="N606" s="18" t="n">
        <f aca="false">F606/K606</f>
        <v>52.5183843840157</v>
      </c>
      <c r="O606" s="18" t="n">
        <f aca="false">G606/L606</f>
        <v>60.3201275604072</v>
      </c>
      <c r="P606" s="18" t="n">
        <f aca="false">M606/L606</f>
        <v>58.1065137251519</v>
      </c>
      <c r="Q606" s="19" t="n">
        <f aca="false">IF(N606=0,"n.a.",P606/N606-1)</f>
        <v>0.106403298705375</v>
      </c>
    </row>
    <row r="607" customFormat="false" ht="15" hidden="false" customHeight="false" outlineLevel="0" collapsed="false">
      <c r="A607" s="12" t="s">
        <v>1351</v>
      </c>
      <c r="B607" s="12" t="s">
        <v>1302</v>
      </c>
      <c r="C607" s="12" t="s">
        <v>179</v>
      </c>
      <c r="D607" s="12" t="s">
        <v>223</v>
      </c>
      <c r="E607" s="12" t="s">
        <v>1352</v>
      </c>
      <c r="F607" s="13" t="n">
        <v>799886</v>
      </c>
      <c r="G607" s="13" t="n">
        <v>693575</v>
      </c>
      <c r="H607" s="14" t="n">
        <v>11319</v>
      </c>
      <c r="I607" s="14" t="n">
        <v>11242</v>
      </c>
      <c r="J607" s="15" t="n">
        <f aca="false">I607/H607</f>
        <v>0.993197278911565</v>
      </c>
      <c r="K607" s="16" t="n">
        <f aca="false">ROUND(I607*J607^($F$8-1),0)</f>
        <v>11260</v>
      </c>
      <c r="L607" s="16" t="n">
        <f aca="false">ROUND(I607*J607^($F$9-1),0)</f>
        <v>11246</v>
      </c>
      <c r="M607" s="17" t="n">
        <f aca="false">G607*$F$7</f>
        <v>668122.347993425</v>
      </c>
      <c r="N607" s="18" t="n">
        <f aca="false">F607/K607</f>
        <v>71.0378330373002</v>
      </c>
      <c r="O607" s="18" t="n">
        <f aca="false">G607/L607</f>
        <v>61.6730393028632</v>
      </c>
      <c r="P607" s="18" t="n">
        <f aca="false">M607/L607</f>
        <v>59.4097766311067</v>
      </c>
      <c r="Q607" s="19" t="n">
        <f aca="false">IF(N607=0,"n.a.",P607/N607-1)</f>
        <v>-0.163688219488451</v>
      </c>
    </row>
    <row r="608" customFormat="false" ht="15" hidden="false" customHeight="false" outlineLevel="0" collapsed="false">
      <c r="A608" s="12" t="s">
        <v>1353</v>
      </c>
      <c r="B608" s="12" t="s">
        <v>1302</v>
      </c>
      <c r="C608" s="12" t="s">
        <v>179</v>
      </c>
      <c r="D608" s="12" t="s">
        <v>229</v>
      </c>
      <c r="E608" s="12" t="s">
        <v>1354</v>
      </c>
      <c r="F608" s="13" t="n">
        <v>84492</v>
      </c>
      <c r="G608" s="13" t="n">
        <v>69943</v>
      </c>
      <c r="H608" s="14" t="n">
        <v>7855</v>
      </c>
      <c r="I608" s="14" t="n">
        <v>8335</v>
      </c>
      <c r="J608" s="15" t="n">
        <f aca="false">I608/H608</f>
        <v>1.06110757479313</v>
      </c>
      <c r="K608" s="16" t="n">
        <f aca="false">ROUND(I608*J608^($F$8-1),0)</f>
        <v>8222</v>
      </c>
      <c r="L608" s="16" t="n">
        <f aca="false">ROUND(I608*J608^($F$9-1),0)</f>
        <v>8309</v>
      </c>
      <c r="M608" s="17" t="n">
        <f aca="false">G608*$F$7</f>
        <v>67376.2482582333</v>
      </c>
      <c r="N608" s="18" t="n">
        <f aca="false">F608/K608</f>
        <v>10.2763317927512</v>
      </c>
      <c r="O608" s="18" t="n">
        <f aca="false">G608/L608</f>
        <v>8.41773980021663</v>
      </c>
      <c r="P608" s="18" t="n">
        <f aca="false">M608/L608</f>
        <v>8.10882756748505</v>
      </c>
      <c r="Q608" s="19" t="n">
        <f aca="false">IF(N608=0,"n.a.",P608/N608-1)</f>
        <v>-0.210921977703663</v>
      </c>
    </row>
    <row r="609" customFormat="false" ht="15" hidden="false" customHeight="false" outlineLevel="0" collapsed="false">
      <c r="A609" s="12" t="s">
        <v>1355</v>
      </c>
      <c r="B609" s="12" t="s">
        <v>1356</v>
      </c>
      <c r="C609" s="12" t="s">
        <v>1357</v>
      </c>
      <c r="D609" s="12" t="s">
        <v>46</v>
      </c>
      <c r="E609" s="12" t="s">
        <v>1358</v>
      </c>
      <c r="F609" s="13" t="n">
        <v>6450170</v>
      </c>
      <c r="G609" s="13" t="n">
        <v>7310055</v>
      </c>
      <c r="H609" s="14" t="n">
        <v>37092</v>
      </c>
      <c r="I609" s="14" t="n">
        <v>35004</v>
      </c>
      <c r="J609" s="15" t="n">
        <f aca="false">I609/H609</f>
        <v>0.943707538013588</v>
      </c>
      <c r="K609" s="16" t="n">
        <f aca="false">ROUND(I609*J609^($F$8-1),0)</f>
        <v>35475</v>
      </c>
      <c r="L609" s="16" t="n">
        <f aca="false">ROUND(I609*J609^($F$9-1),0)</f>
        <v>35110</v>
      </c>
      <c r="M609" s="17" t="n">
        <f aca="false">G609*$F$7</f>
        <v>7041792.3231966</v>
      </c>
      <c r="N609" s="18" t="n">
        <f aca="false">F609/K609</f>
        <v>181.8229739253</v>
      </c>
      <c r="O609" s="18" t="n">
        <f aca="false">G609/L609</f>
        <v>208.20435773284</v>
      </c>
      <c r="P609" s="18" t="n">
        <f aca="false">M609/L609</f>
        <v>200.563723246841</v>
      </c>
      <c r="Q609" s="19" t="n">
        <f aca="false">IF(N609=0,"n.a.",P609/N609-1)</f>
        <v>0.103071404657814</v>
      </c>
    </row>
    <row r="610" customFormat="false" ht="15" hidden="false" customHeight="false" outlineLevel="0" collapsed="false">
      <c r="A610" s="12" t="s">
        <v>1359</v>
      </c>
      <c r="B610" s="12" t="s">
        <v>1356</v>
      </c>
      <c r="C610" s="12" t="s">
        <v>1357</v>
      </c>
      <c r="D610" s="12" t="s">
        <v>48</v>
      </c>
      <c r="E610" s="12" t="s">
        <v>1360</v>
      </c>
      <c r="F610" s="13" t="n">
        <v>4275187</v>
      </c>
      <c r="G610" s="13" t="n">
        <v>4486012</v>
      </c>
      <c r="H610" s="14" t="n">
        <v>15245</v>
      </c>
      <c r="I610" s="14" t="n">
        <v>14882</v>
      </c>
      <c r="J610" s="15" t="n">
        <f aca="false">I610/H610</f>
        <v>0.976188914398163</v>
      </c>
      <c r="K610" s="16" t="n">
        <f aca="false">ROUND(I610*J610^($F$8-1),0)</f>
        <v>14965</v>
      </c>
      <c r="L610" s="16" t="n">
        <f aca="false">ROUND(I610*J610^($F$9-1),0)</f>
        <v>14901</v>
      </c>
      <c r="M610" s="17" t="n">
        <f aca="false">G610*$F$7</f>
        <v>4321385.38812195</v>
      </c>
      <c r="N610" s="18" t="n">
        <f aca="false">F610/K610</f>
        <v>285.679051119278</v>
      </c>
      <c r="O610" s="18" t="n">
        <f aca="false">G610/L610</f>
        <v>301.054425877458</v>
      </c>
      <c r="P610" s="18" t="n">
        <f aca="false">M610/L610</f>
        <v>290.006401457751</v>
      </c>
      <c r="Q610" s="19" t="n">
        <f aca="false">IF(N610=0,"n.a.",P610/N610-1)</f>
        <v>0.01514759420237</v>
      </c>
    </row>
    <row r="611" customFormat="false" ht="15" hidden="false" customHeight="false" outlineLevel="0" collapsed="false">
      <c r="A611" s="12" t="s">
        <v>1361</v>
      </c>
      <c r="B611" s="12" t="s">
        <v>1356</v>
      </c>
      <c r="C611" s="12" t="s">
        <v>1357</v>
      </c>
      <c r="D611" s="12" t="s">
        <v>51</v>
      </c>
      <c r="E611" s="12" t="s">
        <v>1362</v>
      </c>
      <c r="F611" s="13" t="n">
        <v>2151486</v>
      </c>
      <c r="G611" s="13" t="n">
        <v>3148789</v>
      </c>
      <c r="H611" s="14" t="n">
        <v>11519</v>
      </c>
      <c r="I611" s="14" t="n">
        <v>11243</v>
      </c>
      <c r="J611" s="15" t="n">
        <f aca="false">I611/H611</f>
        <v>0.976039586769685</v>
      </c>
      <c r="K611" s="16" t="n">
        <f aca="false">ROUND(I611*J611^($F$8-1),0)</f>
        <v>11306</v>
      </c>
      <c r="L611" s="16" t="n">
        <f aca="false">ROUND(I611*J611^($F$9-1),0)</f>
        <v>11257</v>
      </c>
      <c r="M611" s="17" t="n">
        <f aca="false">G611*$F$7</f>
        <v>3033235.48284738</v>
      </c>
      <c r="N611" s="18" t="n">
        <f aca="false">F611/K611</f>
        <v>190.2959490536</v>
      </c>
      <c r="O611" s="18" t="n">
        <f aca="false">G611/L611</f>
        <v>279.718308607977</v>
      </c>
      <c r="P611" s="18" t="n">
        <f aca="false">M611/L611</f>
        <v>269.45327199497</v>
      </c>
      <c r="Q611" s="19" t="n">
        <f aca="false">IF(N611=0,"n.a.",P611/N611-1)</f>
        <v>0.415969563908448</v>
      </c>
    </row>
    <row r="612" customFormat="false" ht="15" hidden="false" customHeight="false" outlineLevel="0" collapsed="false">
      <c r="A612" s="12" t="s">
        <v>1363</v>
      </c>
      <c r="B612" s="12" t="s">
        <v>1356</v>
      </c>
      <c r="C612" s="12" t="s">
        <v>1357</v>
      </c>
      <c r="D612" s="12" t="s">
        <v>54</v>
      </c>
      <c r="E612" s="12" t="s">
        <v>1364</v>
      </c>
      <c r="F612" s="13" t="n">
        <v>88735195</v>
      </c>
      <c r="G612" s="13" t="n">
        <v>125363379</v>
      </c>
      <c r="H612" s="14" t="n">
        <v>77127</v>
      </c>
      <c r="I612" s="14" t="n">
        <v>84763</v>
      </c>
      <c r="J612" s="15" t="n">
        <f aca="false">I612/H612</f>
        <v>1.09900553632321</v>
      </c>
      <c r="K612" s="16" t="n">
        <f aca="false">ROUND(I612*J612^($F$8-1),0)</f>
        <v>82935</v>
      </c>
      <c r="L612" s="16" t="n">
        <f aca="false">ROUND(I612*J612^($F$9-1),0)</f>
        <v>84348</v>
      </c>
      <c r="M612" s="17" t="n">
        <f aca="false">G612*$F$7</f>
        <v>120762823.241711</v>
      </c>
      <c r="N612" s="18" t="n">
        <f aca="false">F612/K612</f>
        <v>1069.93663712546</v>
      </c>
      <c r="O612" s="18" t="n">
        <f aca="false">G612/L612</f>
        <v>1486.26379997155</v>
      </c>
      <c r="P612" s="18" t="n">
        <f aca="false">M612/L612</f>
        <v>1431.72124106927</v>
      </c>
      <c r="Q612" s="19" t="n">
        <f aca="false">IF(N612=0,"n.a.",P612/N612-1)</f>
        <v>0.338136475927957</v>
      </c>
    </row>
    <row r="613" customFormat="false" ht="15" hidden="false" customHeight="false" outlineLevel="0" collapsed="false">
      <c r="A613" s="12" t="s">
        <v>1365</v>
      </c>
      <c r="B613" s="12" t="s">
        <v>1356</v>
      </c>
      <c r="C613" s="12" t="s">
        <v>1357</v>
      </c>
      <c r="D613" s="12" t="s">
        <v>57</v>
      </c>
      <c r="E613" s="12" t="s">
        <v>1366</v>
      </c>
      <c r="F613" s="13" t="n">
        <v>0</v>
      </c>
      <c r="G613" s="13" t="n">
        <v>0</v>
      </c>
      <c r="H613" s="14" t="n">
        <v>12026</v>
      </c>
      <c r="I613" s="14" t="n">
        <v>12842</v>
      </c>
      <c r="J613" s="15" t="n">
        <f aca="false">I613/H613</f>
        <v>1.06785298519874</v>
      </c>
      <c r="K613" s="16" t="n">
        <f aca="false">ROUND(I613*J613^($F$8-1),0)</f>
        <v>12649</v>
      </c>
      <c r="L613" s="16" t="n">
        <f aca="false">ROUND(I613*J613^($F$9-1),0)</f>
        <v>12798</v>
      </c>
      <c r="M613" s="17" t="n">
        <f aca="false">G613*$F$7</f>
        <v>0</v>
      </c>
      <c r="N613" s="18" t="n">
        <f aca="false">F613/K613</f>
        <v>0</v>
      </c>
      <c r="O613" s="18" t="n">
        <f aca="false">G613/L613</f>
        <v>0</v>
      </c>
      <c r="P613" s="18" t="n">
        <f aca="false">M613/L613</f>
        <v>0</v>
      </c>
      <c r="Q613" s="19" t="str">
        <f aca="false">IF(N613=0,"n.a.",P613/N613-1)</f>
        <v>n.a.</v>
      </c>
    </row>
    <row r="614" customFormat="false" ht="15" hidden="false" customHeight="false" outlineLevel="0" collapsed="false">
      <c r="A614" s="12" t="s">
        <v>1367</v>
      </c>
      <c r="B614" s="12" t="s">
        <v>1356</v>
      </c>
      <c r="C614" s="12" t="s">
        <v>1357</v>
      </c>
      <c r="D614" s="12" t="s">
        <v>60</v>
      </c>
      <c r="E614" s="12" t="s">
        <v>1368</v>
      </c>
      <c r="F614" s="13" t="n">
        <v>9990822</v>
      </c>
      <c r="G614" s="13" t="n">
        <v>10945504</v>
      </c>
      <c r="H614" s="14" t="n">
        <v>29233</v>
      </c>
      <c r="I614" s="14" t="n">
        <v>30629</v>
      </c>
      <c r="J614" s="15" t="n">
        <f aca="false">I614/H614</f>
        <v>1.04775425033353</v>
      </c>
      <c r="K614" s="16" t="n">
        <f aca="false">ROUND(I614*J614^($F$8-1),0)</f>
        <v>30301</v>
      </c>
      <c r="L614" s="16" t="n">
        <f aca="false">ROUND(I614*J614^($F$9-1),0)</f>
        <v>30555</v>
      </c>
      <c r="M614" s="17" t="n">
        <f aca="false">G614*$F$7</f>
        <v>10543828.471977</v>
      </c>
      <c r="N614" s="18" t="n">
        <f aca="false">F614/K614</f>
        <v>329.719217187552</v>
      </c>
      <c r="O614" s="18" t="n">
        <f aca="false">G614/L614</f>
        <v>358.223007691049</v>
      </c>
      <c r="P614" s="18" t="n">
        <f aca="false">M614/L614</f>
        <v>345.077024119685</v>
      </c>
      <c r="Q614" s="19" t="n">
        <f aca="false">IF(N614=0,"n.a.",P614/N614-1)</f>
        <v>0.0465784404777279</v>
      </c>
    </row>
    <row r="615" customFormat="false" ht="15" hidden="false" customHeight="false" outlineLevel="0" collapsed="false">
      <c r="A615" s="12" t="s">
        <v>1369</v>
      </c>
      <c r="B615" s="12" t="s">
        <v>1356</v>
      </c>
      <c r="C615" s="12" t="s">
        <v>1357</v>
      </c>
      <c r="D615" s="12" t="s">
        <v>63</v>
      </c>
      <c r="E615" s="12" t="s">
        <v>1370</v>
      </c>
      <c r="F615" s="13" t="n">
        <v>3183201</v>
      </c>
      <c r="G615" s="13" t="n">
        <v>3734358</v>
      </c>
      <c r="H615" s="14" t="n">
        <v>19321</v>
      </c>
      <c r="I615" s="14" t="n">
        <v>20453</v>
      </c>
      <c r="J615" s="15" t="n">
        <f aca="false">I615/H615</f>
        <v>1.05858909994307</v>
      </c>
      <c r="K615" s="16" t="n">
        <f aca="false">ROUND(I615*J615^($F$8-1),0)</f>
        <v>20186</v>
      </c>
      <c r="L615" s="16" t="n">
        <f aca="false">ROUND(I615*J615^($F$9-1),0)</f>
        <v>20393</v>
      </c>
      <c r="M615" s="17" t="n">
        <f aca="false">G615*$F$7</f>
        <v>3597315.40959238</v>
      </c>
      <c r="N615" s="18" t="n">
        <f aca="false">F615/K615</f>
        <v>157.693500445854</v>
      </c>
      <c r="O615" s="18" t="n">
        <f aca="false">G615/L615</f>
        <v>183.119599862698</v>
      </c>
      <c r="P615" s="18" t="n">
        <f aca="false">M615/L615</f>
        <v>176.399519913322</v>
      </c>
      <c r="Q615" s="19" t="n">
        <f aca="false">IF(N615=0,"n.a.",P615/N615-1)</f>
        <v>0.118622640848101</v>
      </c>
    </row>
    <row r="616" customFormat="false" ht="15" hidden="false" customHeight="false" outlineLevel="0" collapsed="false">
      <c r="A616" s="12" t="s">
        <v>1371</v>
      </c>
      <c r="B616" s="12" t="s">
        <v>1356</v>
      </c>
      <c r="C616" s="12" t="s">
        <v>1357</v>
      </c>
      <c r="D616" s="12" t="s">
        <v>66</v>
      </c>
      <c r="E616" s="12" t="s">
        <v>1372</v>
      </c>
      <c r="F616" s="13" t="n">
        <v>28122436</v>
      </c>
      <c r="G616" s="13" t="n">
        <v>25440433</v>
      </c>
      <c r="H616" s="14" t="n">
        <v>64474</v>
      </c>
      <c r="I616" s="14" t="n">
        <v>72944</v>
      </c>
      <c r="J616" s="15" t="n">
        <f aca="false">I616/H616</f>
        <v>1.13137078512269</v>
      </c>
      <c r="K616" s="16" t="n">
        <f aca="false">ROUND(I616*J616^($F$8-1),0)</f>
        <v>70895</v>
      </c>
      <c r="L616" s="16" t="n">
        <f aca="false">ROUND(I616*J616^($F$9-1),0)</f>
        <v>72478</v>
      </c>
      <c r="M616" s="17" t="n">
        <f aca="false">G616*$F$7</f>
        <v>24506825.9812269</v>
      </c>
      <c r="N616" s="18" t="n">
        <f aca="false">F616/K616</f>
        <v>396.677283306298</v>
      </c>
      <c r="O616" s="18" t="n">
        <f aca="false">G616/L616</f>
        <v>351.009037225089</v>
      </c>
      <c r="P616" s="18" t="n">
        <f aca="false">M616/L616</f>
        <v>338.127790242927</v>
      </c>
      <c r="Q616" s="19" t="n">
        <f aca="false">IF(N616=0,"n.a.",P616/N616-1)</f>
        <v>-0.147599813569766</v>
      </c>
    </row>
    <row r="617" customFormat="false" ht="15" hidden="false" customHeight="false" outlineLevel="0" collapsed="false">
      <c r="A617" s="12" t="s">
        <v>1373</v>
      </c>
      <c r="B617" s="12" t="s">
        <v>1356</v>
      </c>
      <c r="C617" s="12" t="s">
        <v>1357</v>
      </c>
      <c r="D617" s="12" t="s">
        <v>69</v>
      </c>
      <c r="E617" s="12" t="s">
        <v>1374</v>
      </c>
      <c r="F617" s="13" t="n">
        <v>0</v>
      </c>
      <c r="G617" s="13" t="n">
        <v>0</v>
      </c>
      <c r="H617" s="14" t="n">
        <v>46036</v>
      </c>
      <c r="I617" s="14" t="n">
        <v>48727</v>
      </c>
      <c r="J617" s="15" t="n">
        <f aca="false">I617/H617</f>
        <v>1.05845425319315</v>
      </c>
      <c r="K617" s="16" t="n">
        <f aca="false">ROUND(I617*J617^($F$8-1),0)</f>
        <v>48092</v>
      </c>
      <c r="L617" s="16" t="n">
        <f aca="false">ROUND(I617*J617^($F$9-1),0)</f>
        <v>48583</v>
      </c>
      <c r="M617" s="17" t="n">
        <f aca="false">G617*$F$7</f>
        <v>0</v>
      </c>
      <c r="N617" s="18" t="n">
        <f aca="false">F617/K617</f>
        <v>0</v>
      </c>
      <c r="O617" s="18" t="n">
        <f aca="false">G617/L617</f>
        <v>0</v>
      </c>
      <c r="P617" s="18" t="n">
        <f aca="false">M617/L617</f>
        <v>0</v>
      </c>
      <c r="Q617" s="19" t="str">
        <f aca="false">IF(N617=0,"n.a.",P617/N617-1)</f>
        <v>n.a.</v>
      </c>
    </row>
    <row r="618" customFormat="false" ht="15" hidden="false" customHeight="false" outlineLevel="0" collapsed="false">
      <c r="A618" s="12" t="s">
        <v>1375</v>
      </c>
      <c r="B618" s="12" t="s">
        <v>1356</v>
      </c>
      <c r="C618" s="12" t="s">
        <v>1357</v>
      </c>
      <c r="D618" s="12" t="s">
        <v>72</v>
      </c>
      <c r="E618" s="12" t="s">
        <v>1376</v>
      </c>
      <c r="F618" s="13" t="n">
        <v>2292491</v>
      </c>
      <c r="G618" s="13" t="n">
        <v>2405799</v>
      </c>
      <c r="H618" s="14" t="n">
        <v>33546</v>
      </c>
      <c r="I618" s="14" t="n">
        <v>33393</v>
      </c>
      <c r="J618" s="15" t="n">
        <f aca="false">I618/H618</f>
        <v>0.995439098551243</v>
      </c>
      <c r="K618" s="16" t="n">
        <f aca="false">ROUND(I618*J618^($F$8-1),0)</f>
        <v>33428</v>
      </c>
      <c r="L618" s="16" t="n">
        <f aca="false">ROUND(I618*J618^($F$9-1),0)</f>
        <v>33401</v>
      </c>
      <c r="M618" s="17" t="n">
        <f aca="false">G618*$F$7</f>
        <v>2317511.55488626</v>
      </c>
      <c r="N618" s="18" t="n">
        <f aca="false">F618/K618</f>
        <v>68.5799629053488</v>
      </c>
      <c r="O618" s="18" t="n">
        <f aca="false">G618/L618</f>
        <v>72.0277536600701</v>
      </c>
      <c r="P618" s="18" t="n">
        <f aca="false">M618/L618</f>
        <v>69.3844961194652</v>
      </c>
      <c r="Q618" s="19" t="n">
        <f aca="false">IF(N618=0,"n.a.",P618/N618-1)</f>
        <v>0.0117313159709163</v>
      </c>
    </row>
    <row r="619" customFormat="false" ht="15" hidden="false" customHeight="false" outlineLevel="0" collapsed="false">
      <c r="A619" s="12" t="s">
        <v>1377</v>
      </c>
      <c r="B619" s="12" t="s">
        <v>1356</v>
      </c>
      <c r="C619" s="12" t="s">
        <v>1357</v>
      </c>
      <c r="D619" s="12" t="s">
        <v>75</v>
      </c>
      <c r="E619" s="12" t="s">
        <v>1378</v>
      </c>
      <c r="F619" s="13" t="n">
        <v>650353</v>
      </c>
      <c r="G619" s="13" t="n">
        <v>928345</v>
      </c>
      <c r="H619" s="14" t="n">
        <v>24075</v>
      </c>
      <c r="I619" s="14" t="n">
        <v>25154</v>
      </c>
      <c r="J619" s="15" t="n">
        <f aca="false">I619/H619</f>
        <v>1.04481827622015</v>
      </c>
      <c r="K619" s="16" t="n">
        <f aca="false">ROUND(I619*J619^($F$8-1),0)</f>
        <v>24901</v>
      </c>
      <c r="L619" s="16" t="n">
        <f aca="false">ROUND(I619*J619^($F$9-1),0)</f>
        <v>25097</v>
      </c>
      <c r="M619" s="17" t="n">
        <f aca="false">G619*$F$7</f>
        <v>894276.813823965</v>
      </c>
      <c r="N619" s="18" t="n">
        <f aca="false">F619/K619</f>
        <v>26.1175454801012</v>
      </c>
      <c r="O619" s="18" t="n">
        <f aca="false">G619/L619</f>
        <v>36.9902777224369</v>
      </c>
      <c r="P619" s="18" t="n">
        <f aca="false">M619/L619</f>
        <v>35.6328172221367</v>
      </c>
      <c r="Q619" s="19" t="n">
        <f aca="false">IF(N619=0,"n.a.",P619/N619-1)</f>
        <v>0.364324884560271</v>
      </c>
    </row>
    <row r="620" customFormat="false" ht="15" hidden="false" customHeight="false" outlineLevel="0" collapsed="false">
      <c r="A620" s="12" t="s">
        <v>1379</v>
      </c>
      <c r="B620" s="12" t="s">
        <v>1356</v>
      </c>
      <c r="C620" s="12" t="s">
        <v>1357</v>
      </c>
      <c r="D620" s="12" t="s">
        <v>129</v>
      </c>
      <c r="E620" s="12" t="s">
        <v>1380</v>
      </c>
      <c r="F620" s="13" t="n">
        <v>8605722</v>
      </c>
      <c r="G620" s="13" t="n">
        <v>9955867</v>
      </c>
      <c r="H620" s="14" t="n">
        <v>41431</v>
      </c>
      <c r="I620" s="14" t="n">
        <v>47688</v>
      </c>
      <c r="J620" s="15" t="n">
        <f aca="false">I620/H620</f>
        <v>1.15102218145833</v>
      </c>
      <c r="K620" s="16" t="n">
        <f aca="false">ROUND(I620*J620^($F$8-1),0)</f>
        <v>46164</v>
      </c>
      <c r="L620" s="16" t="n">
        <f aca="false">ROUND(I620*J620^($F$9-1),0)</f>
        <v>47341</v>
      </c>
      <c r="M620" s="17" t="n">
        <f aca="false">G620*$F$7</f>
        <v>9590508.93753417</v>
      </c>
      <c r="N620" s="18" t="n">
        <f aca="false">F620/K620</f>
        <v>186.416298414349</v>
      </c>
      <c r="O620" s="18" t="n">
        <f aca="false">G620/L620</f>
        <v>210.301155446653</v>
      </c>
      <c r="P620" s="18" t="n">
        <f aca="false">M620/L620</f>
        <v>202.583573171969</v>
      </c>
      <c r="Q620" s="19" t="n">
        <f aca="false">IF(N620=0,"n.a.",P620/N620-1)</f>
        <v>0.0867267234417706</v>
      </c>
    </row>
    <row r="621" customFormat="false" ht="15" hidden="false" customHeight="false" outlineLevel="0" collapsed="false">
      <c r="A621" s="12" t="s">
        <v>1381</v>
      </c>
      <c r="B621" s="12" t="s">
        <v>1356</v>
      </c>
      <c r="C621" s="12" t="s">
        <v>1357</v>
      </c>
      <c r="D621" s="12" t="s">
        <v>132</v>
      </c>
      <c r="E621" s="12" t="s">
        <v>1382</v>
      </c>
      <c r="F621" s="13" t="n">
        <v>1170339</v>
      </c>
      <c r="G621" s="13" t="n">
        <v>1774677</v>
      </c>
      <c r="H621" s="14" t="n">
        <v>7600</v>
      </c>
      <c r="I621" s="14" t="n">
        <v>7688</v>
      </c>
      <c r="J621" s="15" t="n">
        <f aca="false">I621/H621</f>
        <v>1.01157894736842</v>
      </c>
      <c r="K621" s="16" t="n">
        <f aca="false">ROUND(I621*J621^($F$8-1),0)</f>
        <v>7668</v>
      </c>
      <c r="L621" s="16" t="n">
        <f aca="false">ROUND(I621*J621^($F$9-1),0)</f>
        <v>7683</v>
      </c>
      <c r="M621" s="17" t="n">
        <f aca="false">G621*$F$7</f>
        <v>1709550.3214071</v>
      </c>
      <c r="N621" s="18" t="n">
        <f aca="false">F621/K621</f>
        <v>152.626369327074</v>
      </c>
      <c r="O621" s="18" t="n">
        <f aca="false">G621/L621</f>
        <v>230.987504880906</v>
      </c>
      <c r="P621" s="18" t="n">
        <f aca="false">M621/L621</f>
        <v>222.510779826513</v>
      </c>
      <c r="Q621" s="19" t="n">
        <f aca="false">IF(N621=0,"n.a.",P621/N621-1)</f>
        <v>0.457879007458267</v>
      </c>
    </row>
    <row r="622" customFormat="false" ht="15" hidden="false" customHeight="false" outlineLevel="0" collapsed="false">
      <c r="A622" s="12" t="s">
        <v>1383</v>
      </c>
      <c r="B622" s="12" t="s">
        <v>1356</v>
      </c>
      <c r="C622" s="12" t="s">
        <v>1357</v>
      </c>
      <c r="D622" s="12" t="s">
        <v>163</v>
      </c>
      <c r="E622" s="12" t="s">
        <v>1384</v>
      </c>
      <c r="F622" s="13" t="n">
        <v>6153485</v>
      </c>
      <c r="G622" s="13" t="n">
        <v>5165562</v>
      </c>
      <c r="H622" s="14" t="n">
        <v>24317</v>
      </c>
      <c r="I622" s="14" t="n">
        <v>25298</v>
      </c>
      <c r="J622" s="15" t="n">
        <f aca="false">I622/H622</f>
        <v>1.04034214746885</v>
      </c>
      <c r="K622" s="16" t="n">
        <f aca="false">ROUND(I622*J622^($F$8-1),0)</f>
        <v>25068</v>
      </c>
      <c r="L622" s="16" t="n">
        <f aca="false">ROUND(I622*J622^($F$9-1),0)</f>
        <v>25246</v>
      </c>
      <c r="M622" s="17" t="n">
        <f aca="false">G622*$F$7</f>
        <v>4975997.42226236</v>
      </c>
      <c r="N622" s="18" t="n">
        <f aca="false">F622/K622</f>
        <v>245.471716929951</v>
      </c>
      <c r="O622" s="18" t="n">
        <f aca="false">G622/L622</f>
        <v>204.60912619821</v>
      </c>
      <c r="P622" s="18" t="n">
        <f aca="false">M622/L622</f>
        <v>197.100428672358</v>
      </c>
      <c r="Q622" s="19" t="n">
        <f aca="false">IF(N622=0,"n.a.",P622/N622-1)</f>
        <v>-0.197054425913336</v>
      </c>
    </row>
    <row r="623" customFormat="false" ht="15" hidden="false" customHeight="false" outlineLevel="0" collapsed="false">
      <c r="A623" s="12" t="s">
        <v>1385</v>
      </c>
      <c r="B623" s="12" t="s">
        <v>1356</v>
      </c>
      <c r="C623" s="12" t="s">
        <v>1357</v>
      </c>
      <c r="D623" s="12" t="s">
        <v>166</v>
      </c>
      <c r="E623" s="12" t="s">
        <v>1386</v>
      </c>
      <c r="F623" s="13" t="n">
        <v>9519558</v>
      </c>
      <c r="G623" s="13" t="n">
        <v>15299585</v>
      </c>
      <c r="H623" s="14" t="n">
        <v>93730</v>
      </c>
      <c r="I623" s="14" t="n">
        <v>96236</v>
      </c>
      <c r="J623" s="15" t="n">
        <f aca="false">I623/H623</f>
        <v>1.02673637042569</v>
      </c>
      <c r="K623" s="16" t="n">
        <f aca="false">ROUND(I623*J623^($F$8-1),0)</f>
        <v>95652</v>
      </c>
      <c r="L623" s="16" t="n">
        <f aca="false">ROUND(I623*J623^($F$9-1),0)</f>
        <v>96104</v>
      </c>
      <c r="M623" s="17" t="n">
        <f aca="false">G623*$F$7</f>
        <v>14738124.4328659</v>
      </c>
      <c r="N623" s="18" t="n">
        <f aca="false">F623/K623</f>
        <v>99.5228327687869</v>
      </c>
      <c r="O623" s="18" t="n">
        <f aca="false">G623/L623</f>
        <v>159.198212353284</v>
      </c>
      <c r="P623" s="18" t="n">
        <f aca="false">M623/L623</f>
        <v>153.355993849017</v>
      </c>
      <c r="Q623" s="19" t="n">
        <f aca="false">IF(N623=0,"n.a.",P623/N623-1)</f>
        <v>0.540912668807331</v>
      </c>
    </row>
    <row r="624" customFormat="false" ht="15" hidden="false" customHeight="false" outlineLevel="0" collapsed="false">
      <c r="A624" s="12" t="s">
        <v>1387</v>
      </c>
      <c r="B624" s="12" t="s">
        <v>1356</v>
      </c>
      <c r="C624" s="12" t="s">
        <v>1357</v>
      </c>
      <c r="D624" s="12" t="s">
        <v>169</v>
      </c>
      <c r="E624" s="12" t="s">
        <v>1388</v>
      </c>
      <c r="F624" s="13" t="n">
        <v>3555851</v>
      </c>
      <c r="G624" s="13" t="n">
        <v>7375755</v>
      </c>
      <c r="H624" s="14" t="n">
        <v>37073</v>
      </c>
      <c r="I624" s="14" t="n">
        <v>34688</v>
      </c>
      <c r="J624" s="15" t="n">
        <f aca="false">I624/H624</f>
        <v>0.93566746688965</v>
      </c>
      <c r="K624" s="16" t="n">
        <f aca="false">ROUND(I624*J624^($F$8-1),0)</f>
        <v>35225</v>
      </c>
      <c r="L624" s="16" t="n">
        <f aca="false">ROUND(I624*J624^($F$9-1),0)</f>
        <v>34808</v>
      </c>
      <c r="M624" s="17" t="n">
        <f aca="false">G624*$F$7</f>
        <v>7105081.28006956</v>
      </c>
      <c r="N624" s="18" t="n">
        <f aca="false">F624/K624</f>
        <v>100.946799148332</v>
      </c>
      <c r="O624" s="18" t="n">
        <f aca="false">G624/L624</f>
        <v>211.898270512526</v>
      </c>
      <c r="P624" s="18" t="n">
        <f aca="false">M624/L624</f>
        <v>204.12207768529</v>
      </c>
      <c r="Q624" s="19" t="n">
        <f aca="false">IF(N624=0,"n.a.",P624/N624-1)</f>
        <v>1.0220757805837</v>
      </c>
    </row>
    <row r="625" customFormat="false" ht="15" hidden="false" customHeight="false" outlineLevel="0" collapsed="false">
      <c r="A625" s="12" t="s">
        <v>1389</v>
      </c>
      <c r="B625" s="12" t="s">
        <v>1356</v>
      </c>
      <c r="C625" s="12" t="s">
        <v>1357</v>
      </c>
      <c r="D625" s="12" t="s">
        <v>172</v>
      </c>
      <c r="E625" s="12" t="s">
        <v>1390</v>
      </c>
      <c r="F625" s="13" t="n">
        <v>148297646</v>
      </c>
      <c r="G625" s="13" t="n">
        <v>180738272</v>
      </c>
      <c r="H625" s="14" t="n">
        <v>421428</v>
      </c>
      <c r="I625" s="14" t="n">
        <v>430286</v>
      </c>
      <c r="J625" s="15" t="n">
        <f aca="false">I625/H625</f>
        <v>1.0210190115512</v>
      </c>
      <c r="K625" s="16" t="n">
        <f aca="false">ROUND(I625*J625^($F$8-1),0)</f>
        <v>428224</v>
      </c>
      <c r="L625" s="16" t="n">
        <f aca="false">ROUND(I625*J625^($F$9-1),0)</f>
        <v>429821</v>
      </c>
      <c r="M625" s="17" t="n">
        <f aca="false">G625*$F$7</f>
        <v>174105581.459704</v>
      </c>
      <c r="N625" s="18" t="n">
        <f aca="false">F625/K625</f>
        <v>346.308581490061</v>
      </c>
      <c r="O625" s="18" t="n">
        <f aca="false">G625/L625</f>
        <v>420.496606726986</v>
      </c>
      <c r="P625" s="18" t="n">
        <f aca="false">M625/L625</f>
        <v>405.065321284219</v>
      </c>
      <c r="Q625" s="19" t="n">
        <f aca="false">IF(N625=0,"n.a.",P625/N625-1)</f>
        <v>0.1696658498653</v>
      </c>
    </row>
    <row r="626" customFormat="false" ht="15" hidden="false" customHeight="false" outlineLevel="0" collapsed="false">
      <c r="A626" s="12" t="s">
        <v>1391</v>
      </c>
      <c r="B626" s="12" t="s">
        <v>1356</v>
      </c>
      <c r="C626" s="12" t="s">
        <v>1357</v>
      </c>
      <c r="D626" s="12" t="s">
        <v>175</v>
      </c>
      <c r="E626" s="12" t="s">
        <v>818</v>
      </c>
      <c r="F626" s="13" t="n">
        <v>615460</v>
      </c>
      <c r="G626" s="13" t="n">
        <v>735539</v>
      </c>
      <c r="H626" s="14" t="n">
        <v>30041</v>
      </c>
      <c r="I626" s="14" t="n">
        <v>30061</v>
      </c>
      <c r="J626" s="15" t="n">
        <f aca="false">I626/H626</f>
        <v>1.00066575679904</v>
      </c>
      <c r="K626" s="16" t="n">
        <f aca="false">ROUND(I626*J626^($F$8-1),0)</f>
        <v>30056</v>
      </c>
      <c r="L626" s="16" t="n">
        <f aca="false">ROUND(I626*J626^($F$9-1),0)</f>
        <v>30060</v>
      </c>
      <c r="M626" s="17" t="n">
        <f aca="false">G626*$F$7</f>
        <v>708546.363004342</v>
      </c>
      <c r="N626" s="18" t="n">
        <f aca="false">F626/K626</f>
        <v>20.4771093957945</v>
      </c>
      <c r="O626" s="18" t="n">
        <f aca="false">G626/L626</f>
        <v>24.4690286094478</v>
      </c>
      <c r="P626" s="18" t="n">
        <f aca="false">M626/L626</f>
        <v>23.5710699602243</v>
      </c>
      <c r="Q626" s="19" t="n">
        <f aca="false">IF(N626=0,"n.a.",P626/N626-1)</f>
        <v>0.151093618958991</v>
      </c>
    </row>
    <row r="627" customFormat="false" ht="15" hidden="false" customHeight="false" outlineLevel="0" collapsed="false">
      <c r="A627" s="12" t="s">
        <v>1392</v>
      </c>
      <c r="B627" s="12" t="s">
        <v>1356</v>
      </c>
      <c r="C627" s="12" t="s">
        <v>1357</v>
      </c>
      <c r="D627" s="12" t="s">
        <v>181</v>
      </c>
      <c r="E627" s="12" t="s">
        <v>1393</v>
      </c>
      <c r="F627" s="13" t="n">
        <v>799553309</v>
      </c>
      <c r="G627" s="13" t="n">
        <v>918118790</v>
      </c>
      <c r="H627" s="14" t="n">
        <v>187314</v>
      </c>
      <c r="I627" s="14" t="n">
        <v>216334</v>
      </c>
      <c r="J627" s="15" t="n">
        <f aca="false">I627/H627</f>
        <v>1.1549270209381</v>
      </c>
      <c r="K627" s="16" t="n">
        <f aca="false">ROUND(I627*J627^($F$8-1),0)</f>
        <v>209258</v>
      </c>
      <c r="L627" s="16" t="n">
        <f aca="false">ROUND(I627*J627^($F$9-1),0)</f>
        <v>214721</v>
      </c>
      <c r="M627" s="17" t="n">
        <f aca="false">G627*$F$7</f>
        <v>884425882.870176</v>
      </c>
      <c r="N627" s="18" t="n">
        <f aca="false">F627/K627</f>
        <v>3820.89721300978</v>
      </c>
      <c r="O627" s="18" t="n">
        <f aca="false">G627/L627</f>
        <v>4275.86863883831</v>
      </c>
      <c r="P627" s="18" t="n">
        <f aca="false">M627/L627</f>
        <v>4118.95381853743</v>
      </c>
      <c r="Q627" s="19" t="n">
        <f aca="false">IF(N627=0,"n.a.",P627/N627-1)</f>
        <v>0.0780069677124011</v>
      </c>
    </row>
    <row r="628" customFormat="false" ht="15" hidden="false" customHeight="false" outlineLevel="0" collapsed="false">
      <c r="A628" s="12" t="s">
        <v>1394</v>
      </c>
      <c r="B628" s="12" t="s">
        <v>1395</v>
      </c>
      <c r="C628" s="12" t="s">
        <v>1396</v>
      </c>
      <c r="D628" s="12" t="s">
        <v>46</v>
      </c>
      <c r="E628" s="12" t="s">
        <v>137</v>
      </c>
      <c r="F628" s="13" t="n">
        <v>1056755</v>
      </c>
      <c r="G628" s="13" t="n">
        <v>1384137</v>
      </c>
      <c r="H628" s="14" t="n">
        <v>2974</v>
      </c>
      <c r="I628" s="14" t="n">
        <v>2927</v>
      </c>
      <c r="J628" s="15" t="n">
        <f aca="false">I628/H628</f>
        <v>0.984196368527236</v>
      </c>
      <c r="K628" s="16" t="n">
        <f aca="false">ROUND(I628*J628^($F$8-1),0)</f>
        <v>2938</v>
      </c>
      <c r="L628" s="16" t="n">
        <f aca="false">ROUND(I628*J628^($F$9-1),0)</f>
        <v>2929</v>
      </c>
      <c r="M628" s="17" t="n">
        <f aca="false">G628*$F$7</f>
        <v>1333342.26635126</v>
      </c>
      <c r="N628" s="18" t="n">
        <f aca="false">F628/K628</f>
        <v>359.685159972771</v>
      </c>
      <c r="O628" s="18" t="n">
        <f aca="false">G628/L628</f>
        <v>472.562990781837</v>
      </c>
      <c r="P628" s="18" t="n">
        <f aca="false">M628/L628</f>
        <v>455.220985439147</v>
      </c>
      <c r="Q628" s="19" t="n">
        <f aca="false">IF(N628=0,"n.a.",P628/N628-1)</f>
        <v>0.265609583318946</v>
      </c>
    </row>
    <row r="629" customFormat="false" ht="15" hidden="false" customHeight="false" outlineLevel="0" collapsed="false">
      <c r="A629" s="12" t="s">
        <v>1397</v>
      </c>
      <c r="B629" s="12" t="s">
        <v>1395</v>
      </c>
      <c r="C629" s="12" t="s">
        <v>1396</v>
      </c>
      <c r="D629" s="12" t="s">
        <v>57</v>
      </c>
      <c r="E629" s="12" t="s">
        <v>1398</v>
      </c>
      <c r="F629" s="13" t="n">
        <v>7902655</v>
      </c>
      <c r="G629" s="13" t="n">
        <v>9252209</v>
      </c>
      <c r="H629" s="14" t="n">
        <v>18030</v>
      </c>
      <c r="I629" s="14" t="n">
        <v>16586</v>
      </c>
      <c r="J629" s="15" t="n">
        <f aca="false">I629/H629</f>
        <v>0.919911259012757</v>
      </c>
      <c r="K629" s="16" t="n">
        <f aca="false">ROUND(I629*J629^($F$8-1),0)</f>
        <v>16909</v>
      </c>
      <c r="L629" s="16" t="n">
        <f aca="false">ROUND(I629*J629^($F$9-1),0)</f>
        <v>16658</v>
      </c>
      <c r="M629" s="17" t="n">
        <f aca="false">G629*$F$7</f>
        <v>8912673.6131001</v>
      </c>
      <c r="N629" s="18" t="n">
        <f aca="false">F629/K629</f>
        <v>467.363829913064</v>
      </c>
      <c r="O629" s="18" t="n">
        <f aca="false">G629/L629</f>
        <v>555.421359106736</v>
      </c>
      <c r="P629" s="18" t="n">
        <f aca="false">M629/L629</f>
        <v>535.038636877182</v>
      </c>
      <c r="Q629" s="19" t="n">
        <f aca="false">IF(N629=0,"n.a.",P629/N629-1)</f>
        <v>0.144801122022444</v>
      </c>
    </row>
    <row r="630" customFormat="false" ht="15" hidden="false" customHeight="false" outlineLevel="0" collapsed="false">
      <c r="A630" s="12" t="s">
        <v>1399</v>
      </c>
      <c r="B630" s="12" t="s">
        <v>1395</v>
      </c>
      <c r="C630" s="12" t="s">
        <v>1396</v>
      </c>
      <c r="D630" s="12" t="s">
        <v>60</v>
      </c>
      <c r="E630" s="12" t="s">
        <v>1400</v>
      </c>
      <c r="F630" s="13" t="n">
        <v>897252280</v>
      </c>
      <c r="G630" s="13" t="n">
        <v>967269577</v>
      </c>
      <c r="H630" s="14" t="n">
        <v>651904</v>
      </c>
      <c r="I630" s="14" t="n">
        <v>712979</v>
      </c>
      <c r="J630" s="15" t="n">
        <f aca="false">I630/H630</f>
        <v>1.09368710730414</v>
      </c>
      <c r="K630" s="16" t="n">
        <f aca="false">ROUND(I630*J630^($F$8-1),0)</f>
        <v>698388</v>
      </c>
      <c r="L630" s="16" t="n">
        <f aca="false">ROUND(I630*J630^($F$9-1),0)</f>
        <v>709669</v>
      </c>
      <c r="M630" s="17" t="n">
        <f aca="false">G630*$F$7</f>
        <v>931772945.864322</v>
      </c>
      <c r="N630" s="18" t="n">
        <f aca="false">F630/K630</f>
        <v>1284.7475615274</v>
      </c>
      <c r="O630" s="18" t="n">
        <f aca="false">G630/L630</f>
        <v>1362.98693757231</v>
      </c>
      <c r="P630" s="18" t="n">
        <f aca="false">M630/L630</f>
        <v>1312.9683639335</v>
      </c>
      <c r="Q630" s="19" t="n">
        <f aca="false">IF(N630=0,"n.a.",P630/N630-1)</f>
        <v>0.0219660291649395</v>
      </c>
    </row>
    <row r="631" customFormat="false" ht="15" hidden="false" customHeight="false" outlineLevel="0" collapsed="false">
      <c r="A631" s="12" t="s">
        <v>1401</v>
      </c>
      <c r="B631" s="12" t="s">
        <v>1395</v>
      </c>
      <c r="C631" s="12" t="s">
        <v>1396</v>
      </c>
      <c r="D631" s="12" t="s">
        <v>63</v>
      </c>
      <c r="E631" s="12" t="s">
        <v>1402</v>
      </c>
      <c r="F631" s="13" t="n">
        <v>435980</v>
      </c>
      <c r="G631" s="13" t="n">
        <v>1380823</v>
      </c>
      <c r="H631" s="14" t="n">
        <v>14972</v>
      </c>
      <c r="I631" s="14" t="n">
        <v>14234</v>
      </c>
      <c r="J631" s="15" t="n">
        <f aca="false">I631/H631</f>
        <v>0.950707988244724</v>
      </c>
      <c r="K631" s="16" t="n">
        <f aca="false">ROUND(I631*J631^($F$8-1),0)</f>
        <v>14401</v>
      </c>
      <c r="L631" s="16" t="n">
        <f aca="false">ROUND(I631*J631^($F$9-1),0)</f>
        <v>14271</v>
      </c>
      <c r="M631" s="17" t="n">
        <f aca="false">G631*$F$7</f>
        <v>1330149.88274278</v>
      </c>
      <c r="N631" s="18" t="n">
        <f aca="false">F631/K631</f>
        <v>30.2742865078814</v>
      </c>
      <c r="O631" s="18" t="n">
        <f aca="false">G631/L631</f>
        <v>96.7572699880877</v>
      </c>
      <c r="P631" s="18" t="n">
        <f aca="false">M631/L631</f>
        <v>93.2064944813105</v>
      </c>
      <c r="Q631" s="19" t="n">
        <f aca="false">IF(N631=0,"n.a.",P631/N631-1)</f>
        <v>2.0787346369681</v>
      </c>
    </row>
    <row r="632" customFormat="false" ht="15" hidden="false" customHeight="false" outlineLevel="0" collapsed="false">
      <c r="A632" s="12" t="s">
        <v>1403</v>
      </c>
      <c r="B632" s="12" t="s">
        <v>1395</v>
      </c>
      <c r="C632" s="12" t="s">
        <v>1396</v>
      </c>
      <c r="D632" s="12" t="s">
        <v>69</v>
      </c>
      <c r="E632" s="12" t="s">
        <v>1404</v>
      </c>
      <c r="F632" s="13" t="n">
        <v>72667725</v>
      </c>
      <c r="G632" s="13" t="n">
        <v>80348552</v>
      </c>
      <c r="H632" s="14" t="n">
        <v>120302</v>
      </c>
      <c r="I632" s="14" t="n">
        <v>143906</v>
      </c>
      <c r="J632" s="15" t="n">
        <f aca="false">I632/H632</f>
        <v>1.19620621436053</v>
      </c>
      <c r="K632" s="16" t="n">
        <f aca="false">ROUND(I632*J632^($F$8-1),0)</f>
        <v>138075</v>
      </c>
      <c r="L632" s="16" t="n">
        <f aca="false">ROUND(I632*J632^($F$9-1),0)</f>
        <v>142573</v>
      </c>
      <c r="M632" s="17" t="n">
        <f aca="false">G632*$F$7</f>
        <v>77399939.7615425</v>
      </c>
      <c r="N632" s="18" t="n">
        <f aca="false">F632/K632</f>
        <v>526.291689299294</v>
      </c>
      <c r="O632" s="18" t="n">
        <f aca="false">G632/L632</f>
        <v>563.560786404158</v>
      </c>
      <c r="P632" s="18" t="n">
        <f aca="false">M632/L632</f>
        <v>542.879365388555</v>
      </c>
      <c r="Q632" s="19" t="n">
        <f aca="false">IF(N632=0,"n.a.",P632/N632-1)</f>
        <v>0.0315180277905327</v>
      </c>
    </row>
    <row r="633" customFormat="false" ht="15" hidden="false" customHeight="false" outlineLevel="0" collapsed="false">
      <c r="A633" s="12" t="s">
        <v>1405</v>
      </c>
      <c r="B633" s="12" t="s">
        <v>1395</v>
      </c>
      <c r="C633" s="12" t="s">
        <v>1396</v>
      </c>
      <c r="D633" s="12" t="s">
        <v>132</v>
      </c>
      <c r="E633" s="12" t="s">
        <v>1406</v>
      </c>
      <c r="F633" s="13" t="n">
        <v>3929548</v>
      </c>
      <c r="G633" s="13" t="n">
        <v>4148943</v>
      </c>
      <c r="H633" s="14" t="n">
        <v>9930</v>
      </c>
      <c r="I633" s="14" t="n">
        <v>7170</v>
      </c>
      <c r="J633" s="15" t="n">
        <f aca="false">I633/H633</f>
        <v>0.722054380664653</v>
      </c>
      <c r="K633" s="16" t="n">
        <f aca="false">ROUND(I633*J633^($F$8-1),0)</f>
        <v>7730</v>
      </c>
      <c r="L633" s="16" t="n">
        <f aca="false">ROUND(I633*J633^($F$9-1),0)</f>
        <v>7292</v>
      </c>
      <c r="M633" s="17" t="n">
        <f aca="false">G633*$F$7</f>
        <v>3996686.06690104</v>
      </c>
      <c r="N633" s="18" t="n">
        <f aca="false">F633/K633</f>
        <v>508.350323415265</v>
      </c>
      <c r="O633" s="18" t="n">
        <f aca="false">G633/L633</f>
        <v>568.971886999452</v>
      </c>
      <c r="P633" s="18" t="n">
        <f aca="false">M633/L633</f>
        <v>548.091890688568</v>
      </c>
      <c r="Q633" s="19" t="n">
        <f aca="false">IF(N633=0,"n.a.",P633/N633-1)</f>
        <v>0.0781775194049363</v>
      </c>
    </row>
    <row r="634" customFormat="false" ht="15" hidden="false" customHeight="false" outlineLevel="0" collapsed="false">
      <c r="A634" s="12" t="s">
        <v>1407</v>
      </c>
      <c r="B634" s="12" t="s">
        <v>1395</v>
      </c>
      <c r="C634" s="12" t="s">
        <v>1396</v>
      </c>
      <c r="D634" s="12" t="s">
        <v>163</v>
      </c>
      <c r="E634" s="12" t="s">
        <v>1408</v>
      </c>
      <c r="F634" s="13" t="n">
        <v>959731</v>
      </c>
      <c r="G634" s="13" t="n">
        <v>1092113</v>
      </c>
      <c r="H634" s="14" t="n">
        <v>36046</v>
      </c>
      <c r="I634" s="14" t="n">
        <v>39379</v>
      </c>
      <c r="J634" s="15" t="n">
        <f aca="false">I634/H634</f>
        <v>1.0924651833768</v>
      </c>
      <c r="K634" s="16" t="n">
        <f aca="false">ROUND(I634*J634^($F$8-1),0)</f>
        <v>38583</v>
      </c>
      <c r="L634" s="16" t="n">
        <f aca="false">ROUND(I634*J634^($F$9-1),0)</f>
        <v>39198</v>
      </c>
      <c r="M634" s="17" t="n">
        <f aca="false">G634*$F$7</f>
        <v>1052034.89432887</v>
      </c>
      <c r="N634" s="18" t="n">
        <f aca="false">F634/K634</f>
        <v>24.8744524790711</v>
      </c>
      <c r="O634" s="18" t="n">
        <f aca="false">G634/L634</f>
        <v>27.8614470126027</v>
      </c>
      <c r="P634" s="18" t="n">
        <f aca="false">M634/L634</f>
        <v>26.8389941917666</v>
      </c>
      <c r="Q634" s="19" t="n">
        <f aca="false">IF(N634=0,"n.a.",P634/N634-1)</f>
        <v>0.0789782896467139</v>
      </c>
    </row>
    <row r="635" customFormat="false" ht="15" hidden="false" customHeight="false" outlineLevel="0" collapsed="false">
      <c r="A635" s="12" t="s">
        <v>1409</v>
      </c>
      <c r="B635" s="12" t="s">
        <v>1395</v>
      </c>
      <c r="C635" s="12" t="s">
        <v>1396</v>
      </c>
      <c r="D635" s="12" t="s">
        <v>172</v>
      </c>
      <c r="E635" s="12" t="s">
        <v>567</v>
      </c>
      <c r="F635" s="13" t="n">
        <v>2697937</v>
      </c>
      <c r="G635" s="13" t="n">
        <v>3257117</v>
      </c>
      <c r="H635" s="14" t="n">
        <v>40808</v>
      </c>
      <c r="I635" s="14" t="n">
        <v>41390</v>
      </c>
      <c r="J635" s="15" t="n">
        <f aca="false">I635/H635</f>
        <v>1.01426190942952</v>
      </c>
      <c r="K635" s="16" t="n">
        <f aca="false">ROUND(I635*J635^($F$8-1),0)</f>
        <v>41255</v>
      </c>
      <c r="L635" s="16" t="n">
        <f aca="false">ROUND(I635*J635^($F$9-1),0)</f>
        <v>41360</v>
      </c>
      <c r="M635" s="17" t="n">
        <f aca="false">G635*$F$7</f>
        <v>3137588.08741564</v>
      </c>
      <c r="N635" s="18" t="n">
        <f aca="false">F635/K635</f>
        <v>65.3966064719428</v>
      </c>
      <c r="O635" s="18" t="n">
        <f aca="false">G635/L635</f>
        <v>78.7504110251451</v>
      </c>
      <c r="P635" s="18" t="n">
        <f aca="false">M635/L635</f>
        <v>75.8604469878056</v>
      </c>
      <c r="Q635" s="19" t="n">
        <f aca="false">IF(N635=0,"n.a.",P635/N635-1)</f>
        <v>0.160005863918216</v>
      </c>
    </row>
    <row r="636" customFormat="false" ht="15" hidden="false" customHeight="false" outlineLevel="0" collapsed="false">
      <c r="A636" s="12" t="s">
        <v>1410</v>
      </c>
      <c r="B636" s="12" t="s">
        <v>1395</v>
      </c>
      <c r="C636" s="12" t="s">
        <v>1396</v>
      </c>
      <c r="D636" s="12" t="s">
        <v>175</v>
      </c>
      <c r="E636" s="12" t="s">
        <v>1411</v>
      </c>
      <c r="F636" s="13" t="n">
        <v>459842724</v>
      </c>
      <c r="G636" s="13" t="n">
        <v>528306716</v>
      </c>
      <c r="H636" s="14" t="n">
        <v>397103</v>
      </c>
      <c r="I636" s="14" t="n">
        <v>550959</v>
      </c>
      <c r="J636" s="15" t="n">
        <f aca="false">I636/H636</f>
        <v>1.38744607822152</v>
      </c>
      <c r="K636" s="16" t="n">
        <f aca="false">ROUND(I636*J636^($F$8-1),0)</f>
        <v>510839</v>
      </c>
      <c r="L636" s="16" t="n">
        <f aca="false">ROUND(I636*J636^($F$9-1),0)</f>
        <v>541664</v>
      </c>
      <c r="M636" s="17" t="n">
        <f aca="false">G636*$F$7</f>
        <v>508919040.557425</v>
      </c>
      <c r="N636" s="18" t="n">
        <f aca="false">F636/K636</f>
        <v>900.171529581727</v>
      </c>
      <c r="O636" s="18" t="n">
        <f aca="false">G636/L636</f>
        <v>975.340277367519</v>
      </c>
      <c r="P636" s="18" t="n">
        <f aca="false">M636/L636</f>
        <v>939.54746957048</v>
      </c>
      <c r="Q636" s="19" t="n">
        <f aca="false">IF(N636=0,"n.a.",P636/N636-1)</f>
        <v>0.0437427075782426</v>
      </c>
    </row>
    <row r="637" customFormat="false" ht="15" hidden="false" customHeight="false" outlineLevel="0" collapsed="false">
      <c r="A637" s="12" t="s">
        <v>1412</v>
      </c>
      <c r="B637" s="12" t="s">
        <v>1395</v>
      </c>
      <c r="C637" s="12" t="s">
        <v>1396</v>
      </c>
      <c r="D637" s="12" t="s">
        <v>178</v>
      </c>
      <c r="E637" s="12" t="s">
        <v>1413</v>
      </c>
      <c r="F637" s="13" t="n">
        <v>1639132073</v>
      </c>
      <c r="G637" s="13" t="n">
        <v>1857094113</v>
      </c>
      <c r="H637" s="14" t="n">
        <v>131749</v>
      </c>
      <c r="I637" s="14" t="n">
        <v>132933</v>
      </c>
      <c r="J637" s="15" t="n">
        <f aca="false">I637/H637</f>
        <v>1.00898678547845</v>
      </c>
      <c r="K637" s="16" t="n">
        <f aca="false">ROUND(I637*J637^($F$8-1),0)</f>
        <v>132659</v>
      </c>
      <c r="L637" s="16" t="n">
        <f aca="false">ROUND(I637*J637^($F$9-1),0)</f>
        <v>132871</v>
      </c>
      <c r="M637" s="17" t="n">
        <f aca="false">G637*$F$7</f>
        <v>1788942910.60423</v>
      </c>
      <c r="N637" s="18" t="n">
        <f aca="false">F637/K637</f>
        <v>12355.980921008</v>
      </c>
      <c r="O637" s="18" t="n">
        <f aca="false">G637/L637</f>
        <v>13976.6699505535</v>
      </c>
      <c r="P637" s="18" t="n">
        <f aca="false">M637/L637</f>
        <v>13463.7574083451</v>
      </c>
      <c r="Q637" s="19" t="n">
        <f aca="false">IF(N637=0,"n.a.",P637/N637-1)</f>
        <v>0.0896550823782576</v>
      </c>
    </row>
    <row r="638" customFormat="false" ht="15" hidden="false" customHeight="false" outlineLevel="0" collapsed="false">
      <c r="A638" s="12" t="s">
        <v>1414</v>
      </c>
      <c r="B638" s="12" t="s">
        <v>1395</v>
      </c>
      <c r="C638" s="12" t="s">
        <v>1396</v>
      </c>
      <c r="D638" s="12" t="s">
        <v>181</v>
      </c>
      <c r="E638" s="12" t="s">
        <v>1415</v>
      </c>
      <c r="F638" s="13" t="n">
        <v>5101067</v>
      </c>
      <c r="G638" s="13" t="n">
        <v>5340340</v>
      </c>
      <c r="H638" s="14" t="n">
        <v>5496</v>
      </c>
      <c r="I638" s="14" t="n">
        <v>4567</v>
      </c>
      <c r="J638" s="15" t="n">
        <f aca="false">I638/H638</f>
        <v>0.830967976710335</v>
      </c>
      <c r="K638" s="16" t="n">
        <f aca="false">ROUND(I638*J638^($F$8-1),0)</f>
        <v>4766</v>
      </c>
      <c r="L638" s="16" t="n">
        <f aca="false">ROUND(I638*J638^($F$9-1),0)</f>
        <v>4611</v>
      </c>
      <c r="M638" s="17" t="n">
        <f aca="false">G638*$F$7</f>
        <v>5144361.46038022</v>
      </c>
      <c r="N638" s="18" t="n">
        <f aca="false">F638/K638</f>
        <v>1070.30360889635</v>
      </c>
      <c r="O638" s="18" t="n">
        <f aca="false">G638/L638</f>
        <v>1158.17393190197</v>
      </c>
      <c r="P638" s="18" t="n">
        <f aca="false">M638/L638</f>
        <v>1115.67153770987</v>
      </c>
      <c r="Q638" s="19" t="n">
        <f aca="false">IF(N638=0,"n.a.",P638/N638-1)</f>
        <v>0.0423879060449996</v>
      </c>
    </row>
    <row r="639" customFormat="false" ht="15" hidden="false" customHeight="false" outlineLevel="0" collapsed="false">
      <c r="A639" s="12" t="s">
        <v>1416</v>
      </c>
      <c r="B639" s="12" t="s">
        <v>1395</v>
      </c>
      <c r="C639" s="12" t="s">
        <v>1396</v>
      </c>
      <c r="D639" s="12" t="s">
        <v>184</v>
      </c>
      <c r="E639" s="12" t="s">
        <v>1417</v>
      </c>
      <c r="F639" s="13" t="n">
        <v>468911696</v>
      </c>
      <c r="G639" s="13" t="n">
        <v>562226297</v>
      </c>
      <c r="H639" s="14" t="n">
        <v>480588</v>
      </c>
      <c r="I639" s="14" t="n">
        <v>507642</v>
      </c>
      <c r="J639" s="15" t="n">
        <f aca="false">I639/H639</f>
        <v>1.05629354041299</v>
      </c>
      <c r="K639" s="16" t="n">
        <f aca="false">ROUND(I639*J639^($F$8-1),0)</f>
        <v>501264</v>
      </c>
      <c r="L639" s="16" t="n">
        <f aca="false">ROUND(I639*J639^($F$9-1),0)</f>
        <v>506199</v>
      </c>
      <c r="M639" s="17" t="n">
        <f aca="false">G639*$F$7</f>
        <v>541593848.762266</v>
      </c>
      <c r="N639" s="18" t="n">
        <f aca="false">F639/K639</f>
        <v>935.458552778576</v>
      </c>
      <c r="O639" s="18" t="n">
        <f aca="false">G639/L639</f>
        <v>1110.68235417296</v>
      </c>
      <c r="P639" s="18" t="n">
        <f aca="false">M639/L639</f>
        <v>1069.92279471565</v>
      </c>
      <c r="Q639" s="19" t="n">
        <f aca="false">IF(N639=0,"n.a.",P639/N639-1)</f>
        <v>0.143741528192431</v>
      </c>
    </row>
    <row r="640" customFormat="false" ht="15" hidden="false" customHeight="false" outlineLevel="0" collapsed="false">
      <c r="A640" s="12" t="s">
        <v>1418</v>
      </c>
      <c r="B640" s="12" t="s">
        <v>1395</v>
      </c>
      <c r="C640" s="12" t="s">
        <v>1396</v>
      </c>
      <c r="D640" s="12" t="s">
        <v>193</v>
      </c>
      <c r="E640" s="12" t="s">
        <v>1419</v>
      </c>
      <c r="F640" s="13" t="n">
        <v>338358</v>
      </c>
      <c r="G640" s="13" t="n">
        <v>420720</v>
      </c>
      <c r="H640" s="14" t="n">
        <v>6278</v>
      </c>
      <c r="I640" s="14" t="n">
        <v>5997</v>
      </c>
      <c r="J640" s="15" t="n">
        <f aca="false">I640/H640</f>
        <v>0.955240522459382</v>
      </c>
      <c r="K640" s="16" t="n">
        <f aca="false">ROUND(I640*J640^($F$8-1),0)</f>
        <v>6061</v>
      </c>
      <c r="L640" s="16" t="n">
        <f aca="false">ROUND(I640*J640^($F$9-1),0)</f>
        <v>6011</v>
      </c>
      <c r="M640" s="17" t="n">
        <f aca="false">G640*$F$7</f>
        <v>405280.516523511</v>
      </c>
      <c r="N640" s="18" t="n">
        <f aca="false">F640/K640</f>
        <v>55.8254413463125</v>
      </c>
      <c r="O640" s="18" t="n">
        <f aca="false">G640/L640</f>
        <v>69.9916819164864</v>
      </c>
      <c r="P640" s="18" t="n">
        <f aca="false">M640/L640</f>
        <v>67.4231436572136</v>
      </c>
      <c r="Q640" s="19" t="n">
        <f aca="false">IF(N640=0,"n.a.",P640/N640-1)</f>
        <v>0.20774940656456</v>
      </c>
    </row>
    <row r="641" customFormat="false" ht="15" hidden="false" customHeight="false" outlineLevel="0" collapsed="false">
      <c r="A641" s="12" t="s">
        <v>1420</v>
      </c>
      <c r="B641" s="12" t="s">
        <v>1395</v>
      </c>
      <c r="C641" s="12" t="s">
        <v>1396</v>
      </c>
      <c r="D641" s="12" t="s">
        <v>196</v>
      </c>
      <c r="E641" s="12" t="s">
        <v>1421</v>
      </c>
      <c r="F641" s="13" t="n">
        <v>45021764</v>
      </c>
      <c r="G641" s="13" t="n">
        <v>44886769</v>
      </c>
      <c r="H641" s="14" t="n">
        <v>102149</v>
      </c>
      <c r="I641" s="14" t="n">
        <v>149568</v>
      </c>
      <c r="J641" s="15" t="n">
        <f aca="false">I641/H641</f>
        <v>1.4642140402745</v>
      </c>
      <c r="K641" s="16" t="n">
        <f aca="false">ROUND(I641*J641^($F$8-1),0)</f>
        <v>136963</v>
      </c>
      <c r="L641" s="16" t="n">
        <f aca="false">ROUND(I641*J641^($F$9-1),0)</f>
        <v>146634</v>
      </c>
      <c r="M641" s="17" t="n">
        <f aca="false">G641*$F$7</f>
        <v>43239524.9224936</v>
      </c>
      <c r="N641" s="18" t="n">
        <f aca="false">F641/K641</f>
        <v>328.714791586049</v>
      </c>
      <c r="O641" s="18" t="n">
        <f aca="false">G641/L641</f>
        <v>306.114332283099</v>
      </c>
      <c r="P641" s="18" t="n">
        <f aca="false">M641/L641</f>
        <v>294.880620609774</v>
      </c>
      <c r="Q641" s="19" t="n">
        <f aca="false">IF(N641=0,"n.a.",P641/N641-1)</f>
        <v>-0.10292865378228</v>
      </c>
    </row>
    <row r="642" customFormat="false" ht="15" hidden="false" customHeight="false" outlineLevel="0" collapsed="false">
      <c r="A642" s="12" t="s">
        <v>1422</v>
      </c>
      <c r="B642" s="12" t="s">
        <v>1395</v>
      </c>
      <c r="C642" s="12" t="s">
        <v>1396</v>
      </c>
      <c r="D642" s="12" t="s">
        <v>199</v>
      </c>
      <c r="E642" s="12" t="s">
        <v>577</v>
      </c>
      <c r="F642" s="13" t="n">
        <v>643365408</v>
      </c>
      <c r="G642" s="13" t="n">
        <v>772949641</v>
      </c>
      <c r="H642" s="14" t="n">
        <v>642036</v>
      </c>
      <c r="I642" s="14" t="n">
        <v>631799</v>
      </c>
      <c r="J642" s="15" t="n">
        <f aca="false">I642/H642</f>
        <v>0.984055411223047</v>
      </c>
      <c r="K642" s="16" t="n">
        <f aca="false">ROUND(I642*J642^($F$8-1),0)</f>
        <v>634148</v>
      </c>
      <c r="L642" s="16" t="n">
        <f aca="false">ROUND(I642*J642^($F$9-1),0)</f>
        <v>632327</v>
      </c>
      <c r="M642" s="17" t="n">
        <f aca="false">G642*$F$7</f>
        <v>744584117.111481</v>
      </c>
      <c r="N642" s="18" t="n">
        <f aca="false">F642/K642</f>
        <v>1014.53510536972</v>
      </c>
      <c r="O642" s="18" t="n">
        <f aca="false">G642/L642</f>
        <v>1222.3891135441</v>
      </c>
      <c r="P642" s="18" t="n">
        <f aca="false">M642/L642</f>
        <v>1177.53016573937</v>
      </c>
      <c r="Q642" s="19" t="n">
        <f aca="false">IF(N642=0,"n.a.",P642/N642-1)</f>
        <v>0.160659852485094</v>
      </c>
    </row>
    <row r="643" customFormat="false" ht="15" hidden="false" customHeight="false" outlineLevel="0" collapsed="false">
      <c r="A643" s="12" t="s">
        <v>1423</v>
      </c>
      <c r="B643" s="12" t="s">
        <v>1395</v>
      </c>
      <c r="C643" s="12" t="s">
        <v>1396</v>
      </c>
      <c r="D643" s="12" t="s">
        <v>208</v>
      </c>
      <c r="E643" s="12" t="s">
        <v>1424</v>
      </c>
      <c r="F643" s="13" t="n">
        <v>1415309</v>
      </c>
      <c r="G643" s="13" t="n">
        <v>1546794</v>
      </c>
      <c r="H643" s="14" t="n">
        <v>7026</v>
      </c>
      <c r="I643" s="14" t="n">
        <v>7607</v>
      </c>
      <c r="J643" s="15" t="n">
        <f aca="false">I643/H643</f>
        <v>1.08269285510959</v>
      </c>
      <c r="K643" s="16" t="n">
        <f aca="false">ROUND(I643*J643^($F$8-1),0)</f>
        <v>7469</v>
      </c>
      <c r="L643" s="16" t="n">
        <f aca="false">ROUND(I643*J643^($F$9-1),0)</f>
        <v>7576</v>
      </c>
      <c r="M643" s="17" t="n">
        <f aca="false">G643*$F$7</f>
        <v>1490030.11807251</v>
      </c>
      <c r="N643" s="18" t="n">
        <f aca="false">F643/K643</f>
        <v>189.491096532334</v>
      </c>
      <c r="O643" s="18" t="n">
        <f aca="false">G643/L643</f>
        <v>204.170274551214</v>
      </c>
      <c r="P643" s="18" t="n">
        <f aca="false">M643/L643</f>
        <v>196.677681899751</v>
      </c>
      <c r="Q643" s="19" t="n">
        <f aca="false">IF(N643=0,"n.a.",P643/N643-1)</f>
        <v>0.0379257152390315</v>
      </c>
    </row>
    <row r="644" customFormat="false" ht="15" hidden="false" customHeight="false" outlineLevel="0" collapsed="false">
      <c r="A644" s="12" t="s">
        <v>1425</v>
      </c>
      <c r="B644" s="12" t="s">
        <v>1395</v>
      </c>
      <c r="C644" s="12" t="s">
        <v>1396</v>
      </c>
      <c r="D644" s="12" t="s">
        <v>214</v>
      </c>
      <c r="E644" s="12" t="s">
        <v>167</v>
      </c>
      <c r="F644" s="13" t="n">
        <v>309224388</v>
      </c>
      <c r="G644" s="13" t="n">
        <v>404830800</v>
      </c>
      <c r="H644" s="14" t="n">
        <v>471395</v>
      </c>
      <c r="I644" s="14" t="n">
        <v>596176</v>
      </c>
      <c r="J644" s="15" t="n">
        <f aca="false">I644/H644</f>
        <v>1.26470581995991</v>
      </c>
      <c r="K644" s="16" t="n">
        <f aca="false">ROUND(I644*J644^($F$8-1),0)</f>
        <v>564712</v>
      </c>
      <c r="L644" s="16" t="n">
        <f aca="false">ROUND(I644*J644^($F$9-1),0)</f>
        <v>588945</v>
      </c>
      <c r="M644" s="17" t="n">
        <f aca="false">G644*$F$7</f>
        <v>389974414.643055</v>
      </c>
      <c r="N644" s="18" t="n">
        <f aca="false">F644/K644</f>
        <v>547.578921645016</v>
      </c>
      <c r="O644" s="18" t="n">
        <f aca="false">G644/L644</f>
        <v>687.383032371444</v>
      </c>
      <c r="P644" s="18" t="n">
        <f aca="false">M644/L644</f>
        <v>662.157611734636</v>
      </c>
      <c r="Q644" s="19" t="n">
        <f aca="false">IF(N644=0,"n.a.",P644/N644-1)</f>
        <v>0.209245983657309</v>
      </c>
    </row>
    <row r="645" customFormat="false" ht="15" hidden="false" customHeight="false" outlineLevel="0" collapsed="false">
      <c r="A645" s="12" t="s">
        <v>1426</v>
      </c>
      <c r="B645" s="12" t="s">
        <v>1395</v>
      </c>
      <c r="C645" s="12" t="s">
        <v>1396</v>
      </c>
      <c r="D645" s="12" t="s">
        <v>217</v>
      </c>
      <c r="E645" s="12" t="s">
        <v>1427</v>
      </c>
      <c r="F645" s="13" t="n">
        <v>5862678</v>
      </c>
      <c r="G645" s="13" t="n">
        <v>1744436</v>
      </c>
      <c r="H645" s="14" t="n">
        <v>5348</v>
      </c>
      <c r="I645" s="14" t="n">
        <v>6023</v>
      </c>
      <c r="J645" s="15" t="n">
        <f aca="false">I645/H645</f>
        <v>1.12621540762902</v>
      </c>
      <c r="K645" s="16" t="n">
        <f aca="false">ROUND(I645*J645^($F$8-1),0)</f>
        <v>5860</v>
      </c>
      <c r="L645" s="16" t="n">
        <f aca="false">ROUND(I645*J645^($F$9-1),0)</f>
        <v>5986</v>
      </c>
      <c r="M645" s="17" t="n">
        <f aca="false">G645*$F$7</f>
        <v>1680419.09850306</v>
      </c>
      <c r="N645" s="18" t="n">
        <f aca="false">F645/K645</f>
        <v>1000.45699658703</v>
      </c>
      <c r="O645" s="18" t="n">
        <f aca="false">G645/L645</f>
        <v>291.419311727364</v>
      </c>
      <c r="P645" s="18" t="n">
        <f aca="false">M645/L645</f>
        <v>280.724874457577</v>
      </c>
      <c r="Q645" s="19" t="n">
        <f aca="false">IF(N645=0,"n.a.",P645/N645-1)</f>
        <v>-0.719403357250491</v>
      </c>
    </row>
    <row r="646" customFormat="false" ht="15" hidden="false" customHeight="false" outlineLevel="0" collapsed="false">
      <c r="A646" s="12" t="s">
        <v>1428</v>
      </c>
      <c r="B646" s="12" t="s">
        <v>1395</v>
      </c>
      <c r="C646" s="12" t="s">
        <v>1396</v>
      </c>
      <c r="D646" s="12" t="s">
        <v>220</v>
      </c>
      <c r="E646" s="12" t="s">
        <v>1429</v>
      </c>
      <c r="F646" s="13" t="n">
        <v>25278883</v>
      </c>
      <c r="G646" s="13" t="n">
        <v>21893865</v>
      </c>
      <c r="H646" s="14" t="n">
        <v>84465</v>
      </c>
      <c r="I646" s="14" t="n">
        <v>85984</v>
      </c>
      <c r="J646" s="15" t="n">
        <f aca="false">I646/H646</f>
        <v>1.01798378026401</v>
      </c>
      <c r="K646" s="16" t="n">
        <f aca="false">ROUND(I646*J646^($F$8-1),0)</f>
        <v>85631</v>
      </c>
      <c r="L646" s="16" t="n">
        <f aca="false">ROUND(I646*J646^($F$9-1),0)</f>
        <v>85904</v>
      </c>
      <c r="M646" s="17" t="n">
        <f aca="false">G646*$F$7</f>
        <v>21090409.0984408</v>
      </c>
      <c r="N646" s="18" t="n">
        <f aca="false">F646/K646</f>
        <v>295.207144608845</v>
      </c>
      <c r="O646" s="18" t="n">
        <f aca="false">G646/L646</f>
        <v>254.864325293351</v>
      </c>
      <c r="P646" s="18" t="n">
        <f aca="false">M646/L646</f>
        <v>245.511374306677</v>
      </c>
      <c r="Q646" s="19" t="n">
        <f aca="false">IF(N646=0,"n.a.",P646/N646-1)</f>
        <v>-0.168342031044051</v>
      </c>
    </row>
    <row r="647" customFormat="false" ht="15" hidden="false" customHeight="false" outlineLevel="0" collapsed="false">
      <c r="A647" s="12" t="s">
        <v>1430</v>
      </c>
      <c r="B647" s="12" t="s">
        <v>1395</v>
      </c>
      <c r="C647" s="12" t="s">
        <v>1396</v>
      </c>
      <c r="D647" s="12" t="s">
        <v>232</v>
      </c>
      <c r="E647" s="12" t="s">
        <v>1431</v>
      </c>
      <c r="F647" s="13" t="n">
        <v>2163043</v>
      </c>
      <c r="G647" s="13" t="n">
        <v>7622039</v>
      </c>
      <c r="H647" s="14" t="n">
        <v>5995</v>
      </c>
      <c r="I647" s="14" t="n">
        <v>6772</v>
      </c>
      <c r="J647" s="15" t="n">
        <f aca="false">I647/H647</f>
        <v>1.12960800667223</v>
      </c>
      <c r="K647" s="16" t="n">
        <f aca="false">ROUND(I647*J647^($F$8-1),0)</f>
        <v>6584</v>
      </c>
      <c r="L647" s="16" t="n">
        <f aca="false">ROUND(I647*J647^($F$9-1),0)</f>
        <v>6729</v>
      </c>
      <c r="M647" s="17" t="n">
        <f aca="false">G647*$F$7</f>
        <v>7342327.20783976</v>
      </c>
      <c r="N647" s="18" t="n">
        <f aca="false">F647/K647</f>
        <v>328.530224787363</v>
      </c>
      <c r="O647" s="18" t="n">
        <f aca="false">G647/L647</f>
        <v>1132.71496507653</v>
      </c>
      <c r="P647" s="18" t="n">
        <f aca="false">M647/L647</f>
        <v>1091.14685805317</v>
      </c>
      <c r="Q647" s="19" t="n">
        <f aca="false">IF(N647=0,"n.a.",P647/N647-1)</f>
        <v>2.32129824207011</v>
      </c>
    </row>
    <row r="648" customFormat="false" ht="15" hidden="false" customHeight="false" outlineLevel="0" collapsed="false">
      <c r="A648" s="12" t="s">
        <v>1432</v>
      </c>
      <c r="B648" s="12" t="s">
        <v>1395</v>
      </c>
      <c r="C648" s="12" t="s">
        <v>1396</v>
      </c>
      <c r="D648" s="12" t="s">
        <v>235</v>
      </c>
      <c r="E648" s="12" t="s">
        <v>1433</v>
      </c>
      <c r="F648" s="13" t="n">
        <v>65799179</v>
      </c>
      <c r="G648" s="13" t="n">
        <v>81756728</v>
      </c>
      <c r="H648" s="14" t="n">
        <v>66649</v>
      </c>
      <c r="I648" s="14" t="n">
        <v>65714</v>
      </c>
      <c r="J648" s="15" t="n">
        <f aca="false">I648/H648</f>
        <v>0.985971282389833</v>
      </c>
      <c r="K648" s="16" t="n">
        <f aca="false">ROUND(I648*J648^($F$8-1),0)</f>
        <v>65929</v>
      </c>
      <c r="L648" s="16" t="n">
        <f aca="false">ROUND(I648*J648^($F$9-1),0)</f>
        <v>65762</v>
      </c>
      <c r="M648" s="17" t="n">
        <f aca="false">G648*$F$7</f>
        <v>78756438.8503332</v>
      </c>
      <c r="N648" s="18" t="n">
        <f aca="false">F648/K648</f>
        <v>998.03089687391</v>
      </c>
      <c r="O648" s="18" t="n">
        <f aca="false">G648/L648</f>
        <v>1243.2214348712</v>
      </c>
      <c r="P648" s="18" t="n">
        <f aca="false">M648/L648</f>
        <v>1197.59798744462</v>
      </c>
      <c r="Q648" s="19" t="n">
        <f aca="false">IF(N648=0,"n.a.",P648/N648-1)</f>
        <v>0.199960834074183</v>
      </c>
    </row>
    <row r="649" customFormat="false" ht="15" hidden="false" customHeight="false" outlineLevel="0" collapsed="false">
      <c r="A649" s="12" t="s">
        <v>1434</v>
      </c>
      <c r="B649" s="12" t="s">
        <v>1395</v>
      </c>
      <c r="C649" s="12" t="s">
        <v>1396</v>
      </c>
      <c r="D649" s="12" t="s">
        <v>317</v>
      </c>
      <c r="E649" s="12" t="s">
        <v>1435</v>
      </c>
      <c r="F649" s="13" t="n">
        <v>2575289502</v>
      </c>
      <c r="G649" s="13" t="n">
        <v>2865046124</v>
      </c>
      <c r="H649" s="14" t="n">
        <v>1138867</v>
      </c>
      <c r="I649" s="14" t="n">
        <v>1135843</v>
      </c>
      <c r="J649" s="15" t="n">
        <f aca="false">I649/H649</f>
        <v>0.9973447294548</v>
      </c>
      <c r="K649" s="16" t="n">
        <f aca="false">ROUND(I649*J649^($F$8-1),0)</f>
        <v>1136540</v>
      </c>
      <c r="L649" s="16" t="n">
        <f aca="false">ROUND(I649*J649^($F$9-1),0)</f>
        <v>1136000</v>
      </c>
      <c r="M649" s="17" t="n">
        <f aca="false">G649*$F$7</f>
        <v>2759905336.08671</v>
      </c>
      <c r="N649" s="18" t="n">
        <f aca="false">F649/K649</f>
        <v>2265.90309359987</v>
      </c>
      <c r="O649" s="18" t="n">
        <f aca="false">G649/L649</f>
        <v>2522.0476443662</v>
      </c>
      <c r="P649" s="18" t="n">
        <f aca="false">M649/L649</f>
        <v>2429.49413387915</v>
      </c>
      <c r="Q649" s="19" t="n">
        <f aca="false">IF(N649=0,"n.a.",P649/N649-1)</f>
        <v>0.0721968387533187</v>
      </c>
    </row>
    <row r="650" customFormat="false" ht="15" hidden="false" customHeight="false" outlineLevel="0" collapsed="false">
      <c r="A650" s="12" t="s">
        <v>1436</v>
      </c>
      <c r="B650" s="12" t="s">
        <v>1395</v>
      </c>
      <c r="C650" s="12" t="s">
        <v>1396</v>
      </c>
      <c r="D650" s="12" t="s">
        <v>323</v>
      </c>
      <c r="E650" s="12" t="s">
        <v>1437</v>
      </c>
      <c r="F650" s="13" t="n">
        <v>171007985</v>
      </c>
      <c r="G650" s="13" t="n">
        <v>158346670</v>
      </c>
      <c r="H650" s="14" t="n">
        <v>147587</v>
      </c>
      <c r="I650" s="14" t="n">
        <v>168251</v>
      </c>
      <c r="J650" s="15" t="n">
        <f aca="false">I650/H650</f>
        <v>1.14001233170943</v>
      </c>
      <c r="K650" s="16" t="n">
        <f aca="false">ROUND(I650*J650^($F$8-1),0)</f>
        <v>163237</v>
      </c>
      <c r="L650" s="16" t="n">
        <f aca="false">ROUND(I650*J650^($F$9-1),0)</f>
        <v>167109</v>
      </c>
      <c r="M650" s="17" t="n">
        <f aca="false">G650*$F$7</f>
        <v>152535701.196468</v>
      </c>
      <c r="N650" s="18" t="n">
        <f aca="false">F650/K650</f>
        <v>1047.60553673493</v>
      </c>
      <c r="O650" s="18" t="n">
        <f aca="false">G650/L650</f>
        <v>947.565182006954</v>
      </c>
      <c r="P650" s="18" t="n">
        <f aca="false">M650/L650</f>
        <v>912.791658118161</v>
      </c>
      <c r="Q650" s="19" t="n">
        <f aca="false">IF(N650=0,"n.a.",P650/N650-1)</f>
        <v>-0.128687634695922</v>
      </c>
    </row>
    <row r="651" customFormat="false" ht="15" hidden="false" customHeight="false" outlineLevel="0" collapsed="false">
      <c r="A651" s="12" t="s">
        <v>1438</v>
      </c>
      <c r="B651" s="12" t="s">
        <v>1395</v>
      </c>
      <c r="C651" s="12" t="s">
        <v>1396</v>
      </c>
      <c r="D651" s="12" t="s">
        <v>329</v>
      </c>
      <c r="E651" s="12" t="s">
        <v>1439</v>
      </c>
      <c r="F651" s="13" t="n">
        <v>13011670</v>
      </c>
      <c r="G651" s="13" t="n">
        <v>11428351</v>
      </c>
      <c r="H651" s="14" t="n">
        <v>34672</v>
      </c>
      <c r="I651" s="14" t="n">
        <v>35152</v>
      </c>
      <c r="J651" s="15" t="n">
        <f aca="false">I651/H651</f>
        <v>1.01384402399631</v>
      </c>
      <c r="K651" s="16" t="n">
        <f aca="false">ROUND(I651*J651^($F$8-1),0)</f>
        <v>35041</v>
      </c>
      <c r="L651" s="16" t="n">
        <f aca="false">ROUND(I651*J651^($F$9-1),0)</f>
        <v>35127</v>
      </c>
      <c r="M651" s="17" t="n">
        <f aca="false">G651*$F$7</f>
        <v>11008956.066486</v>
      </c>
      <c r="N651" s="18" t="n">
        <f aca="false">F651/K651</f>
        <v>371.327016923033</v>
      </c>
      <c r="O651" s="18" t="n">
        <f aca="false">G651/L651</f>
        <v>325.343781137017</v>
      </c>
      <c r="P651" s="18" t="n">
        <f aca="false">M651/L651</f>
        <v>313.404391678366</v>
      </c>
      <c r="Q651" s="19" t="n">
        <f aca="false">IF(N651=0,"n.a.",P651/N651-1)</f>
        <v>-0.155988179165193</v>
      </c>
    </row>
    <row r="652" customFormat="false" ht="15" hidden="false" customHeight="false" outlineLevel="0" collapsed="false">
      <c r="A652" s="12" t="s">
        <v>1440</v>
      </c>
      <c r="B652" s="12" t="s">
        <v>1395</v>
      </c>
      <c r="C652" s="12" t="s">
        <v>1396</v>
      </c>
      <c r="D652" s="12" t="s">
        <v>332</v>
      </c>
      <c r="E652" s="12" t="s">
        <v>1441</v>
      </c>
      <c r="F652" s="13" t="n">
        <v>212766485</v>
      </c>
      <c r="G652" s="13" t="n">
        <v>300135624</v>
      </c>
      <c r="H652" s="14" t="n">
        <v>86737</v>
      </c>
      <c r="I652" s="14" t="n">
        <v>124270</v>
      </c>
      <c r="J652" s="15" t="n">
        <f aca="false">I652/H652</f>
        <v>1.43272190645284</v>
      </c>
      <c r="K652" s="16" t="n">
        <f aca="false">ROUND(I652*J652^($F$8-1),0)</f>
        <v>114370</v>
      </c>
      <c r="L652" s="16" t="n">
        <f aca="false">ROUND(I652*J652^($F$9-1),0)</f>
        <v>121970</v>
      </c>
      <c r="M652" s="17" t="n">
        <f aca="false">G652*$F$7</f>
        <v>289121317.555206</v>
      </c>
      <c r="N652" s="18" t="n">
        <f aca="false">F652/K652</f>
        <v>1860.33474687418</v>
      </c>
      <c r="O652" s="18" t="n">
        <f aca="false">G652/L652</f>
        <v>2460.73316389276</v>
      </c>
      <c r="P652" s="18" t="n">
        <f aca="false">M652/L652</f>
        <v>2370.42975776999</v>
      </c>
      <c r="Q652" s="19" t="n">
        <f aca="false">IF(N652=0,"n.a.",P652/N652-1)</f>
        <v>0.274195282194721</v>
      </c>
    </row>
    <row r="653" customFormat="false" ht="15" hidden="false" customHeight="false" outlineLevel="0" collapsed="false">
      <c r="A653" s="12" t="s">
        <v>1442</v>
      </c>
      <c r="B653" s="12" t="s">
        <v>1395</v>
      </c>
      <c r="C653" s="12" t="s">
        <v>1396</v>
      </c>
      <c r="D653" s="12" t="s">
        <v>335</v>
      </c>
      <c r="E653" s="12" t="s">
        <v>1443</v>
      </c>
      <c r="F653" s="13" t="n">
        <v>566743700</v>
      </c>
      <c r="G653" s="13" t="n">
        <v>664855948</v>
      </c>
      <c r="H653" s="14" t="n">
        <v>411924</v>
      </c>
      <c r="I653" s="14" t="n">
        <v>382034</v>
      </c>
      <c r="J653" s="15" t="n">
        <f aca="false">I653/H653</f>
        <v>0.927438071100494</v>
      </c>
      <c r="K653" s="16" t="n">
        <f aca="false">ROUND(I653*J653^($F$8-1),0)</f>
        <v>388737</v>
      </c>
      <c r="L653" s="16" t="n">
        <f aca="false">ROUND(I653*J653^($F$9-1),0)</f>
        <v>383532</v>
      </c>
      <c r="M653" s="17" t="n">
        <f aca="false">G653*$F$7</f>
        <v>640457221.000115</v>
      </c>
      <c r="N653" s="18" t="n">
        <f aca="false">F653/K653</f>
        <v>1457.91036098956</v>
      </c>
      <c r="O653" s="18" t="n">
        <f aca="false">G653/L653</f>
        <v>1733.50841129293</v>
      </c>
      <c r="P653" s="18" t="n">
        <f aca="false">M653/L653</f>
        <v>1669.89252787281</v>
      </c>
      <c r="Q653" s="19" t="n">
        <f aca="false">IF(N653=0,"n.a.",P653/N653-1)</f>
        <v>0.145401372097639</v>
      </c>
    </row>
    <row r="654" customFormat="false" ht="15" hidden="false" customHeight="false" outlineLevel="0" collapsed="false">
      <c r="A654" s="12" t="s">
        <v>1444</v>
      </c>
      <c r="B654" s="12" t="s">
        <v>1395</v>
      </c>
      <c r="C654" s="12" t="s">
        <v>1396</v>
      </c>
      <c r="D654" s="12" t="s">
        <v>607</v>
      </c>
      <c r="E654" s="12" t="s">
        <v>161</v>
      </c>
      <c r="F654" s="13" t="n">
        <v>917169</v>
      </c>
      <c r="G654" s="13" t="n">
        <v>1141096</v>
      </c>
      <c r="H654" s="14" t="n">
        <v>16086</v>
      </c>
      <c r="I654" s="14" t="n">
        <v>17907</v>
      </c>
      <c r="J654" s="15" t="n">
        <f aca="false">I654/H654</f>
        <v>1.11320402834763</v>
      </c>
      <c r="K654" s="16" t="n">
        <f aca="false">ROUND(I654*J654^($F$8-1),0)</f>
        <v>17469</v>
      </c>
      <c r="L654" s="16" t="n">
        <f aca="false">ROUND(I654*J654^($F$9-1),0)</f>
        <v>17807</v>
      </c>
      <c r="M654" s="17" t="n">
        <f aca="false">G654*$F$7</f>
        <v>1099220.32773082</v>
      </c>
      <c r="N654" s="18" t="n">
        <f aca="false">F654/K654</f>
        <v>52.5026618581487</v>
      </c>
      <c r="O654" s="18" t="n">
        <f aca="false">G654/L654</f>
        <v>64.0813163362723</v>
      </c>
      <c r="P654" s="18" t="n">
        <f aca="false">M654/L654</f>
        <v>61.7296752811155</v>
      </c>
      <c r="Q654" s="19" t="n">
        <f aca="false">IF(N654=0,"n.a.",P654/N654-1)</f>
        <v>0.175743726058999</v>
      </c>
    </row>
    <row r="655" customFormat="false" ht="15" hidden="false" customHeight="false" outlineLevel="0" collapsed="false">
      <c r="A655" s="12" t="s">
        <v>1445</v>
      </c>
      <c r="B655" s="12" t="s">
        <v>1395</v>
      </c>
      <c r="C655" s="12" t="s">
        <v>1396</v>
      </c>
      <c r="D655" s="12" t="s">
        <v>338</v>
      </c>
      <c r="E655" s="12" t="s">
        <v>704</v>
      </c>
      <c r="F655" s="13" t="n">
        <v>425954061</v>
      </c>
      <c r="G655" s="13" t="n">
        <v>527895203</v>
      </c>
      <c r="H655" s="14" t="n">
        <v>306133</v>
      </c>
      <c r="I655" s="14" t="n">
        <v>308887</v>
      </c>
      <c r="J655" s="15" t="n">
        <f aca="false">I655/H655</f>
        <v>1.00899608993477</v>
      </c>
      <c r="K655" s="16" t="n">
        <f aca="false">ROUND(I655*J655^($F$8-1),0)</f>
        <v>308249</v>
      </c>
      <c r="L655" s="16" t="n">
        <f aca="false">ROUND(I655*J655^($F$9-1),0)</f>
        <v>308743</v>
      </c>
      <c r="M655" s="17" t="n">
        <f aca="false">G655*$F$7</f>
        <v>508522629.164583</v>
      </c>
      <c r="N655" s="18" t="n">
        <f aca="false">F655/K655</f>
        <v>1381.85058507895</v>
      </c>
      <c r="O655" s="18" t="n">
        <f aca="false">G655/L655</f>
        <v>1709.82079917601</v>
      </c>
      <c r="P655" s="18" t="n">
        <f aca="false">M655/L655</f>
        <v>1647.07419816671</v>
      </c>
      <c r="Q655" s="19" t="n">
        <f aca="false">IF(N655=0,"n.a.",P655/N655-1)</f>
        <v>0.191933640258659</v>
      </c>
    </row>
    <row r="656" customFormat="false" ht="15" hidden="false" customHeight="false" outlineLevel="0" collapsed="false">
      <c r="A656" s="12" t="s">
        <v>1446</v>
      </c>
      <c r="B656" s="12" t="s">
        <v>1395</v>
      </c>
      <c r="C656" s="12" t="s">
        <v>1396</v>
      </c>
      <c r="D656" s="12" t="s">
        <v>612</v>
      </c>
      <c r="E656" s="12" t="s">
        <v>1447</v>
      </c>
      <c r="F656" s="13" t="n">
        <v>288806224</v>
      </c>
      <c r="G656" s="13" t="n">
        <v>406407255</v>
      </c>
      <c r="H656" s="14" t="n">
        <v>46504</v>
      </c>
      <c r="I656" s="14" t="n">
        <v>52405</v>
      </c>
      <c r="J656" s="15" t="n">
        <f aca="false">I656/H656</f>
        <v>1.1268923103389</v>
      </c>
      <c r="K656" s="16" t="n">
        <f aca="false">ROUND(I656*J656^($F$8-1),0)</f>
        <v>50979</v>
      </c>
      <c r="L656" s="16" t="n">
        <f aca="false">ROUND(I656*J656^($F$9-1),0)</f>
        <v>52081</v>
      </c>
      <c r="M656" s="17" t="n">
        <f aca="false">G656*$F$7</f>
        <v>391493017.268735</v>
      </c>
      <c r="N656" s="18" t="n">
        <f aca="false">F656/K656</f>
        <v>5665.19986661174</v>
      </c>
      <c r="O656" s="18" t="n">
        <f aca="false">G656/L656</f>
        <v>7803.36888692613</v>
      </c>
      <c r="P656" s="18" t="n">
        <f aca="false">M656/L656</f>
        <v>7517.00269328037</v>
      </c>
      <c r="Q656" s="19" t="n">
        <f aca="false">IF(N656=0,"n.a.",P656/N656-1)</f>
        <v>0.326873344324947</v>
      </c>
    </row>
    <row r="657" customFormat="false" ht="15" hidden="false" customHeight="false" outlineLevel="0" collapsed="false">
      <c r="A657" s="12" t="s">
        <v>1448</v>
      </c>
      <c r="B657" s="12" t="s">
        <v>1395</v>
      </c>
      <c r="C657" s="12" t="s">
        <v>1396</v>
      </c>
      <c r="D657" s="12" t="s">
        <v>343</v>
      </c>
      <c r="E657" s="12" t="s">
        <v>1449</v>
      </c>
      <c r="F657" s="13" t="n">
        <v>2572518</v>
      </c>
      <c r="G657" s="13" t="n">
        <v>1731353</v>
      </c>
      <c r="H657" s="14" t="n">
        <v>3573</v>
      </c>
      <c r="I657" s="14" t="n">
        <v>3416</v>
      </c>
      <c r="J657" s="15" t="n">
        <f aca="false">I657/H657</f>
        <v>0.956059333893087</v>
      </c>
      <c r="K657" s="16" t="n">
        <f aca="false">ROUND(I657*J657^($F$8-1),0)</f>
        <v>3452</v>
      </c>
      <c r="L657" s="16" t="n">
        <f aca="false">ROUND(I657*J657^($F$9-1),0)</f>
        <v>3424</v>
      </c>
      <c r="M657" s="17" t="n">
        <f aca="false">G657*$F$7</f>
        <v>1667816.21535589</v>
      </c>
      <c r="N657" s="18" t="n">
        <f aca="false">F657/K657</f>
        <v>745.225376593279</v>
      </c>
      <c r="O657" s="18" t="n">
        <f aca="false">G657/L657</f>
        <v>505.652161214953</v>
      </c>
      <c r="P657" s="18" t="n">
        <f aca="false">M657/L657</f>
        <v>487.095857288519</v>
      </c>
      <c r="Q657" s="19" t="n">
        <f aca="false">IF(N657=0,"n.a.",P657/N657-1)</f>
        <v>-0.346377790413918</v>
      </c>
    </row>
    <row r="658" customFormat="false" ht="15" hidden="false" customHeight="false" outlineLevel="0" collapsed="false">
      <c r="A658" s="12" t="s">
        <v>1450</v>
      </c>
      <c r="B658" s="12" t="s">
        <v>1451</v>
      </c>
      <c r="C658" s="12" t="s">
        <v>1452</v>
      </c>
      <c r="D658" s="12" t="s">
        <v>46</v>
      </c>
      <c r="E658" s="12" t="s">
        <v>1453</v>
      </c>
      <c r="F658" s="13" t="n">
        <v>0</v>
      </c>
      <c r="G658" s="13" t="n">
        <v>0</v>
      </c>
      <c r="H658" s="14" t="n">
        <v>824</v>
      </c>
      <c r="I658" s="14" t="n">
        <v>704</v>
      </c>
      <c r="J658" s="15" t="n">
        <f aca="false">I658/H658</f>
        <v>0.854368932038835</v>
      </c>
      <c r="K658" s="16" t="n">
        <f aca="false">ROUND(I658*J658^($F$8-1),0)</f>
        <v>730</v>
      </c>
      <c r="L658" s="16" t="n">
        <f aca="false">ROUND(I658*J658^($F$9-1),0)</f>
        <v>710</v>
      </c>
      <c r="M658" s="17" t="n">
        <f aca="false">G658*$F$7</f>
        <v>0</v>
      </c>
      <c r="N658" s="18" t="n">
        <f aca="false">F658/K658</f>
        <v>0</v>
      </c>
      <c r="O658" s="18" t="n">
        <f aca="false">G658/L658</f>
        <v>0</v>
      </c>
      <c r="P658" s="18" t="n">
        <f aca="false">M658/L658</f>
        <v>0</v>
      </c>
      <c r="Q658" s="19" t="str">
        <f aca="false">IF(N658=0,"n.a.",P658/N658-1)</f>
        <v>n.a.</v>
      </c>
    </row>
    <row r="659" customFormat="false" ht="15" hidden="false" customHeight="false" outlineLevel="0" collapsed="false">
      <c r="A659" s="12" t="s">
        <v>1454</v>
      </c>
      <c r="B659" s="12" t="s">
        <v>1451</v>
      </c>
      <c r="C659" s="12" t="s">
        <v>1452</v>
      </c>
      <c r="D659" s="12" t="s">
        <v>48</v>
      </c>
      <c r="E659" s="12" t="s">
        <v>1455</v>
      </c>
      <c r="F659" s="13" t="n">
        <v>1568187</v>
      </c>
      <c r="G659" s="13" t="n">
        <v>1874517</v>
      </c>
      <c r="H659" s="14" t="n">
        <v>45147</v>
      </c>
      <c r="I659" s="14" t="n">
        <v>41551</v>
      </c>
      <c r="J659" s="15" t="n">
        <f aca="false">I659/H659</f>
        <v>0.920349081888055</v>
      </c>
      <c r="K659" s="16" t="n">
        <f aca="false">ROUND(I659*J659^($F$8-1),0)</f>
        <v>42355</v>
      </c>
      <c r="L659" s="16" t="n">
        <f aca="false">ROUND(I659*J659^($F$9-1),0)</f>
        <v>41731</v>
      </c>
      <c r="M659" s="17" t="n">
        <f aca="false">G659*$F$7</f>
        <v>1805726.41660036</v>
      </c>
      <c r="N659" s="18" t="n">
        <f aca="false">F659/K659</f>
        <v>37.0248376815016</v>
      </c>
      <c r="O659" s="18" t="n">
        <f aca="false">G659/L659</f>
        <v>44.9190529821955</v>
      </c>
      <c r="P659" s="18" t="n">
        <f aca="false">M659/L659</f>
        <v>43.2706241547137</v>
      </c>
      <c r="Q659" s="19" t="n">
        <f aca="false">IF(N659=0,"n.a.",P659/N659-1)</f>
        <v>0.168691798919961</v>
      </c>
    </row>
    <row r="660" customFormat="false" ht="15" hidden="false" customHeight="false" outlineLevel="0" collapsed="false">
      <c r="A660" s="12" t="s">
        <v>1456</v>
      </c>
      <c r="B660" s="12" t="s">
        <v>1451</v>
      </c>
      <c r="C660" s="12" t="s">
        <v>1452</v>
      </c>
      <c r="D660" s="12" t="s">
        <v>51</v>
      </c>
      <c r="E660" s="12" t="s">
        <v>1457</v>
      </c>
      <c r="F660" s="13" t="n">
        <v>0</v>
      </c>
      <c r="G660" s="13" t="n">
        <v>0</v>
      </c>
      <c r="H660" s="14" t="n">
        <v>2507</v>
      </c>
      <c r="I660" s="14" t="n">
        <v>2416</v>
      </c>
      <c r="J660" s="15" t="n">
        <f aca="false">I660/H660</f>
        <v>0.963701635420822</v>
      </c>
      <c r="K660" s="16" t="n">
        <f aca="false">ROUND(I660*J660^($F$8-1),0)</f>
        <v>2437</v>
      </c>
      <c r="L660" s="16" t="n">
        <f aca="false">ROUND(I660*J660^($F$9-1),0)</f>
        <v>2421</v>
      </c>
      <c r="M660" s="17" t="n">
        <f aca="false">G660*$F$7</f>
        <v>0</v>
      </c>
      <c r="N660" s="18" t="n">
        <f aca="false">F660/K660</f>
        <v>0</v>
      </c>
      <c r="O660" s="18" t="n">
        <f aca="false">G660/L660</f>
        <v>0</v>
      </c>
      <c r="P660" s="18" t="n">
        <f aca="false">M660/L660</f>
        <v>0</v>
      </c>
      <c r="Q660" s="19" t="str">
        <f aca="false">IF(N660=0,"n.a.",P660/N660-1)</f>
        <v>n.a.</v>
      </c>
    </row>
    <row r="661" customFormat="false" ht="15" hidden="false" customHeight="false" outlineLevel="0" collapsed="false">
      <c r="A661" s="12" t="s">
        <v>1458</v>
      </c>
      <c r="B661" s="12" t="s">
        <v>1451</v>
      </c>
      <c r="C661" s="12" t="s">
        <v>1452</v>
      </c>
      <c r="D661" s="12" t="s">
        <v>54</v>
      </c>
      <c r="E661" s="12" t="s">
        <v>1459</v>
      </c>
      <c r="F661" s="13" t="n">
        <v>3617</v>
      </c>
      <c r="G661" s="13" t="n">
        <v>1944</v>
      </c>
      <c r="H661" s="14" t="n">
        <v>1107</v>
      </c>
      <c r="I661" s="14" t="n">
        <v>960</v>
      </c>
      <c r="J661" s="15" t="n">
        <f aca="false">I661/H661</f>
        <v>0.867208672086721</v>
      </c>
      <c r="K661" s="16" t="n">
        <f aca="false">ROUND(I661*J661^($F$8-1),0)</f>
        <v>992</v>
      </c>
      <c r="L661" s="16" t="n">
        <f aca="false">ROUND(I661*J661^($F$9-1),0)</f>
        <v>967</v>
      </c>
      <c r="M661" s="17" t="n">
        <f aca="false">G661*$F$7</f>
        <v>1872.65954583025</v>
      </c>
      <c r="N661" s="18" t="n">
        <f aca="false">F661/K661</f>
        <v>3.64616935483871</v>
      </c>
      <c r="O661" s="18" t="n">
        <f aca="false">G661/L661</f>
        <v>2.01034126163392</v>
      </c>
      <c r="P661" s="18" t="n">
        <f aca="false">M661/L661</f>
        <v>1.93656623146872</v>
      </c>
      <c r="Q661" s="19" t="n">
        <f aca="false">IF(N661=0,"n.a.",P661/N661-1)</f>
        <v>-0.468876499414716</v>
      </c>
    </row>
    <row r="662" customFormat="false" ht="15" hidden="false" customHeight="false" outlineLevel="0" collapsed="false">
      <c r="A662" s="12" t="s">
        <v>1460</v>
      </c>
      <c r="B662" s="12" t="s">
        <v>1451</v>
      </c>
      <c r="C662" s="12" t="s">
        <v>1452</v>
      </c>
      <c r="D662" s="12" t="s">
        <v>57</v>
      </c>
      <c r="E662" s="12" t="s">
        <v>1461</v>
      </c>
      <c r="F662" s="13" t="n">
        <v>425223</v>
      </c>
      <c r="G662" s="13" t="n">
        <v>460881</v>
      </c>
      <c r="H662" s="14" t="n">
        <v>15183</v>
      </c>
      <c r="I662" s="14" t="n">
        <v>14314</v>
      </c>
      <c r="J662" s="15" t="n">
        <f aca="false">I662/H662</f>
        <v>0.942764934466179</v>
      </c>
      <c r="K662" s="16" t="n">
        <f aca="false">ROUND(I662*J662^($F$8-1),0)</f>
        <v>14510</v>
      </c>
      <c r="L662" s="16" t="n">
        <f aca="false">ROUND(I662*J662^($F$9-1),0)</f>
        <v>14358</v>
      </c>
      <c r="M662" s="17" t="n">
        <f aca="false">G662*$F$7</f>
        <v>443967.697603803</v>
      </c>
      <c r="N662" s="18" t="n">
        <f aca="false">F662/K662</f>
        <v>29.3055134390076</v>
      </c>
      <c r="O662" s="18" t="n">
        <f aca="false">G662/L662</f>
        <v>32.0992478061011</v>
      </c>
      <c r="P662" s="18" t="n">
        <f aca="false">M662/L662</f>
        <v>30.9212771697871</v>
      </c>
      <c r="Q662" s="19" t="n">
        <f aca="false">IF(N662=0,"n.a.",P662/N662-1)</f>
        <v>0.0551351449324493</v>
      </c>
    </row>
    <row r="663" customFormat="false" ht="15" hidden="false" customHeight="false" outlineLevel="0" collapsed="false">
      <c r="A663" s="12" t="s">
        <v>1462</v>
      </c>
      <c r="B663" s="12" t="s">
        <v>1451</v>
      </c>
      <c r="C663" s="12" t="s">
        <v>1452</v>
      </c>
      <c r="D663" s="12" t="s">
        <v>60</v>
      </c>
      <c r="E663" s="12" t="s">
        <v>1463</v>
      </c>
      <c r="F663" s="13" t="n">
        <v>4201131</v>
      </c>
      <c r="G663" s="13" t="n">
        <v>5424868</v>
      </c>
      <c r="H663" s="14" t="n">
        <v>20457</v>
      </c>
      <c r="I663" s="14" t="n">
        <v>21110</v>
      </c>
      <c r="J663" s="15" t="n">
        <f aca="false">I663/H663</f>
        <v>1.03192061397077</v>
      </c>
      <c r="K663" s="16" t="n">
        <f aca="false">ROUND(I663*J663^($F$8-1),0)</f>
        <v>20957</v>
      </c>
      <c r="L663" s="16" t="n">
        <f aca="false">ROUND(I663*J663^($F$9-1),0)</f>
        <v>21076</v>
      </c>
      <c r="M663" s="17" t="n">
        <f aca="false">G663*$F$7</f>
        <v>5225787.47174336</v>
      </c>
      <c r="N663" s="18" t="n">
        <f aca="false">F663/K663</f>
        <v>200.464331726869</v>
      </c>
      <c r="O663" s="18" t="n">
        <f aca="false">G663/L663</f>
        <v>257.395520971721</v>
      </c>
      <c r="P663" s="18" t="n">
        <f aca="false">M663/L663</f>
        <v>247.949680762163</v>
      </c>
      <c r="Q663" s="19" t="n">
        <f aca="false">IF(N663=0,"n.a.",P663/N663-1)</f>
        <v>0.236876798112855</v>
      </c>
    </row>
    <row r="664" customFormat="false" ht="15" hidden="false" customHeight="false" outlineLevel="0" collapsed="false">
      <c r="A664" s="12" t="s">
        <v>1464</v>
      </c>
      <c r="B664" s="12" t="s">
        <v>1451</v>
      </c>
      <c r="C664" s="12" t="s">
        <v>1452</v>
      </c>
      <c r="D664" s="12" t="s">
        <v>66</v>
      </c>
      <c r="E664" s="12" t="s">
        <v>1465</v>
      </c>
      <c r="F664" s="13" t="n">
        <v>960</v>
      </c>
      <c r="G664" s="13" t="n">
        <v>0</v>
      </c>
      <c r="H664" s="14" t="n">
        <v>734</v>
      </c>
      <c r="I664" s="14" t="n">
        <v>705</v>
      </c>
      <c r="J664" s="15" t="n">
        <f aca="false">I664/H664</f>
        <v>0.960490463215259</v>
      </c>
      <c r="K664" s="16" t="n">
        <f aca="false">ROUND(I664*J664^($F$8-1),0)</f>
        <v>712</v>
      </c>
      <c r="L664" s="16" t="n">
        <f aca="false">ROUND(I664*J664^($F$9-1),0)</f>
        <v>706</v>
      </c>
      <c r="M664" s="17" t="n">
        <f aca="false">G664*$F$7</f>
        <v>0</v>
      </c>
      <c r="N664" s="18" t="n">
        <f aca="false">F664/K664</f>
        <v>1.34831460674157</v>
      </c>
      <c r="O664" s="18" t="n">
        <f aca="false">G664/L664</f>
        <v>0</v>
      </c>
      <c r="P664" s="18" t="n">
        <f aca="false">M664/L664</f>
        <v>0</v>
      </c>
      <c r="Q664" s="19" t="n">
        <f aca="false">IF(N664=0,"n.a.",P664/N664-1)</f>
        <v>-1</v>
      </c>
    </row>
    <row r="665" customFormat="false" ht="15" hidden="false" customHeight="false" outlineLevel="0" collapsed="false">
      <c r="A665" s="12" t="s">
        <v>1466</v>
      </c>
      <c r="B665" s="12" t="s">
        <v>1451</v>
      </c>
      <c r="C665" s="12" t="s">
        <v>1452</v>
      </c>
      <c r="D665" s="12" t="s">
        <v>72</v>
      </c>
      <c r="E665" s="12" t="s">
        <v>1467</v>
      </c>
      <c r="F665" s="13" t="n">
        <v>22851</v>
      </c>
      <c r="G665" s="13" t="n">
        <v>7154</v>
      </c>
      <c r="H665" s="14" t="n">
        <v>13474</v>
      </c>
      <c r="I665" s="14" t="n">
        <v>13268</v>
      </c>
      <c r="J665" s="15" t="n">
        <f aca="false">I665/H665</f>
        <v>0.984711295829004</v>
      </c>
      <c r="K665" s="16" t="n">
        <f aca="false">ROUND(I665*J665^($F$8-1),0)</f>
        <v>13315</v>
      </c>
      <c r="L665" s="16" t="n">
        <f aca="false">ROUND(I665*J665^($F$9-1),0)</f>
        <v>13279</v>
      </c>
      <c r="M665" s="17" t="n">
        <f aca="false">G665*$F$7</f>
        <v>6891.46419283418</v>
      </c>
      <c r="N665" s="18" t="n">
        <f aca="false">F665/K665</f>
        <v>1.7161847540368</v>
      </c>
      <c r="O665" s="18" t="n">
        <f aca="false">G665/L665</f>
        <v>0.538745387453875</v>
      </c>
      <c r="P665" s="18" t="n">
        <f aca="false">M665/L665</f>
        <v>0.51897463610469</v>
      </c>
      <c r="Q665" s="19" t="n">
        <f aca="false">IF(N665=0,"n.a.",P665/N665-1)</f>
        <v>-0.697599786454249</v>
      </c>
    </row>
    <row r="666" customFormat="false" ht="15" hidden="false" customHeight="false" outlineLevel="0" collapsed="false">
      <c r="A666" s="12" t="s">
        <v>1468</v>
      </c>
      <c r="B666" s="12" t="s">
        <v>1451</v>
      </c>
      <c r="C666" s="12" t="s">
        <v>1452</v>
      </c>
      <c r="D666" s="12" t="s">
        <v>75</v>
      </c>
      <c r="E666" s="12" t="s">
        <v>1469</v>
      </c>
      <c r="F666" s="13" t="n">
        <v>25240</v>
      </c>
      <c r="G666" s="13" t="n">
        <v>9220</v>
      </c>
      <c r="H666" s="14" t="n">
        <v>1372</v>
      </c>
      <c r="I666" s="14" t="n">
        <v>1279</v>
      </c>
      <c r="J666" s="15" t="n">
        <f aca="false">I666/H666</f>
        <v>0.932215743440233</v>
      </c>
      <c r="K666" s="16" t="n">
        <f aca="false">ROUND(I666*J666^($F$8-1),0)</f>
        <v>1300</v>
      </c>
      <c r="L666" s="16" t="n">
        <f aca="false">ROUND(I666*J666^($F$9-1),0)</f>
        <v>1284</v>
      </c>
      <c r="M666" s="17" t="n">
        <f aca="false">G666*$F$7</f>
        <v>8881.64661139658</v>
      </c>
      <c r="N666" s="18" t="n">
        <f aca="false">F666/K666</f>
        <v>19.4153846153846</v>
      </c>
      <c r="O666" s="18" t="n">
        <f aca="false">G666/L666</f>
        <v>7.18068535825545</v>
      </c>
      <c r="P666" s="18" t="n">
        <f aca="false">M666/L666</f>
        <v>6.91717025809702</v>
      </c>
      <c r="Q666" s="19" t="n">
        <f aca="false">IF(N666=0,"n.a.",P666/N666-1)</f>
        <v>-0.643727363885652</v>
      </c>
    </row>
    <row r="667" customFormat="false" ht="15" hidden="false" customHeight="false" outlineLevel="0" collapsed="false">
      <c r="A667" s="12" t="s">
        <v>1470</v>
      </c>
      <c r="B667" s="12" t="s">
        <v>1451</v>
      </c>
      <c r="C667" s="12" t="s">
        <v>1452</v>
      </c>
      <c r="D667" s="12" t="s">
        <v>129</v>
      </c>
      <c r="E667" s="12" t="s">
        <v>1471</v>
      </c>
      <c r="F667" s="13" t="n">
        <v>15660</v>
      </c>
      <c r="G667" s="13" t="n">
        <v>19710</v>
      </c>
      <c r="H667" s="14" t="n">
        <v>11166</v>
      </c>
      <c r="I667" s="14" t="n">
        <v>10771</v>
      </c>
      <c r="J667" s="15" t="n">
        <f aca="false">I667/H667</f>
        <v>0.96462475371664</v>
      </c>
      <c r="K667" s="16" t="n">
        <f aca="false">ROUND(I667*J667^($F$8-1),0)</f>
        <v>10861</v>
      </c>
      <c r="L667" s="16" t="n">
        <f aca="false">ROUND(I667*J667^($F$9-1),0)</f>
        <v>10791</v>
      </c>
      <c r="M667" s="17" t="n">
        <f aca="false">G667*$F$7</f>
        <v>18986.6870618901</v>
      </c>
      <c r="N667" s="18" t="n">
        <f aca="false">F667/K667</f>
        <v>1.44185618267195</v>
      </c>
      <c r="O667" s="18" t="n">
        <f aca="false">G667/L667</f>
        <v>1.82652210175146</v>
      </c>
      <c r="P667" s="18" t="n">
        <f aca="false">M667/L667</f>
        <v>1.75949282382449</v>
      </c>
      <c r="Q667" s="19" t="n">
        <f aca="false">IF(N667=0,"n.a.",P667/N667-1)</f>
        <v>0.220297034454521</v>
      </c>
    </row>
    <row r="668" customFormat="false" ht="15" hidden="false" customHeight="false" outlineLevel="0" collapsed="false">
      <c r="A668" s="12" t="s">
        <v>1472</v>
      </c>
      <c r="B668" s="12" t="s">
        <v>1451</v>
      </c>
      <c r="C668" s="12" t="s">
        <v>1452</v>
      </c>
      <c r="D668" s="12" t="s">
        <v>132</v>
      </c>
      <c r="E668" s="12" t="s">
        <v>1473</v>
      </c>
      <c r="F668" s="13" t="n">
        <v>649943</v>
      </c>
      <c r="G668" s="13" t="n">
        <v>790931</v>
      </c>
      <c r="H668" s="14" t="n">
        <v>3043</v>
      </c>
      <c r="I668" s="14" t="n">
        <v>2888</v>
      </c>
      <c r="J668" s="15" t="n">
        <f aca="false">I668/H668</f>
        <v>0.949063424252383</v>
      </c>
      <c r="K668" s="16" t="n">
        <f aca="false">ROUND(I668*J668^($F$8-1),0)</f>
        <v>2923</v>
      </c>
      <c r="L668" s="16" t="n">
        <f aca="false">ROUND(I668*J668^($F$9-1),0)</f>
        <v>2896</v>
      </c>
      <c r="M668" s="17" t="n">
        <f aca="false">G668*$F$7</f>
        <v>761905.600433678</v>
      </c>
      <c r="N668" s="18" t="n">
        <f aca="false">F668/K668</f>
        <v>222.354772494013</v>
      </c>
      <c r="O668" s="18" t="n">
        <f aca="false">G668/L668</f>
        <v>273.111533149171</v>
      </c>
      <c r="P668" s="18" t="n">
        <f aca="false">M668/L668</f>
        <v>263.088950425994</v>
      </c>
      <c r="Q668" s="19" t="n">
        <f aca="false">IF(N668=0,"n.a.",P668/N668-1)</f>
        <v>0.183194529512864</v>
      </c>
    </row>
    <row r="669" customFormat="false" ht="15" hidden="false" customHeight="false" outlineLevel="0" collapsed="false">
      <c r="A669" s="12" t="s">
        <v>1474</v>
      </c>
      <c r="B669" s="12" t="s">
        <v>1451</v>
      </c>
      <c r="C669" s="12" t="s">
        <v>1452</v>
      </c>
      <c r="D669" s="12" t="s">
        <v>163</v>
      </c>
      <c r="E669" s="12" t="s">
        <v>1475</v>
      </c>
      <c r="F669" s="13" t="n">
        <v>1661997</v>
      </c>
      <c r="G669" s="13" t="n">
        <v>2976841</v>
      </c>
      <c r="H669" s="14" t="n">
        <v>28030</v>
      </c>
      <c r="I669" s="14" t="n">
        <v>27519</v>
      </c>
      <c r="J669" s="15" t="n">
        <f aca="false">I669/H669</f>
        <v>0.981769532643596</v>
      </c>
      <c r="K669" s="16" t="n">
        <f aca="false">ROUND(I669*J669^($F$8-1),0)</f>
        <v>27636</v>
      </c>
      <c r="L669" s="16" t="n">
        <f aca="false">ROUND(I669*J669^($F$9-1),0)</f>
        <v>27545</v>
      </c>
      <c r="M669" s="17" t="n">
        <f aca="false">G669*$F$7</f>
        <v>2867597.59005601</v>
      </c>
      <c r="N669" s="18" t="n">
        <f aca="false">F669/K669</f>
        <v>60.13884064264</v>
      </c>
      <c r="O669" s="18" t="n">
        <f aca="false">G669/L669</f>
        <v>108.071918678526</v>
      </c>
      <c r="P669" s="18" t="n">
        <f aca="false">M669/L669</f>
        <v>104.105920858813</v>
      </c>
      <c r="Q669" s="19" t="n">
        <f aca="false">IF(N669=0,"n.a.",P669/N669-1)</f>
        <v>0.731092913437365</v>
      </c>
    </row>
    <row r="670" customFormat="false" ht="15" hidden="false" customHeight="false" outlineLevel="0" collapsed="false">
      <c r="A670" s="12" t="s">
        <v>1476</v>
      </c>
      <c r="B670" s="12" t="s">
        <v>1451</v>
      </c>
      <c r="C670" s="12" t="s">
        <v>1452</v>
      </c>
      <c r="D670" s="12" t="s">
        <v>166</v>
      </c>
      <c r="E670" s="12" t="s">
        <v>1477</v>
      </c>
      <c r="F670" s="13" t="n">
        <v>27575</v>
      </c>
      <c r="G670" s="13" t="n">
        <v>9400</v>
      </c>
      <c r="H670" s="14" t="n">
        <v>5356</v>
      </c>
      <c r="I670" s="14" t="n">
        <v>5568</v>
      </c>
      <c r="J670" s="15" t="n">
        <f aca="false">I670/H670</f>
        <v>1.03958177744586</v>
      </c>
      <c r="K670" s="16" t="n">
        <f aca="false">ROUND(I670*J670^($F$8-1),0)</f>
        <v>5518</v>
      </c>
      <c r="L670" s="16" t="n">
        <f aca="false">ROUND(I670*J670^($F$9-1),0)</f>
        <v>5557</v>
      </c>
      <c r="M670" s="17" t="n">
        <f aca="false">G670*$F$7</f>
        <v>9055.04101378827</v>
      </c>
      <c r="N670" s="18" t="n">
        <f aca="false">F670/K670</f>
        <v>4.99728162377673</v>
      </c>
      <c r="O670" s="18" t="n">
        <f aca="false">G670/L670</f>
        <v>1.69156019434947</v>
      </c>
      <c r="P670" s="18" t="n">
        <f aca="false">M670/L670</f>
        <v>1.62948371671554</v>
      </c>
      <c r="Q670" s="19" t="n">
        <f aca="false">IF(N670=0,"n.a.",P670/N670-1)</f>
        <v>-0.67392597828336</v>
      </c>
    </row>
    <row r="671" customFormat="false" ht="15" hidden="false" customHeight="false" outlineLevel="0" collapsed="false">
      <c r="A671" s="12" t="s">
        <v>1478</v>
      </c>
      <c r="B671" s="12" t="s">
        <v>1451</v>
      </c>
      <c r="C671" s="12" t="s">
        <v>1452</v>
      </c>
      <c r="D671" s="12" t="s">
        <v>169</v>
      </c>
      <c r="E671" s="12" t="s">
        <v>1479</v>
      </c>
      <c r="F671" s="13" t="n">
        <v>16458</v>
      </c>
      <c r="G671" s="13" t="n">
        <v>1119</v>
      </c>
      <c r="H671" s="14" t="n">
        <v>9563</v>
      </c>
      <c r="I671" s="14" t="n">
        <v>9104</v>
      </c>
      <c r="J671" s="15" t="n">
        <f aca="false">I671/H671</f>
        <v>0.952002509672697</v>
      </c>
      <c r="K671" s="16" t="n">
        <f aca="false">ROUND(I671*J671^($F$8-1),0)</f>
        <v>9208</v>
      </c>
      <c r="L671" s="16" t="n">
        <f aca="false">ROUND(I671*J671^($F$9-1),0)</f>
        <v>9127</v>
      </c>
      <c r="M671" s="17" t="n">
        <f aca="false">G671*$F$7</f>
        <v>1077.93520153501</v>
      </c>
      <c r="N671" s="18" t="n">
        <f aca="false">F671/K671</f>
        <v>1.78735881841877</v>
      </c>
      <c r="O671" s="18" t="n">
        <f aca="false">G671/L671</f>
        <v>0.1226032650378</v>
      </c>
      <c r="P671" s="18" t="n">
        <f aca="false">M671/L671</f>
        <v>0.118103999291663</v>
      </c>
      <c r="Q671" s="19" t="n">
        <f aca="false">IF(N671=0,"n.a.",P671/N671-1)</f>
        <v>-0.933922613593533</v>
      </c>
    </row>
    <row r="672" customFormat="false" ht="15" hidden="false" customHeight="false" outlineLevel="0" collapsed="false">
      <c r="A672" s="12" t="s">
        <v>1480</v>
      </c>
      <c r="B672" s="12" t="s">
        <v>1451</v>
      </c>
      <c r="C672" s="12" t="s">
        <v>1452</v>
      </c>
      <c r="D672" s="12" t="s">
        <v>172</v>
      </c>
      <c r="E672" s="12" t="s">
        <v>1481</v>
      </c>
      <c r="F672" s="13" t="n">
        <v>10656</v>
      </c>
      <c r="G672" s="13" t="n">
        <v>18100</v>
      </c>
      <c r="H672" s="14" t="n">
        <v>3607</v>
      </c>
      <c r="I672" s="14" t="n">
        <v>3383</v>
      </c>
      <c r="J672" s="15" t="n">
        <f aca="false">I672/H672</f>
        <v>0.937898530634877</v>
      </c>
      <c r="K672" s="16" t="n">
        <f aca="false">ROUND(I672*J672^($F$8-1),0)</f>
        <v>3433</v>
      </c>
      <c r="L672" s="16" t="n">
        <f aca="false">ROUND(I672*J672^($F$9-1),0)</f>
        <v>3394</v>
      </c>
      <c r="M672" s="17" t="n">
        <f aca="false">G672*$F$7</f>
        <v>17435.77046272</v>
      </c>
      <c r="N672" s="18" t="n">
        <f aca="false">F672/K672</f>
        <v>3.10399067870667</v>
      </c>
      <c r="O672" s="18" t="n">
        <f aca="false">G672/L672</f>
        <v>5.33294048320566</v>
      </c>
      <c r="P672" s="18" t="n">
        <f aca="false">M672/L672</f>
        <v>5.13723348931054</v>
      </c>
      <c r="Q672" s="19" t="n">
        <f aca="false">IF(N672=0,"n.a.",P672/N672-1)</f>
        <v>0.655041532357646</v>
      </c>
    </row>
    <row r="673" customFormat="false" ht="15" hidden="false" customHeight="false" outlineLevel="0" collapsed="false">
      <c r="A673" s="12" t="s">
        <v>1482</v>
      </c>
      <c r="B673" s="12" t="s">
        <v>1451</v>
      </c>
      <c r="C673" s="12" t="s">
        <v>1452</v>
      </c>
      <c r="D673" s="12" t="s">
        <v>175</v>
      </c>
      <c r="E673" s="12" t="s">
        <v>1483</v>
      </c>
      <c r="F673" s="13" t="n">
        <v>54897</v>
      </c>
      <c r="G673" s="13" t="n">
        <v>41986</v>
      </c>
      <c r="H673" s="14" t="n">
        <v>752</v>
      </c>
      <c r="I673" s="14" t="n">
        <v>827</v>
      </c>
      <c r="J673" s="15" t="n">
        <f aca="false">I673/H673</f>
        <v>1.09973404255319</v>
      </c>
      <c r="K673" s="16" t="n">
        <f aca="false">ROUND(I673*J673^($F$8-1),0)</f>
        <v>809</v>
      </c>
      <c r="L673" s="16" t="n">
        <f aca="false">ROUND(I673*J673^($F$9-1),0)</f>
        <v>823</v>
      </c>
      <c r="M673" s="17" t="n">
        <f aca="false">G673*$F$7</f>
        <v>40445.2076600973</v>
      </c>
      <c r="N673" s="18" t="n">
        <f aca="false">F673/K673</f>
        <v>67.8578491965389</v>
      </c>
      <c r="O673" s="18" t="n">
        <f aca="false">G673/L673</f>
        <v>51.0157958687728</v>
      </c>
      <c r="P673" s="18" t="n">
        <f aca="false">M673/L673</f>
        <v>49.1436302066795</v>
      </c>
      <c r="Q673" s="19" t="n">
        <f aca="false">IF(N673=0,"n.a.",P673/N673-1)</f>
        <v>-0.275785619665851</v>
      </c>
    </row>
    <row r="674" customFormat="false" ht="15" hidden="false" customHeight="false" outlineLevel="0" collapsed="false">
      <c r="A674" s="12" t="s">
        <v>1484</v>
      </c>
      <c r="B674" s="12" t="s">
        <v>1451</v>
      </c>
      <c r="C674" s="12" t="s">
        <v>1452</v>
      </c>
      <c r="D674" s="12" t="s">
        <v>178</v>
      </c>
      <c r="E674" s="12" t="s">
        <v>1485</v>
      </c>
      <c r="F674" s="13" t="n">
        <v>338</v>
      </c>
      <c r="G674" s="13" t="n">
        <v>5000</v>
      </c>
      <c r="H674" s="14" t="n">
        <v>2729</v>
      </c>
      <c r="I674" s="14" t="n">
        <v>2485</v>
      </c>
      <c r="J674" s="15" t="n">
        <f aca="false">I674/H674</f>
        <v>0.910589959692195</v>
      </c>
      <c r="K674" s="16" t="n">
        <f aca="false">ROUND(I674*J674^($F$8-1),0)</f>
        <v>2539</v>
      </c>
      <c r="L674" s="16" t="n">
        <f aca="false">ROUND(I674*J674^($F$9-1),0)</f>
        <v>2497</v>
      </c>
      <c r="M674" s="17" t="n">
        <f aca="false">G674*$F$7</f>
        <v>4816.51117754695</v>
      </c>
      <c r="N674" s="18" t="n">
        <f aca="false">F674/K674</f>
        <v>0.133123276880662</v>
      </c>
      <c r="O674" s="18" t="n">
        <f aca="false">G674/L674</f>
        <v>2.00240288346015</v>
      </c>
      <c r="P674" s="18" t="n">
        <f aca="false">M674/L674</f>
        <v>1.92891917402761</v>
      </c>
      <c r="Q674" s="19" t="n">
        <f aca="false">IF(N674=0,"n.a.",P674/N674-1)</f>
        <v>13.4897212510536</v>
      </c>
    </row>
    <row r="675" customFormat="false" ht="15" hidden="false" customHeight="false" outlineLevel="0" collapsed="false">
      <c r="A675" s="12" t="s">
        <v>1486</v>
      </c>
      <c r="B675" s="12" t="s">
        <v>1451</v>
      </c>
      <c r="C675" s="12" t="s">
        <v>1452</v>
      </c>
      <c r="D675" s="12" t="s">
        <v>181</v>
      </c>
      <c r="E675" s="12" t="s">
        <v>1487</v>
      </c>
      <c r="F675" s="13" t="n">
        <v>240284</v>
      </c>
      <c r="G675" s="13" t="n">
        <v>232977</v>
      </c>
      <c r="H675" s="14" t="n">
        <v>4747</v>
      </c>
      <c r="I675" s="14" t="n">
        <v>4415</v>
      </c>
      <c r="J675" s="15" t="n">
        <f aca="false">I675/H675</f>
        <v>0.930061091215505</v>
      </c>
      <c r="K675" s="16" t="n">
        <f aca="false">ROUND(I675*J675^($F$8-1),0)</f>
        <v>4490</v>
      </c>
      <c r="L675" s="16" t="n">
        <f aca="false">ROUND(I675*J675^($F$9-1),0)</f>
        <v>4432</v>
      </c>
      <c r="M675" s="17" t="n">
        <f aca="false">G675*$F$7</f>
        <v>224427.264922271</v>
      </c>
      <c r="N675" s="18" t="n">
        <f aca="false">F675/K675</f>
        <v>53.5153674832962</v>
      </c>
      <c r="O675" s="18" t="n">
        <f aca="false">G675/L675</f>
        <v>52.5670126353791</v>
      </c>
      <c r="P675" s="18" t="n">
        <f aca="false">M675/L675</f>
        <v>50.637920785711</v>
      </c>
      <c r="Q675" s="19" t="n">
        <f aca="false">IF(N675=0,"n.a.",P675/N675-1)</f>
        <v>-0.0537686057838123</v>
      </c>
    </row>
    <row r="676" customFormat="false" ht="15" hidden="false" customHeight="false" outlineLevel="0" collapsed="false">
      <c r="A676" s="12" t="s">
        <v>1488</v>
      </c>
      <c r="B676" s="12" t="s">
        <v>1451</v>
      </c>
      <c r="C676" s="12" t="s">
        <v>1452</v>
      </c>
      <c r="D676" s="12" t="s">
        <v>184</v>
      </c>
      <c r="E676" s="12" t="s">
        <v>1489</v>
      </c>
      <c r="F676" s="13" t="n">
        <v>1551980</v>
      </c>
      <c r="G676" s="13" t="n">
        <v>626600</v>
      </c>
      <c r="H676" s="14" t="n">
        <v>14470</v>
      </c>
      <c r="I676" s="14" t="n">
        <v>13802</v>
      </c>
      <c r="J676" s="15" t="n">
        <f aca="false">I676/H676</f>
        <v>0.953835521769178</v>
      </c>
      <c r="K676" s="16" t="n">
        <f aca="false">ROUND(I676*J676^($F$8-1),0)</f>
        <v>13953</v>
      </c>
      <c r="L676" s="16" t="n">
        <f aca="false">ROUND(I676*J676^($F$9-1),0)</f>
        <v>13836</v>
      </c>
      <c r="M676" s="17" t="n">
        <f aca="false">G676*$F$7</f>
        <v>603605.180770184</v>
      </c>
      <c r="N676" s="18" t="n">
        <f aca="false">F676/K676</f>
        <v>111.229126352756</v>
      </c>
      <c r="O676" s="18" t="n">
        <f aca="false">G676/L676</f>
        <v>45.2876553917317</v>
      </c>
      <c r="P676" s="18" t="n">
        <f aca="false">M676/L676</f>
        <v>43.6256996798341</v>
      </c>
      <c r="Q676" s="19" t="n">
        <f aca="false">IF(N676=0,"n.a.",P676/N676-1)</f>
        <v>-0.607785288706862</v>
      </c>
    </row>
    <row r="677" customFormat="false" ht="15" hidden="false" customHeight="false" outlineLevel="0" collapsed="false">
      <c r="A677" s="12" t="s">
        <v>1490</v>
      </c>
      <c r="B677" s="12" t="s">
        <v>1451</v>
      </c>
      <c r="C677" s="12" t="s">
        <v>1452</v>
      </c>
      <c r="D677" s="12" t="s">
        <v>187</v>
      </c>
      <c r="E677" s="12" t="s">
        <v>1491</v>
      </c>
      <c r="F677" s="13" t="n">
        <v>77261</v>
      </c>
      <c r="G677" s="13" t="n">
        <v>106215</v>
      </c>
      <c r="H677" s="14" t="n">
        <v>760</v>
      </c>
      <c r="I677" s="14" t="n">
        <v>702</v>
      </c>
      <c r="J677" s="15" t="n">
        <f aca="false">I677/H677</f>
        <v>0.923684210526316</v>
      </c>
      <c r="K677" s="16" t="n">
        <f aca="false">ROUND(I677*J677^($F$8-1),0)</f>
        <v>715</v>
      </c>
      <c r="L677" s="16" t="n">
        <f aca="false">ROUND(I677*J677^($F$9-1),0)</f>
        <v>705</v>
      </c>
      <c r="M677" s="17" t="n">
        <f aca="false">G677*$F$7</f>
        <v>102317.14694463</v>
      </c>
      <c r="N677" s="18" t="n">
        <f aca="false">F677/K677</f>
        <v>108.057342657343</v>
      </c>
      <c r="O677" s="18" t="n">
        <f aca="false">G677/L677</f>
        <v>150.659574468085</v>
      </c>
      <c r="P677" s="18" t="n">
        <f aca="false">M677/L677</f>
        <v>145.130704886</v>
      </c>
      <c r="Q677" s="19" t="n">
        <f aca="false">IF(N677=0,"n.a.",P677/N677-1)</f>
        <v>0.343089708824503</v>
      </c>
    </row>
    <row r="678" customFormat="false" ht="15" hidden="false" customHeight="false" outlineLevel="0" collapsed="false">
      <c r="A678" s="12" t="s">
        <v>1492</v>
      </c>
      <c r="B678" s="12" t="s">
        <v>1451</v>
      </c>
      <c r="C678" s="12" t="s">
        <v>1452</v>
      </c>
      <c r="D678" s="12" t="s">
        <v>190</v>
      </c>
      <c r="E678" s="12" t="s">
        <v>1493</v>
      </c>
      <c r="F678" s="13" t="n">
        <v>1870048</v>
      </c>
      <c r="G678" s="13" t="n">
        <v>3402678</v>
      </c>
      <c r="H678" s="14" t="n">
        <v>26882</v>
      </c>
      <c r="I678" s="14" t="n">
        <v>33841</v>
      </c>
      <c r="J678" s="15" t="n">
        <f aca="false">I678/H678</f>
        <v>1.25887210773008</v>
      </c>
      <c r="K678" s="16" t="n">
        <f aca="false">ROUND(I678*J678^($F$8-1),0)</f>
        <v>32089</v>
      </c>
      <c r="L678" s="16" t="n">
        <f aca="false">ROUND(I678*J678^($F$9-1),0)</f>
        <v>33439</v>
      </c>
      <c r="M678" s="17" t="n">
        <f aca="false">G678*$F$7</f>
        <v>3277807.32411862</v>
      </c>
      <c r="N678" s="18" t="n">
        <f aca="false">F678/K678</f>
        <v>58.2769173236935</v>
      </c>
      <c r="O678" s="18" t="n">
        <f aca="false">G678/L678</f>
        <v>101.757767875834</v>
      </c>
      <c r="P678" s="18" t="n">
        <f aca="false">M678/L678</f>
        <v>98.0234852752361</v>
      </c>
      <c r="Q678" s="19" t="n">
        <f aca="false">IF(N678=0,"n.a.",P678/N678-1)</f>
        <v>0.682029348442956</v>
      </c>
    </row>
    <row r="679" customFormat="false" ht="15" hidden="false" customHeight="false" outlineLevel="0" collapsed="false">
      <c r="A679" s="12" t="s">
        <v>1494</v>
      </c>
      <c r="B679" s="12" t="s">
        <v>1451</v>
      </c>
      <c r="C679" s="12" t="s">
        <v>1452</v>
      </c>
      <c r="D679" s="12" t="s">
        <v>193</v>
      </c>
      <c r="E679" s="12" t="s">
        <v>1495</v>
      </c>
      <c r="F679" s="13" t="n">
        <v>73270</v>
      </c>
      <c r="G679" s="13" t="n">
        <v>17100</v>
      </c>
      <c r="H679" s="14" t="n">
        <v>3586</v>
      </c>
      <c r="I679" s="14" t="n">
        <v>3172</v>
      </c>
      <c r="J679" s="15" t="n">
        <f aca="false">I679/H679</f>
        <v>0.884551031790296</v>
      </c>
      <c r="K679" s="16" t="n">
        <f aca="false">ROUND(I679*J679^($F$8-1),0)</f>
        <v>3263</v>
      </c>
      <c r="L679" s="16" t="n">
        <f aca="false">ROUND(I679*J679^($F$9-1),0)</f>
        <v>3192</v>
      </c>
      <c r="M679" s="17" t="n">
        <f aca="false">G679*$F$7</f>
        <v>16472.4682272106</v>
      </c>
      <c r="N679" s="18" t="n">
        <f aca="false">F679/K679</f>
        <v>22.4547961998161</v>
      </c>
      <c r="O679" s="18" t="n">
        <f aca="false">G679/L679</f>
        <v>5.35714285714286</v>
      </c>
      <c r="P679" s="18" t="n">
        <f aca="false">M679/L679</f>
        <v>5.16054769022888</v>
      </c>
      <c r="Q679" s="19" t="n">
        <f aca="false">IF(N679=0,"n.a.",P679/N679-1)</f>
        <v>-0.77018060443269</v>
      </c>
    </row>
    <row r="680" customFormat="false" ht="15" hidden="false" customHeight="false" outlineLevel="0" collapsed="false">
      <c r="A680" s="12" t="s">
        <v>1496</v>
      </c>
      <c r="B680" s="12" t="s">
        <v>1451</v>
      </c>
      <c r="C680" s="12" t="s">
        <v>1452</v>
      </c>
      <c r="D680" s="12" t="s">
        <v>196</v>
      </c>
      <c r="E680" s="12" t="s">
        <v>1497</v>
      </c>
      <c r="F680" s="13" t="n">
        <v>207638</v>
      </c>
      <c r="G680" s="13" t="n">
        <v>271338</v>
      </c>
      <c r="H680" s="14" t="n">
        <v>11356</v>
      </c>
      <c r="I680" s="14" t="n">
        <v>10857</v>
      </c>
      <c r="J680" s="15" t="n">
        <f aca="false">I680/H680</f>
        <v>0.956058471292709</v>
      </c>
      <c r="K680" s="16" t="n">
        <f aca="false">ROUND(I680*J680^($F$8-1),0)</f>
        <v>10970</v>
      </c>
      <c r="L680" s="16" t="n">
        <f aca="false">ROUND(I680*J680^($F$9-1),0)</f>
        <v>10882</v>
      </c>
      <c r="M680" s="17" t="n">
        <f aca="false">G680*$F$7</f>
        <v>261380.501978647</v>
      </c>
      <c r="N680" s="18" t="n">
        <f aca="false">F680/K680</f>
        <v>18.9278030993619</v>
      </c>
      <c r="O680" s="18" t="n">
        <f aca="false">G680/L680</f>
        <v>24.9345708509465</v>
      </c>
      <c r="P680" s="18" t="n">
        <f aca="false">M680/L680</f>
        <v>24.0195278421841</v>
      </c>
      <c r="Q680" s="19" t="n">
        <f aca="false">IF(N680=0,"n.a.",P680/N680-1)</f>
        <v>0.269007698151394</v>
      </c>
    </row>
    <row r="681" customFormat="false" ht="15" hidden="false" customHeight="false" outlineLevel="0" collapsed="false">
      <c r="A681" s="12" t="s">
        <v>1498</v>
      </c>
      <c r="B681" s="12" t="s">
        <v>1451</v>
      </c>
      <c r="C681" s="12" t="s">
        <v>1452</v>
      </c>
      <c r="D681" s="12" t="s">
        <v>199</v>
      </c>
      <c r="E681" s="12" t="s">
        <v>1499</v>
      </c>
      <c r="F681" s="13" t="n">
        <v>112243</v>
      </c>
      <c r="G681" s="13" t="n">
        <v>200167</v>
      </c>
      <c r="H681" s="14" t="n">
        <v>8941</v>
      </c>
      <c r="I681" s="14" t="n">
        <v>9116</v>
      </c>
      <c r="J681" s="15" t="n">
        <f aca="false">I681/H681</f>
        <v>1.01957275472542</v>
      </c>
      <c r="K681" s="16" t="n">
        <f aca="false">ROUND(I681*J681^($F$8-1),0)</f>
        <v>9075</v>
      </c>
      <c r="L681" s="16" t="n">
        <f aca="false">ROUND(I681*J681^($F$9-1),0)</f>
        <v>9107</v>
      </c>
      <c r="M681" s="17" t="n">
        <f aca="false">G681*$F$7</f>
        <v>192821.318575208</v>
      </c>
      <c r="N681" s="18" t="n">
        <f aca="false">F681/K681</f>
        <v>12.3683746556474</v>
      </c>
      <c r="O681" s="18" t="n">
        <f aca="false">G681/L681</f>
        <v>21.9794663445701</v>
      </c>
      <c r="P681" s="18" t="n">
        <f aca="false">M681/L681</f>
        <v>21.1728690650278</v>
      </c>
      <c r="Q681" s="19" t="n">
        <f aca="false">IF(N681=0,"n.a.",P681/N681-1)</f>
        <v>0.711855409826245</v>
      </c>
    </row>
    <row r="682" customFormat="false" ht="15" hidden="false" customHeight="false" outlineLevel="0" collapsed="false">
      <c r="A682" s="12" t="s">
        <v>1500</v>
      </c>
      <c r="B682" s="12" t="s">
        <v>1451</v>
      </c>
      <c r="C682" s="12" t="s">
        <v>1452</v>
      </c>
      <c r="D682" s="12" t="s">
        <v>202</v>
      </c>
      <c r="E682" s="12" t="s">
        <v>1501</v>
      </c>
      <c r="F682" s="13" t="n">
        <v>0</v>
      </c>
      <c r="G682" s="13" t="n">
        <v>0</v>
      </c>
      <c r="H682" s="14" t="n">
        <v>2179</v>
      </c>
      <c r="I682" s="14" t="n">
        <v>1914</v>
      </c>
      <c r="J682" s="15" t="n">
        <f aca="false">I682/H682</f>
        <v>0.878384580082607</v>
      </c>
      <c r="K682" s="16" t="n">
        <f aca="false">ROUND(I682*J682^($F$8-1),0)</f>
        <v>1972</v>
      </c>
      <c r="L682" s="16" t="n">
        <f aca="false">ROUND(I682*J682^($F$9-1),0)</f>
        <v>1927</v>
      </c>
      <c r="M682" s="17" t="n">
        <f aca="false">G682*$F$7</f>
        <v>0</v>
      </c>
      <c r="N682" s="18" t="n">
        <f aca="false">F682/K682</f>
        <v>0</v>
      </c>
      <c r="O682" s="18" t="n">
        <f aca="false">G682/L682</f>
        <v>0</v>
      </c>
      <c r="P682" s="18" t="n">
        <f aca="false">M682/L682</f>
        <v>0</v>
      </c>
      <c r="Q682" s="19" t="str">
        <f aca="false">IF(N682=0,"n.a.",P682/N682-1)</f>
        <v>n.a.</v>
      </c>
    </row>
    <row r="683" customFormat="false" ht="15" hidden="false" customHeight="false" outlineLevel="0" collapsed="false">
      <c r="A683" s="12" t="s">
        <v>1502</v>
      </c>
      <c r="B683" s="12" t="s">
        <v>1451</v>
      </c>
      <c r="C683" s="12" t="s">
        <v>1452</v>
      </c>
      <c r="D683" s="12" t="s">
        <v>205</v>
      </c>
      <c r="E683" s="12" t="s">
        <v>1503</v>
      </c>
      <c r="F683" s="13" t="n">
        <v>2058506</v>
      </c>
      <c r="G683" s="13" t="n">
        <v>1897222</v>
      </c>
      <c r="H683" s="14" t="n">
        <v>23141</v>
      </c>
      <c r="I683" s="14" t="n">
        <v>21284</v>
      </c>
      <c r="J683" s="15" t="n">
        <f aca="false">I683/H683</f>
        <v>0.919752819670714</v>
      </c>
      <c r="K683" s="16" t="n">
        <f aca="false">ROUND(I683*J683^($F$8-1),0)</f>
        <v>21699</v>
      </c>
      <c r="L683" s="16" t="n">
        <f aca="false">ROUND(I683*J683^($F$9-1),0)</f>
        <v>21377</v>
      </c>
      <c r="M683" s="17" t="n">
        <f aca="false">G683*$F$7</f>
        <v>1827598.1938576</v>
      </c>
      <c r="N683" s="18" t="n">
        <f aca="false">F683/K683</f>
        <v>94.866399373243</v>
      </c>
      <c r="O683" s="18" t="n">
        <f aca="false">G683/L683</f>
        <v>88.7506198250456</v>
      </c>
      <c r="P683" s="18" t="n">
        <f aca="false">M683/L683</f>
        <v>85.4936704803105</v>
      </c>
      <c r="Q683" s="19" t="n">
        <f aca="false">IF(N683=0,"n.a.",P683/N683-1)</f>
        <v>-0.0987992477300254</v>
      </c>
    </row>
    <row r="684" customFormat="false" ht="15" hidden="false" customHeight="false" outlineLevel="0" collapsed="false">
      <c r="A684" s="12" t="s">
        <v>1504</v>
      </c>
      <c r="B684" s="12" t="s">
        <v>1451</v>
      </c>
      <c r="C684" s="12" t="s">
        <v>1452</v>
      </c>
      <c r="D684" s="12" t="s">
        <v>208</v>
      </c>
      <c r="E684" s="12" t="s">
        <v>1505</v>
      </c>
      <c r="F684" s="13" t="n">
        <v>0</v>
      </c>
      <c r="G684" s="13" t="n">
        <v>0</v>
      </c>
      <c r="H684" s="14" t="n">
        <v>4160</v>
      </c>
      <c r="I684" s="14" t="n">
        <v>3806</v>
      </c>
      <c r="J684" s="15" t="n">
        <f aca="false">I684/H684</f>
        <v>0.914903846153846</v>
      </c>
      <c r="K684" s="16" t="n">
        <f aca="false">ROUND(I684*J684^($F$8-1),0)</f>
        <v>3885</v>
      </c>
      <c r="L684" s="16" t="n">
        <f aca="false">ROUND(I684*J684^($F$9-1),0)</f>
        <v>3824</v>
      </c>
      <c r="M684" s="17" t="n">
        <f aca="false">G684*$F$7</f>
        <v>0</v>
      </c>
      <c r="N684" s="18" t="n">
        <f aca="false">F684/K684</f>
        <v>0</v>
      </c>
      <c r="O684" s="18" t="n">
        <f aca="false">G684/L684</f>
        <v>0</v>
      </c>
      <c r="P684" s="18" t="n">
        <f aca="false">M684/L684</f>
        <v>0</v>
      </c>
      <c r="Q684" s="19" t="str">
        <f aca="false">IF(N684=0,"n.a.",P684/N684-1)</f>
        <v>n.a.</v>
      </c>
    </row>
    <row r="685" customFormat="false" ht="15" hidden="false" customHeight="false" outlineLevel="0" collapsed="false">
      <c r="A685" s="12" t="s">
        <v>1506</v>
      </c>
      <c r="B685" s="12" t="s">
        <v>1451</v>
      </c>
      <c r="C685" s="12" t="s">
        <v>1452</v>
      </c>
      <c r="D685" s="12" t="s">
        <v>211</v>
      </c>
      <c r="E685" s="12" t="s">
        <v>1507</v>
      </c>
      <c r="F685" s="13" t="n">
        <v>2288044</v>
      </c>
      <c r="G685" s="13" t="n">
        <v>898645</v>
      </c>
      <c r="H685" s="14" t="n">
        <v>8730</v>
      </c>
      <c r="I685" s="14" t="n">
        <v>8461</v>
      </c>
      <c r="J685" s="15" t="n">
        <f aca="false">I685/H685</f>
        <v>0.969186712485682</v>
      </c>
      <c r="K685" s="16" t="n">
        <f aca="false">ROUND(I685*J685^($F$8-1),0)</f>
        <v>8522</v>
      </c>
      <c r="L685" s="16" t="n">
        <f aca="false">ROUND(I685*J685^($F$9-1),0)</f>
        <v>8475</v>
      </c>
      <c r="M685" s="17" t="n">
        <f aca="false">G685*$F$7</f>
        <v>865666.737429336</v>
      </c>
      <c r="N685" s="18" t="n">
        <f aca="false">F685/K685</f>
        <v>268.486740201831</v>
      </c>
      <c r="O685" s="18" t="n">
        <f aca="false">G685/L685</f>
        <v>106.034808259587</v>
      </c>
      <c r="P685" s="18" t="n">
        <f aca="false">M685/L685</f>
        <v>102.14356783827</v>
      </c>
      <c r="Q685" s="19" t="n">
        <f aca="false">IF(N685=0,"n.a.",P685/N685-1)</f>
        <v>-0.619558240524337</v>
      </c>
    </row>
    <row r="686" customFormat="false" ht="15" hidden="false" customHeight="false" outlineLevel="0" collapsed="false">
      <c r="A686" s="12" t="s">
        <v>1508</v>
      </c>
      <c r="B686" s="12" t="s">
        <v>1451</v>
      </c>
      <c r="C686" s="12" t="s">
        <v>1452</v>
      </c>
      <c r="D686" s="12" t="s">
        <v>214</v>
      </c>
      <c r="E686" s="12" t="s">
        <v>1509</v>
      </c>
      <c r="F686" s="13" t="n">
        <v>0</v>
      </c>
      <c r="G686" s="13" t="n">
        <v>0</v>
      </c>
      <c r="H686" s="14" t="n">
        <v>6975</v>
      </c>
      <c r="I686" s="14" t="n">
        <v>7509</v>
      </c>
      <c r="J686" s="15" t="n">
        <f aca="false">I686/H686</f>
        <v>1.07655913978495</v>
      </c>
      <c r="K686" s="16" t="n">
        <f aca="false">ROUND(I686*J686^($F$8-1),0)</f>
        <v>7382</v>
      </c>
      <c r="L686" s="16" t="n">
        <f aca="false">ROUND(I686*J686^($F$9-1),0)</f>
        <v>7480</v>
      </c>
      <c r="M686" s="17" t="n">
        <f aca="false">G686*$F$7</f>
        <v>0</v>
      </c>
      <c r="N686" s="18" t="n">
        <f aca="false">F686/K686</f>
        <v>0</v>
      </c>
      <c r="O686" s="18" t="n">
        <f aca="false">G686/L686</f>
        <v>0</v>
      </c>
      <c r="P686" s="18" t="n">
        <f aca="false">M686/L686</f>
        <v>0</v>
      </c>
      <c r="Q686" s="19" t="str">
        <f aca="false">IF(N686=0,"n.a.",P686/N686-1)</f>
        <v>n.a.</v>
      </c>
    </row>
    <row r="687" customFormat="false" ht="15" hidden="false" customHeight="false" outlineLevel="0" collapsed="false">
      <c r="A687" s="12" t="s">
        <v>1510</v>
      </c>
      <c r="B687" s="12" t="s">
        <v>1451</v>
      </c>
      <c r="C687" s="12" t="s">
        <v>1452</v>
      </c>
      <c r="D687" s="12" t="s">
        <v>217</v>
      </c>
      <c r="E687" s="12" t="s">
        <v>1511</v>
      </c>
      <c r="F687" s="13" t="n">
        <v>17245</v>
      </c>
      <c r="G687" s="13" t="n">
        <v>29235</v>
      </c>
      <c r="H687" s="14" t="n">
        <v>1077</v>
      </c>
      <c r="I687" s="14" t="n">
        <v>1011</v>
      </c>
      <c r="J687" s="15" t="n">
        <f aca="false">I687/H687</f>
        <v>0.938718662952646</v>
      </c>
      <c r="K687" s="16" t="n">
        <f aca="false">ROUND(I687*J687^($F$8-1),0)</f>
        <v>1026</v>
      </c>
      <c r="L687" s="16" t="n">
        <f aca="false">ROUND(I687*J687^($F$9-1),0)</f>
        <v>1014</v>
      </c>
      <c r="M687" s="17" t="n">
        <f aca="false">G687*$F$7</f>
        <v>28162.140855117</v>
      </c>
      <c r="N687" s="18" t="n">
        <f aca="false">F687/K687</f>
        <v>16.807992202729</v>
      </c>
      <c r="O687" s="18" t="n">
        <f aca="false">G687/L687</f>
        <v>28.8313609467456</v>
      </c>
      <c r="P687" s="18" t="n">
        <f aca="false">M687/L687</f>
        <v>27.7733144527781</v>
      </c>
      <c r="Q687" s="19" t="n">
        <f aca="false">IF(N687=0,"n.a.",P687/N687-1)</f>
        <v>0.652387395102949</v>
      </c>
    </row>
    <row r="688" customFormat="false" ht="15" hidden="false" customHeight="false" outlineLevel="0" collapsed="false">
      <c r="A688" s="12" t="s">
        <v>1512</v>
      </c>
      <c r="B688" s="12" t="s">
        <v>1451</v>
      </c>
      <c r="C688" s="12" t="s">
        <v>1452</v>
      </c>
      <c r="D688" s="12" t="s">
        <v>220</v>
      </c>
      <c r="E688" s="12" t="s">
        <v>1513</v>
      </c>
      <c r="F688" s="13" t="n">
        <v>542477</v>
      </c>
      <c r="G688" s="13" t="n">
        <v>703617</v>
      </c>
      <c r="H688" s="14" t="n">
        <v>2917</v>
      </c>
      <c r="I688" s="14" t="n">
        <v>2938</v>
      </c>
      <c r="J688" s="15" t="n">
        <f aca="false">I688/H688</f>
        <v>1.00719917723689</v>
      </c>
      <c r="K688" s="16" t="n">
        <f aca="false">ROUND(I688*J688^($F$8-1),0)</f>
        <v>2933</v>
      </c>
      <c r="L688" s="16" t="n">
        <f aca="false">ROUND(I688*J688^($F$9-1),0)</f>
        <v>2937</v>
      </c>
      <c r="M688" s="17" t="n">
        <f aca="false">G688*$F$7</f>
        <v>677795.829042411</v>
      </c>
      <c r="N688" s="18" t="n">
        <f aca="false">F688/K688</f>
        <v>184.956358677122</v>
      </c>
      <c r="O688" s="18" t="n">
        <f aca="false">G688/L688</f>
        <v>239.569969356486</v>
      </c>
      <c r="P688" s="18" t="n">
        <f aca="false">M688/L688</f>
        <v>230.778287042019</v>
      </c>
      <c r="Q688" s="19" t="n">
        <f aca="false">IF(N688=0,"n.a.",P688/N688-1)</f>
        <v>0.247744541969968</v>
      </c>
    </row>
    <row r="689" customFormat="false" ht="15" hidden="false" customHeight="false" outlineLevel="0" collapsed="false">
      <c r="A689" s="12" t="s">
        <v>1514</v>
      </c>
      <c r="B689" s="12" t="s">
        <v>1451</v>
      </c>
      <c r="C689" s="12" t="s">
        <v>1452</v>
      </c>
      <c r="D689" s="12" t="s">
        <v>223</v>
      </c>
      <c r="E689" s="12" t="s">
        <v>1515</v>
      </c>
      <c r="F689" s="13" t="n">
        <v>497</v>
      </c>
      <c r="G689" s="13" t="n">
        <v>2218</v>
      </c>
      <c r="H689" s="14" t="n">
        <v>1288</v>
      </c>
      <c r="I689" s="14" t="n">
        <v>1038</v>
      </c>
      <c r="J689" s="15" t="n">
        <f aca="false">I689/H689</f>
        <v>0.805900621118012</v>
      </c>
      <c r="K689" s="16" t="n">
        <f aca="false">ROUND(I689*J689^($F$8-1),0)</f>
        <v>1091</v>
      </c>
      <c r="L689" s="16" t="n">
        <f aca="false">ROUND(I689*J689^($F$9-1),0)</f>
        <v>1050</v>
      </c>
      <c r="M689" s="17" t="n">
        <f aca="false">G689*$F$7</f>
        <v>2136.60435835983</v>
      </c>
      <c r="N689" s="18" t="n">
        <f aca="false">F689/K689</f>
        <v>0.455545371219065</v>
      </c>
      <c r="O689" s="18" t="n">
        <f aca="false">G689/L689</f>
        <v>2.11238095238095</v>
      </c>
      <c r="P689" s="18" t="n">
        <f aca="false">M689/L689</f>
        <v>2.03486129367603</v>
      </c>
      <c r="Q689" s="19" t="n">
        <f aca="false">IF(N689=0,"n.a.",P689/N689-1)</f>
        <v>3.46686855412584</v>
      </c>
    </row>
    <row r="690" customFormat="false" ht="15" hidden="false" customHeight="false" outlineLevel="0" collapsed="false">
      <c r="A690" s="12" t="s">
        <v>1516</v>
      </c>
      <c r="B690" s="12" t="s">
        <v>1451</v>
      </c>
      <c r="C690" s="12" t="s">
        <v>1452</v>
      </c>
      <c r="D690" s="12" t="s">
        <v>226</v>
      </c>
      <c r="E690" s="12" t="s">
        <v>1517</v>
      </c>
      <c r="F690" s="13" t="n">
        <v>0</v>
      </c>
      <c r="G690" s="13" t="n">
        <v>0</v>
      </c>
      <c r="H690" s="14" t="n">
        <v>570</v>
      </c>
      <c r="I690" s="14" t="n">
        <v>551</v>
      </c>
      <c r="J690" s="15" t="n">
        <f aca="false">I690/H690</f>
        <v>0.966666666666667</v>
      </c>
      <c r="K690" s="16" t="n">
        <f aca="false">ROUND(I690*J690^($F$8-1),0)</f>
        <v>555</v>
      </c>
      <c r="L690" s="16" t="n">
        <f aca="false">ROUND(I690*J690^($F$9-1),0)</f>
        <v>552</v>
      </c>
      <c r="M690" s="17" t="n">
        <f aca="false">G690*$F$7</f>
        <v>0</v>
      </c>
      <c r="N690" s="18" t="n">
        <f aca="false">F690/K690</f>
        <v>0</v>
      </c>
      <c r="O690" s="18" t="n">
        <f aca="false">G690/L690</f>
        <v>0</v>
      </c>
      <c r="P690" s="18" t="n">
        <f aca="false">M690/L690</f>
        <v>0</v>
      </c>
      <c r="Q690" s="19" t="str">
        <f aca="false">IF(N690=0,"n.a.",P690/N690-1)</f>
        <v>n.a.</v>
      </c>
    </row>
    <row r="691" customFormat="false" ht="15" hidden="false" customHeight="false" outlineLevel="0" collapsed="false">
      <c r="A691" s="12" t="s">
        <v>1518</v>
      </c>
      <c r="B691" s="12" t="s">
        <v>1451</v>
      </c>
      <c r="C691" s="12" t="s">
        <v>1452</v>
      </c>
      <c r="D691" s="12" t="s">
        <v>229</v>
      </c>
      <c r="E691" s="12" t="s">
        <v>1519</v>
      </c>
      <c r="F691" s="13" t="n">
        <v>0</v>
      </c>
      <c r="G691" s="13" t="n">
        <v>0</v>
      </c>
      <c r="H691" s="14" t="n">
        <v>5242</v>
      </c>
      <c r="I691" s="14" t="n">
        <v>5504</v>
      </c>
      <c r="J691" s="15" t="n">
        <f aca="false">I691/H691</f>
        <v>1.04998092331171</v>
      </c>
      <c r="K691" s="16" t="n">
        <f aca="false">ROUND(I691*J691^($F$8-1),0)</f>
        <v>5442</v>
      </c>
      <c r="L691" s="16" t="n">
        <f aca="false">ROUND(I691*J691^($F$9-1),0)</f>
        <v>5490</v>
      </c>
      <c r="M691" s="17" t="n">
        <f aca="false">G691*$F$7</f>
        <v>0</v>
      </c>
      <c r="N691" s="18" t="n">
        <f aca="false">F691/K691</f>
        <v>0</v>
      </c>
      <c r="O691" s="18" t="n">
        <f aca="false">G691/L691</f>
        <v>0</v>
      </c>
      <c r="P691" s="18" t="n">
        <f aca="false">M691/L691</f>
        <v>0</v>
      </c>
      <c r="Q691" s="19" t="str">
        <f aca="false">IF(N691=0,"n.a.",P691/N691-1)</f>
        <v>n.a.</v>
      </c>
    </row>
    <row r="692" customFormat="false" ht="15" hidden="false" customHeight="false" outlineLevel="0" collapsed="false">
      <c r="A692" s="12" t="s">
        <v>1520</v>
      </c>
      <c r="B692" s="12" t="s">
        <v>1451</v>
      </c>
      <c r="C692" s="12" t="s">
        <v>1452</v>
      </c>
      <c r="D692" s="12" t="s">
        <v>232</v>
      </c>
      <c r="E692" s="12" t="s">
        <v>1521</v>
      </c>
      <c r="F692" s="13" t="n">
        <v>0</v>
      </c>
      <c r="G692" s="13" t="n">
        <v>0</v>
      </c>
      <c r="H692" s="14" t="n">
        <v>4371</v>
      </c>
      <c r="I692" s="14" t="n">
        <v>3915</v>
      </c>
      <c r="J692" s="15" t="n">
        <f aca="false">I692/H692</f>
        <v>0.895676046671242</v>
      </c>
      <c r="K692" s="16" t="n">
        <f aca="false">ROUND(I692*J692^($F$8-1),0)</f>
        <v>4016</v>
      </c>
      <c r="L692" s="16" t="n">
        <f aca="false">ROUND(I692*J692^($F$9-1),0)</f>
        <v>3937</v>
      </c>
      <c r="M692" s="17" t="n">
        <f aca="false">G692*$F$7</f>
        <v>0</v>
      </c>
      <c r="N692" s="18" t="n">
        <f aca="false">F692/K692</f>
        <v>0</v>
      </c>
      <c r="O692" s="18" t="n">
        <f aca="false">G692/L692</f>
        <v>0</v>
      </c>
      <c r="P692" s="18" t="n">
        <f aca="false">M692/L692</f>
        <v>0</v>
      </c>
      <c r="Q692" s="19" t="str">
        <f aca="false">IF(N692=0,"n.a.",P692/N692-1)</f>
        <v>n.a.</v>
      </c>
    </row>
    <row r="693" customFormat="false" ht="15" hidden="false" customHeight="false" outlineLevel="0" collapsed="false">
      <c r="A693" s="12" t="s">
        <v>1522</v>
      </c>
      <c r="B693" s="12" t="s">
        <v>1451</v>
      </c>
      <c r="C693" s="12" t="s">
        <v>1452</v>
      </c>
      <c r="D693" s="12" t="s">
        <v>235</v>
      </c>
      <c r="E693" s="12" t="s">
        <v>1523</v>
      </c>
      <c r="F693" s="13" t="n">
        <v>0</v>
      </c>
      <c r="G693" s="13" t="n">
        <v>0</v>
      </c>
      <c r="H693" s="14" t="n">
        <v>1858</v>
      </c>
      <c r="I693" s="14" t="n">
        <v>1647</v>
      </c>
      <c r="J693" s="15" t="n">
        <f aca="false">I693/H693</f>
        <v>0.886437029063509</v>
      </c>
      <c r="K693" s="16" t="n">
        <f aca="false">ROUND(I693*J693^($F$8-1),0)</f>
        <v>1693</v>
      </c>
      <c r="L693" s="16" t="n">
        <f aca="false">ROUND(I693*J693^($F$9-1),0)</f>
        <v>1657</v>
      </c>
      <c r="M693" s="17" t="n">
        <f aca="false">G693*$F$7</f>
        <v>0</v>
      </c>
      <c r="N693" s="18" t="n">
        <f aca="false">F693/K693</f>
        <v>0</v>
      </c>
      <c r="O693" s="18" t="n">
        <f aca="false">G693/L693</f>
        <v>0</v>
      </c>
      <c r="P693" s="18" t="n">
        <f aca="false">M693/L693</f>
        <v>0</v>
      </c>
      <c r="Q693" s="19" t="str">
        <f aca="false">IF(N693=0,"n.a.",P693/N693-1)</f>
        <v>n.a.</v>
      </c>
    </row>
    <row r="694" customFormat="false" ht="15" hidden="false" customHeight="false" outlineLevel="0" collapsed="false">
      <c r="A694" s="12" t="s">
        <v>1524</v>
      </c>
      <c r="B694" s="12" t="s">
        <v>1451</v>
      </c>
      <c r="C694" s="12" t="s">
        <v>1452</v>
      </c>
      <c r="D694" s="12" t="s">
        <v>317</v>
      </c>
      <c r="E694" s="12" t="s">
        <v>1525</v>
      </c>
      <c r="F694" s="13" t="n">
        <v>43218698</v>
      </c>
      <c r="G694" s="13" t="n">
        <v>34034083</v>
      </c>
      <c r="H694" s="14" t="n">
        <v>78144</v>
      </c>
      <c r="I694" s="14" t="n">
        <v>77394</v>
      </c>
      <c r="J694" s="15" t="n">
        <f aca="false">I694/H694</f>
        <v>0.990402334152334</v>
      </c>
      <c r="K694" s="16" t="n">
        <f aca="false">ROUND(I694*J694^($F$8-1),0)</f>
        <v>77567</v>
      </c>
      <c r="L694" s="16" t="n">
        <f aca="false">ROUND(I694*J694^($F$9-1),0)</f>
        <v>77433</v>
      </c>
      <c r="M694" s="17" t="n">
        <f aca="false">G694*$F$7</f>
        <v>32785108.2374121</v>
      </c>
      <c r="N694" s="18" t="n">
        <f aca="false">F694/K694</f>
        <v>557.178929183802</v>
      </c>
      <c r="O694" s="18" t="n">
        <f aca="false">G694/L694</f>
        <v>439.529438353157</v>
      </c>
      <c r="P694" s="18" t="n">
        <f aca="false">M694/L694</f>
        <v>423.399690537783</v>
      </c>
      <c r="Q694" s="19" t="n">
        <f aca="false">IF(N694=0,"n.a.",P694/N694-1)</f>
        <v>-0.240101036918229</v>
      </c>
    </row>
    <row r="695" customFormat="false" ht="15" hidden="false" customHeight="false" outlineLevel="0" collapsed="false">
      <c r="A695" s="12" t="s">
        <v>1526</v>
      </c>
      <c r="B695" s="12" t="s">
        <v>1451</v>
      </c>
      <c r="C695" s="12" t="s">
        <v>1452</v>
      </c>
      <c r="D695" s="12" t="s">
        <v>320</v>
      </c>
      <c r="E695" s="12" t="s">
        <v>1527</v>
      </c>
      <c r="F695" s="13" t="n">
        <v>9682</v>
      </c>
      <c r="G695" s="13" t="n">
        <v>0</v>
      </c>
      <c r="H695" s="14" t="n">
        <v>6385</v>
      </c>
      <c r="I695" s="14" t="n">
        <v>6060</v>
      </c>
      <c r="J695" s="15" t="n">
        <f aca="false">I695/H695</f>
        <v>0.949099451840251</v>
      </c>
      <c r="K695" s="16" t="n">
        <f aca="false">ROUND(I695*J695^($F$8-1),0)</f>
        <v>6134</v>
      </c>
      <c r="L695" s="16" t="n">
        <f aca="false">ROUND(I695*J695^($F$9-1),0)</f>
        <v>6076</v>
      </c>
      <c r="M695" s="17" t="n">
        <f aca="false">G695*$F$7</f>
        <v>0</v>
      </c>
      <c r="N695" s="18" t="n">
        <f aca="false">F695/K695</f>
        <v>1.57841538963156</v>
      </c>
      <c r="O695" s="18" t="n">
        <f aca="false">G695/L695</f>
        <v>0</v>
      </c>
      <c r="P695" s="18" t="n">
        <f aca="false">M695/L695</f>
        <v>0</v>
      </c>
      <c r="Q695" s="19" t="n">
        <f aca="false">IF(N695=0,"n.a.",P695/N695-1)</f>
        <v>-1</v>
      </c>
    </row>
    <row r="696" customFormat="false" ht="15" hidden="false" customHeight="false" outlineLevel="0" collapsed="false">
      <c r="A696" s="12" t="s">
        <v>1528</v>
      </c>
      <c r="B696" s="12" t="s">
        <v>1451</v>
      </c>
      <c r="C696" s="12" t="s">
        <v>1452</v>
      </c>
      <c r="D696" s="12" t="s">
        <v>323</v>
      </c>
      <c r="E696" s="12" t="s">
        <v>1529</v>
      </c>
      <c r="F696" s="13" t="n">
        <v>341565</v>
      </c>
      <c r="G696" s="13" t="n">
        <v>28488</v>
      </c>
      <c r="H696" s="14" t="n">
        <v>31689</v>
      </c>
      <c r="I696" s="14" t="n">
        <v>29084</v>
      </c>
      <c r="J696" s="15" t="n">
        <f aca="false">I696/H696</f>
        <v>0.91779481839124</v>
      </c>
      <c r="K696" s="16" t="n">
        <f aca="false">ROUND(I696*J696^($F$8-1),0)</f>
        <v>29666</v>
      </c>
      <c r="L696" s="16" t="n">
        <f aca="false">ROUND(I696*J696^($F$9-1),0)</f>
        <v>29214</v>
      </c>
      <c r="M696" s="17" t="n">
        <f aca="false">G696*$F$7</f>
        <v>27442.5540851915</v>
      </c>
      <c r="N696" s="18" t="n">
        <f aca="false">F696/K696</f>
        <v>11.5136857008023</v>
      </c>
      <c r="O696" s="18" t="n">
        <f aca="false">G696/L696</f>
        <v>0.975148901211748</v>
      </c>
      <c r="P696" s="18" t="n">
        <f aca="false">M696/L696</f>
        <v>0.939363116491802</v>
      </c>
      <c r="Q696" s="19" t="n">
        <f aca="false">IF(N696=0,"n.a.",P696/N696-1)</f>
        <v>-0.918413343832519</v>
      </c>
    </row>
    <row r="697" customFormat="false" ht="15" hidden="false" customHeight="false" outlineLevel="0" collapsed="false">
      <c r="A697" s="12" t="s">
        <v>1530</v>
      </c>
      <c r="B697" s="12" t="s">
        <v>1451</v>
      </c>
      <c r="C697" s="12" t="s">
        <v>1452</v>
      </c>
      <c r="D697" s="12" t="s">
        <v>326</v>
      </c>
      <c r="E697" s="12" t="s">
        <v>1531</v>
      </c>
      <c r="F697" s="13" t="n">
        <v>39620</v>
      </c>
      <c r="G697" s="13" t="n">
        <v>47052</v>
      </c>
      <c r="H697" s="14" t="n">
        <v>8335</v>
      </c>
      <c r="I697" s="14" t="n">
        <v>8318</v>
      </c>
      <c r="J697" s="15" t="n">
        <f aca="false">I697/H697</f>
        <v>0.997960407918416</v>
      </c>
      <c r="K697" s="16" t="n">
        <f aca="false">ROUND(I697*J697^($F$8-1),0)</f>
        <v>8322</v>
      </c>
      <c r="L697" s="16" t="n">
        <f aca="false">ROUND(I697*J697^($F$9-1),0)</f>
        <v>8319</v>
      </c>
      <c r="M697" s="17" t="n">
        <f aca="false">G697*$F$7</f>
        <v>45325.2967851878</v>
      </c>
      <c r="N697" s="18" t="n">
        <f aca="false">F697/K697</f>
        <v>4.76087478971401</v>
      </c>
      <c r="O697" s="18" t="n">
        <f aca="false">G697/L697</f>
        <v>5.65596826541652</v>
      </c>
      <c r="P697" s="18" t="n">
        <f aca="false">M697/L697</f>
        <v>5.4484068740459</v>
      </c>
      <c r="Q697" s="19" t="n">
        <f aca="false">IF(N697=0,"n.a.",P697/N697-1)</f>
        <v>0.144412973392478</v>
      </c>
    </row>
    <row r="698" customFormat="false" ht="15" hidden="false" customHeight="false" outlineLevel="0" collapsed="false">
      <c r="A698" s="12" t="s">
        <v>1532</v>
      </c>
      <c r="B698" s="12" t="s">
        <v>1451</v>
      </c>
      <c r="C698" s="12" t="s">
        <v>1452</v>
      </c>
      <c r="D698" s="12" t="s">
        <v>329</v>
      </c>
      <c r="E698" s="12" t="s">
        <v>1533</v>
      </c>
      <c r="F698" s="13" t="n">
        <v>3936755</v>
      </c>
      <c r="G698" s="13" t="n">
        <v>4656103</v>
      </c>
      <c r="H698" s="14" t="n">
        <v>40795</v>
      </c>
      <c r="I698" s="14" t="n">
        <v>41048</v>
      </c>
      <c r="J698" s="15" t="n">
        <f aca="false">I698/H698</f>
        <v>1.00620174040936</v>
      </c>
      <c r="K698" s="16" t="n">
        <f aca="false">ROUND(I698*J698^($F$8-1),0)</f>
        <v>40989</v>
      </c>
      <c r="L698" s="16" t="n">
        <f aca="false">ROUND(I698*J698^($F$9-1),0)</f>
        <v>41035</v>
      </c>
      <c r="M698" s="17" t="n">
        <f aca="false">G698*$F$7</f>
        <v>4485234.42866198</v>
      </c>
      <c r="N698" s="18" t="n">
        <f aca="false">F698/K698</f>
        <v>96.0441825855717</v>
      </c>
      <c r="O698" s="18" t="n">
        <f aca="false">G698/L698</f>
        <v>113.466626050932</v>
      </c>
      <c r="P698" s="18" t="n">
        <f aca="false">M698/L698</f>
        <v>109.302654530571</v>
      </c>
      <c r="Q698" s="19" t="n">
        <f aca="false">IF(N698=0,"n.a.",P698/N698-1)</f>
        <v>0.138045549330241</v>
      </c>
    </row>
    <row r="699" customFormat="false" ht="15" hidden="false" customHeight="false" outlineLevel="0" collapsed="false">
      <c r="A699" s="12" t="s">
        <v>1534</v>
      </c>
      <c r="B699" s="12" t="s">
        <v>1451</v>
      </c>
      <c r="C699" s="12" t="s">
        <v>1452</v>
      </c>
      <c r="D699" s="12" t="s">
        <v>332</v>
      </c>
      <c r="E699" s="12" t="s">
        <v>1535</v>
      </c>
      <c r="F699" s="13" t="n">
        <v>1125672</v>
      </c>
      <c r="G699" s="13" t="n">
        <v>899721</v>
      </c>
      <c r="H699" s="14" t="n">
        <v>7888</v>
      </c>
      <c r="I699" s="14" t="n">
        <v>8649</v>
      </c>
      <c r="J699" s="15" t="n">
        <f aca="false">I699/H699</f>
        <v>1.09647565922921</v>
      </c>
      <c r="K699" s="16" t="n">
        <f aca="false">ROUND(I699*J699^($F$8-1),0)</f>
        <v>8467</v>
      </c>
      <c r="L699" s="16" t="n">
        <f aca="false">ROUND(I699*J699^($F$9-1),0)</f>
        <v>8608</v>
      </c>
      <c r="M699" s="17" t="n">
        <f aca="false">G699*$F$7</f>
        <v>866703.250634744</v>
      </c>
      <c r="N699" s="18" t="n">
        <f aca="false">F699/K699</f>
        <v>132.948151647573</v>
      </c>
      <c r="O699" s="18" t="n">
        <f aca="false">G699/L699</f>
        <v>104.521491635688</v>
      </c>
      <c r="P699" s="18" t="n">
        <f aca="false">M699/L699</f>
        <v>100.685786551434</v>
      </c>
      <c r="Q699" s="19" t="n">
        <f aca="false">IF(N699=0,"n.a.",P699/N699-1)</f>
        <v>-0.242668774979753</v>
      </c>
    </row>
    <row r="700" customFormat="false" ht="15" hidden="false" customHeight="false" outlineLevel="0" collapsed="false">
      <c r="A700" s="12" t="s">
        <v>1536</v>
      </c>
      <c r="B700" s="12" t="s">
        <v>1451</v>
      </c>
      <c r="C700" s="12" t="s">
        <v>1452</v>
      </c>
      <c r="D700" s="12" t="s">
        <v>335</v>
      </c>
      <c r="E700" s="12" t="s">
        <v>1537</v>
      </c>
      <c r="F700" s="13" t="n">
        <v>0</v>
      </c>
      <c r="G700" s="13" t="n">
        <v>0</v>
      </c>
      <c r="H700" s="14" t="n">
        <v>2939</v>
      </c>
      <c r="I700" s="14" t="n">
        <v>2860</v>
      </c>
      <c r="J700" s="15" t="n">
        <f aca="false">I700/H700</f>
        <v>0.973120108880572</v>
      </c>
      <c r="K700" s="16" t="n">
        <f aca="false">ROUND(I700*J700^($F$8-1),0)</f>
        <v>2878</v>
      </c>
      <c r="L700" s="16" t="n">
        <f aca="false">ROUND(I700*J700^($F$9-1),0)</f>
        <v>2864</v>
      </c>
      <c r="M700" s="17" t="n">
        <f aca="false">G700*$F$7</f>
        <v>0</v>
      </c>
      <c r="N700" s="18" t="n">
        <f aca="false">F700/K700</f>
        <v>0</v>
      </c>
      <c r="O700" s="18" t="n">
        <f aca="false">G700/L700</f>
        <v>0</v>
      </c>
      <c r="P700" s="18" t="n">
        <f aca="false">M700/L700</f>
        <v>0</v>
      </c>
      <c r="Q700" s="19" t="str">
        <f aca="false">IF(N700=0,"n.a.",P700/N700-1)</f>
        <v>n.a.</v>
      </c>
    </row>
    <row r="701" customFormat="false" ht="15" hidden="false" customHeight="false" outlineLevel="0" collapsed="false">
      <c r="A701" s="12" t="s">
        <v>1538</v>
      </c>
      <c r="B701" s="12" t="s">
        <v>1451</v>
      </c>
      <c r="C701" s="12" t="s">
        <v>1452</v>
      </c>
      <c r="D701" s="12" t="s">
        <v>607</v>
      </c>
      <c r="E701" s="12" t="s">
        <v>1539</v>
      </c>
      <c r="F701" s="13" t="n">
        <v>17538</v>
      </c>
      <c r="G701" s="13" t="n">
        <v>22070</v>
      </c>
      <c r="H701" s="14" t="n">
        <v>81</v>
      </c>
      <c r="I701" s="14" t="n">
        <v>84</v>
      </c>
      <c r="J701" s="15" t="n">
        <f aca="false">I701/H701</f>
        <v>1.03703703703704</v>
      </c>
      <c r="K701" s="16" t="n">
        <f aca="false">ROUND(I701*J701^($F$8-1),0)</f>
        <v>83</v>
      </c>
      <c r="L701" s="16" t="n">
        <f aca="false">ROUND(I701*J701^($F$9-1),0)</f>
        <v>84</v>
      </c>
      <c r="M701" s="17" t="n">
        <f aca="false">G701*$F$7</f>
        <v>21260.0803376922</v>
      </c>
      <c r="N701" s="18" t="n">
        <f aca="false">F701/K701</f>
        <v>211.301204819277</v>
      </c>
      <c r="O701" s="18" t="n">
        <f aca="false">G701/L701</f>
        <v>262.738095238095</v>
      </c>
      <c r="P701" s="18" t="n">
        <f aca="false">M701/L701</f>
        <v>253.096194496336</v>
      </c>
      <c r="Q701" s="19" t="n">
        <f aca="false">IF(N701=0,"n.a.",P701/N701-1)</f>
        <v>0.197798160747857</v>
      </c>
    </row>
    <row r="702" customFormat="false" ht="15" hidden="false" customHeight="false" outlineLevel="0" collapsed="false">
      <c r="A702" s="12" t="s">
        <v>1540</v>
      </c>
      <c r="B702" s="12" t="s">
        <v>1451</v>
      </c>
      <c r="C702" s="12" t="s">
        <v>1452</v>
      </c>
      <c r="D702" s="12" t="s">
        <v>338</v>
      </c>
      <c r="E702" s="12" t="s">
        <v>1541</v>
      </c>
      <c r="F702" s="13" t="n">
        <v>0</v>
      </c>
      <c r="G702" s="13" t="n">
        <v>0</v>
      </c>
      <c r="H702" s="14" t="n">
        <v>1433</v>
      </c>
      <c r="I702" s="14" t="n">
        <v>1292</v>
      </c>
      <c r="J702" s="15" t="n">
        <f aca="false">I702/H702</f>
        <v>0.901605024424285</v>
      </c>
      <c r="K702" s="16" t="n">
        <f aca="false">ROUND(I702*J702^($F$8-1),0)</f>
        <v>1323</v>
      </c>
      <c r="L702" s="16" t="n">
        <f aca="false">ROUND(I702*J702^($F$9-1),0)</f>
        <v>1299</v>
      </c>
      <c r="M702" s="17" t="n">
        <f aca="false">G702*$F$7</f>
        <v>0</v>
      </c>
      <c r="N702" s="18" t="n">
        <f aca="false">F702/K702</f>
        <v>0</v>
      </c>
      <c r="O702" s="18" t="n">
        <f aca="false">G702/L702</f>
        <v>0</v>
      </c>
      <c r="P702" s="18" t="n">
        <f aca="false">M702/L702</f>
        <v>0</v>
      </c>
      <c r="Q702" s="19" t="str">
        <f aca="false">IF(N702=0,"n.a.",P702/N702-1)</f>
        <v>n.a.</v>
      </c>
    </row>
    <row r="703" customFormat="false" ht="15" hidden="false" customHeight="false" outlineLevel="0" collapsed="false">
      <c r="A703" s="12" t="s">
        <v>1542</v>
      </c>
      <c r="B703" s="12" t="s">
        <v>1451</v>
      </c>
      <c r="C703" s="12" t="s">
        <v>1452</v>
      </c>
      <c r="D703" s="12" t="s">
        <v>612</v>
      </c>
      <c r="E703" s="12" t="s">
        <v>1543</v>
      </c>
      <c r="F703" s="13" t="n">
        <v>5315</v>
      </c>
      <c r="G703" s="13" t="n">
        <v>0</v>
      </c>
      <c r="H703" s="14" t="n">
        <v>1184</v>
      </c>
      <c r="I703" s="14" t="n">
        <v>1174</v>
      </c>
      <c r="J703" s="15" t="n">
        <f aca="false">I703/H703</f>
        <v>0.991554054054054</v>
      </c>
      <c r="K703" s="16" t="n">
        <f aca="false">ROUND(I703*J703^($F$8-1),0)</f>
        <v>1176</v>
      </c>
      <c r="L703" s="16" t="n">
        <f aca="false">ROUND(I703*J703^($F$9-1),0)</f>
        <v>1175</v>
      </c>
      <c r="M703" s="17" t="n">
        <f aca="false">G703*$F$7</f>
        <v>0</v>
      </c>
      <c r="N703" s="18" t="n">
        <f aca="false">F703/K703</f>
        <v>4.51955782312925</v>
      </c>
      <c r="O703" s="18" t="n">
        <f aca="false">G703/L703</f>
        <v>0</v>
      </c>
      <c r="P703" s="18" t="n">
        <f aca="false">M703/L703</f>
        <v>0</v>
      </c>
      <c r="Q703" s="19" t="n">
        <f aca="false">IF(N703=0,"n.a.",P703/N703-1)</f>
        <v>-1</v>
      </c>
    </row>
    <row r="704" customFormat="false" ht="15" hidden="false" customHeight="false" outlineLevel="0" collapsed="false">
      <c r="A704" s="12" t="s">
        <v>1544</v>
      </c>
      <c r="B704" s="12" t="s">
        <v>1451</v>
      </c>
      <c r="C704" s="12" t="s">
        <v>1452</v>
      </c>
      <c r="D704" s="12" t="s">
        <v>340</v>
      </c>
      <c r="E704" s="12" t="s">
        <v>1545</v>
      </c>
      <c r="F704" s="13" t="n">
        <v>50000</v>
      </c>
      <c r="G704" s="13" t="n">
        <v>99000</v>
      </c>
      <c r="H704" s="14" t="n">
        <v>3655</v>
      </c>
      <c r="I704" s="14" t="n">
        <v>3309</v>
      </c>
      <c r="J704" s="15" t="n">
        <f aca="false">I704/H704</f>
        <v>0.905335157318742</v>
      </c>
      <c r="K704" s="16" t="n">
        <f aca="false">ROUND(I704*J704^($F$8-1),0)</f>
        <v>3386</v>
      </c>
      <c r="L704" s="16" t="n">
        <f aca="false">ROUND(I704*J704^($F$9-1),0)</f>
        <v>3326</v>
      </c>
      <c r="M704" s="17" t="n">
        <f aca="false">G704*$F$7</f>
        <v>95366.9213154296</v>
      </c>
      <c r="N704" s="18" t="n">
        <f aca="false">F704/K704</f>
        <v>14.7666863555818</v>
      </c>
      <c r="O704" s="18" t="n">
        <f aca="false">G704/L704</f>
        <v>29.7654840649429</v>
      </c>
      <c r="P704" s="18" t="n">
        <f aca="false">M704/L704</f>
        <v>28.6731573407786</v>
      </c>
      <c r="Q704" s="19" t="n">
        <f aca="false">IF(N704=0,"n.a.",P704/N704-1)</f>
        <v>0.941746215117527</v>
      </c>
    </row>
    <row r="705" customFormat="false" ht="15" hidden="false" customHeight="false" outlineLevel="0" collapsed="false">
      <c r="A705" s="12" t="s">
        <v>1546</v>
      </c>
      <c r="B705" s="12" t="s">
        <v>1451</v>
      </c>
      <c r="C705" s="12" t="s">
        <v>1452</v>
      </c>
      <c r="D705" s="12" t="s">
        <v>343</v>
      </c>
      <c r="E705" s="12" t="s">
        <v>1547</v>
      </c>
      <c r="F705" s="13" t="n">
        <v>29468</v>
      </c>
      <c r="G705" s="13" t="n">
        <v>26567</v>
      </c>
      <c r="H705" s="14" t="n">
        <v>4764</v>
      </c>
      <c r="I705" s="14" t="n">
        <v>4888</v>
      </c>
      <c r="J705" s="15" t="n">
        <f aca="false">I705/H705</f>
        <v>1.02602854743913</v>
      </c>
      <c r="K705" s="16" t="n">
        <f aca="false">ROUND(I705*J705^($F$8-1),0)</f>
        <v>4859</v>
      </c>
      <c r="L705" s="16" t="n">
        <f aca="false">ROUND(I705*J705^($F$9-1),0)</f>
        <v>4881</v>
      </c>
      <c r="M705" s="17" t="n">
        <f aca="false">G705*$F$7</f>
        <v>25592.050490778</v>
      </c>
      <c r="N705" s="18" t="n">
        <f aca="false">F705/K705</f>
        <v>6.06462235027784</v>
      </c>
      <c r="O705" s="18" t="n">
        <f aca="false">G705/L705</f>
        <v>5.44294202007785</v>
      </c>
      <c r="P705" s="18" t="n">
        <f aca="false">M705/L705</f>
        <v>5.24319821568899</v>
      </c>
      <c r="Q705" s="19" t="n">
        <f aca="false">IF(N705=0,"n.a.",P705/N705-1)</f>
        <v>-0.135445224310004</v>
      </c>
    </row>
    <row r="706" customFormat="false" ht="15" hidden="false" customHeight="false" outlineLevel="0" collapsed="false">
      <c r="A706" s="12" t="s">
        <v>1548</v>
      </c>
      <c r="B706" s="12" t="s">
        <v>1451</v>
      </c>
      <c r="C706" s="12" t="s">
        <v>1452</v>
      </c>
      <c r="D706" s="12" t="s">
        <v>346</v>
      </c>
      <c r="E706" s="12" t="s">
        <v>1549</v>
      </c>
      <c r="F706" s="13" t="n">
        <v>29374</v>
      </c>
      <c r="G706" s="13" t="n">
        <v>16553</v>
      </c>
      <c r="H706" s="14" t="n">
        <v>5993</v>
      </c>
      <c r="I706" s="14" t="n">
        <v>6626</v>
      </c>
      <c r="J706" s="15" t="n">
        <f aca="false">I706/H706</f>
        <v>1.10562322709828</v>
      </c>
      <c r="K706" s="16" t="n">
        <f aca="false">ROUND(I706*J706^($F$8-1),0)</f>
        <v>6474</v>
      </c>
      <c r="L706" s="16" t="n">
        <f aca="false">ROUND(I706*J706^($F$9-1),0)</f>
        <v>6592</v>
      </c>
      <c r="M706" s="17" t="n">
        <f aca="false">G706*$F$7</f>
        <v>15945.5419043869</v>
      </c>
      <c r="N706" s="18" t="n">
        <f aca="false">F706/K706</f>
        <v>4.53722582638245</v>
      </c>
      <c r="O706" s="18" t="n">
        <f aca="false">G706/L706</f>
        <v>2.51107402912621</v>
      </c>
      <c r="P706" s="18" t="n">
        <f aca="false">M706/L706</f>
        <v>2.41892322578685</v>
      </c>
      <c r="Q706" s="19" t="n">
        <f aca="false">IF(N706=0,"n.a.",P706/N706-1)</f>
        <v>-0.466871758570706</v>
      </c>
    </row>
    <row r="707" customFormat="false" ht="15" hidden="false" customHeight="false" outlineLevel="0" collapsed="false">
      <c r="A707" s="12" t="s">
        <v>1550</v>
      </c>
      <c r="B707" s="12" t="s">
        <v>1451</v>
      </c>
      <c r="C707" s="12" t="s">
        <v>1452</v>
      </c>
      <c r="D707" s="12" t="s">
        <v>349</v>
      </c>
      <c r="E707" s="12" t="s">
        <v>1551</v>
      </c>
      <c r="F707" s="13" t="n">
        <v>4944</v>
      </c>
      <c r="G707" s="13" t="n">
        <v>929</v>
      </c>
      <c r="H707" s="14" t="n">
        <v>1297</v>
      </c>
      <c r="I707" s="14" t="n">
        <v>1214</v>
      </c>
      <c r="J707" s="15" t="n">
        <f aca="false">I707/H707</f>
        <v>0.936006168080185</v>
      </c>
      <c r="K707" s="16" t="n">
        <f aca="false">ROUND(I707*J707^($F$8-1),0)</f>
        <v>1233</v>
      </c>
      <c r="L707" s="16" t="n">
        <f aca="false">ROUND(I707*J707^($F$9-1),0)</f>
        <v>1218</v>
      </c>
      <c r="M707" s="17" t="n">
        <f aca="false">G707*$F$7</f>
        <v>894.907776788224</v>
      </c>
      <c r="N707" s="18" t="n">
        <f aca="false">F707/K707</f>
        <v>4.00973236009732</v>
      </c>
      <c r="O707" s="18" t="n">
        <f aca="false">G707/L707</f>
        <v>0.762725779967159</v>
      </c>
      <c r="P707" s="18" t="n">
        <f aca="false">M707/L707</f>
        <v>0.734735448923008</v>
      </c>
      <c r="Q707" s="19" t="n">
        <f aca="false">IF(N707=0,"n.a.",P707/N707-1)</f>
        <v>-0.816761972386313</v>
      </c>
    </row>
    <row r="708" customFormat="false" ht="15" hidden="false" customHeight="false" outlineLevel="0" collapsed="false">
      <c r="A708" s="12" t="s">
        <v>1552</v>
      </c>
      <c r="B708" s="12" t="s">
        <v>1451</v>
      </c>
      <c r="C708" s="12" t="s">
        <v>1452</v>
      </c>
      <c r="D708" s="12" t="s">
        <v>352</v>
      </c>
      <c r="E708" s="12" t="s">
        <v>1553</v>
      </c>
      <c r="F708" s="13" t="n">
        <v>40707</v>
      </c>
      <c r="G708" s="13" t="n">
        <v>45313</v>
      </c>
      <c r="H708" s="14" t="n">
        <v>404</v>
      </c>
      <c r="I708" s="14" t="n">
        <v>460</v>
      </c>
      <c r="J708" s="15" t="n">
        <f aca="false">I708/H708</f>
        <v>1.13861386138614</v>
      </c>
      <c r="K708" s="16" t="n">
        <f aca="false">ROUND(I708*J708^($F$8-1),0)</f>
        <v>446</v>
      </c>
      <c r="L708" s="16" t="n">
        <f aca="false">ROUND(I708*J708^($F$9-1),0)</f>
        <v>457</v>
      </c>
      <c r="M708" s="17" t="n">
        <f aca="false">G708*$F$7</f>
        <v>43650.114197637</v>
      </c>
      <c r="N708" s="18" t="n">
        <f aca="false">F708/K708</f>
        <v>91.2713004484305</v>
      </c>
      <c r="O708" s="18" t="n">
        <f aca="false">G708/L708</f>
        <v>99.1531728665208</v>
      </c>
      <c r="P708" s="18" t="n">
        <f aca="false">M708/L708</f>
        <v>95.5144730801685</v>
      </c>
      <c r="Q708" s="19" t="n">
        <f aca="false">IF(N708=0,"n.a.",P708/N708-1)</f>
        <v>0.0464896699279032</v>
      </c>
    </row>
    <row r="709" customFormat="false" ht="15" hidden="false" customHeight="false" outlineLevel="0" collapsed="false">
      <c r="A709" s="12" t="s">
        <v>1554</v>
      </c>
      <c r="B709" s="12" t="s">
        <v>1451</v>
      </c>
      <c r="C709" s="12" t="s">
        <v>1452</v>
      </c>
      <c r="D709" s="12" t="s">
        <v>355</v>
      </c>
      <c r="E709" s="12" t="s">
        <v>1555</v>
      </c>
      <c r="F709" s="13" t="n">
        <v>228000</v>
      </c>
      <c r="G709" s="13" t="n">
        <v>96369</v>
      </c>
      <c r="H709" s="14" t="n">
        <v>3739</v>
      </c>
      <c r="I709" s="14" t="n">
        <v>3571</v>
      </c>
      <c r="J709" s="15" t="n">
        <f aca="false">I709/H709</f>
        <v>0.95506820005349</v>
      </c>
      <c r="K709" s="16" t="n">
        <f aca="false">ROUND(I709*J709^($F$8-1),0)</f>
        <v>3609</v>
      </c>
      <c r="L709" s="16" t="n">
        <f aca="false">ROUND(I709*J709^($F$9-1),0)</f>
        <v>3580</v>
      </c>
      <c r="M709" s="17" t="n">
        <f aca="false">G709*$F$7</f>
        <v>92832.4731338044</v>
      </c>
      <c r="N709" s="18" t="n">
        <f aca="false">F709/K709</f>
        <v>63.1753948462178</v>
      </c>
      <c r="O709" s="18" t="n">
        <f aca="false">G709/L709</f>
        <v>26.9187150837989</v>
      </c>
      <c r="P709" s="18" t="n">
        <f aca="false">M709/L709</f>
        <v>25.9308584172638</v>
      </c>
      <c r="Q709" s="19" t="n">
        <f aca="false">IF(N709=0,"n.a.",P709/N709-1)</f>
        <v>-0.589541806895153</v>
      </c>
    </row>
    <row r="710" customFormat="false" ht="15" hidden="false" customHeight="false" outlineLevel="0" collapsed="false">
      <c r="A710" s="12" t="s">
        <v>1556</v>
      </c>
      <c r="B710" s="12" t="s">
        <v>1451</v>
      </c>
      <c r="C710" s="12" t="s">
        <v>1452</v>
      </c>
      <c r="D710" s="12" t="s">
        <v>361</v>
      </c>
      <c r="E710" s="12" t="s">
        <v>1557</v>
      </c>
      <c r="F710" s="13" t="n">
        <v>3833034</v>
      </c>
      <c r="G710" s="13" t="n">
        <v>3141587</v>
      </c>
      <c r="H710" s="14" t="n">
        <v>38175</v>
      </c>
      <c r="I710" s="14" t="n">
        <v>36779</v>
      </c>
      <c r="J710" s="15" t="n">
        <f aca="false">I710/H710</f>
        <v>0.963431565160445</v>
      </c>
      <c r="K710" s="16" t="n">
        <f aca="false">ROUND(I710*J710^($F$8-1),0)</f>
        <v>37097</v>
      </c>
      <c r="L710" s="16" t="n">
        <f aca="false">ROUND(I710*J710^($F$9-1),0)</f>
        <v>36850</v>
      </c>
      <c r="M710" s="17" t="n">
        <f aca="false">G710*$F$7</f>
        <v>3026297.78014724</v>
      </c>
      <c r="N710" s="18" t="n">
        <f aca="false">F710/K710</f>
        <v>103.324635415263</v>
      </c>
      <c r="O710" s="18" t="n">
        <f aca="false">G710/L710</f>
        <v>85.2533785617368</v>
      </c>
      <c r="P710" s="18" t="n">
        <f aca="false">M710/L710</f>
        <v>82.1247701532494</v>
      </c>
      <c r="Q710" s="19" t="n">
        <f aca="false">IF(N710=0,"n.a.",P710/N710-1)</f>
        <v>-0.205177256874035</v>
      </c>
    </row>
    <row r="711" customFormat="false" ht="15" hidden="false" customHeight="false" outlineLevel="0" collapsed="false">
      <c r="A711" s="12" t="s">
        <v>1558</v>
      </c>
      <c r="B711" s="12" t="s">
        <v>1451</v>
      </c>
      <c r="C711" s="12" t="s">
        <v>1452</v>
      </c>
      <c r="D711" s="12" t="s">
        <v>364</v>
      </c>
      <c r="E711" s="12" t="s">
        <v>1559</v>
      </c>
      <c r="F711" s="13" t="n">
        <v>0</v>
      </c>
      <c r="G711" s="13" t="n">
        <v>0</v>
      </c>
      <c r="H711" s="14" t="n">
        <v>12665</v>
      </c>
      <c r="I711" s="14" t="n">
        <v>11728</v>
      </c>
      <c r="J711" s="15" t="n">
        <f aca="false">I711/H711</f>
        <v>0.926016581129096</v>
      </c>
      <c r="K711" s="16" t="n">
        <f aca="false">ROUND(I711*J711^($F$8-1),0)</f>
        <v>11938</v>
      </c>
      <c r="L711" s="16" t="n">
        <f aca="false">ROUND(I711*J711^($F$9-1),0)</f>
        <v>11775</v>
      </c>
      <c r="M711" s="17" t="n">
        <f aca="false">G711*$F$7</f>
        <v>0</v>
      </c>
      <c r="N711" s="18" t="n">
        <f aca="false">F711/K711</f>
        <v>0</v>
      </c>
      <c r="O711" s="18" t="n">
        <f aca="false">G711/L711</f>
        <v>0</v>
      </c>
      <c r="P711" s="18" t="n">
        <f aca="false">M711/L711</f>
        <v>0</v>
      </c>
      <c r="Q711" s="19" t="str">
        <f aca="false">IF(N711=0,"n.a.",P711/N711-1)</f>
        <v>n.a.</v>
      </c>
    </row>
    <row r="712" customFormat="false" ht="15" hidden="false" customHeight="false" outlineLevel="0" collapsed="false">
      <c r="A712" s="12" t="s">
        <v>1560</v>
      </c>
      <c r="B712" s="12" t="s">
        <v>1451</v>
      </c>
      <c r="C712" s="12" t="s">
        <v>1452</v>
      </c>
      <c r="D712" s="12" t="s">
        <v>367</v>
      </c>
      <c r="E712" s="12" t="s">
        <v>1561</v>
      </c>
      <c r="F712" s="13" t="n">
        <v>6667300</v>
      </c>
      <c r="G712" s="13" t="n">
        <v>5666037</v>
      </c>
      <c r="H712" s="14" t="n">
        <v>48514</v>
      </c>
      <c r="I712" s="14" t="n">
        <v>53246</v>
      </c>
      <c r="J712" s="15" t="n">
        <f aca="false">I712/H712</f>
        <v>1.09753885476357</v>
      </c>
      <c r="K712" s="16" t="n">
        <f aca="false">ROUND(I712*J712^($F$8-1),0)</f>
        <v>52114</v>
      </c>
      <c r="L712" s="16" t="n">
        <f aca="false">ROUND(I712*J712^($F$9-1),0)</f>
        <v>52989</v>
      </c>
      <c r="M712" s="17" t="n">
        <f aca="false">G712*$F$7</f>
        <v>5458106.10857892</v>
      </c>
      <c r="N712" s="18" t="n">
        <f aca="false">F712/K712</f>
        <v>127.936830794028</v>
      </c>
      <c r="O712" s="18" t="n">
        <f aca="false">G712/L712</f>
        <v>106.928551208741</v>
      </c>
      <c r="P712" s="18" t="n">
        <f aca="false">M712/L712</f>
        <v>103.004512419161</v>
      </c>
      <c r="Q712" s="19" t="n">
        <f aca="false">IF(N712=0,"n.a.",P712/N712-1)</f>
        <v>-0.194879912376501</v>
      </c>
    </row>
    <row r="713" customFormat="false" ht="15" hidden="false" customHeight="false" outlineLevel="0" collapsed="false">
      <c r="A713" s="12" t="s">
        <v>1562</v>
      </c>
      <c r="B713" s="12" t="s">
        <v>1451</v>
      </c>
      <c r="C713" s="12" t="s">
        <v>1452</v>
      </c>
      <c r="D713" s="12" t="s">
        <v>370</v>
      </c>
      <c r="E713" s="12" t="s">
        <v>1563</v>
      </c>
      <c r="F713" s="13" t="n">
        <v>0</v>
      </c>
      <c r="G713" s="13" t="n">
        <v>0</v>
      </c>
      <c r="H713" s="14" t="n">
        <v>2487</v>
      </c>
      <c r="I713" s="14" t="n">
        <v>2636</v>
      </c>
      <c r="J713" s="15" t="n">
        <f aca="false">I713/H713</f>
        <v>1.05991154000804</v>
      </c>
      <c r="K713" s="16" t="n">
        <f aca="false">ROUND(I713*J713^($F$8-1),0)</f>
        <v>2601</v>
      </c>
      <c r="L713" s="16" t="n">
        <f aca="false">ROUND(I713*J713^($F$9-1),0)</f>
        <v>2628</v>
      </c>
      <c r="M713" s="17" t="n">
        <f aca="false">G713*$F$7</f>
        <v>0</v>
      </c>
      <c r="N713" s="18" t="n">
        <f aca="false">F713/K713</f>
        <v>0</v>
      </c>
      <c r="O713" s="18" t="n">
        <f aca="false">G713/L713</f>
        <v>0</v>
      </c>
      <c r="P713" s="18" t="n">
        <f aca="false">M713/L713</f>
        <v>0</v>
      </c>
      <c r="Q713" s="19" t="str">
        <f aca="false">IF(N713=0,"n.a.",P713/N713-1)</f>
        <v>n.a.</v>
      </c>
    </row>
    <row r="714" customFormat="false" ht="15" hidden="false" customHeight="false" outlineLevel="0" collapsed="false">
      <c r="A714" s="12" t="s">
        <v>1564</v>
      </c>
      <c r="B714" s="12" t="s">
        <v>1451</v>
      </c>
      <c r="C714" s="12" t="s">
        <v>1452</v>
      </c>
      <c r="D714" s="12" t="s">
        <v>373</v>
      </c>
      <c r="E714" s="12" t="s">
        <v>1565</v>
      </c>
      <c r="F714" s="13" t="n">
        <v>104650</v>
      </c>
      <c r="G714" s="13" t="n">
        <v>138220</v>
      </c>
      <c r="H714" s="14" t="n">
        <v>2893</v>
      </c>
      <c r="I714" s="14" t="n">
        <v>2933</v>
      </c>
      <c r="J714" s="15" t="n">
        <f aca="false">I714/H714</f>
        <v>1.0138264777048</v>
      </c>
      <c r="K714" s="16" t="n">
        <f aca="false">ROUND(I714*J714^($F$8-1),0)</f>
        <v>2924</v>
      </c>
      <c r="L714" s="16" t="n">
        <f aca="false">ROUND(I714*J714^($F$9-1),0)</f>
        <v>2931</v>
      </c>
      <c r="M714" s="17" t="n">
        <f aca="false">G714*$F$7</f>
        <v>133147.634992108</v>
      </c>
      <c r="N714" s="18" t="n">
        <f aca="false">F714/K714</f>
        <v>35.7900136798906</v>
      </c>
      <c r="O714" s="18" t="n">
        <f aca="false">G714/L714</f>
        <v>47.1579665643125</v>
      </c>
      <c r="P714" s="18" t="n">
        <f aca="false">M714/L714</f>
        <v>45.4273746134793</v>
      </c>
      <c r="Q714" s="19" t="n">
        <f aca="false">IF(N714=0,"n.a.",P714/N714-1)</f>
        <v>0.269275139701993</v>
      </c>
    </row>
    <row r="715" customFormat="false" ht="15" hidden="false" customHeight="false" outlineLevel="0" collapsed="false">
      <c r="A715" s="12" t="s">
        <v>1566</v>
      </c>
      <c r="B715" s="12" t="s">
        <v>1451</v>
      </c>
      <c r="C715" s="12" t="s">
        <v>1452</v>
      </c>
      <c r="D715" s="12" t="s">
        <v>376</v>
      </c>
      <c r="E715" s="12" t="s">
        <v>1567</v>
      </c>
      <c r="F715" s="13" t="n">
        <v>23699</v>
      </c>
      <c r="G715" s="13" t="n">
        <v>24826</v>
      </c>
      <c r="H715" s="14" t="n">
        <v>498</v>
      </c>
      <c r="I715" s="14" t="n">
        <v>427</v>
      </c>
      <c r="J715" s="15" t="n">
        <f aca="false">I715/H715</f>
        <v>0.857429718875502</v>
      </c>
      <c r="K715" s="16" t="n">
        <f aca="false">ROUND(I715*J715^($F$8-1),0)</f>
        <v>442</v>
      </c>
      <c r="L715" s="16" t="n">
        <f aca="false">ROUND(I715*J715^($F$9-1),0)</f>
        <v>430</v>
      </c>
      <c r="M715" s="17" t="n">
        <f aca="false">G715*$F$7</f>
        <v>23914.9412987561</v>
      </c>
      <c r="N715" s="18" t="n">
        <f aca="false">F715/K715</f>
        <v>53.6176470588235</v>
      </c>
      <c r="O715" s="18" t="n">
        <f aca="false">G715/L715</f>
        <v>57.7348837209302</v>
      </c>
      <c r="P715" s="18" t="n">
        <f aca="false">M715/L715</f>
        <v>55.6161425552468</v>
      </c>
      <c r="Q715" s="19" t="n">
        <f aca="false">IF(N715=0,"n.a.",P715/N715-1)</f>
        <v>0.0372730920890791</v>
      </c>
    </row>
    <row r="716" customFormat="false" ht="15" hidden="false" customHeight="false" outlineLevel="0" collapsed="false">
      <c r="A716" s="12" t="s">
        <v>1568</v>
      </c>
      <c r="B716" s="12" t="s">
        <v>1451</v>
      </c>
      <c r="C716" s="12" t="s">
        <v>1452</v>
      </c>
      <c r="D716" s="12" t="s">
        <v>379</v>
      </c>
      <c r="E716" s="12" t="s">
        <v>1569</v>
      </c>
      <c r="F716" s="13" t="n">
        <v>82763</v>
      </c>
      <c r="G716" s="13" t="n">
        <v>55589</v>
      </c>
      <c r="H716" s="14" t="n">
        <v>4293</v>
      </c>
      <c r="I716" s="14" t="n">
        <v>4298</v>
      </c>
      <c r="J716" s="15" t="n">
        <f aca="false">I716/H716</f>
        <v>1.00116468669928</v>
      </c>
      <c r="K716" s="16" t="n">
        <f aca="false">ROUND(I716*J716^($F$8-1),0)</f>
        <v>4297</v>
      </c>
      <c r="L716" s="16" t="n">
        <f aca="false">ROUND(I716*J716^($F$9-1),0)</f>
        <v>4298</v>
      </c>
      <c r="M716" s="17" t="n">
        <f aca="false">G716*$F$7</f>
        <v>53549.0079697315</v>
      </c>
      <c r="N716" s="18" t="n">
        <f aca="false">F716/K716</f>
        <v>19.2606469629974</v>
      </c>
      <c r="O716" s="18" t="n">
        <f aca="false">G716/L716</f>
        <v>12.9336900884132</v>
      </c>
      <c r="P716" s="18" t="n">
        <f aca="false">M716/L716</f>
        <v>12.4590525755541</v>
      </c>
      <c r="Q716" s="19" t="n">
        <f aca="false">IF(N716=0,"n.a.",P716/N716-1)</f>
        <v>-0.353134263896235</v>
      </c>
    </row>
    <row r="717" customFormat="false" ht="15" hidden="false" customHeight="false" outlineLevel="0" collapsed="false">
      <c r="A717" s="12" t="s">
        <v>1570</v>
      </c>
      <c r="B717" s="12" t="s">
        <v>1451</v>
      </c>
      <c r="C717" s="12" t="s">
        <v>1452</v>
      </c>
      <c r="D717" s="12" t="s">
        <v>382</v>
      </c>
      <c r="E717" s="12" t="s">
        <v>1571</v>
      </c>
      <c r="F717" s="13" t="n">
        <v>67936</v>
      </c>
      <c r="G717" s="13" t="n">
        <v>11947</v>
      </c>
      <c r="H717" s="14" t="n">
        <v>8483</v>
      </c>
      <c r="I717" s="14" t="n">
        <v>8668</v>
      </c>
      <c r="J717" s="15" t="n">
        <f aca="false">I717/H717</f>
        <v>1.02180832252741</v>
      </c>
      <c r="K717" s="16" t="n">
        <f aca="false">ROUND(I717*J717^($F$8-1),0)</f>
        <v>8625</v>
      </c>
      <c r="L717" s="16" t="n">
        <f aca="false">ROUND(I717*J717^($F$9-1),0)</f>
        <v>8658</v>
      </c>
      <c r="M717" s="17" t="n">
        <f aca="false">G717*$F$7</f>
        <v>11508.5718076307</v>
      </c>
      <c r="N717" s="18" t="n">
        <f aca="false">F717/K717</f>
        <v>7.87663768115942</v>
      </c>
      <c r="O717" s="18" t="n">
        <f aca="false">G717/L717</f>
        <v>1.37987987987988</v>
      </c>
      <c r="P717" s="18" t="n">
        <f aca="false">M717/L717</f>
        <v>1.32924137302272</v>
      </c>
      <c r="Q717" s="19" t="n">
        <f aca="false">IF(N717=0,"n.a.",P717/N717-1)</f>
        <v>-0.83124253941473</v>
      </c>
    </row>
    <row r="718" customFormat="false" ht="15" hidden="false" customHeight="false" outlineLevel="0" collapsed="false">
      <c r="A718" s="12" t="s">
        <v>1572</v>
      </c>
      <c r="B718" s="12" t="s">
        <v>1451</v>
      </c>
      <c r="C718" s="12" t="s">
        <v>1452</v>
      </c>
      <c r="D718" s="12" t="s">
        <v>385</v>
      </c>
      <c r="E718" s="12" t="s">
        <v>1573</v>
      </c>
      <c r="F718" s="13" t="n">
        <v>4745</v>
      </c>
      <c r="G718" s="13" t="n">
        <v>5045</v>
      </c>
      <c r="H718" s="14" t="n">
        <v>1064</v>
      </c>
      <c r="I718" s="14" t="n">
        <v>925</v>
      </c>
      <c r="J718" s="15" t="n">
        <f aca="false">I718/H718</f>
        <v>0.869360902255639</v>
      </c>
      <c r="K718" s="16" t="n">
        <f aca="false">ROUND(I718*J718^($F$8-1),0)</f>
        <v>955</v>
      </c>
      <c r="L718" s="16" t="n">
        <f aca="false">ROUND(I718*J718^($F$9-1),0)</f>
        <v>932</v>
      </c>
      <c r="M718" s="17" t="n">
        <f aca="false">G718*$F$7</f>
        <v>4859.85977814487</v>
      </c>
      <c r="N718" s="18" t="n">
        <f aca="false">F718/K718</f>
        <v>4.96858638743456</v>
      </c>
      <c r="O718" s="18" t="n">
        <f aca="false">G718/L718</f>
        <v>5.41309012875537</v>
      </c>
      <c r="P718" s="18" t="n">
        <f aca="false">M718/L718</f>
        <v>5.21444182204386</v>
      </c>
      <c r="Q718" s="19" t="n">
        <f aca="false">IF(N718=0,"n.a.",P718/N718-1)</f>
        <v>0.0494819683987109</v>
      </c>
    </row>
    <row r="719" customFormat="false" ht="15" hidden="false" customHeight="false" outlineLevel="0" collapsed="false">
      <c r="A719" s="12" t="s">
        <v>1574</v>
      </c>
      <c r="B719" s="12" t="s">
        <v>1451</v>
      </c>
      <c r="C719" s="12" t="s">
        <v>1452</v>
      </c>
      <c r="D719" s="12" t="s">
        <v>646</v>
      </c>
      <c r="E719" s="12" t="s">
        <v>1575</v>
      </c>
      <c r="F719" s="13" t="n">
        <v>52261</v>
      </c>
      <c r="G719" s="13" t="n">
        <v>66201</v>
      </c>
      <c r="H719" s="14" t="n">
        <v>5342</v>
      </c>
      <c r="I719" s="14" t="n">
        <v>5492</v>
      </c>
      <c r="J719" s="15" t="n">
        <f aca="false">I719/H719</f>
        <v>1.02807937102209</v>
      </c>
      <c r="K719" s="16" t="n">
        <f aca="false">ROUND(I719*J719^($F$8-1),0)</f>
        <v>5457</v>
      </c>
      <c r="L719" s="16" t="n">
        <f aca="false">ROUND(I719*J719^($F$9-1),0)</f>
        <v>5484</v>
      </c>
      <c r="M719" s="17" t="n">
        <f aca="false">G719*$F$7</f>
        <v>63771.5712929571</v>
      </c>
      <c r="N719" s="18" t="n">
        <f aca="false">F719/K719</f>
        <v>9.57687374015027</v>
      </c>
      <c r="O719" s="18" t="n">
        <f aca="false">G719/L719</f>
        <v>12.0716630196937</v>
      </c>
      <c r="P719" s="18" t="n">
        <f aca="false">M719/L719</f>
        <v>11.6286599731869</v>
      </c>
      <c r="Q719" s="19" t="n">
        <f aca="false">IF(N719=0,"n.a.",P719/N719-1)</f>
        <v>0.214243842897784</v>
      </c>
    </row>
    <row r="720" customFormat="false" ht="15" hidden="false" customHeight="false" outlineLevel="0" collapsed="false">
      <c r="A720" s="12" t="s">
        <v>1576</v>
      </c>
      <c r="B720" s="12" t="s">
        <v>1451</v>
      </c>
      <c r="C720" s="12" t="s">
        <v>1452</v>
      </c>
      <c r="D720" s="12" t="s">
        <v>388</v>
      </c>
      <c r="E720" s="12" t="s">
        <v>1577</v>
      </c>
      <c r="F720" s="13" t="n">
        <v>274368412</v>
      </c>
      <c r="G720" s="13" t="n">
        <v>283845735</v>
      </c>
      <c r="H720" s="14" t="n">
        <v>270085</v>
      </c>
      <c r="I720" s="14" t="n">
        <v>262947</v>
      </c>
      <c r="J720" s="15" t="n">
        <f aca="false">I720/H720</f>
        <v>0.973571283114575</v>
      </c>
      <c r="K720" s="16" t="n">
        <f aca="false">ROUND(I720*J720^($F$8-1),0)</f>
        <v>264578</v>
      </c>
      <c r="L720" s="16" t="n">
        <f aca="false">ROUND(I720*J720^($F$9-1),0)</f>
        <v>263313</v>
      </c>
      <c r="M720" s="17" t="n">
        <f aca="false">G720*$F$7</f>
        <v>273429231.065306</v>
      </c>
      <c r="N720" s="18" t="n">
        <f aca="false">F720/K720</f>
        <v>1037.00387787344</v>
      </c>
      <c r="O720" s="18" t="n">
        <f aca="false">G720/L720</f>
        <v>1077.97843251188</v>
      </c>
      <c r="P720" s="18" t="n">
        <f aca="false">M720/L720</f>
        <v>1038.4190338696</v>
      </c>
      <c r="Q720" s="19" t="n">
        <f aca="false">IF(N720=0,"n.a.",P720/N720-1)</f>
        <v>0.00136465834540389</v>
      </c>
    </row>
    <row r="721" customFormat="false" ht="15" hidden="false" customHeight="false" outlineLevel="0" collapsed="false">
      <c r="A721" s="12" t="s">
        <v>1578</v>
      </c>
      <c r="B721" s="12" t="s">
        <v>1451</v>
      </c>
      <c r="C721" s="12" t="s">
        <v>1452</v>
      </c>
      <c r="D721" s="12" t="s">
        <v>391</v>
      </c>
      <c r="E721" s="12" t="s">
        <v>1579</v>
      </c>
      <c r="F721" s="13" t="n">
        <v>3380879</v>
      </c>
      <c r="G721" s="13" t="n">
        <v>4496776</v>
      </c>
      <c r="H721" s="14" t="n">
        <v>23747</v>
      </c>
      <c r="I721" s="14" t="n">
        <v>28157</v>
      </c>
      <c r="J721" s="15" t="n">
        <f aca="false">I721/H721</f>
        <v>1.18570766833705</v>
      </c>
      <c r="K721" s="16" t="n">
        <f aca="false">ROUND(I721*J721^($F$8-1),0)</f>
        <v>27071</v>
      </c>
      <c r="L721" s="16" t="n">
        <f aca="false">ROUND(I721*J721^($F$9-1),0)</f>
        <v>27909</v>
      </c>
      <c r="M721" s="17" t="n">
        <f aca="false">G721*$F$7</f>
        <v>4331754.37338497</v>
      </c>
      <c r="N721" s="18" t="n">
        <f aca="false">F721/K721</f>
        <v>124.889328063241</v>
      </c>
      <c r="O721" s="18" t="n">
        <f aca="false">G721/L721</f>
        <v>161.122791930918</v>
      </c>
      <c r="P721" s="18" t="n">
        <f aca="false">M721/L721</f>
        <v>155.209945658568</v>
      </c>
      <c r="Q721" s="19" t="n">
        <f aca="false">IF(N721=0,"n.a.",P721/N721-1)</f>
        <v>0.24277989212956</v>
      </c>
    </row>
    <row r="722" customFormat="false" ht="15" hidden="false" customHeight="false" outlineLevel="0" collapsed="false">
      <c r="A722" s="12" t="s">
        <v>1580</v>
      </c>
      <c r="B722" s="12" t="s">
        <v>1451</v>
      </c>
      <c r="C722" s="12" t="s">
        <v>1452</v>
      </c>
      <c r="D722" s="12" t="s">
        <v>972</v>
      </c>
      <c r="E722" s="12" t="s">
        <v>1581</v>
      </c>
      <c r="F722" s="13" t="n">
        <v>0</v>
      </c>
      <c r="G722" s="13" t="n">
        <v>0</v>
      </c>
      <c r="H722" s="14" t="n">
        <v>3052</v>
      </c>
      <c r="I722" s="14" t="n">
        <v>3034</v>
      </c>
      <c r="J722" s="15" t="n">
        <f aca="false">I722/H722</f>
        <v>0.994102228047182</v>
      </c>
      <c r="K722" s="16" t="n">
        <f aca="false">ROUND(I722*J722^($F$8-1),0)</f>
        <v>3038</v>
      </c>
      <c r="L722" s="16" t="n">
        <f aca="false">ROUND(I722*J722^($F$9-1),0)</f>
        <v>3035</v>
      </c>
      <c r="M722" s="17" t="n">
        <f aca="false">G722*$F$7</f>
        <v>0</v>
      </c>
      <c r="N722" s="18" t="n">
        <f aca="false">F722/K722</f>
        <v>0</v>
      </c>
      <c r="O722" s="18" t="n">
        <f aca="false">G722/L722</f>
        <v>0</v>
      </c>
      <c r="P722" s="18" t="n">
        <f aca="false">M722/L722</f>
        <v>0</v>
      </c>
      <c r="Q722" s="19" t="str">
        <f aca="false">IF(N722=0,"n.a.",P722/N722-1)</f>
        <v>n.a.</v>
      </c>
    </row>
    <row r="723" customFormat="false" ht="15" hidden="false" customHeight="false" outlineLevel="0" collapsed="false">
      <c r="A723" s="12" t="s">
        <v>1582</v>
      </c>
      <c r="B723" s="12" t="s">
        <v>1451</v>
      </c>
      <c r="C723" s="12" t="s">
        <v>1452</v>
      </c>
      <c r="D723" s="12" t="s">
        <v>394</v>
      </c>
      <c r="E723" s="12" t="s">
        <v>1583</v>
      </c>
      <c r="F723" s="13" t="n">
        <v>37939</v>
      </c>
      <c r="G723" s="13" t="n">
        <v>62979</v>
      </c>
      <c r="H723" s="14" t="n">
        <v>6416</v>
      </c>
      <c r="I723" s="14" t="n">
        <v>6134</v>
      </c>
      <c r="J723" s="15" t="n">
        <f aca="false">I723/H723</f>
        <v>0.956047381546135</v>
      </c>
      <c r="K723" s="16" t="n">
        <f aca="false">ROUND(I723*J723^($F$8-1),0)</f>
        <v>6198</v>
      </c>
      <c r="L723" s="16" t="n">
        <f aca="false">ROUND(I723*J723^($F$9-1),0)</f>
        <v>6148</v>
      </c>
      <c r="M723" s="17" t="n">
        <f aca="false">G723*$F$7</f>
        <v>60667.8114901459</v>
      </c>
      <c r="N723" s="18" t="n">
        <f aca="false">F723/K723</f>
        <v>6.12116811874798</v>
      </c>
      <c r="O723" s="18" t="n">
        <f aca="false">G723/L723</f>
        <v>10.2438191281718</v>
      </c>
      <c r="P723" s="18" t="n">
        <f aca="false">M723/L723</f>
        <v>9.86789386632171</v>
      </c>
      <c r="Q723" s="19" t="n">
        <f aca="false">IF(N723=0,"n.a.",P723/N723-1)</f>
        <v>0.612093259797622</v>
      </c>
    </row>
    <row r="724" customFormat="false" ht="15" hidden="false" customHeight="false" outlineLevel="0" collapsed="false">
      <c r="A724" s="12" t="s">
        <v>1584</v>
      </c>
      <c r="B724" s="12" t="s">
        <v>1451</v>
      </c>
      <c r="C724" s="12" t="s">
        <v>1452</v>
      </c>
      <c r="D724" s="12" t="s">
        <v>976</v>
      </c>
      <c r="E724" s="12" t="s">
        <v>1585</v>
      </c>
      <c r="F724" s="13" t="n">
        <v>0</v>
      </c>
      <c r="G724" s="13" t="n">
        <v>0</v>
      </c>
      <c r="H724" s="14" t="n">
        <v>3255</v>
      </c>
      <c r="I724" s="14" t="n">
        <v>3032</v>
      </c>
      <c r="J724" s="15" t="n">
        <f aca="false">I724/H724</f>
        <v>0.931490015360983</v>
      </c>
      <c r="K724" s="16" t="n">
        <f aca="false">ROUND(I724*J724^($F$8-1),0)</f>
        <v>3082</v>
      </c>
      <c r="L724" s="16" t="n">
        <f aca="false">ROUND(I724*J724^($F$9-1),0)</f>
        <v>3043</v>
      </c>
      <c r="M724" s="17" t="n">
        <f aca="false">G724*$F$7</f>
        <v>0</v>
      </c>
      <c r="N724" s="18" t="n">
        <f aca="false">F724/K724</f>
        <v>0</v>
      </c>
      <c r="O724" s="18" t="n">
        <f aca="false">G724/L724</f>
        <v>0</v>
      </c>
      <c r="P724" s="18" t="n">
        <f aca="false">M724/L724</f>
        <v>0</v>
      </c>
      <c r="Q724" s="19" t="str">
        <f aca="false">IF(N724=0,"n.a.",P724/N724-1)</f>
        <v>n.a.</v>
      </c>
    </row>
    <row r="725" customFormat="false" ht="15" hidden="false" customHeight="false" outlineLevel="0" collapsed="false">
      <c r="A725" s="12" t="s">
        <v>1586</v>
      </c>
      <c r="B725" s="12" t="s">
        <v>1451</v>
      </c>
      <c r="C725" s="12" t="s">
        <v>1452</v>
      </c>
      <c r="D725" s="12" t="s">
        <v>397</v>
      </c>
      <c r="E725" s="12" t="s">
        <v>1587</v>
      </c>
      <c r="F725" s="13" t="n">
        <v>6687</v>
      </c>
      <c r="G725" s="13" t="n">
        <v>45994</v>
      </c>
      <c r="H725" s="14" t="n">
        <v>8059</v>
      </c>
      <c r="I725" s="14" t="n">
        <v>8565</v>
      </c>
      <c r="J725" s="15" t="n">
        <f aca="false">I725/H725</f>
        <v>1.06278694627125</v>
      </c>
      <c r="K725" s="16" t="n">
        <f aca="false">ROUND(I725*J725^($F$8-1),0)</f>
        <v>8445</v>
      </c>
      <c r="L725" s="16" t="n">
        <f aca="false">ROUND(I725*J725^($F$9-1),0)</f>
        <v>8538</v>
      </c>
      <c r="M725" s="17" t="n">
        <f aca="false">G725*$F$7</f>
        <v>44306.1230200189</v>
      </c>
      <c r="N725" s="18" t="n">
        <f aca="false">F725/K725</f>
        <v>0.791829484902309</v>
      </c>
      <c r="O725" s="18" t="n">
        <f aca="false">G725/L725</f>
        <v>5.38697587256969</v>
      </c>
      <c r="P725" s="18" t="n">
        <f aca="false">M725/L725</f>
        <v>5.18928590068153</v>
      </c>
      <c r="Q725" s="19" t="n">
        <f aca="false">IF(N725=0,"n.a.",P725/N725-1)</f>
        <v>5.55353961885083</v>
      </c>
    </row>
    <row r="726" customFormat="false" ht="15" hidden="false" customHeight="false" outlineLevel="0" collapsed="false">
      <c r="A726" s="12" t="s">
        <v>1588</v>
      </c>
      <c r="B726" s="12" t="s">
        <v>1451</v>
      </c>
      <c r="C726" s="12" t="s">
        <v>1452</v>
      </c>
      <c r="D726" s="12" t="s">
        <v>400</v>
      </c>
      <c r="E726" s="12" t="s">
        <v>1589</v>
      </c>
      <c r="F726" s="13" t="n">
        <v>922008</v>
      </c>
      <c r="G726" s="13" t="n">
        <v>1205023</v>
      </c>
      <c r="H726" s="14" t="n">
        <v>34448</v>
      </c>
      <c r="I726" s="14" t="n">
        <v>35139</v>
      </c>
      <c r="J726" s="15" t="n">
        <f aca="false">I726/H726</f>
        <v>1.02005921969345</v>
      </c>
      <c r="K726" s="16" t="n">
        <f aca="false">ROUND(I726*J726^($F$8-1),0)</f>
        <v>34978</v>
      </c>
      <c r="L726" s="16" t="n">
        <f aca="false">ROUND(I726*J726^($F$9-1),0)</f>
        <v>35103</v>
      </c>
      <c r="M726" s="17" t="n">
        <f aca="false">G726*$F$7</f>
        <v>1160801.34974023</v>
      </c>
      <c r="N726" s="18" t="n">
        <f aca="false">F726/K726</f>
        <v>26.3596546400595</v>
      </c>
      <c r="O726" s="18" t="n">
        <f aca="false">G726/L726</f>
        <v>34.3282055664758</v>
      </c>
      <c r="P726" s="18" t="n">
        <f aca="false">M726/L726</f>
        <v>33.068437163212</v>
      </c>
      <c r="Q726" s="19" t="n">
        <f aca="false">IF(N726=0,"n.a.",P726/N726-1)</f>
        <v>0.254509500020423</v>
      </c>
    </row>
    <row r="727" customFormat="false" ht="15" hidden="false" customHeight="false" outlineLevel="0" collapsed="false">
      <c r="A727" s="12" t="s">
        <v>1590</v>
      </c>
      <c r="B727" s="12" t="s">
        <v>1451</v>
      </c>
      <c r="C727" s="12" t="s">
        <v>1452</v>
      </c>
      <c r="D727" s="12" t="s">
        <v>403</v>
      </c>
      <c r="E727" s="12" t="s">
        <v>1591</v>
      </c>
      <c r="F727" s="13" t="n">
        <v>1900</v>
      </c>
      <c r="G727" s="13" t="n">
        <v>0</v>
      </c>
      <c r="H727" s="14" t="n">
        <v>456</v>
      </c>
      <c r="I727" s="14" t="n">
        <v>415</v>
      </c>
      <c r="J727" s="15" t="n">
        <f aca="false">I727/H727</f>
        <v>0.910087719298246</v>
      </c>
      <c r="K727" s="16" t="n">
        <f aca="false">ROUND(I727*J727^($F$8-1),0)</f>
        <v>424</v>
      </c>
      <c r="L727" s="16" t="n">
        <f aca="false">ROUND(I727*J727^($F$9-1),0)</f>
        <v>417</v>
      </c>
      <c r="M727" s="17" t="n">
        <f aca="false">G727*$F$7</f>
        <v>0</v>
      </c>
      <c r="N727" s="18" t="n">
        <f aca="false">F727/K727</f>
        <v>4.4811320754717</v>
      </c>
      <c r="O727" s="18" t="n">
        <f aca="false">G727/L727</f>
        <v>0</v>
      </c>
      <c r="P727" s="18" t="n">
        <f aca="false">M727/L727</f>
        <v>0</v>
      </c>
      <c r="Q727" s="19" t="n">
        <f aca="false">IF(N727=0,"n.a.",P727/N727-1)</f>
        <v>-1</v>
      </c>
    </row>
    <row r="728" customFormat="false" ht="15" hidden="false" customHeight="false" outlineLevel="0" collapsed="false">
      <c r="A728" s="12" t="s">
        <v>1592</v>
      </c>
      <c r="B728" s="12" t="s">
        <v>1451</v>
      </c>
      <c r="C728" s="12" t="s">
        <v>1452</v>
      </c>
      <c r="D728" s="12" t="s">
        <v>406</v>
      </c>
      <c r="E728" s="12" t="s">
        <v>1593</v>
      </c>
      <c r="F728" s="13" t="n">
        <v>0</v>
      </c>
      <c r="G728" s="13" t="n">
        <v>71035</v>
      </c>
      <c r="H728" s="14" t="n">
        <v>2660</v>
      </c>
      <c r="I728" s="14" t="n">
        <v>2607</v>
      </c>
      <c r="J728" s="15" t="n">
        <f aca="false">I728/H728</f>
        <v>0.980075187969925</v>
      </c>
      <c r="K728" s="16" t="n">
        <f aca="false">ROUND(I728*J728^($F$8-1),0)</f>
        <v>2619</v>
      </c>
      <c r="L728" s="16" t="n">
        <f aca="false">ROUND(I728*J728^($F$9-1),0)</f>
        <v>2610</v>
      </c>
      <c r="M728" s="17" t="n">
        <f aca="false">G728*$F$7</f>
        <v>68428.1742994095</v>
      </c>
      <c r="N728" s="18" t="n">
        <f aca="false">F728/K728</f>
        <v>0</v>
      </c>
      <c r="O728" s="18" t="n">
        <f aca="false">G728/L728</f>
        <v>27.2164750957854</v>
      </c>
      <c r="P728" s="18" t="n">
        <f aca="false">M728/L728</f>
        <v>26.2176913024558</v>
      </c>
      <c r="Q728" s="19" t="str">
        <f aca="false">IF(N728=0,"n.a.",P728/N728-1)</f>
        <v>n.a.</v>
      </c>
    </row>
    <row r="729" customFormat="false" ht="15" hidden="false" customHeight="false" outlineLevel="0" collapsed="false">
      <c r="A729" s="12" t="s">
        <v>1594</v>
      </c>
      <c r="B729" s="12" t="s">
        <v>1451</v>
      </c>
      <c r="C729" s="12" t="s">
        <v>1452</v>
      </c>
      <c r="D729" s="12" t="s">
        <v>748</v>
      </c>
      <c r="E729" s="12" t="s">
        <v>1595</v>
      </c>
      <c r="F729" s="13" t="n">
        <v>49520</v>
      </c>
      <c r="G729" s="13" t="n">
        <v>0</v>
      </c>
      <c r="H729" s="14" t="n">
        <v>3411</v>
      </c>
      <c r="I729" s="14" t="n">
        <v>3082</v>
      </c>
      <c r="J729" s="15" t="n">
        <f aca="false">I729/H729</f>
        <v>0.903547346819115</v>
      </c>
      <c r="K729" s="16" t="n">
        <f aca="false">ROUND(I729*J729^($F$8-1),0)</f>
        <v>3155</v>
      </c>
      <c r="L729" s="16" t="n">
        <f aca="false">ROUND(I729*J729^($F$9-1),0)</f>
        <v>3098</v>
      </c>
      <c r="M729" s="17" t="n">
        <f aca="false">G729*$F$7</f>
        <v>0</v>
      </c>
      <c r="N729" s="18" t="n">
        <f aca="false">F729/K729</f>
        <v>15.6957210776545</v>
      </c>
      <c r="O729" s="18" t="n">
        <f aca="false">G729/L729</f>
        <v>0</v>
      </c>
      <c r="P729" s="18" t="n">
        <f aca="false">M729/L729</f>
        <v>0</v>
      </c>
      <c r="Q729" s="19" t="n">
        <f aca="false">IF(N729=0,"n.a.",P729/N729-1)</f>
        <v>-1</v>
      </c>
    </row>
    <row r="730" customFormat="false" ht="15" hidden="false" customHeight="false" outlineLevel="0" collapsed="false">
      <c r="A730" s="12" t="s">
        <v>1596</v>
      </c>
      <c r="B730" s="12" t="s">
        <v>1451</v>
      </c>
      <c r="C730" s="12" t="s">
        <v>1452</v>
      </c>
      <c r="D730" s="12" t="s">
        <v>409</v>
      </c>
      <c r="E730" s="12" t="s">
        <v>1597</v>
      </c>
      <c r="F730" s="13" t="n">
        <v>568886</v>
      </c>
      <c r="G730" s="13" t="n">
        <v>665735</v>
      </c>
      <c r="H730" s="14" t="n">
        <v>4370</v>
      </c>
      <c r="I730" s="14" t="n">
        <v>4474</v>
      </c>
      <c r="J730" s="15" t="n">
        <f aca="false">I730/H730</f>
        <v>1.02379862700229</v>
      </c>
      <c r="K730" s="16" t="n">
        <f aca="false">ROUND(I730*J730^($F$8-1),0)</f>
        <v>4450</v>
      </c>
      <c r="L730" s="16" t="n">
        <f aca="false">ROUND(I730*J730^($F$9-1),0)</f>
        <v>4469</v>
      </c>
      <c r="M730" s="17" t="n">
        <f aca="false">G730*$F$7</f>
        <v>641304.013756844</v>
      </c>
      <c r="N730" s="18" t="n">
        <f aca="false">F730/K730</f>
        <v>127.839550561798</v>
      </c>
      <c r="O730" s="18" t="n">
        <f aca="false">G730/L730</f>
        <v>148.967330498993</v>
      </c>
      <c r="P730" s="18" t="n">
        <f aca="false">M730/L730</f>
        <v>143.500562487546</v>
      </c>
      <c r="Q730" s="19" t="n">
        <f aca="false">IF(N730=0,"n.a.",P730/N730-1)</f>
        <v>0.122505217336304</v>
      </c>
    </row>
    <row r="731" customFormat="false" ht="15" hidden="false" customHeight="false" outlineLevel="0" collapsed="false">
      <c r="A731" s="12" t="s">
        <v>1598</v>
      </c>
      <c r="B731" s="12" t="s">
        <v>1451</v>
      </c>
      <c r="C731" s="12" t="s">
        <v>1452</v>
      </c>
      <c r="D731" s="12" t="s">
        <v>412</v>
      </c>
      <c r="E731" s="12" t="s">
        <v>1599</v>
      </c>
      <c r="F731" s="13" t="n">
        <v>13676</v>
      </c>
      <c r="G731" s="13" t="n">
        <v>13368</v>
      </c>
      <c r="H731" s="14" t="n">
        <v>1301</v>
      </c>
      <c r="I731" s="14" t="n">
        <v>1220</v>
      </c>
      <c r="J731" s="15" t="n">
        <f aca="false">I731/H731</f>
        <v>0.937740199846272</v>
      </c>
      <c r="K731" s="16" t="n">
        <f aca="false">ROUND(I731*J731^($F$8-1),0)</f>
        <v>1238</v>
      </c>
      <c r="L731" s="16" t="n">
        <f aca="false">ROUND(I731*J731^($F$9-1),0)</f>
        <v>1224</v>
      </c>
      <c r="M731" s="17" t="n">
        <f aca="false">G731*$F$7</f>
        <v>12877.4242842895</v>
      </c>
      <c r="N731" s="18" t="n">
        <f aca="false">F731/K731</f>
        <v>11.0468497576737</v>
      </c>
      <c r="O731" s="18" t="n">
        <f aca="false">G731/L731</f>
        <v>10.921568627451</v>
      </c>
      <c r="P731" s="18" t="n">
        <f aca="false">M731/L731</f>
        <v>10.5207714740928</v>
      </c>
      <c r="Q731" s="19" t="n">
        <f aca="false">IF(N731=0,"n.a.",P731/N731-1)</f>
        <v>-0.0476224711226362</v>
      </c>
    </row>
    <row r="732" customFormat="false" ht="15" hidden="false" customHeight="false" outlineLevel="0" collapsed="false">
      <c r="A732" s="12" t="s">
        <v>1600</v>
      </c>
      <c r="B732" s="12" t="s">
        <v>1451</v>
      </c>
      <c r="C732" s="12" t="s">
        <v>1452</v>
      </c>
      <c r="D732" s="12" t="s">
        <v>415</v>
      </c>
      <c r="E732" s="12" t="s">
        <v>1601</v>
      </c>
      <c r="F732" s="13" t="n">
        <v>27333360</v>
      </c>
      <c r="G732" s="13" t="n">
        <v>27360352</v>
      </c>
      <c r="H732" s="14" t="n">
        <v>84335</v>
      </c>
      <c r="I732" s="14" t="n">
        <v>84206</v>
      </c>
      <c r="J732" s="15" t="n">
        <f aca="false">I732/H732</f>
        <v>0.998470385960752</v>
      </c>
      <c r="K732" s="16" t="n">
        <f aca="false">ROUND(I732*J732^($F$8-1),0)</f>
        <v>84236</v>
      </c>
      <c r="L732" s="16" t="n">
        <f aca="false">ROUND(I732*J732^($F$9-1),0)</f>
        <v>84213</v>
      </c>
      <c r="M732" s="17" t="n">
        <f aca="false">G732*$F$7</f>
        <v>26356288.2459238</v>
      </c>
      <c r="N732" s="18" t="n">
        <f aca="false">F732/K732</f>
        <v>324.485493138326</v>
      </c>
      <c r="O732" s="18" t="n">
        <f aca="false">G732/L732</f>
        <v>324.894636220061</v>
      </c>
      <c r="P732" s="18" t="n">
        <f aca="false">M732/L732</f>
        <v>312.971729375795</v>
      </c>
      <c r="Q732" s="19" t="n">
        <f aca="false">IF(N732=0,"n.a.",P732/N732-1)</f>
        <v>-0.0354831387103722</v>
      </c>
    </row>
    <row r="733" customFormat="false" ht="15" hidden="false" customHeight="false" outlineLevel="0" collapsed="false">
      <c r="A733" s="12" t="s">
        <v>1602</v>
      </c>
      <c r="B733" s="12" t="s">
        <v>1451</v>
      </c>
      <c r="C733" s="12" t="s">
        <v>1452</v>
      </c>
      <c r="D733" s="12" t="s">
        <v>994</v>
      </c>
      <c r="E733" s="12" t="s">
        <v>1603</v>
      </c>
      <c r="F733" s="13" t="n">
        <v>35269</v>
      </c>
      <c r="G733" s="13" t="n">
        <v>106103</v>
      </c>
      <c r="H733" s="14" t="n">
        <v>1593</v>
      </c>
      <c r="I733" s="14" t="n">
        <v>1444</v>
      </c>
      <c r="J733" s="15" t="n">
        <f aca="false">I733/H733</f>
        <v>0.90646578782172</v>
      </c>
      <c r="K733" s="16" t="n">
        <f aca="false">ROUND(I733*J733^($F$8-1),0)</f>
        <v>1477</v>
      </c>
      <c r="L733" s="16" t="n">
        <f aca="false">ROUND(I733*J733^($F$9-1),0)</f>
        <v>1451</v>
      </c>
      <c r="M733" s="17" t="n">
        <f aca="false">G733*$F$7</f>
        <v>102209.257094253</v>
      </c>
      <c r="N733" s="18" t="n">
        <f aca="false">F733/K733</f>
        <v>23.8788083953961</v>
      </c>
      <c r="O733" s="18" t="n">
        <f aca="false">G733/L733</f>
        <v>73.1240523776706</v>
      </c>
      <c r="P733" s="18" t="n">
        <f aca="false">M733/L733</f>
        <v>70.4405631249158</v>
      </c>
      <c r="Q733" s="19" t="n">
        <f aca="false">IF(N733=0,"n.a.",P733/N733-1)</f>
        <v>1.94991952523464</v>
      </c>
    </row>
    <row r="734" customFormat="false" ht="15" hidden="false" customHeight="false" outlineLevel="0" collapsed="false">
      <c r="A734" s="12" t="s">
        <v>1604</v>
      </c>
      <c r="B734" s="12" t="s">
        <v>1451</v>
      </c>
      <c r="C734" s="12" t="s">
        <v>1452</v>
      </c>
      <c r="D734" s="12" t="s">
        <v>798</v>
      </c>
      <c r="E734" s="12" t="s">
        <v>1605</v>
      </c>
      <c r="F734" s="13" t="n">
        <v>1075</v>
      </c>
      <c r="G734" s="13" t="n">
        <v>4622</v>
      </c>
      <c r="H734" s="14" t="n">
        <v>1871</v>
      </c>
      <c r="I734" s="14" t="n">
        <v>1746</v>
      </c>
      <c r="J734" s="15" t="n">
        <f aca="false">I734/H734</f>
        <v>0.933190807055051</v>
      </c>
      <c r="K734" s="16" t="n">
        <f aca="false">ROUND(I734*J734^($F$8-1),0)</f>
        <v>1774</v>
      </c>
      <c r="L734" s="16" t="n">
        <f aca="false">ROUND(I734*J734^($F$9-1),0)</f>
        <v>1752</v>
      </c>
      <c r="M734" s="17" t="n">
        <f aca="false">G734*$F$7</f>
        <v>4452.3829325244</v>
      </c>
      <c r="N734" s="18" t="n">
        <f aca="false">F734/K734</f>
        <v>0.60597519729425</v>
      </c>
      <c r="O734" s="18" t="n">
        <f aca="false">G734/L734</f>
        <v>2.63812785388128</v>
      </c>
      <c r="P734" s="18" t="n">
        <f aca="false">M734/L734</f>
        <v>2.54131445920343</v>
      </c>
      <c r="Q734" s="19" t="n">
        <f aca="false">IF(N734=0,"n.a.",P734/N734-1)</f>
        <v>3.19375986104826</v>
      </c>
    </row>
    <row r="735" customFormat="false" ht="15" hidden="false" customHeight="false" outlineLevel="0" collapsed="false">
      <c r="A735" s="12" t="s">
        <v>1606</v>
      </c>
      <c r="B735" s="12" t="s">
        <v>1451</v>
      </c>
      <c r="C735" s="12" t="s">
        <v>1452</v>
      </c>
      <c r="D735" s="12" t="s">
        <v>999</v>
      </c>
      <c r="E735" s="12" t="s">
        <v>1607</v>
      </c>
      <c r="F735" s="13" t="n">
        <v>0</v>
      </c>
      <c r="G735" s="13" t="n">
        <v>0</v>
      </c>
      <c r="H735" s="14" t="n">
        <v>4154</v>
      </c>
      <c r="I735" s="14" t="n">
        <v>3855</v>
      </c>
      <c r="J735" s="15" t="n">
        <f aca="false">I735/H735</f>
        <v>0.928021184400578</v>
      </c>
      <c r="K735" s="16" t="n">
        <f aca="false">ROUND(I735*J735^($F$8-1),0)</f>
        <v>3922</v>
      </c>
      <c r="L735" s="16" t="n">
        <f aca="false">ROUND(I735*J735^($F$9-1),0)</f>
        <v>3870</v>
      </c>
      <c r="M735" s="17" t="n">
        <f aca="false">G735*$F$7</f>
        <v>0</v>
      </c>
      <c r="N735" s="18" t="n">
        <f aca="false">F735/K735</f>
        <v>0</v>
      </c>
      <c r="O735" s="18" t="n">
        <f aca="false">G735/L735</f>
        <v>0</v>
      </c>
      <c r="P735" s="18" t="n">
        <f aca="false">M735/L735</f>
        <v>0</v>
      </c>
      <c r="Q735" s="19" t="str">
        <f aca="false">IF(N735=0,"n.a.",P735/N735-1)</f>
        <v>n.a.</v>
      </c>
    </row>
    <row r="736" customFormat="false" ht="15" hidden="false" customHeight="false" outlineLevel="0" collapsed="false">
      <c r="A736" s="12" t="s">
        <v>1608</v>
      </c>
      <c r="B736" s="12" t="s">
        <v>1451</v>
      </c>
      <c r="C736" s="12" t="s">
        <v>1452</v>
      </c>
      <c r="D736" s="12" t="s">
        <v>418</v>
      </c>
      <c r="E736" s="12" t="s">
        <v>1609</v>
      </c>
      <c r="F736" s="13" t="n">
        <v>672141</v>
      </c>
      <c r="G736" s="13" t="n">
        <v>471811</v>
      </c>
      <c r="H736" s="14" t="n">
        <v>11364</v>
      </c>
      <c r="I736" s="14" t="n">
        <v>11731</v>
      </c>
      <c r="J736" s="15" t="n">
        <f aca="false">I736/H736</f>
        <v>1.03229496656107</v>
      </c>
      <c r="K736" s="16" t="n">
        <f aca="false">ROUND(I736*J736^($F$8-1),0)</f>
        <v>11645</v>
      </c>
      <c r="L736" s="16" t="n">
        <f aca="false">ROUND(I736*J736^($F$9-1),0)</f>
        <v>11712</v>
      </c>
      <c r="M736" s="17" t="n">
        <f aca="false">G736*$F$7</f>
        <v>454496.591037921</v>
      </c>
      <c r="N736" s="18" t="n">
        <f aca="false">F736/K736</f>
        <v>57.7192786603693</v>
      </c>
      <c r="O736" s="18" t="n">
        <f aca="false">G736/L736</f>
        <v>40.2844091530055</v>
      </c>
      <c r="P736" s="18" t="n">
        <f aca="false">M736/L736</f>
        <v>38.8060613932651</v>
      </c>
      <c r="Q736" s="19" t="n">
        <f aca="false">IF(N736=0,"n.a.",P736/N736-1)</f>
        <v>-0.32767591186288</v>
      </c>
    </row>
    <row r="737" customFormat="false" ht="15" hidden="false" customHeight="false" outlineLevel="0" collapsed="false">
      <c r="A737" s="12" t="s">
        <v>1610</v>
      </c>
      <c r="B737" s="12" t="s">
        <v>1451</v>
      </c>
      <c r="C737" s="12" t="s">
        <v>1452</v>
      </c>
      <c r="D737" s="12" t="s">
        <v>421</v>
      </c>
      <c r="E737" s="12" t="s">
        <v>1611</v>
      </c>
      <c r="F737" s="13" t="n">
        <v>2073515</v>
      </c>
      <c r="G737" s="13" t="n">
        <v>2151720</v>
      </c>
      <c r="H737" s="14" t="n">
        <v>4168</v>
      </c>
      <c r="I737" s="14" t="n">
        <v>4287</v>
      </c>
      <c r="J737" s="15" t="n">
        <f aca="false">I737/H737</f>
        <v>1.02855086372361</v>
      </c>
      <c r="K737" s="16" t="n">
        <f aca="false">ROUND(I737*J737^($F$8-1),0)</f>
        <v>4259</v>
      </c>
      <c r="L737" s="16" t="n">
        <f aca="false">ROUND(I737*J737^($F$9-1),0)</f>
        <v>4281</v>
      </c>
      <c r="M737" s="17" t="n">
        <f aca="false">G737*$F$7</f>
        <v>2072756.68619027</v>
      </c>
      <c r="N737" s="18" t="n">
        <f aca="false">F737/K737</f>
        <v>486.854895515379</v>
      </c>
      <c r="O737" s="18" t="n">
        <f aca="false">G737/L737</f>
        <v>502.620882971268</v>
      </c>
      <c r="P737" s="18" t="n">
        <f aca="false">M737/L737</f>
        <v>484.175820179926</v>
      </c>
      <c r="Q737" s="19" t="n">
        <f aca="false">IF(N737=0,"n.a.",P737/N737-1)</f>
        <v>-0.00550282098450861</v>
      </c>
    </row>
    <row r="738" customFormat="false" ht="15" hidden="false" customHeight="false" outlineLevel="0" collapsed="false">
      <c r="A738" s="12" t="s">
        <v>1612</v>
      </c>
      <c r="B738" s="12" t="s">
        <v>1451</v>
      </c>
      <c r="C738" s="12" t="s">
        <v>1452</v>
      </c>
      <c r="D738" s="12" t="s">
        <v>424</v>
      </c>
      <c r="E738" s="12" t="s">
        <v>1613</v>
      </c>
      <c r="F738" s="13" t="n">
        <v>1860</v>
      </c>
      <c r="G738" s="13" t="n">
        <v>0</v>
      </c>
      <c r="H738" s="14" t="n">
        <v>26086</v>
      </c>
      <c r="I738" s="14" t="n">
        <v>24474</v>
      </c>
      <c r="J738" s="15" t="n">
        <f aca="false">I738/H738</f>
        <v>0.93820440082803</v>
      </c>
      <c r="K738" s="16" t="n">
        <f aca="false">ROUND(I738*J738^($F$8-1),0)</f>
        <v>24837</v>
      </c>
      <c r="L738" s="16" t="n">
        <f aca="false">ROUND(I738*J738^($F$9-1),0)</f>
        <v>24555</v>
      </c>
      <c r="M738" s="17" t="n">
        <f aca="false">G738*$F$7</f>
        <v>0</v>
      </c>
      <c r="N738" s="18" t="n">
        <f aca="false">F738/K738</f>
        <v>0.0748882715303781</v>
      </c>
      <c r="O738" s="18" t="n">
        <f aca="false">G738/L738</f>
        <v>0</v>
      </c>
      <c r="P738" s="18" t="n">
        <f aca="false">M738/L738</f>
        <v>0</v>
      </c>
      <c r="Q738" s="19" t="n">
        <f aca="false">IF(N738=0,"n.a.",P738/N738-1)</f>
        <v>-1</v>
      </c>
    </row>
    <row r="739" customFormat="false" ht="15" hidden="false" customHeight="false" outlineLevel="0" collapsed="false">
      <c r="A739" s="12" t="s">
        <v>1614</v>
      </c>
      <c r="B739" s="12" t="s">
        <v>1451</v>
      </c>
      <c r="C739" s="12" t="s">
        <v>1452</v>
      </c>
      <c r="D739" s="12" t="s">
        <v>427</v>
      </c>
      <c r="E739" s="12" t="s">
        <v>1615</v>
      </c>
      <c r="F739" s="13" t="n">
        <v>0</v>
      </c>
      <c r="G739" s="13" t="n">
        <v>0</v>
      </c>
      <c r="H739" s="14" t="n">
        <v>947</v>
      </c>
      <c r="I739" s="14" t="n">
        <v>900</v>
      </c>
      <c r="J739" s="15" t="n">
        <f aca="false">I739/H739</f>
        <v>0.950369588173178</v>
      </c>
      <c r="K739" s="16" t="n">
        <f aca="false">ROUND(I739*J739^($F$8-1),0)</f>
        <v>911</v>
      </c>
      <c r="L739" s="16" t="n">
        <f aca="false">ROUND(I739*J739^($F$9-1),0)</f>
        <v>902</v>
      </c>
      <c r="M739" s="17" t="n">
        <f aca="false">G739*$F$7</f>
        <v>0</v>
      </c>
      <c r="N739" s="18" t="n">
        <f aca="false">F739/K739</f>
        <v>0</v>
      </c>
      <c r="O739" s="18" t="n">
        <f aca="false">G739/L739</f>
        <v>0</v>
      </c>
      <c r="P739" s="18" t="n">
        <f aca="false">M739/L739</f>
        <v>0</v>
      </c>
      <c r="Q739" s="19" t="str">
        <f aca="false">IF(N739=0,"n.a.",P739/N739-1)</f>
        <v>n.a.</v>
      </c>
    </row>
    <row r="740" customFormat="false" ht="15" hidden="false" customHeight="false" outlineLevel="0" collapsed="false">
      <c r="A740" s="12" t="s">
        <v>1616</v>
      </c>
      <c r="B740" s="12" t="s">
        <v>1451</v>
      </c>
      <c r="C740" s="12" t="s">
        <v>1452</v>
      </c>
      <c r="D740" s="12" t="s">
        <v>430</v>
      </c>
      <c r="E740" s="12" t="s">
        <v>1617</v>
      </c>
      <c r="F740" s="13" t="n">
        <v>403170</v>
      </c>
      <c r="G740" s="13" t="n">
        <v>556344</v>
      </c>
      <c r="H740" s="14" t="n">
        <v>5521</v>
      </c>
      <c r="I740" s="14" t="n">
        <v>6232</v>
      </c>
      <c r="J740" s="15" t="n">
        <f aca="false">I740/H740</f>
        <v>1.12878101793153</v>
      </c>
      <c r="K740" s="16" t="n">
        <f aca="false">ROUND(I740*J740^($F$8-1),0)</f>
        <v>6060</v>
      </c>
      <c r="L740" s="16" t="n">
        <f aca="false">ROUND(I740*J740^($F$9-1),0)</f>
        <v>6193</v>
      </c>
      <c r="M740" s="17" t="n">
        <f aca="false">G740*$F$7</f>
        <v>535927.418912236</v>
      </c>
      <c r="N740" s="18" t="n">
        <f aca="false">F740/K740</f>
        <v>66.529702970297</v>
      </c>
      <c r="O740" s="18" t="n">
        <f aca="false">G740/L740</f>
        <v>89.8343290812207</v>
      </c>
      <c r="P740" s="18" t="n">
        <f aca="false">M740/L740</f>
        <v>86.5376100294262</v>
      </c>
      <c r="Q740" s="19" t="n">
        <f aca="false">IF(N740=0,"n.a.",P740/N740-1)</f>
        <v>0.300736455535686</v>
      </c>
    </row>
    <row r="741" customFormat="false" ht="15" hidden="false" customHeight="false" outlineLevel="0" collapsed="false">
      <c r="A741" s="12" t="s">
        <v>1618</v>
      </c>
      <c r="B741" s="12" t="s">
        <v>1451</v>
      </c>
      <c r="C741" s="12" t="s">
        <v>1452</v>
      </c>
      <c r="D741" s="12" t="s">
        <v>433</v>
      </c>
      <c r="E741" s="12" t="s">
        <v>1619</v>
      </c>
      <c r="F741" s="13" t="n">
        <v>31880</v>
      </c>
      <c r="G741" s="13" t="n">
        <v>0</v>
      </c>
      <c r="H741" s="14" t="n">
        <v>2868</v>
      </c>
      <c r="I741" s="14" t="n">
        <v>2447</v>
      </c>
      <c r="J741" s="15" t="n">
        <f aca="false">I741/H741</f>
        <v>0.853207810320781</v>
      </c>
      <c r="K741" s="16" t="n">
        <f aca="false">ROUND(I741*J741^($F$8-1),0)</f>
        <v>2538</v>
      </c>
      <c r="L741" s="16" t="n">
        <f aca="false">ROUND(I741*J741^($F$9-1),0)</f>
        <v>2467</v>
      </c>
      <c r="M741" s="17" t="n">
        <f aca="false">G741*$F$7</f>
        <v>0</v>
      </c>
      <c r="N741" s="18" t="n">
        <f aca="false">F741/K741</f>
        <v>12.5610717100079</v>
      </c>
      <c r="O741" s="18" t="n">
        <f aca="false">G741/L741</f>
        <v>0</v>
      </c>
      <c r="P741" s="18" t="n">
        <f aca="false">M741/L741</f>
        <v>0</v>
      </c>
      <c r="Q741" s="19" t="n">
        <f aca="false">IF(N741=0,"n.a.",P741/N741-1)</f>
        <v>-1</v>
      </c>
    </row>
    <row r="742" customFormat="false" ht="15" hidden="false" customHeight="false" outlineLevel="0" collapsed="false">
      <c r="A742" s="12" t="s">
        <v>1620</v>
      </c>
      <c r="B742" s="12" t="s">
        <v>1451</v>
      </c>
      <c r="C742" s="12" t="s">
        <v>1452</v>
      </c>
      <c r="D742" s="12" t="s">
        <v>436</v>
      </c>
      <c r="E742" s="12" t="s">
        <v>1621</v>
      </c>
      <c r="F742" s="13" t="n">
        <v>0</v>
      </c>
      <c r="G742" s="13" t="n">
        <v>1000</v>
      </c>
      <c r="H742" s="14" t="n">
        <v>2308</v>
      </c>
      <c r="I742" s="14" t="n">
        <v>2100</v>
      </c>
      <c r="J742" s="15" t="n">
        <f aca="false">I742/H742</f>
        <v>0.909878682842288</v>
      </c>
      <c r="K742" s="16" t="n">
        <f aca="false">ROUND(I742*J742^($F$8-1),0)</f>
        <v>2146</v>
      </c>
      <c r="L742" s="16" t="n">
        <f aca="false">ROUND(I742*J742^($F$9-1),0)</f>
        <v>2110</v>
      </c>
      <c r="M742" s="17" t="n">
        <f aca="false">G742*$F$7</f>
        <v>963.30223550939</v>
      </c>
      <c r="N742" s="18" t="n">
        <f aca="false">F742/K742</f>
        <v>0</v>
      </c>
      <c r="O742" s="18" t="n">
        <f aca="false">G742/L742</f>
        <v>0.4739336492891</v>
      </c>
      <c r="P742" s="18" t="n">
        <f aca="false">M742/L742</f>
        <v>0.456541343843313</v>
      </c>
      <c r="Q742" s="19" t="str">
        <f aca="false">IF(N742=0,"n.a.",P742/N742-1)</f>
        <v>n.a.</v>
      </c>
    </row>
    <row r="743" customFormat="false" ht="15" hidden="false" customHeight="false" outlineLevel="0" collapsed="false">
      <c r="A743" s="12" t="s">
        <v>1622</v>
      </c>
      <c r="B743" s="12" t="s">
        <v>1451</v>
      </c>
      <c r="C743" s="12" t="s">
        <v>1452</v>
      </c>
      <c r="D743" s="12" t="s">
        <v>439</v>
      </c>
      <c r="E743" s="12" t="s">
        <v>1623</v>
      </c>
      <c r="F743" s="13" t="n">
        <v>19897</v>
      </c>
      <c r="G743" s="13" t="n">
        <v>32889</v>
      </c>
      <c r="H743" s="14" t="n">
        <v>6234</v>
      </c>
      <c r="I743" s="14" t="n">
        <v>6380</v>
      </c>
      <c r="J743" s="15" t="n">
        <f aca="false">I743/H743</f>
        <v>1.02341995508502</v>
      </c>
      <c r="K743" s="16" t="n">
        <f aca="false">ROUND(I743*J743^($F$8-1),0)</f>
        <v>6346</v>
      </c>
      <c r="L743" s="16" t="n">
        <f aca="false">ROUND(I743*J743^($F$9-1),0)</f>
        <v>6372</v>
      </c>
      <c r="M743" s="17" t="n">
        <f aca="false">G743*$F$7</f>
        <v>31682.0472236683</v>
      </c>
      <c r="N743" s="18" t="n">
        <f aca="false">F743/K743</f>
        <v>3.1353608572329</v>
      </c>
      <c r="O743" s="18" t="n">
        <f aca="false">G743/L743</f>
        <v>5.16148775894539</v>
      </c>
      <c r="P743" s="18" t="n">
        <f aca="false">M743/L743</f>
        <v>4.97207269674644</v>
      </c>
      <c r="Q743" s="19" t="n">
        <f aca="false">IF(N743=0,"n.a.",P743/N743-1)</f>
        <v>0.585805565339143</v>
      </c>
    </row>
    <row r="744" customFormat="false" ht="15" hidden="false" customHeight="false" outlineLevel="0" collapsed="false">
      <c r="A744" s="12" t="s">
        <v>1624</v>
      </c>
      <c r="B744" s="12" t="s">
        <v>1451</v>
      </c>
      <c r="C744" s="12" t="s">
        <v>1452</v>
      </c>
      <c r="D744" s="12" t="s">
        <v>442</v>
      </c>
      <c r="E744" s="12" t="s">
        <v>1625</v>
      </c>
      <c r="F744" s="13" t="n">
        <v>2375801</v>
      </c>
      <c r="G744" s="13" t="n">
        <v>2751825</v>
      </c>
      <c r="H744" s="14" t="n">
        <v>6279</v>
      </c>
      <c r="I744" s="14" t="n">
        <v>6390</v>
      </c>
      <c r="J744" s="15" t="n">
        <f aca="false">I744/H744</f>
        <v>1.01767797419971</v>
      </c>
      <c r="K744" s="16" t="n">
        <f aca="false">ROUND(I744*J744^($F$8-1),0)</f>
        <v>6364</v>
      </c>
      <c r="L744" s="16" t="n">
        <f aca="false">ROUND(I744*J744^($F$9-1),0)</f>
        <v>6384</v>
      </c>
      <c r="M744" s="17" t="n">
        <f aca="false">G744*$F$7</f>
        <v>2650839.17423063</v>
      </c>
      <c r="N744" s="18" t="n">
        <f aca="false">F744/K744</f>
        <v>373.318824638592</v>
      </c>
      <c r="O744" s="18" t="n">
        <f aca="false">G744/L744</f>
        <v>431.050281954887</v>
      </c>
      <c r="P744" s="18" t="n">
        <f aca="false">M744/L744</f>
        <v>415.231700224096</v>
      </c>
      <c r="Q744" s="19" t="n">
        <f aca="false">IF(N744=0,"n.a.",P744/N744-1)</f>
        <v>0.112270994172553</v>
      </c>
    </row>
    <row r="745" customFormat="false" ht="15" hidden="false" customHeight="false" outlineLevel="0" collapsed="false">
      <c r="A745" s="12" t="s">
        <v>1626</v>
      </c>
      <c r="B745" s="12" t="s">
        <v>1451</v>
      </c>
      <c r="C745" s="12" t="s">
        <v>1452</v>
      </c>
      <c r="D745" s="12" t="s">
        <v>445</v>
      </c>
      <c r="E745" s="12" t="s">
        <v>1627</v>
      </c>
      <c r="F745" s="13" t="n">
        <v>166001</v>
      </c>
      <c r="G745" s="13" t="n">
        <v>141302</v>
      </c>
      <c r="H745" s="14" t="n">
        <v>1776</v>
      </c>
      <c r="I745" s="14" t="n">
        <v>1647</v>
      </c>
      <c r="J745" s="15" t="n">
        <f aca="false">I745/H745</f>
        <v>0.927364864864865</v>
      </c>
      <c r="K745" s="16" t="n">
        <f aca="false">ROUND(I745*J745^($F$8-1),0)</f>
        <v>1676</v>
      </c>
      <c r="L745" s="16" t="n">
        <f aca="false">ROUND(I745*J745^($F$9-1),0)</f>
        <v>1653</v>
      </c>
      <c r="M745" s="17" t="n">
        <f aca="false">G745*$F$7</f>
        <v>136116.532481948</v>
      </c>
      <c r="N745" s="18" t="n">
        <f aca="false">F745/K745</f>
        <v>99.0459427207637</v>
      </c>
      <c r="O745" s="18" t="n">
        <f aca="false">G745/L745</f>
        <v>85.4821536600121</v>
      </c>
      <c r="P745" s="18" t="n">
        <f aca="false">M745/L745</f>
        <v>82.3451497168469</v>
      </c>
      <c r="Q745" s="19" t="n">
        <f aca="false">IF(N745=0,"n.a.",P745/N745-1)</f>
        <v>-0.168616629264671</v>
      </c>
    </row>
    <row r="746" customFormat="false" ht="15" hidden="false" customHeight="false" outlineLevel="0" collapsed="false">
      <c r="A746" s="12" t="s">
        <v>1628</v>
      </c>
      <c r="B746" s="12" t="s">
        <v>1451</v>
      </c>
      <c r="C746" s="12" t="s">
        <v>1452</v>
      </c>
      <c r="D746" s="12" t="s">
        <v>1024</v>
      </c>
      <c r="E746" s="12" t="s">
        <v>1629</v>
      </c>
      <c r="F746" s="13" t="n">
        <v>0</v>
      </c>
      <c r="G746" s="13" t="n">
        <v>0</v>
      </c>
      <c r="H746" s="14" t="n">
        <v>1843</v>
      </c>
      <c r="I746" s="14" t="n">
        <v>1789</v>
      </c>
      <c r="J746" s="15" t="n">
        <f aca="false">I746/H746</f>
        <v>0.97069994574064</v>
      </c>
      <c r="K746" s="16" t="n">
        <f aca="false">ROUND(I746*J746^($F$8-1),0)</f>
        <v>1801</v>
      </c>
      <c r="L746" s="16" t="n">
        <f aca="false">ROUND(I746*J746^($F$9-1),0)</f>
        <v>1792</v>
      </c>
      <c r="M746" s="17" t="n">
        <f aca="false">G746*$F$7</f>
        <v>0</v>
      </c>
      <c r="N746" s="18" t="n">
        <f aca="false">F746/K746</f>
        <v>0</v>
      </c>
      <c r="O746" s="18" t="n">
        <f aca="false">G746/L746</f>
        <v>0</v>
      </c>
      <c r="P746" s="18" t="n">
        <f aca="false">M746/L746</f>
        <v>0</v>
      </c>
      <c r="Q746" s="19" t="str">
        <f aca="false">IF(N746=0,"n.a.",P746/N746-1)</f>
        <v>n.a.</v>
      </c>
    </row>
    <row r="747" customFormat="false" ht="15" hidden="false" customHeight="false" outlineLevel="0" collapsed="false">
      <c r="A747" s="12" t="s">
        <v>1630</v>
      </c>
      <c r="B747" s="12" t="s">
        <v>1451</v>
      </c>
      <c r="C747" s="12" t="s">
        <v>1452</v>
      </c>
      <c r="D747" s="12" t="s">
        <v>809</v>
      </c>
      <c r="E747" s="12" t="s">
        <v>1631</v>
      </c>
      <c r="F747" s="13" t="n">
        <v>36948</v>
      </c>
      <c r="G747" s="13" t="n">
        <v>78518</v>
      </c>
      <c r="H747" s="14" t="n">
        <v>4509</v>
      </c>
      <c r="I747" s="14" t="n">
        <v>4528</v>
      </c>
      <c r="J747" s="15" t="n">
        <f aca="false">I747/H747</f>
        <v>1.00421379463296</v>
      </c>
      <c r="K747" s="16" t="n">
        <f aca="false">ROUND(I747*J747^($F$8-1),0)</f>
        <v>4524</v>
      </c>
      <c r="L747" s="16" t="n">
        <f aca="false">ROUND(I747*J747^($F$9-1),0)</f>
        <v>4527</v>
      </c>
      <c r="M747" s="17" t="n">
        <f aca="false">G747*$F$7</f>
        <v>75636.5649277263</v>
      </c>
      <c r="N747" s="18" t="n">
        <f aca="false">F747/K747</f>
        <v>8.16710875331565</v>
      </c>
      <c r="O747" s="18" t="n">
        <f aca="false">G747/L747</f>
        <v>17.3443781753921</v>
      </c>
      <c r="P747" s="18" t="n">
        <f aca="false">M747/L747</f>
        <v>16.7078782698755</v>
      </c>
      <c r="Q747" s="19" t="n">
        <f aca="false">IF(N747=0,"n.a.",P747/N747-1)</f>
        <v>1.04575190248232</v>
      </c>
    </row>
    <row r="748" customFormat="false" ht="15" hidden="false" customHeight="false" outlineLevel="0" collapsed="false">
      <c r="A748" s="12" t="s">
        <v>1632</v>
      </c>
      <c r="B748" s="12" t="s">
        <v>1451</v>
      </c>
      <c r="C748" s="12" t="s">
        <v>1452</v>
      </c>
      <c r="D748" s="12" t="s">
        <v>451</v>
      </c>
      <c r="E748" s="12" t="s">
        <v>1633</v>
      </c>
      <c r="F748" s="13" t="n">
        <v>63046</v>
      </c>
      <c r="G748" s="13" t="n">
        <v>56093</v>
      </c>
      <c r="H748" s="14" t="n">
        <v>756</v>
      </c>
      <c r="I748" s="14" t="n">
        <v>793</v>
      </c>
      <c r="J748" s="15" t="n">
        <f aca="false">I748/H748</f>
        <v>1.0489417989418</v>
      </c>
      <c r="K748" s="16" t="n">
        <f aca="false">ROUND(I748*J748^($F$8-1),0)</f>
        <v>784</v>
      </c>
      <c r="L748" s="16" t="n">
        <f aca="false">ROUND(I748*J748^($F$9-1),0)</f>
        <v>791</v>
      </c>
      <c r="M748" s="17" t="n">
        <f aca="false">G748*$F$7</f>
        <v>54034.5122964282</v>
      </c>
      <c r="N748" s="18" t="n">
        <f aca="false">F748/K748</f>
        <v>80.4158163265306</v>
      </c>
      <c r="O748" s="18" t="n">
        <f aca="false">G748/L748</f>
        <v>70.9140328697851</v>
      </c>
      <c r="P748" s="18" t="n">
        <f aca="false">M748/L748</f>
        <v>68.3116463924504</v>
      </c>
      <c r="Q748" s="19" t="n">
        <f aca="false">IF(N748=0,"n.a.",P748/N748-1)</f>
        <v>-0.150519766968863</v>
      </c>
    </row>
    <row r="749" customFormat="false" ht="15" hidden="false" customHeight="false" outlineLevel="0" collapsed="false">
      <c r="A749" s="12" t="s">
        <v>1634</v>
      </c>
      <c r="B749" s="12" t="s">
        <v>1451</v>
      </c>
      <c r="C749" s="12" t="s">
        <v>1452</v>
      </c>
      <c r="D749" s="12" t="s">
        <v>454</v>
      </c>
      <c r="E749" s="12" t="s">
        <v>1635</v>
      </c>
      <c r="F749" s="13" t="n">
        <v>17548</v>
      </c>
      <c r="G749" s="13" t="n">
        <v>16201</v>
      </c>
      <c r="H749" s="14" t="n">
        <v>1727</v>
      </c>
      <c r="I749" s="14" t="n">
        <v>1540</v>
      </c>
      <c r="J749" s="15" t="n">
        <f aca="false">I749/H749</f>
        <v>0.89171974522293</v>
      </c>
      <c r="K749" s="16" t="n">
        <f aca="false">ROUND(I749*J749^($F$8-1),0)</f>
        <v>1581</v>
      </c>
      <c r="L749" s="16" t="n">
        <f aca="false">ROUND(I749*J749^($F$9-1),0)</f>
        <v>1549</v>
      </c>
      <c r="M749" s="17" t="n">
        <f aca="false">G749*$F$7</f>
        <v>15606.4595174876</v>
      </c>
      <c r="N749" s="18" t="n">
        <f aca="false">F749/K749</f>
        <v>11.0993042378242</v>
      </c>
      <c r="O749" s="18" t="n">
        <f aca="false">G749/L749</f>
        <v>10.4590058102001</v>
      </c>
      <c r="P749" s="18" t="n">
        <f aca="false">M749/L749</f>
        <v>10.0751836781715</v>
      </c>
      <c r="Q749" s="19" t="n">
        <f aca="false">IF(N749=0,"n.a.",P749/N749-1)</f>
        <v>-0.0922688970145248</v>
      </c>
    </row>
    <row r="750" customFormat="false" ht="15" hidden="false" customHeight="false" outlineLevel="0" collapsed="false">
      <c r="A750" s="12" t="s">
        <v>1636</v>
      </c>
      <c r="B750" s="12" t="s">
        <v>1451</v>
      </c>
      <c r="C750" s="12" t="s">
        <v>1452</v>
      </c>
      <c r="D750" s="12" t="s">
        <v>457</v>
      </c>
      <c r="E750" s="12" t="s">
        <v>1637</v>
      </c>
      <c r="F750" s="13" t="n">
        <v>6405</v>
      </c>
      <c r="G750" s="13" t="n">
        <v>3563</v>
      </c>
      <c r="H750" s="14" t="n">
        <v>4182</v>
      </c>
      <c r="I750" s="14" t="n">
        <v>4132</v>
      </c>
      <c r="J750" s="15" t="n">
        <f aca="false">I750/H750</f>
        <v>0.98804399808704</v>
      </c>
      <c r="K750" s="16" t="n">
        <f aca="false">ROUND(I750*J750^($F$8-1),0)</f>
        <v>4143</v>
      </c>
      <c r="L750" s="16" t="n">
        <f aca="false">ROUND(I750*J750^($F$9-1),0)</f>
        <v>4135</v>
      </c>
      <c r="M750" s="17" t="n">
        <f aca="false">G750*$F$7</f>
        <v>3432.24586511996</v>
      </c>
      <c r="N750" s="18" t="n">
        <f aca="false">F750/K750</f>
        <v>1.545981173063</v>
      </c>
      <c r="O750" s="18" t="n">
        <f aca="false">G750/L750</f>
        <v>0.861668681983071</v>
      </c>
      <c r="P750" s="18" t="n">
        <f aca="false">M750/L750</f>
        <v>0.830047367622723</v>
      </c>
      <c r="Q750" s="19" t="n">
        <f aca="false">IF(N750=0,"n.a.",P750/N750-1)</f>
        <v>-0.463093482582211</v>
      </c>
    </row>
    <row r="751" customFormat="false" ht="15" hidden="false" customHeight="false" outlineLevel="0" collapsed="false">
      <c r="A751" s="12" t="s">
        <v>1638</v>
      </c>
      <c r="B751" s="12" t="s">
        <v>1451</v>
      </c>
      <c r="C751" s="12" t="s">
        <v>1452</v>
      </c>
      <c r="D751" s="12" t="s">
        <v>460</v>
      </c>
      <c r="E751" s="12" t="s">
        <v>1639</v>
      </c>
      <c r="F751" s="13" t="n">
        <v>4283</v>
      </c>
      <c r="G751" s="13" t="n">
        <v>120</v>
      </c>
      <c r="H751" s="14" t="n">
        <v>381</v>
      </c>
      <c r="I751" s="14" t="n">
        <v>392</v>
      </c>
      <c r="J751" s="15" t="n">
        <f aca="false">I751/H751</f>
        <v>1.02887139107612</v>
      </c>
      <c r="K751" s="16" t="n">
        <f aca="false">ROUND(I751*J751^($F$8-1),0)</f>
        <v>389</v>
      </c>
      <c r="L751" s="16" t="n">
        <f aca="false">ROUND(I751*J751^($F$9-1),0)</f>
        <v>391</v>
      </c>
      <c r="M751" s="17" t="n">
        <f aca="false">G751*$F$7</f>
        <v>115.596268261127</v>
      </c>
      <c r="N751" s="18" t="n">
        <f aca="false">F751/K751</f>
        <v>11.0102827763496</v>
      </c>
      <c r="O751" s="18" t="n">
        <f aca="false">G751/L751</f>
        <v>0.30690537084399</v>
      </c>
      <c r="P751" s="18" t="n">
        <f aca="false">M751/L751</f>
        <v>0.295642629823854</v>
      </c>
      <c r="Q751" s="19" t="n">
        <f aca="false">IF(N751=0,"n.a.",P751/N751-1)</f>
        <v>-0.973148498015064</v>
      </c>
    </row>
    <row r="752" customFormat="false" ht="15" hidden="false" customHeight="false" outlineLevel="0" collapsed="false">
      <c r="A752" s="12" t="s">
        <v>1640</v>
      </c>
      <c r="B752" s="12" t="s">
        <v>1451</v>
      </c>
      <c r="C752" s="12" t="s">
        <v>1452</v>
      </c>
      <c r="D752" s="12" t="s">
        <v>463</v>
      </c>
      <c r="E752" s="12" t="s">
        <v>1641</v>
      </c>
      <c r="F752" s="13" t="n">
        <v>0</v>
      </c>
      <c r="G752" s="13" t="n">
        <v>0</v>
      </c>
      <c r="H752" s="14" t="n">
        <v>393</v>
      </c>
      <c r="I752" s="14" t="n">
        <v>297</v>
      </c>
      <c r="J752" s="15" t="n">
        <f aca="false">I752/H752</f>
        <v>0.755725190839695</v>
      </c>
      <c r="K752" s="16" t="n">
        <f aca="false">ROUND(I752*J752^($F$8-1),0)</f>
        <v>317</v>
      </c>
      <c r="L752" s="16" t="n">
        <f aca="false">ROUND(I752*J752^($F$9-1),0)</f>
        <v>301</v>
      </c>
      <c r="M752" s="17" t="n">
        <f aca="false">G752*$F$7</f>
        <v>0</v>
      </c>
      <c r="N752" s="18" t="n">
        <f aca="false">F752/K752</f>
        <v>0</v>
      </c>
      <c r="O752" s="18" t="n">
        <f aca="false">G752/L752</f>
        <v>0</v>
      </c>
      <c r="P752" s="18" t="n">
        <f aca="false">M752/L752</f>
        <v>0</v>
      </c>
      <c r="Q752" s="19" t="str">
        <f aca="false">IF(N752=0,"n.a.",P752/N752-1)</f>
        <v>n.a.</v>
      </c>
    </row>
    <row r="753" customFormat="false" ht="15" hidden="false" customHeight="false" outlineLevel="0" collapsed="false">
      <c r="A753" s="12" t="s">
        <v>1642</v>
      </c>
      <c r="B753" s="12" t="s">
        <v>1451</v>
      </c>
      <c r="C753" s="12" t="s">
        <v>1452</v>
      </c>
      <c r="D753" s="12" t="s">
        <v>466</v>
      </c>
      <c r="E753" s="12" t="s">
        <v>1643</v>
      </c>
      <c r="F753" s="13" t="n">
        <v>0</v>
      </c>
      <c r="G753" s="13" t="n">
        <v>0</v>
      </c>
      <c r="H753" s="14" t="n">
        <v>748</v>
      </c>
      <c r="I753" s="14" t="n">
        <v>753</v>
      </c>
      <c r="J753" s="15" t="n">
        <f aca="false">I753/H753</f>
        <v>1.00668449197861</v>
      </c>
      <c r="K753" s="16" t="n">
        <f aca="false">ROUND(I753*J753^($F$8-1),0)</f>
        <v>752</v>
      </c>
      <c r="L753" s="16" t="n">
        <f aca="false">ROUND(I753*J753^($F$9-1),0)</f>
        <v>753</v>
      </c>
      <c r="M753" s="17" t="n">
        <f aca="false">G753*$F$7</f>
        <v>0</v>
      </c>
      <c r="N753" s="18" t="n">
        <f aca="false">F753/K753</f>
        <v>0</v>
      </c>
      <c r="O753" s="18" t="n">
        <f aca="false">G753/L753</f>
        <v>0</v>
      </c>
      <c r="P753" s="18" t="n">
        <f aca="false">M753/L753</f>
        <v>0</v>
      </c>
      <c r="Q753" s="19" t="str">
        <f aca="false">IF(N753=0,"n.a.",P753/N753-1)</f>
        <v>n.a.</v>
      </c>
    </row>
    <row r="754" customFormat="false" ht="15" hidden="false" customHeight="false" outlineLevel="0" collapsed="false">
      <c r="A754" s="12" t="s">
        <v>1644</v>
      </c>
      <c r="B754" s="12" t="s">
        <v>1451</v>
      </c>
      <c r="C754" s="12" t="s">
        <v>1452</v>
      </c>
      <c r="D754" s="12" t="s">
        <v>469</v>
      </c>
      <c r="E754" s="12" t="s">
        <v>1645</v>
      </c>
      <c r="F754" s="13" t="n">
        <v>75604</v>
      </c>
      <c r="G754" s="13" t="n">
        <v>37924</v>
      </c>
      <c r="H754" s="14" t="n">
        <v>5326</v>
      </c>
      <c r="I754" s="14" t="n">
        <v>6006</v>
      </c>
      <c r="J754" s="15" t="n">
        <f aca="false">I754/H754</f>
        <v>1.12767555388659</v>
      </c>
      <c r="K754" s="16" t="n">
        <f aca="false">ROUND(I754*J754^($F$8-1),0)</f>
        <v>5842</v>
      </c>
      <c r="L754" s="16" t="n">
        <f aca="false">ROUND(I754*J754^($F$9-1),0)</f>
        <v>5969</v>
      </c>
      <c r="M754" s="17" t="n">
        <f aca="false">G754*$F$7</f>
        <v>36532.2739794581</v>
      </c>
      <c r="N754" s="18" t="n">
        <f aca="false">F754/K754</f>
        <v>12.9414584046559</v>
      </c>
      <c r="O754" s="18" t="n">
        <f aca="false">G754/L754</f>
        <v>6.35349304741163</v>
      </c>
      <c r="P754" s="18" t="n">
        <f aca="false">M754/L754</f>
        <v>6.12033405586499</v>
      </c>
      <c r="Q754" s="19" t="n">
        <f aca="false">IF(N754=0,"n.a.",P754/N754-1)</f>
        <v>-0.527075398730712</v>
      </c>
    </row>
    <row r="755" customFormat="false" ht="15" hidden="false" customHeight="false" outlineLevel="0" collapsed="false">
      <c r="A755" s="12" t="s">
        <v>1646</v>
      </c>
      <c r="B755" s="12" t="s">
        <v>1451</v>
      </c>
      <c r="C755" s="12" t="s">
        <v>1452</v>
      </c>
      <c r="D755" s="12" t="s">
        <v>472</v>
      </c>
      <c r="E755" s="12" t="s">
        <v>1647</v>
      </c>
      <c r="F755" s="13" t="n">
        <v>842725</v>
      </c>
      <c r="G755" s="13" t="n">
        <v>1155550</v>
      </c>
      <c r="H755" s="14" t="n">
        <v>6041</v>
      </c>
      <c r="I755" s="14" t="n">
        <v>5873</v>
      </c>
      <c r="J755" s="15" t="n">
        <f aca="false">I755/H755</f>
        <v>0.972190034762457</v>
      </c>
      <c r="K755" s="16" t="n">
        <f aca="false">ROUND(I755*J755^($F$8-1),0)</f>
        <v>5911</v>
      </c>
      <c r="L755" s="16" t="n">
        <f aca="false">ROUND(I755*J755^($F$9-1),0)</f>
        <v>5882</v>
      </c>
      <c r="M755" s="17" t="n">
        <f aca="false">G755*$F$7</f>
        <v>1113143.89824288</v>
      </c>
      <c r="N755" s="18" t="n">
        <f aca="false">F755/K755</f>
        <v>142.568939265776</v>
      </c>
      <c r="O755" s="18" t="n">
        <f aca="false">G755/L755</f>
        <v>196.455287317239</v>
      </c>
      <c r="P755" s="18" t="n">
        <f aca="false">M755/L755</f>
        <v>189.245817450336</v>
      </c>
      <c r="Q755" s="19" t="n">
        <f aca="false">IF(N755=0,"n.a.",P755/N755-1)</f>
        <v>0.327398649558202</v>
      </c>
    </row>
    <row r="756" customFormat="false" ht="15" hidden="false" customHeight="false" outlineLevel="0" collapsed="false">
      <c r="A756" s="12" t="s">
        <v>1648</v>
      </c>
      <c r="B756" s="12" t="s">
        <v>1451</v>
      </c>
      <c r="C756" s="12" t="s">
        <v>1452</v>
      </c>
      <c r="D756" s="12" t="s">
        <v>475</v>
      </c>
      <c r="E756" s="12" t="s">
        <v>1649</v>
      </c>
      <c r="F756" s="13" t="n">
        <v>0</v>
      </c>
      <c r="G756" s="13" t="n">
        <v>0</v>
      </c>
      <c r="H756" s="14" t="n">
        <v>2665</v>
      </c>
      <c r="I756" s="14" t="n">
        <v>2622</v>
      </c>
      <c r="J756" s="15" t="n">
        <f aca="false">I756/H756</f>
        <v>0.983864915572233</v>
      </c>
      <c r="K756" s="16" t="n">
        <f aca="false">ROUND(I756*J756^($F$8-1),0)</f>
        <v>2632</v>
      </c>
      <c r="L756" s="16" t="n">
        <f aca="false">ROUND(I756*J756^($F$9-1),0)</f>
        <v>2624</v>
      </c>
      <c r="M756" s="17" t="n">
        <f aca="false">G756*$F$7</f>
        <v>0</v>
      </c>
      <c r="N756" s="18" t="n">
        <f aca="false">F756/K756</f>
        <v>0</v>
      </c>
      <c r="O756" s="18" t="n">
        <f aca="false">G756/L756</f>
        <v>0</v>
      </c>
      <c r="P756" s="18" t="n">
        <f aca="false">M756/L756</f>
        <v>0</v>
      </c>
      <c r="Q756" s="19" t="str">
        <f aca="false">IF(N756=0,"n.a.",P756/N756-1)</f>
        <v>n.a.</v>
      </c>
    </row>
    <row r="757" customFormat="false" ht="15" hidden="false" customHeight="false" outlineLevel="0" collapsed="false">
      <c r="A757" s="12" t="s">
        <v>1650</v>
      </c>
      <c r="B757" s="12" t="s">
        <v>1451</v>
      </c>
      <c r="C757" s="12" t="s">
        <v>1452</v>
      </c>
      <c r="D757" s="12" t="s">
        <v>478</v>
      </c>
      <c r="E757" s="12" t="s">
        <v>1651</v>
      </c>
      <c r="F757" s="13" t="n">
        <v>0</v>
      </c>
      <c r="G757" s="13" t="n">
        <v>0</v>
      </c>
      <c r="H757" s="14" t="n">
        <v>7635</v>
      </c>
      <c r="I757" s="14" t="n">
        <v>7006</v>
      </c>
      <c r="J757" s="15" t="n">
        <f aca="false">I757/H757</f>
        <v>0.917616240995416</v>
      </c>
      <c r="K757" s="16" t="n">
        <f aca="false">ROUND(I757*J757^($F$8-1),0)</f>
        <v>7146</v>
      </c>
      <c r="L757" s="16" t="n">
        <f aca="false">ROUND(I757*J757^($F$9-1),0)</f>
        <v>7037</v>
      </c>
      <c r="M757" s="17" t="n">
        <f aca="false">G757*$F$7</f>
        <v>0</v>
      </c>
      <c r="N757" s="18" t="n">
        <f aca="false">F757/K757</f>
        <v>0</v>
      </c>
      <c r="O757" s="18" t="n">
        <f aca="false">G757/L757</f>
        <v>0</v>
      </c>
      <c r="P757" s="18" t="n">
        <f aca="false">M757/L757</f>
        <v>0</v>
      </c>
      <c r="Q757" s="19" t="str">
        <f aca="false">IF(N757=0,"n.a.",P757/N757-1)</f>
        <v>n.a.</v>
      </c>
    </row>
    <row r="758" customFormat="false" ht="15" hidden="false" customHeight="false" outlineLevel="0" collapsed="false">
      <c r="A758" s="12" t="s">
        <v>1652</v>
      </c>
      <c r="B758" s="12" t="s">
        <v>1451</v>
      </c>
      <c r="C758" s="12" t="s">
        <v>1452</v>
      </c>
      <c r="D758" s="12" t="s">
        <v>481</v>
      </c>
      <c r="E758" s="12" t="s">
        <v>1653</v>
      </c>
      <c r="F758" s="13" t="n">
        <v>25372</v>
      </c>
      <c r="G758" s="13" t="n">
        <v>76560</v>
      </c>
      <c r="H758" s="14" t="n">
        <v>249</v>
      </c>
      <c r="I758" s="14" t="n">
        <v>237</v>
      </c>
      <c r="J758" s="15" t="n">
        <f aca="false">I758/H758</f>
        <v>0.951807228915663</v>
      </c>
      <c r="K758" s="16" t="n">
        <f aca="false">ROUND(I758*J758^($F$8-1),0)</f>
        <v>240</v>
      </c>
      <c r="L758" s="16" t="n">
        <f aca="false">ROUND(I758*J758^($F$9-1),0)</f>
        <v>238</v>
      </c>
      <c r="M758" s="17" t="n">
        <f aca="false">G758*$F$7</f>
        <v>73750.4191505989</v>
      </c>
      <c r="N758" s="18" t="n">
        <f aca="false">F758/K758</f>
        <v>105.716666666667</v>
      </c>
      <c r="O758" s="18" t="n">
        <f aca="false">G758/L758</f>
        <v>321.680672268908</v>
      </c>
      <c r="P758" s="18" t="n">
        <f aca="false">M758/L758</f>
        <v>309.875710716802</v>
      </c>
      <c r="Q758" s="19" t="n">
        <f aca="false">IF(N758=0,"n.a.",P758/N758-1)</f>
        <v>1.9311907051881</v>
      </c>
    </row>
    <row r="759" customFormat="false" ht="15" hidden="false" customHeight="false" outlineLevel="0" collapsed="false">
      <c r="A759" s="12" t="s">
        <v>1654</v>
      </c>
      <c r="B759" s="12" t="s">
        <v>1451</v>
      </c>
      <c r="C759" s="12" t="s">
        <v>1452</v>
      </c>
      <c r="D759" s="12" t="s">
        <v>484</v>
      </c>
      <c r="E759" s="12" t="s">
        <v>1655</v>
      </c>
      <c r="F759" s="13" t="n">
        <v>2343303</v>
      </c>
      <c r="G759" s="13" t="n">
        <v>2022509</v>
      </c>
      <c r="H759" s="14" t="n">
        <v>26268</v>
      </c>
      <c r="I759" s="14" t="n">
        <v>25839</v>
      </c>
      <c r="J759" s="15" t="n">
        <f aca="false">I759/H759</f>
        <v>0.983668341708543</v>
      </c>
      <c r="K759" s="16" t="n">
        <f aca="false">ROUND(I759*J759^($F$8-1),0)</f>
        <v>25937</v>
      </c>
      <c r="L759" s="16" t="n">
        <f aca="false">ROUND(I759*J759^($F$9-1),0)</f>
        <v>25861</v>
      </c>
      <c r="M759" s="17" t="n">
        <f aca="false">G759*$F$7</f>
        <v>1948287.44103786</v>
      </c>
      <c r="N759" s="18" t="n">
        <f aca="false">F759/K759</f>
        <v>90.345953656938</v>
      </c>
      <c r="O759" s="18" t="n">
        <f aca="false">G759/L759</f>
        <v>78.2069138857739</v>
      </c>
      <c r="P759" s="18" t="n">
        <f aca="false">M759/L759</f>
        <v>75.3368949784564</v>
      </c>
      <c r="Q759" s="19" t="n">
        <f aca="false">IF(N759=0,"n.a.",P759/N759-1)</f>
        <v>-0.166128731514352</v>
      </c>
    </row>
    <row r="760" customFormat="false" ht="15" hidden="false" customHeight="false" outlineLevel="0" collapsed="false">
      <c r="A760" s="12" t="s">
        <v>1656</v>
      </c>
      <c r="B760" s="12" t="s">
        <v>1451</v>
      </c>
      <c r="C760" s="12" t="s">
        <v>1452</v>
      </c>
      <c r="D760" s="12" t="s">
        <v>817</v>
      </c>
      <c r="E760" s="12" t="s">
        <v>1657</v>
      </c>
      <c r="F760" s="13" t="n">
        <v>0</v>
      </c>
      <c r="G760" s="13" t="n">
        <v>0</v>
      </c>
      <c r="H760" s="14" t="n">
        <v>2827</v>
      </c>
      <c r="I760" s="14" t="n">
        <v>2806</v>
      </c>
      <c r="J760" s="15" t="n">
        <f aca="false">I760/H760</f>
        <v>0.992571630703926</v>
      </c>
      <c r="K760" s="16" t="n">
        <f aca="false">ROUND(I760*J760^($F$8-1),0)</f>
        <v>2811</v>
      </c>
      <c r="L760" s="16" t="n">
        <f aca="false">ROUND(I760*J760^($F$9-1),0)</f>
        <v>2807</v>
      </c>
      <c r="M760" s="17" t="n">
        <f aca="false">G760*$F$7</f>
        <v>0</v>
      </c>
      <c r="N760" s="18" t="n">
        <f aca="false">F760/K760</f>
        <v>0</v>
      </c>
      <c r="O760" s="18" t="n">
        <f aca="false">G760/L760</f>
        <v>0</v>
      </c>
      <c r="P760" s="18" t="n">
        <f aca="false">M760/L760</f>
        <v>0</v>
      </c>
      <c r="Q760" s="19" t="str">
        <f aca="false">IF(N760=0,"n.a.",P760/N760-1)</f>
        <v>n.a.</v>
      </c>
    </row>
    <row r="761" customFormat="false" ht="15" hidden="false" customHeight="false" outlineLevel="0" collapsed="false">
      <c r="A761" s="12" t="s">
        <v>1658</v>
      </c>
      <c r="B761" s="12" t="s">
        <v>1451</v>
      </c>
      <c r="C761" s="12" t="s">
        <v>1452</v>
      </c>
      <c r="D761" s="12" t="s">
        <v>487</v>
      </c>
      <c r="E761" s="12" t="s">
        <v>1659</v>
      </c>
      <c r="F761" s="13" t="n">
        <v>0</v>
      </c>
      <c r="G761" s="13" t="n">
        <v>0</v>
      </c>
      <c r="H761" s="14" t="n">
        <v>1232</v>
      </c>
      <c r="I761" s="14" t="n">
        <v>1242</v>
      </c>
      <c r="J761" s="15" t="n">
        <f aca="false">I761/H761</f>
        <v>1.00811688311688</v>
      </c>
      <c r="K761" s="16" t="n">
        <f aca="false">ROUND(I761*J761^($F$8-1),0)</f>
        <v>1240</v>
      </c>
      <c r="L761" s="16" t="n">
        <f aca="false">ROUND(I761*J761^($F$9-1),0)</f>
        <v>1241</v>
      </c>
      <c r="M761" s="17" t="n">
        <f aca="false">G761*$F$7</f>
        <v>0</v>
      </c>
      <c r="N761" s="18" t="n">
        <f aca="false">F761/K761</f>
        <v>0</v>
      </c>
      <c r="O761" s="18" t="n">
        <f aca="false">G761/L761</f>
        <v>0</v>
      </c>
      <c r="P761" s="18" t="n">
        <f aca="false">M761/L761</f>
        <v>0</v>
      </c>
      <c r="Q761" s="19" t="str">
        <f aca="false">IF(N761=0,"n.a.",P761/N761-1)</f>
        <v>n.a.</v>
      </c>
    </row>
    <row r="762" customFormat="false" ht="15" hidden="false" customHeight="false" outlineLevel="0" collapsed="false">
      <c r="A762" s="12" t="s">
        <v>1660</v>
      </c>
      <c r="B762" s="12" t="s">
        <v>1451</v>
      </c>
      <c r="C762" s="12" t="s">
        <v>1452</v>
      </c>
      <c r="D762" s="12" t="s">
        <v>490</v>
      </c>
      <c r="E762" s="12" t="s">
        <v>1661</v>
      </c>
      <c r="F762" s="13" t="n">
        <v>0</v>
      </c>
      <c r="G762" s="13" t="n">
        <v>0</v>
      </c>
      <c r="H762" s="14" t="n">
        <v>1618</v>
      </c>
      <c r="I762" s="14" t="n">
        <v>1717</v>
      </c>
      <c r="J762" s="15" t="n">
        <f aca="false">I762/H762</f>
        <v>1.06118665018541</v>
      </c>
      <c r="K762" s="16" t="n">
        <f aca="false">ROUND(I762*J762^($F$8-1),0)</f>
        <v>1694</v>
      </c>
      <c r="L762" s="16" t="n">
        <f aca="false">ROUND(I762*J762^($F$9-1),0)</f>
        <v>1712</v>
      </c>
      <c r="M762" s="17" t="n">
        <f aca="false">G762*$F$7</f>
        <v>0</v>
      </c>
      <c r="N762" s="18" t="n">
        <f aca="false">F762/K762</f>
        <v>0</v>
      </c>
      <c r="O762" s="18" t="n">
        <f aca="false">G762/L762</f>
        <v>0</v>
      </c>
      <c r="P762" s="18" t="n">
        <f aca="false">M762/L762</f>
        <v>0</v>
      </c>
      <c r="Q762" s="19" t="str">
        <f aca="false">IF(N762=0,"n.a.",P762/N762-1)</f>
        <v>n.a.</v>
      </c>
    </row>
    <row r="763" customFormat="false" ht="15" hidden="false" customHeight="false" outlineLevel="0" collapsed="false">
      <c r="A763" s="12" t="s">
        <v>1662</v>
      </c>
      <c r="B763" s="12" t="s">
        <v>1451</v>
      </c>
      <c r="C763" s="12" t="s">
        <v>1452</v>
      </c>
      <c r="D763" s="12" t="s">
        <v>493</v>
      </c>
      <c r="E763" s="12" t="s">
        <v>1663</v>
      </c>
      <c r="F763" s="13" t="n">
        <v>0</v>
      </c>
      <c r="G763" s="13" t="n">
        <v>0</v>
      </c>
      <c r="H763" s="14" t="n">
        <v>4873</v>
      </c>
      <c r="I763" s="14" t="n">
        <v>4387</v>
      </c>
      <c r="J763" s="15" t="n">
        <f aca="false">I763/H763</f>
        <v>0.900266776113277</v>
      </c>
      <c r="K763" s="16" t="n">
        <f aca="false">ROUND(I763*J763^($F$8-1),0)</f>
        <v>4495</v>
      </c>
      <c r="L763" s="16" t="n">
        <f aca="false">ROUND(I763*J763^($F$9-1),0)</f>
        <v>4411</v>
      </c>
      <c r="M763" s="17" t="n">
        <f aca="false">G763*$F$7</f>
        <v>0</v>
      </c>
      <c r="N763" s="18" t="n">
        <f aca="false">F763/K763</f>
        <v>0</v>
      </c>
      <c r="O763" s="18" t="n">
        <f aca="false">G763/L763</f>
        <v>0</v>
      </c>
      <c r="P763" s="18" t="n">
        <f aca="false">M763/L763</f>
        <v>0</v>
      </c>
      <c r="Q763" s="19" t="str">
        <f aca="false">IF(N763=0,"n.a.",P763/N763-1)</f>
        <v>n.a.</v>
      </c>
    </row>
    <row r="764" customFormat="false" ht="15" hidden="false" customHeight="false" outlineLevel="0" collapsed="false">
      <c r="A764" s="12" t="s">
        <v>1664</v>
      </c>
      <c r="B764" s="12" t="s">
        <v>1451</v>
      </c>
      <c r="C764" s="12" t="s">
        <v>1452</v>
      </c>
      <c r="D764" s="12" t="s">
        <v>496</v>
      </c>
      <c r="E764" s="12" t="s">
        <v>1665</v>
      </c>
      <c r="F764" s="13" t="n">
        <v>72360</v>
      </c>
      <c r="G764" s="13" t="n">
        <v>570</v>
      </c>
      <c r="H764" s="14" t="n">
        <v>2576</v>
      </c>
      <c r="I764" s="14" t="n">
        <v>2579</v>
      </c>
      <c r="J764" s="15" t="n">
        <f aca="false">I764/H764</f>
        <v>1.00116459627329</v>
      </c>
      <c r="K764" s="16" t="n">
        <f aca="false">ROUND(I764*J764^($F$8-1),0)</f>
        <v>2578</v>
      </c>
      <c r="L764" s="16" t="n">
        <f aca="false">ROUND(I764*J764^($F$9-1),0)</f>
        <v>2579</v>
      </c>
      <c r="M764" s="17" t="n">
        <f aca="false">G764*$F$7</f>
        <v>549.082274240353</v>
      </c>
      <c r="N764" s="18" t="n">
        <f aca="false">F764/K764</f>
        <v>28.0682699767261</v>
      </c>
      <c r="O764" s="18" t="n">
        <f aca="false">G764/L764</f>
        <v>0.221015897634742</v>
      </c>
      <c r="P764" s="18" t="n">
        <f aca="false">M764/L764</f>
        <v>0.212905108274662</v>
      </c>
      <c r="Q764" s="19" t="n">
        <f aca="false">IF(N764=0,"n.a.",P764/N764-1)</f>
        <v>-0.992414740614537</v>
      </c>
    </row>
    <row r="765" customFormat="false" ht="15" hidden="false" customHeight="false" outlineLevel="0" collapsed="false">
      <c r="A765" s="12" t="s">
        <v>1666</v>
      </c>
      <c r="B765" s="12" t="s">
        <v>1451</v>
      </c>
      <c r="C765" s="12" t="s">
        <v>1452</v>
      </c>
      <c r="D765" s="12" t="s">
        <v>1063</v>
      </c>
      <c r="E765" s="12" t="s">
        <v>1667</v>
      </c>
      <c r="F765" s="13" t="n">
        <v>568950</v>
      </c>
      <c r="G765" s="13" t="n">
        <v>486520</v>
      </c>
      <c r="H765" s="14" t="n">
        <v>3160</v>
      </c>
      <c r="I765" s="14" t="n">
        <v>3051</v>
      </c>
      <c r="J765" s="15" t="n">
        <f aca="false">I765/H765</f>
        <v>0.965506329113924</v>
      </c>
      <c r="K765" s="16" t="n">
        <f aca="false">ROUND(I765*J765^($F$8-1),0)</f>
        <v>3076</v>
      </c>
      <c r="L765" s="16" t="n">
        <f aca="false">ROUND(I765*J765^($F$9-1),0)</f>
        <v>3057</v>
      </c>
      <c r="M765" s="17" t="n">
        <f aca="false">G765*$F$7</f>
        <v>468665.803620029</v>
      </c>
      <c r="N765" s="18" t="n">
        <f aca="false">F765/K765</f>
        <v>184.964239271782</v>
      </c>
      <c r="O765" s="18" t="n">
        <f aca="false">G765/L765</f>
        <v>159.149492966961</v>
      </c>
      <c r="P765" s="18" t="n">
        <f aca="false">M765/L765</f>
        <v>153.30906235526</v>
      </c>
      <c r="Q765" s="19" t="n">
        <f aca="false">IF(N765=0,"n.a.",P765/N765-1)</f>
        <v>-0.171142146401655</v>
      </c>
    </row>
    <row r="766" customFormat="false" ht="15" hidden="false" customHeight="false" outlineLevel="0" collapsed="false">
      <c r="A766" s="12" t="s">
        <v>1668</v>
      </c>
      <c r="B766" s="12" t="s">
        <v>1451</v>
      </c>
      <c r="C766" s="12" t="s">
        <v>1452</v>
      </c>
      <c r="D766" s="12" t="s">
        <v>499</v>
      </c>
      <c r="E766" s="12" t="s">
        <v>1669</v>
      </c>
      <c r="F766" s="13" t="n">
        <v>7179</v>
      </c>
      <c r="G766" s="13" t="n">
        <v>9081</v>
      </c>
      <c r="H766" s="14" t="n">
        <v>674</v>
      </c>
      <c r="I766" s="14" t="n">
        <v>562</v>
      </c>
      <c r="J766" s="15" t="n">
        <f aca="false">I766/H766</f>
        <v>0.833827893175074</v>
      </c>
      <c r="K766" s="16" t="n">
        <f aca="false">ROUND(I766*J766^($F$8-1),0)</f>
        <v>586</v>
      </c>
      <c r="L766" s="16" t="n">
        <f aca="false">ROUND(I766*J766^($F$9-1),0)</f>
        <v>567</v>
      </c>
      <c r="M766" s="17" t="n">
        <f aca="false">G766*$F$7</f>
        <v>8747.74760066077</v>
      </c>
      <c r="N766" s="18" t="n">
        <f aca="false">F766/K766</f>
        <v>12.2508532423208</v>
      </c>
      <c r="O766" s="18" t="n">
        <f aca="false">G766/L766</f>
        <v>16.015873015873</v>
      </c>
      <c r="P766" s="18" t="n">
        <f aca="false">M766/L766</f>
        <v>15.428126279825</v>
      </c>
      <c r="Q766" s="19" t="n">
        <f aca="false">IF(N766=0,"n.a.",P766/N766-1)</f>
        <v>0.259351163111499</v>
      </c>
    </row>
    <row r="767" customFormat="false" ht="15" hidden="false" customHeight="false" outlineLevel="0" collapsed="false">
      <c r="A767" s="12" t="s">
        <v>1670</v>
      </c>
      <c r="B767" s="12" t="s">
        <v>1451</v>
      </c>
      <c r="C767" s="12" t="s">
        <v>1452</v>
      </c>
      <c r="D767" s="12" t="s">
        <v>502</v>
      </c>
      <c r="E767" s="12" t="s">
        <v>1671</v>
      </c>
      <c r="F767" s="13" t="n">
        <v>546767</v>
      </c>
      <c r="G767" s="13" t="n">
        <v>469986</v>
      </c>
      <c r="H767" s="14" t="n">
        <v>10099</v>
      </c>
      <c r="I767" s="14" t="n">
        <v>10774</v>
      </c>
      <c r="J767" s="15" t="n">
        <f aca="false">I767/H767</f>
        <v>1.06683830082186</v>
      </c>
      <c r="K767" s="16" t="n">
        <f aca="false">ROUND(I767*J767^($F$8-1),0)</f>
        <v>10614</v>
      </c>
      <c r="L767" s="16" t="n">
        <f aca="false">ROUND(I767*J767^($F$9-1),0)</f>
        <v>10738</v>
      </c>
      <c r="M767" s="17" t="n">
        <f aca="false">G767*$F$7</f>
        <v>452738.564458116</v>
      </c>
      <c r="N767" s="18" t="n">
        <f aca="false">F767/K767</f>
        <v>51.5137554173733</v>
      </c>
      <c r="O767" s="18" t="n">
        <f aca="false">G767/L767</f>
        <v>43.7684857515366</v>
      </c>
      <c r="P767" s="18" t="n">
        <f aca="false">M767/L767</f>
        <v>42.1622801693161</v>
      </c>
      <c r="Q767" s="19" t="n">
        <f aca="false">IF(N767=0,"n.a.",P767/N767-1)</f>
        <v>-0.18153355685855</v>
      </c>
    </row>
    <row r="768" customFormat="false" ht="15" hidden="false" customHeight="false" outlineLevel="0" collapsed="false">
      <c r="A768" s="12" t="s">
        <v>1672</v>
      </c>
      <c r="B768" s="12" t="s">
        <v>1451</v>
      </c>
      <c r="C768" s="12" t="s">
        <v>1452</v>
      </c>
      <c r="D768" s="12" t="s">
        <v>1069</v>
      </c>
      <c r="E768" s="12" t="s">
        <v>1673</v>
      </c>
      <c r="F768" s="13" t="n">
        <v>0</v>
      </c>
      <c r="G768" s="13" t="n">
        <v>0</v>
      </c>
      <c r="H768" s="14" t="n">
        <v>4131</v>
      </c>
      <c r="I768" s="14" t="n">
        <v>3820</v>
      </c>
      <c r="J768" s="15" t="n">
        <f aca="false">I768/H768</f>
        <v>0.924715565238441</v>
      </c>
      <c r="K768" s="16" t="n">
        <f aca="false">ROUND(I768*J768^($F$8-1),0)</f>
        <v>3890</v>
      </c>
      <c r="L768" s="16" t="n">
        <f aca="false">ROUND(I768*J768^($F$9-1),0)</f>
        <v>3836</v>
      </c>
      <c r="M768" s="17" t="n">
        <f aca="false">G768*$F$7</f>
        <v>0</v>
      </c>
      <c r="N768" s="18" t="n">
        <f aca="false">F768/K768</f>
        <v>0</v>
      </c>
      <c r="O768" s="18" t="n">
        <f aca="false">G768/L768</f>
        <v>0</v>
      </c>
      <c r="P768" s="18" t="n">
        <f aca="false">M768/L768</f>
        <v>0</v>
      </c>
      <c r="Q768" s="19" t="str">
        <f aca="false">IF(N768=0,"n.a.",P768/N768-1)</f>
        <v>n.a.</v>
      </c>
    </row>
    <row r="769" customFormat="false" ht="15" hidden="false" customHeight="false" outlineLevel="0" collapsed="false">
      <c r="A769" s="12" t="s">
        <v>1674</v>
      </c>
      <c r="B769" s="12" t="s">
        <v>1451</v>
      </c>
      <c r="C769" s="12" t="s">
        <v>1452</v>
      </c>
      <c r="D769" s="12" t="s">
        <v>505</v>
      </c>
      <c r="E769" s="12" t="s">
        <v>1675</v>
      </c>
      <c r="F769" s="13" t="n">
        <v>0</v>
      </c>
      <c r="G769" s="13" t="n">
        <v>0</v>
      </c>
      <c r="H769" s="14" t="n">
        <v>2213</v>
      </c>
      <c r="I769" s="14" t="n">
        <v>2084</v>
      </c>
      <c r="J769" s="15" t="n">
        <f aca="false">I769/H769</f>
        <v>0.941708088567555</v>
      </c>
      <c r="K769" s="16" t="n">
        <f aca="false">ROUND(I769*J769^($F$8-1),0)</f>
        <v>2113</v>
      </c>
      <c r="L769" s="16" t="n">
        <f aca="false">ROUND(I769*J769^($F$9-1),0)</f>
        <v>2091</v>
      </c>
      <c r="M769" s="17" t="n">
        <f aca="false">G769*$F$7</f>
        <v>0</v>
      </c>
      <c r="N769" s="18" t="n">
        <f aca="false">F769/K769</f>
        <v>0</v>
      </c>
      <c r="O769" s="18" t="n">
        <f aca="false">G769/L769</f>
        <v>0</v>
      </c>
      <c r="P769" s="18" t="n">
        <f aca="false">M769/L769</f>
        <v>0</v>
      </c>
      <c r="Q769" s="19" t="str">
        <f aca="false">IF(N769=0,"n.a.",P769/N769-1)</f>
        <v>n.a.</v>
      </c>
    </row>
    <row r="770" customFormat="false" ht="15" hidden="false" customHeight="false" outlineLevel="0" collapsed="false">
      <c r="A770" s="12" t="s">
        <v>1676</v>
      </c>
      <c r="B770" s="12" t="s">
        <v>1451</v>
      </c>
      <c r="C770" s="12" t="s">
        <v>1452</v>
      </c>
      <c r="D770" s="12" t="s">
        <v>508</v>
      </c>
      <c r="E770" s="12" t="s">
        <v>1677</v>
      </c>
      <c r="F770" s="13" t="n">
        <v>623536</v>
      </c>
      <c r="G770" s="13" t="n">
        <v>642389</v>
      </c>
      <c r="H770" s="14" t="n">
        <v>2389</v>
      </c>
      <c r="I770" s="14" t="n">
        <v>2182</v>
      </c>
      <c r="J770" s="15" t="n">
        <f aca="false">I770/H770</f>
        <v>0.913352867308497</v>
      </c>
      <c r="K770" s="16" t="n">
        <f aca="false">ROUND(I770*J770^($F$8-1),0)</f>
        <v>2228</v>
      </c>
      <c r="L770" s="16" t="n">
        <f aca="false">ROUND(I770*J770^($F$9-1),0)</f>
        <v>2192</v>
      </c>
      <c r="M770" s="17" t="n">
        <f aca="false">G770*$F$7</f>
        <v>618814.759766642</v>
      </c>
      <c r="N770" s="18" t="n">
        <f aca="false">F770/K770</f>
        <v>279.86355475763</v>
      </c>
      <c r="O770" s="18" t="n">
        <f aca="false">G770/L770</f>
        <v>293.060675182482</v>
      </c>
      <c r="P770" s="18" t="n">
        <f aca="false">M770/L770</f>
        <v>282.306003543176</v>
      </c>
      <c r="Q770" s="19" t="n">
        <f aca="false">IF(N770=0,"n.a.",P770/N770-1)</f>
        <v>0.00872728422127378</v>
      </c>
    </row>
    <row r="771" customFormat="false" ht="15" hidden="false" customHeight="false" outlineLevel="0" collapsed="false">
      <c r="A771" s="12" t="s">
        <v>1678</v>
      </c>
      <c r="B771" s="12" t="s">
        <v>1451</v>
      </c>
      <c r="C771" s="12" t="s">
        <v>1452</v>
      </c>
      <c r="D771" s="12" t="s">
        <v>1076</v>
      </c>
      <c r="E771" s="12" t="s">
        <v>1679</v>
      </c>
      <c r="F771" s="13" t="n">
        <v>0</v>
      </c>
      <c r="G771" s="13" t="n">
        <v>0</v>
      </c>
      <c r="H771" s="14" t="n">
        <v>735</v>
      </c>
      <c r="I771" s="14" t="n">
        <v>334</v>
      </c>
      <c r="J771" s="15" t="n">
        <f aca="false">I771/H771</f>
        <v>0.454421768707483</v>
      </c>
      <c r="K771" s="16" t="n">
        <f aca="false">ROUND(I771*J771^($F$8-1),0)</f>
        <v>401</v>
      </c>
      <c r="L771" s="16" t="n">
        <f aca="false">ROUND(I771*J771^($F$9-1),0)</f>
        <v>348</v>
      </c>
      <c r="M771" s="17" t="n">
        <f aca="false">G771*$F$7</f>
        <v>0</v>
      </c>
      <c r="N771" s="18" t="n">
        <f aca="false">F771/K771</f>
        <v>0</v>
      </c>
      <c r="O771" s="18" t="n">
        <f aca="false">G771/L771</f>
        <v>0</v>
      </c>
      <c r="P771" s="18" t="n">
        <f aca="false">M771/L771</f>
        <v>0</v>
      </c>
      <c r="Q771" s="19" t="str">
        <f aca="false">IF(N771=0,"n.a.",P771/N771-1)</f>
        <v>n.a.</v>
      </c>
    </row>
    <row r="772" customFormat="false" ht="15" hidden="false" customHeight="false" outlineLevel="0" collapsed="false">
      <c r="A772" s="12" t="s">
        <v>1680</v>
      </c>
      <c r="B772" s="12" t="s">
        <v>1451</v>
      </c>
      <c r="C772" s="12" t="s">
        <v>1452</v>
      </c>
      <c r="D772" s="12" t="s">
        <v>511</v>
      </c>
      <c r="E772" s="12" t="s">
        <v>1681</v>
      </c>
      <c r="F772" s="13" t="n">
        <v>26716</v>
      </c>
      <c r="G772" s="13" t="n">
        <v>22030</v>
      </c>
      <c r="H772" s="14" t="n">
        <v>303</v>
      </c>
      <c r="I772" s="14" t="n">
        <v>284</v>
      </c>
      <c r="J772" s="15" t="n">
        <f aca="false">I772/H772</f>
        <v>0.937293729372937</v>
      </c>
      <c r="K772" s="16" t="n">
        <f aca="false">ROUND(I772*J772^($F$8-1),0)</f>
        <v>288</v>
      </c>
      <c r="L772" s="16" t="n">
        <f aca="false">ROUND(I772*J772^($F$9-1),0)</f>
        <v>285</v>
      </c>
      <c r="M772" s="17" t="n">
        <f aca="false">G772*$F$7</f>
        <v>21221.5482482719</v>
      </c>
      <c r="N772" s="18" t="n">
        <f aca="false">F772/K772</f>
        <v>92.7638888888889</v>
      </c>
      <c r="O772" s="18" t="n">
        <f aca="false">G772/L772</f>
        <v>77.2982456140351</v>
      </c>
      <c r="P772" s="18" t="n">
        <f aca="false">M772/L772</f>
        <v>74.4615728009539</v>
      </c>
      <c r="Q772" s="19" t="n">
        <f aca="false">IF(N772=0,"n.a.",P772/N772-1)</f>
        <v>-0.19730000873354</v>
      </c>
    </row>
    <row r="773" customFormat="false" ht="15" hidden="false" customHeight="false" outlineLevel="0" collapsed="false">
      <c r="A773" s="12" t="s">
        <v>1682</v>
      </c>
      <c r="B773" s="12" t="s">
        <v>1451</v>
      </c>
      <c r="C773" s="12" t="s">
        <v>1452</v>
      </c>
      <c r="D773" s="12" t="s">
        <v>514</v>
      </c>
      <c r="E773" s="12" t="s">
        <v>1683</v>
      </c>
      <c r="F773" s="13" t="n">
        <v>14040</v>
      </c>
      <c r="G773" s="13" t="n">
        <v>25720</v>
      </c>
      <c r="H773" s="14" t="n">
        <v>596</v>
      </c>
      <c r="I773" s="14" t="n">
        <v>569</v>
      </c>
      <c r="J773" s="15" t="n">
        <f aca="false">I773/H773</f>
        <v>0.954697986577181</v>
      </c>
      <c r="K773" s="16" t="n">
        <f aca="false">ROUND(I773*J773^($F$8-1),0)</f>
        <v>575</v>
      </c>
      <c r="L773" s="16" t="n">
        <f aca="false">ROUND(I773*J773^($F$9-1),0)</f>
        <v>570</v>
      </c>
      <c r="M773" s="17" t="n">
        <f aca="false">G773*$F$7</f>
        <v>24776.1334973015</v>
      </c>
      <c r="N773" s="18" t="n">
        <f aca="false">F773/K773</f>
        <v>24.4173913043478</v>
      </c>
      <c r="O773" s="18" t="n">
        <f aca="false">G773/L773</f>
        <v>45.1228070175439</v>
      </c>
      <c r="P773" s="18" t="n">
        <f aca="false">M773/L773</f>
        <v>43.4669008724588</v>
      </c>
      <c r="Q773" s="19" t="n">
        <f aca="false">IF(N773=0,"n.a.",P773/N773-1)</f>
        <v>0.780161538580043</v>
      </c>
    </row>
    <row r="774" customFormat="false" ht="15" hidden="false" customHeight="false" outlineLevel="0" collapsed="false">
      <c r="A774" s="12" t="s">
        <v>1684</v>
      </c>
      <c r="B774" s="12" t="s">
        <v>1451</v>
      </c>
      <c r="C774" s="12" t="s">
        <v>1452</v>
      </c>
      <c r="D774" s="12" t="s">
        <v>517</v>
      </c>
      <c r="E774" s="12" t="s">
        <v>1685</v>
      </c>
      <c r="F774" s="13" t="n">
        <v>360</v>
      </c>
      <c r="G774" s="13" t="n">
        <v>0</v>
      </c>
      <c r="H774" s="14" t="n">
        <v>653</v>
      </c>
      <c r="I774" s="14" t="n">
        <v>636</v>
      </c>
      <c r="J774" s="15" t="n">
        <f aca="false">I774/H774</f>
        <v>0.973966309341501</v>
      </c>
      <c r="K774" s="16" t="n">
        <f aca="false">ROUND(I774*J774^($F$8-1),0)</f>
        <v>640</v>
      </c>
      <c r="L774" s="16" t="n">
        <f aca="false">ROUND(I774*J774^($F$9-1),0)</f>
        <v>637</v>
      </c>
      <c r="M774" s="17" t="n">
        <f aca="false">G774*$F$7</f>
        <v>0</v>
      </c>
      <c r="N774" s="18" t="n">
        <f aca="false">F774/K774</f>
        <v>0.5625</v>
      </c>
      <c r="O774" s="18" t="n">
        <f aca="false">G774/L774</f>
        <v>0</v>
      </c>
      <c r="P774" s="18" t="n">
        <f aca="false">M774/L774</f>
        <v>0</v>
      </c>
      <c r="Q774" s="19" t="n">
        <f aca="false">IF(N774=0,"n.a.",P774/N774-1)</f>
        <v>-1</v>
      </c>
    </row>
    <row r="775" customFormat="false" ht="15" hidden="false" customHeight="false" outlineLevel="0" collapsed="false">
      <c r="A775" s="12" t="s">
        <v>1686</v>
      </c>
      <c r="B775" s="12" t="s">
        <v>1451</v>
      </c>
      <c r="C775" s="12" t="s">
        <v>1452</v>
      </c>
      <c r="D775" s="12" t="s">
        <v>520</v>
      </c>
      <c r="E775" s="12" t="s">
        <v>1687</v>
      </c>
      <c r="F775" s="13" t="n">
        <v>0</v>
      </c>
      <c r="G775" s="13" t="n">
        <v>0</v>
      </c>
      <c r="H775" s="14" t="n">
        <v>2829</v>
      </c>
      <c r="I775" s="14" t="n">
        <v>2449</v>
      </c>
      <c r="J775" s="15" t="n">
        <f aca="false">I775/H775</f>
        <v>0.865676917638742</v>
      </c>
      <c r="K775" s="16" t="n">
        <f aca="false">ROUND(I775*J775^($F$8-1),0)</f>
        <v>2532</v>
      </c>
      <c r="L775" s="16" t="n">
        <f aca="false">ROUND(I775*J775^($F$9-1),0)</f>
        <v>2467</v>
      </c>
      <c r="M775" s="17" t="n">
        <f aca="false">G775*$F$7</f>
        <v>0</v>
      </c>
      <c r="N775" s="18" t="n">
        <f aca="false">F775/K775</f>
        <v>0</v>
      </c>
      <c r="O775" s="18" t="n">
        <f aca="false">G775/L775</f>
        <v>0</v>
      </c>
      <c r="P775" s="18" t="n">
        <f aca="false">M775/L775</f>
        <v>0</v>
      </c>
      <c r="Q775" s="19" t="str">
        <f aca="false">IF(N775=0,"n.a.",P775/N775-1)</f>
        <v>n.a.</v>
      </c>
    </row>
    <row r="776" customFormat="false" ht="15" hidden="false" customHeight="false" outlineLevel="0" collapsed="false">
      <c r="A776" s="12" t="s">
        <v>1688</v>
      </c>
      <c r="B776" s="12" t="s">
        <v>1451</v>
      </c>
      <c r="C776" s="12" t="s">
        <v>1452</v>
      </c>
      <c r="D776" s="12" t="s">
        <v>830</v>
      </c>
      <c r="E776" s="12" t="s">
        <v>1689</v>
      </c>
      <c r="F776" s="13" t="n">
        <v>295375</v>
      </c>
      <c r="G776" s="13" t="n">
        <v>348528</v>
      </c>
      <c r="H776" s="14" t="n">
        <v>19696</v>
      </c>
      <c r="I776" s="14" t="n">
        <v>21128</v>
      </c>
      <c r="J776" s="15" t="n">
        <f aca="false">I776/H776</f>
        <v>1.07270511779041</v>
      </c>
      <c r="K776" s="16" t="n">
        <f aca="false">ROUND(I776*J776^($F$8-1),0)</f>
        <v>20788</v>
      </c>
      <c r="L776" s="16" t="n">
        <f aca="false">ROUND(I776*J776^($F$9-1),0)</f>
        <v>21051</v>
      </c>
      <c r="M776" s="17" t="n">
        <f aca="false">G776*$F$7</f>
        <v>335737.801537617</v>
      </c>
      <c r="N776" s="18" t="n">
        <f aca="false">F776/K776</f>
        <v>14.2089186068886</v>
      </c>
      <c r="O776" s="18" t="n">
        <f aca="false">G776/L776</f>
        <v>16.5563631181417</v>
      </c>
      <c r="P776" s="18" t="n">
        <f aca="false">M776/L776</f>
        <v>15.9487816036111</v>
      </c>
      <c r="Q776" s="19" t="n">
        <f aca="false">IF(N776=0,"n.a.",P776/N776-1)</f>
        <v>0.122448656710511</v>
      </c>
    </row>
    <row r="777" customFormat="false" ht="15" hidden="false" customHeight="false" outlineLevel="0" collapsed="false">
      <c r="A777" s="12" t="s">
        <v>1690</v>
      </c>
      <c r="B777" s="12" t="s">
        <v>1451</v>
      </c>
      <c r="C777" s="12" t="s">
        <v>1452</v>
      </c>
      <c r="D777" s="12" t="s">
        <v>523</v>
      </c>
      <c r="E777" s="12" t="s">
        <v>1691</v>
      </c>
      <c r="F777" s="13" t="n">
        <v>0</v>
      </c>
      <c r="G777" s="13" t="n">
        <v>0</v>
      </c>
      <c r="H777" s="14" t="n">
        <v>11627</v>
      </c>
      <c r="I777" s="14" t="n">
        <v>13151</v>
      </c>
      <c r="J777" s="15" t="n">
        <f aca="false">I777/H777</f>
        <v>1.13107422378946</v>
      </c>
      <c r="K777" s="16" t="n">
        <f aca="false">ROUND(I777*J777^($F$8-1),0)</f>
        <v>12782</v>
      </c>
      <c r="L777" s="16" t="n">
        <f aca="false">ROUND(I777*J777^($F$9-1),0)</f>
        <v>13067</v>
      </c>
      <c r="M777" s="17" t="n">
        <f aca="false">G777*$F$7</f>
        <v>0</v>
      </c>
      <c r="N777" s="18" t="n">
        <f aca="false">F777/K777</f>
        <v>0</v>
      </c>
      <c r="O777" s="18" t="n">
        <f aca="false">G777/L777</f>
        <v>0</v>
      </c>
      <c r="P777" s="18" t="n">
        <f aca="false">M777/L777</f>
        <v>0</v>
      </c>
      <c r="Q777" s="19" t="str">
        <f aca="false">IF(N777=0,"n.a.",P777/N777-1)</f>
        <v>n.a.</v>
      </c>
    </row>
    <row r="778" customFormat="false" ht="15" hidden="false" customHeight="false" outlineLevel="0" collapsed="false">
      <c r="A778" s="12" t="s">
        <v>1692</v>
      </c>
      <c r="B778" s="12" t="s">
        <v>1451</v>
      </c>
      <c r="C778" s="12" t="s">
        <v>1452</v>
      </c>
      <c r="D778" s="12" t="s">
        <v>1693</v>
      </c>
      <c r="E778" s="12" t="s">
        <v>1694</v>
      </c>
      <c r="F778" s="13" t="n">
        <v>0</v>
      </c>
      <c r="G778" s="13" t="n">
        <v>0</v>
      </c>
      <c r="H778" s="14" t="n">
        <v>1252</v>
      </c>
      <c r="I778" s="14" t="n">
        <v>1249</v>
      </c>
      <c r="J778" s="15" t="n">
        <f aca="false">I778/H778</f>
        <v>0.997603833865815</v>
      </c>
      <c r="K778" s="16" t="n">
        <f aca="false">ROUND(I778*J778^($F$8-1),0)</f>
        <v>1250</v>
      </c>
      <c r="L778" s="16" t="n">
        <f aca="false">ROUND(I778*J778^($F$9-1),0)</f>
        <v>1249</v>
      </c>
      <c r="M778" s="17" t="n">
        <f aca="false">G778*$F$7</f>
        <v>0</v>
      </c>
      <c r="N778" s="18" t="n">
        <f aca="false">F778/K778</f>
        <v>0</v>
      </c>
      <c r="O778" s="18" t="n">
        <f aca="false">G778/L778</f>
        <v>0</v>
      </c>
      <c r="P778" s="18" t="n">
        <f aca="false">M778/L778</f>
        <v>0</v>
      </c>
      <c r="Q778" s="19" t="str">
        <f aca="false">IF(N778=0,"n.a.",P778/N778-1)</f>
        <v>n.a.</v>
      </c>
    </row>
    <row r="779" customFormat="false" ht="15" hidden="false" customHeight="false" outlineLevel="0" collapsed="false">
      <c r="A779" s="12" t="s">
        <v>1695</v>
      </c>
      <c r="B779" s="12" t="s">
        <v>1451</v>
      </c>
      <c r="C779" s="12" t="s">
        <v>1452</v>
      </c>
      <c r="D779" s="12" t="s">
        <v>1696</v>
      </c>
      <c r="E779" s="12" t="s">
        <v>1697</v>
      </c>
      <c r="F779" s="13" t="n">
        <v>0</v>
      </c>
      <c r="G779" s="13" t="n">
        <v>6653</v>
      </c>
      <c r="H779" s="14" t="n">
        <v>1295</v>
      </c>
      <c r="I779" s="14" t="n">
        <v>1236</v>
      </c>
      <c r="J779" s="15" t="n">
        <f aca="false">I779/H779</f>
        <v>0.954440154440154</v>
      </c>
      <c r="K779" s="16" t="n">
        <f aca="false">ROUND(I779*J779^($F$8-1),0)</f>
        <v>1249</v>
      </c>
      <c r="L779" s="16" t="n">
        <f aca="false">ROUND(I779*J779^($F$9-1),0)</f>
        <v>1239</v>
      </c>
      <c r="M779" s="17" t="n">
        <f aca="false">G779*$F$7</f>
        <v>6408.84977284397</v>
      </c>
      <c r="N779" s="18" t="n">
        <f aca="false">F779/K779</f>
        <v>0</v>
      </c>
      <c r="O779" s="18" t="n">
        <f aca="false">G779/L779</f>
        <v>5.36965294592413</v>
      </c>
      <c r="P779" s="18" t="n">
        <f aca="false">M779/L779</f>
        <v>5.1725986867183</v>
      </c>
      <c r="Q779" s="19" t="str">
        <f aca="false">IF(N779=0,"n.a.",P779/N779-1)</f>
        <v>n.a.</v>
      </c>
    </row>
    <row r="780" customFormat="false" ht="15" hidden="false" customHeight="false" outlineLevel="0" collapsed="false">
      <c r="A780" s="12" t="s">
        <v>1698</v>
      </c>
      <c r="B780" s="12" t="s">
        <v>1451</v>
      </c>
      <c r="C780" s="12" t="s">
        <v>1452</v>
      </c>
      <c r="D780" s="12" t="s">
        <v>1699</v>
      </c>
      <c r="E780" s="12" t="s">
        <v>1700</v>
      </c>
      <c r="F780" s="13" t="n">
        <v>22431</v>
      </c>
      <c r="G780" s="13" t="n">
        <v>9575</v>
      </c>
      <c r="H780" s="14" t="n">
        <v>356</v>
      </c>
      <c r="I780" s="14" t="n">
        <v>301</v>
      </c>
      <c r="J780" s="15" t="n">
        <f aca="false">I780/H780</f>
        <v>0.845505617977528</v>
      </c>
      <c r="K780" s="16" t="n">
        <f aca="false">ROUND(I780*J780^($F$8-1),0)</f>
        <v>313</v>
      </c>
      <c r="L780" s="16" t="n">
        <f aca="false">ROUND(I780*J780^($F$9-1),0)</f>
        <v>304</v>
      </c>
      <c r="M780" s="17" t="n">
        <f aca="false">G780*$F$7</f>
        <v>9223.61890500241</v>
      </c>
      <c r="N780" s="18" t="n">
        <f aca="false">F780/K780</f>
        <v>71.6645367412141</v>
      </c>
      <c r="O780" s="18" t="n">
        <f aca="false">G780/L780</f>
        <v>31.4967105263158</v>
      </c>
      <c r="P780" s="18" t="n">
        <f aca="false">M780/L780</f>
        <v>30.3408516611921</v>
      </c>
      <c r="Q780" s="19" t="n">
        <f aca="false">IF(N780=0,"n.a.",P780/N780-1)</f>
        <v>-0.576626696538133</v>
      </c>
    </row>
    <row r="781" customFormat="false" ht="15" hidden="false" customHeight="false" outlineLevel="0" collapsed="false">
      <c r="A781" s="12" t="s">
        <v>1701</v>
      </c>
      <c r="B781" s="12" t="s">
        <v>1451</v>
      </c>
      <c r="C781" s="12" t="s">
        <v>1452</v>
      </c>
      <c r="D781" s="12" t="s">
        <v>1702</v>
      </c>
      <c r="E781" s="12" t="s">
        <v>1703</v>
      </c>
      <c r="F781" s="13" t="n">
        <v>101760</v>
      </c>
      <c r="G781" s="13" t="n">
        <v>0</v>
      </c>
      <c r="H781" s="14" t="n">
        <v>5180</v>
      </c>
      <c r="I781" s="14" t="n">
        <v>5937</v>
      </c>
      <c r="J781" s="15" t="n">
        <f aca="false">I781/H781</f>
        <v>1.146138996139</v>
      </c>
      <c r="K781" s="16" t="n">
        <f aca="false">ROUND(I781*J781^($F$8-1),0)</f>
        <v>5753</v>
      </c>
      <c r="L781" s="16" t="n">
        <f aca="false">ROUND(I781*J781^($F$9-1),0)</f>
        <v>5895</v>
      </c>
      <c r="M781" s="17" t="n">
        <f aca="false">G781*$F$7</f>
        <v>0</v>
      </c>
      <c r="N781" s="18" t="n">
        <f aca="false">F781/K781</f>
        <v>17.6881626977229</v>
      </c>
      <c r="O781" s="18" t="n">
        <f aca="false">G781/L781</f>
        <v>0</v>
      </c>
      <c r="P781" s="18" t="n">
        <f aca="false">M781/L781</f>
        <v>0</v>
      </c>
      <c r="Q781" s="19" t="n">
        <f aca="false">IF(N781=0,"n.a.",P781/N781-1)</f>
        <v>-1</v>
      </c>
    </row>
    <row r="782" customFormat="false" ht="15" hidden="false" customHeight="false" outlineLevel="0" collapsed="false">
      <c r="A782" s="12" t="s">
        <v>1704</v>
      </c>
      <c r="B782" s="12" t="s">
        <v>1451</v>
      </c>
      <c r="C782" s="12" t="s">
        <v>1452</v>
      </c>
      <c r="D782" s="12" t="s">
        <v>1705</v>
      </c>
      <c r="E782" s="12" t="s">
        <v>1706</v>
      </c>
      <c r="F782" s="13" t="n">
        <v>0</v>
      </c>
      <c r="G782" s="13" t="n">
        <v>0</v>
      </c>
      <c r="H782" s="14" t="n">
        <v>11411</v>
      </c>
      <c r="I782" s="14" t="n">
        <v>11316</v>
      </c>
      <c r="J782" s="15" t="n">
        <f aca="false">I782/H782</f>
        <v>0.991674699851021</v>
      </c>
      <c r="K782" s="16" t="n">
        <f aca="false">ROUND(I782*J782^($F$8-1),0)</f>
        <v>11338</v>
      </c>
      <c r="L782" s="16" t="n">
        <f aca="false">ROUND(I782*J782^($F$9-1),0)</f>
        <v>11321</v>
      </c>
      <c r="M782" s="17" t="n">
        <f aca="false">G782*$F$7</f>
        <v>0</v>
      </c>
      <c r="N782" s="18" t="n">
        <f aca="false">F782/K782</f>
        <v>0</v>
      </c>
      <c r="O782" s="18" t="n">
        <f aca="false">G782/L782</f>
        <v>0</v>
      </c>
      <c r="P782" s="18" t="n">
        <f aca="false">M782/L782</f>
        <v>0</v>
      </c>
      <c r="Q782" s="19" t="str">
        <f aca="false">IF(N782=0,"n.a.",P782/N782-1)</f>
        <v>n.a.</v>
      </c>
    </row>
    <row r="783" customFormat="false" ht="15" hidden="false" customHeight="false" outlineLevel="0" collapsed="false">
      <c r="A783" s="12" t="s">
        <v>1707</v>
      </c>
      <c r="B783" s="12" t="s">
        <v>1451</v>
      </c>
      <c r="C783" s="12" t="s">
        <v>1452</v>
      </c>
      <c r="D783" s="12" t="s">
        <v>1708</v>
      </c>
      <c r="E783" s="12" t="s">
        <v>1709</v>
      </c>
      <c r="F783" s="13" t="n">
        <v>161892</v>
      </c>
      <c r="G783" s="13" t="n">
        <v>230480</v>
      </c>
      <c r="H783" s="14" t="n">
        <v>1350</v>
      </c>
      <c r="I783" s="14" t="n">
        <v>1226</v>
      </c>
      <c r="J783" s="15" t="n">
        <f aca="false">I783/H783</f>
        <v>0.908148148148148</v>
      </c>
      <c r="K783" s="16" t="n">
        <f aca="false">ROUND(I783*J783^($F$8-1),0)</f>
        <v>1254</v>
      </c>
      <c r="L783" s="16" t="n">
        <f aca="false">ROUND(I783*J783^($F$9-1),0)</f>
        <v>1232</v>
      </c>
      <c r="M783" s="17" t="n">
        <f aca="false">G783*$F$7</f>
        <v>222021.899240204</v>
      </c>
      <c r="N783" s="18" t="n">
        <f aca="false">F783/K783</f>
        <v>129.1004784689</v>
      </c>
      <c r="O783" s="18" t="n">
        <f aca="false">G783/L783</f>
        <v>187.077922077922</v>
      </c>
      <c r="P783" s="18" t="n">
        <f aca="false">M783/L783</f>
        <v>180.212580552114</v>
      </c>
      <c r="Q783" s="19" t="n">
        <f aca="false">IF(N783=0,"n.a.",P783/N783-1)</f>
        <v>0.395909470587495</v>
      </c>
    </row>
    <row r="784" customFormat="false" ht="15" hidden="false" customHeight="false" outlineLevel="0" collapsed="false">
      <c r="A784" s="12" t="s">
        <v>1710</v>
      </c>
      <c r="B784" s="12" t="s">
        <v>1451</v>
      </c>
      <c r="C784" s="12" t="s">
        <v>1452</v>
      </c>
      <c r="D784" s="12" t="s">
        <v>1711</v>
      </c>
      <c r="E784" s="12" t="s">
        <v>1712</v>
      </c>
      <c r="F784" s="13" t="n">
        <v>53976</v>
      </c>
      <c r="G784" s="13" t="n">
        <v>36429</v>
      </c>
      <c r="H784" s="14" t="n">
        <v>3913</v>
      </c>
      <c r="I784" s="14" t="n">
        <v>3559</v>
      </c>
      <c r="J784" s="15" t="n">
        <f aca="false">I784/H784</f>
        <v>0.909532328136979</v>
      </c>
      <c r="K784" s="16" t="n">
        <f aca="false">ROUND(I784*J784^($F$8-1),0)</f>
        <v>3638</v>
      </c>
      <c r="L784" s="16" t="n">
        <f aca="false">ROUND(I784*J784^($F$9-1),0)</f>
        <v>3577</v>
      </c>
      <c r="M784" s="17" t="n">
        <f aca="false">G784*$F$7</f>
        <v>35092.1371373716</v>
      </c>
      <c r="N784" s="18" t="n">
        <f aca="false">F784/K784</f>
        <v>14.8367234744365</v>
      </c>
      <c r="O784" s="18" t="n">
        <f aca="false">G784/L784</f>
        <v>10.1842325971484</v>
      </c>
      <c r="P784" s="18" t="n">
        <f aca="false">M784/L784</f>
        <v>9.8104940277807</v>
      </c>
      <c r="Q784" s="19" t="n">
        <f aca="false">IF(N784=0,"n.a.",P784/N784-1)</f>
        <v>-0.33876950361149</v>
      </c>
    </row>
    <row r="785" customFormat="false" ht="15" hidden="false" customHeight="false" outlineLevel="0" collapsed="false">
      <c r="A785" s="12" t="s">
        <v>1713</v>
      </c>
      <c r="B785" s="12" t="s">
        <v>1451</v>
      </c>
      <c r="C785" s="12" t="s">
        <v>1452</v>
      </c>
      <c r="D785" s="12" t="s">
        <v>1714</v>
      </c>
      <c r="E785" s="12" t="s">
        <v>1715</v>
      </c>
      <c r="F785" s="13" t="n">
        <v>263729</v>
      </c>
      <c r="G785" s="13" t="n">
        <v>273502</v>
      </c>
      <c r="H785" s="14" t="n">
        <v>28497</v>
      </c>
      <c r="I785" s="14" t="n">
        <v>27375</v>
      </c>
      <c r="J785" s="15" t="n">
        <f aca="false">I785/H785</f>
        <v>0.960627434466786</v>
      </c>
      <c r="K785" s="16" t="n">
        <f aca="false">ROUND(I785*J785^($F$8-1),0)</f>
        <v>27630</v>
      </c>
      <c r="L785" s="16" t="n">
        <f aca="false">ROUND(I785*J785^($F$9-1),0)</f>
        <v>27432</v>
      </c>
      <c r="M785" s="17" t="n">
        <f aca="false">G785*$F$7</f>
        <v>263465.088016289</v>
      </c>
      <c r="N785" s="18" t="n">
        <f aca="false">F785/K785</f>
        <v>9.54502352515382</v>
      </c>
      <c r="O785" s="18" t="n">
        <f aca="false">G785/L785</f>
        <v>9.97018081073199</v>
      </c>
      <c r="P785" s="18" t="n">
        <f aca="false">M785/L785</f>
        <v>9.60429746341095</v>
      </c>
      <c r="Q785" s="19" t="n">
        <f aca="false">IF(N785=0,"n.a.",P785/N785-1)</f>
        <v>0.00620993108093781</v>
      </c>
    </row>
    <row r="786" customFormat="false" ht="15" hidden="false" customHeight="false" outlineLevel="0" collapsed="false">
      <c r="A786" s="12" t="s">
        <v>1716</v>
      </c>
      <c r="B786" s="12" t="s">
        <v>1451</v>
      </c>
      <c r="C786" s="12" t="s">
        <v>1452</v>
      </c>
      <c r="D786" s="12" t="s">
        <v>1717</v>
      </c>
      <c r="E786" s="12" t="s">
        <v>1718</v>
      </c>
      <c r="F786" s="13" t="n">
        <v>0</v>
      </c>
      <c r="G786" s="13" t="n">
        <v>5940</v>
      </c>
      <c r="H786" s="14" t="n">
        <v>8231</v>
      </c>
      <c r="I786" s="14" t="n">
        <v>8351</v>
      </c>
      <c r="J786" s="15" t="n">
        <f aca="false">I786/H786</f>
        <v>1.01457903049447</v>
      </c>
      <c r="K786" s="16" t="n">
        <f aca="false">ROUND(I786*J786^($F$8-1),0)</f>
        <v>8323</v>
      </c>
      <c r="L786" s="16" t="n">
        <f aca="false">ROUND(I786*J786^($F$9-1),0)</f>
        <v>8345</v>
      </c>
      <c r="M786" s="17" t="n">
        <f aca="false">G786*$F$7</f>
        <v>5722.01527892578</v>
      </c>
      <c r="N786" s="18" t="n">
        <f aca="false">F786/K786</f>
        <v>0</v>
      </c>
      <c r="O786" s="18" t="n">
        <f aca="false">G786/L786</f>
        <v>0.711803475134811</v>
      </c>
      <c r="P786" s="18" t="n">
        <f aca="false">M786/L786</f>
        <v>0.685681878840716</v>
      </c>
      <c r="Q786" s="19" t="str">
        <f aca="false">IF(N786=0,"n.a.",P786/N786-1)</f>
        <v>n.a.</v>
      </c>
    </row>
    <row r="787" customFormat="false" ht="15" hidden="false" customHeight="false" outlineLevel="0" collapsed="false">
      <c r="A787" s="12" t="s">
        <v>1719</v>
      </c>
      <c r="B787" s="12" t="s">
        <v>1451</v>
      </c>
      <c r="C787" s="12" t="s">
        <v>1452</v>
      </c>
      <c r="D787" s="12" t="s">
        <v>1720</v>
      </c>
      <c r="E787" s="12" t="s">
        <v>1721</v>
      </c>
      <c r="F787" s="13" t="n">
        <v>0</v>
      </c>
      <c r="G787" s="13" t="n">
        <v>41651</v>
      </c>
      <c r="H787" s="14" t="n">
        <v>12097</v>
      </c>
      <c r="I787" s="14" t="n">
        <v>12878</v>
      </c>
      <c r="J787" s="15" t="n">
        <f aca="false">I787/H787</f>
        <v>1.06456146151939</v>
      </c>
      <c r="K787" s="16" t="n">
        <f aca="false">ROUND(I787*J787^($F$8-1),0)</f>
        <v>12693</v>
      </c>
      <c r="L787" s="16" t="n">
        <f aca="false">ROUND(I787*J787^($F$9-1),0)</f>
        <v>12836</v>
      </c>
      <c r="M787" s="17" t="n">
        <f aca="false">G787*$F$7</f>
        <v>40122.5014112016</v>
      </c>
      <c r="N787" s="18" t="n">
        <f aca="false">F787/K787</f>
        <v>0</v>
      </c>
      <c r="O787" s="18" t="n">
        <f aca="false">G787/L787</f>
        <v>3.24485821128077</v>
      </c>
      <c r="P787" s="18" t="n">
        <f aca="false">M787/L787</f>
        <v>3.12577916883777</v>
      </c>
      <c r="Q787" s="19" t="str">
        <f aca="false">IF(N787=0,"n.a.",P787/N787-1)</f>
        <v>n.a.</v>
      </c>
    </row>
    <row r="788" customFormat="false" ht="15" hidden="false" customHeight="false" outlineLevel="0" collapsed="false">
      <c r="A788" s="12" t="s">
        <v>1722</v>
      </c>
      <c r="B788" s="12" t="s">
        <v>1451</v>
      </c>
      <c r="C788" s="12" t="s">
        <v>1452</v>
      </c>
      <c r="D788" s="12" t="s">
        <v>1723</v>
      </c>
      <c r="E788" s="12" t="s">
        <v>1724</v>
      </c>
      <c r="F788" s="13" t="n">
        <v>150675</v>
      </c>
      <c r="G788" s="13" t="n">
        <v>825</v>
      </c>
      <c r="H788" s="14" t="n">
        <v>3424</v>
      </c>
      <c r="I788" s="14" t="n">
        <v>3198</v>
      </c>
      <c r="J788" s="15" t="n">
        <f aca="false">I788/H788</f>
        <v>0.933995327102804</v>
      </c>
      <c r="K788" s="16" t="n">
        <f aca="false">ROUND(I788*J788^($F$8-1),0)</f>
        <v>3249</v>
      </c>
      <c r="L788" s="16" t="n">
        <f aca="false">ROUND(I788*J788^($F$9-1),0)</f>
        <v>3209</v>
      </c>
      <c r="M788" s="17" t="n">
        <f aca="false">G788*$F$7</f>
        <v>794.724344295247</v>
      </c>
      <c r="N788" s="18" t="n">
        <f aca="false">F788/K788</f>
        <v>46.3758079409049</v>
      </c>
      <c r="O788" s="18" t="n">
        <f aca="false">G788/L788</f>
        <v>0.257089435961359</v>
      </c>
      <c r="P788" s="18" t="n">
        <f aca="false">M788/L788</f>
        <v>0.247654828387425</v>
      </c>
      <c r="Q788" s="19" t="n">
        <f aca="false">IF(N788=0,"n.a.",P788/N788-1)</f>
        <v>-0.994659827194752</v>
      </c>
    </row>
    <row r="789" customFormat="false" ht="15" hidden="false" customHeight="false" outlineLevel="0" collapsed="false">
      <c r="A789" s="12" t="s">
        <v>1725</v>
      </c>
      <c r="B789" s="12" t="s">
        <v>1451</v>
      </c>
      <c r="C789" s="12" t="s">
        <v>1452</v>
      </c>
      <c r="D789" s="12" t="s">
        <v>1726</v>
      </c>
      <c r="E789" s="12" t="s">
        <v>1727</v>
      </c>
      <c r="F789" s="13" t="n">
        <v>6587</v>
      </c>
      <c r="G789" s="13" t="n">
        <v>5218</v>
      </c>
      <c r="H789" s="14" t="n">
        <v>451</v>
      </c>
      <c r="I789" s="14" t="n">
        <v>451</v>
      </c>
      <c r="J789" s="15" t="n">
        <f aca="false">I789/H789</f>
        <v>1</v>
      </c>
      <c r="K789" s="16" t="n">
        <f aca="false">ROUND(I789*J789^($F$8-1),0)</f>
        <v>451</v>
      </c>
      <c r="L789" s="16" t="n">
        <f aca="false">ROUND(I789*J789^($F$9-1),0)</f>
        <v>451</v>
      </c>
      <c r="M789" s="17" t="n">
        <f aca="false">G789*$F$7</f>
        <v>5026.511064888</v>
      </c>
      <c r="N789" s="18" t="n">
        <f aca="false">F789/K789</f>
        <v>14.6053215077605</v>
      </c>
      <c r="O789" s="18" t="n">
        <f aca="false">G789/L789</f>
        <v>11.569844789357</v>
      </c>
      <c r="P789" s="18" t="n">
        <f aca="false">M789/L789</f>
        <v>11.1452573500843</v>
      </c>
      <c r="Q789" s="19" t="n">
        <f aca="false">IF(N789=0,"n.a.",P789/N789-1)</f>
        <v>-0.236904347216032</v>
      </c>
    </row>
    <row r="790" customFormat="false" ht="15" hidden="false" customHeight="false" outlineLevel="0" collapsed="false">
      <c r="A790" s="12" t="s">
        <v>1728</v>
      </c>
      <c r="B790" s="12" t="s">
        <v>1451</v>
      </c>
      <c r="C790" s="12" t="s">
        <v>1452</v>
      </c>
      <c r="D790" s="12" t="s">
        <v>1729</v>
      </c>
      <c r="E790" s="12" t="s">
        <v>1730</v>
      </c>
      <c r="F790" s="13" t="n">
        <v>0</v>
      </c>
      <c r="G790" s="13" t="n">
        <v>0</v>
      </c>
      <c r="H790" s="14" t="n">
        <v>2170</v>
      </c>
      <c r="I790" s="14" t="n">
        <v>1920</v>
      </c>
      <c r="J790" s="15" t="n">
        <f aca="false">I790/H790</f>
        <v>0.884792626728111</v>
      </c>
      <c r="K790" s="16" t="n">
        <f aca="false">ROUND(I790*J790^($F$8-1),0)</f>
        <v>1975</v>
      </c>
      <c r="L790" s="16" t="n">
        <f aca="false">ROUND(I790*J790^($F$9-1),0)</f>
        <v>1932</v>
      </c>
      <c r="M790" s="17" t="n">
        <f aca="false">G790*$F$7</f>
        <v>0</v>
      </c>
      <c r="N790" s="18" t="n">
        <f aca="false">F790/K790</f>
        <v>0</v>
      </c>
      <c r="O790" s="18" t="n">
        <f aca="false">G790/L790</f>
        <v>0</v>
      </c>
      <c r="P790" s="18" t="n">
        <f aca="false">M790/L790</f>
        <v>0</v>
      </c>
      <c r="Q790" s="19" t="str">
        <f aca="false">IF(N790=0,"n.a.",P790/N790-1)</f>
        <v>n.a.</v>
      </c>
    </row>
    <row r="791" customFormat="false" ht="15" hidden="false" customHeight="false" outlineLevel="0" collapsed="false">
      <c r="A791" s="12" t="s">
        <v>1731</v>
      </c>
      <c r="B791" s="12" t="s">
        <v>1451</v>
      </c>
      <c r="C791" s="12" t="s">
        <v>1452</v>
      </c>
      <c r="D791" s="12" t="s">
        <v>1732</v>
      </c>
      <c r="E791" s="12" t="s">
        <v>1733</v>
      </c>
      <c r="F791" s="13" t="n">
        <v>600</v>
      </c>
      <c r="G791" s="13" t="n">
        <v>120</v>
      </c>
      <c r="H791" s="14" t="n">
        <v>812</v>
      </c>
      <c r="I791" s="14" t="n">
        <v>790</v>
      </c>
      <c r="J791" s="15" t="n">
        <f aca="false">I791/H791</f>
        <v>0.972906403940887</v>
      </c>
      <c r="K791" s="16" t="n">
        <f aca="false">ROUND(I791*J791^($F$8-1),0)</f>
        <v>795</v>
      </c>
      <c r="L791" s="16" t="n">
        <f aca="false">ROUND(I791*J791^($F$9-1),0)</f>
        <v>791</v>
      </c>
      <c r="M791" s="17" t="n">
        <f aca="false">G791*$F$7</f>
        <v>115.596268261127</v>
      </c>
      <c r="N791" s="18" t="n">
        <f aca="false">F791/K791</f>
        <v>0.754716981132076</v>
      </c>
      <c r="O791" s="18" t="n">
        <f aca="false">G791/L791</f>
        <v>0.151706700379267</v>
      </c>
      <c r="P791" s="18" t="n">
        <f aca="false">M791/L791</f>
        <v>0.146139403617101</v>
      </c>
      <c r="Q791" s="19" t="n">
        <f aca="false">IF(N791=0,"n.a.",P791/N791-1)</f>
        <v>-0.806365290207341</v>
      </c>
    </row>
    <row r="792" customFormat="false" ht="15" hidden="false" customHeight="false" outlineLevel="0" collapsed="false">
      <c r="A792" s="12" t="s">
        <v>1734</v>
      </c>
      <c r="B792" s="12" t="s">
        <v>1451</v>
      </c>
      <c r="C792" s="12" t="s">
        <v>1452</v>
      </c>
      <c r="D792" s="12" t="s">
        <v>1735</v>
      </c>
      <c r="E792" s="12" t="s">
        <v>1736</v>
      </c>
      <c r="F792" s="13" t="n">
        <v>0</v>
      </c>
      <c r="G792" s="13" t="n">
        <v>1622</v>
      </c>
      <c r="H792" s="14" t="n">
        <v>8706</v>
      </c>
      <c r="I792" s="14" t="n">
        <v>9056</v>
      </c>
      <c r="J792" s="15" t="n">
        <f aca="false">I792/H792</f>
        <v>1.04020215943028</v>
      </c>
      <c r="K792" s="16" t="n">
        <f aca="false">ROUND(I792*J792^($F$8-1),0)</f>
        <v>8974</v>
      </c>
      <c r="L792" s="16" t="n">
        <f aca="false">ROUND(I792*J792^($F$9-1),0)</f>
        <v>9037</v>
      </c>
      <c r="M792" s="17" t="n">
        <f aca="false">G792*$F$7</f>
        <v>1562.47622599623</v>
      </c>
      <c r="N792" s="18" t="n">
        <f aca="false">F792/K792</f>
        <v>0</v>
      </c>
      <c r="O792" s="18" t="n">
        <f aca="false">G792/L792</f>
        <v>0.179484342148943</v>
      </c>
      <c r="P792" s="18" t="n">
        <f aca="false">M792/L792</f>
        <v>0.172897668031009</v>
      </c>
      <c r="Q792" s="19" t="str">
        <f aca="false">IF(N792=0,"n.a.",P792/N792-1)</f>
        <v>n.a.</v>
      </c>
    </row>
    <row r="793" customFormat="false" ht="15" hidden="false" customHeight="false" outlineLevel="0" collapsed="false">
      <c r="A793" s="12" t="s">
        <v>1737</v>
      </c>
      <c r="B793" s="12" t="s">
        <v>1451</v>
      </c>
      <c r="C793" s="12" t="s">
        <v>1452</v>
      </c>
      <c r="D793" s="12" t="s">
        <v>1738</v>
      </c>
      <c r="E793" s="12" t="s">
        <v>1739</v>
      </c>
      <c r="F793" s="13" t="n">
        <v>0</v>
      </c>
      <c r="G793" s="13" t="n">
        <v>0</v>
      </c>
      <c r="H793" s="14" t="n">
        <v>842</v>
      </c>
      <c r="I793" s="14" t="n">
        <v>728</v>
      </c>
      <c r="J793" s="15" t="n">
        <f aca="false">I793/H793</f>
        <v>0.864608076009501</v>
      </c>
      <c r="K793" s="16" t="n">
        <f aca="false">ROUND(I793*J793^($F$8-1),0)</f>
        <v>753</v>
      </c>
      <c r="L793" s="16" t="n">
        <f aca="false">ROUND(I793*J793^($F$9-1),0)</f>
        <v>734</v>
      </c>
      <c r="M793" s="17" t="n">
        <f aca="false">G793*$F$7</f>
        <v>0</v>
      </c>
      <c r="N793" s="18" t="n">
        <f aca="false">F793/K793</f>
        <v>0</v>
      </c>
      <c r="O793" s="18" t="n">
        <f aca="false">G793/L793</f>
        <v>0</v>
      </c>
      <c r="P793" s="18" t="n">
        <f aca="false">M793/L793</f>
        <v>0</v>
      </c>
      <c r="Q793" s="19" t="str">
        <f aca="false">IF(N793=0,"n.a.",P793/N793-1)</f>
        <v>n.a.</v>
      </c>
    </row>
    <row r="794" customFormat="false" ht="15" hidden="false" customHeight="false" outlineLevel="0" collapsed="false">
      <c r="A794" s="12" t="s">
        <v>1740</v>
      </c>
      <c r="B794" s="12" t="s">
        <v>1451</v>
      </c>
      <c r="C794" s="12" t="s">
        <v>1452</v>
      </c>
      <c r="D794" s="12" t="s">
        <v>1741</v>
      </c>
      <c r="E794" s="12" t="s">
        <v>1742</v>
      </c>
      <c r="F794" s="13" t="n">
        <v>63127</v>
      </c>
      <c r="G794" s="13" t="n">
        <v>174820</v>
      </c>
      <c r="H794" s="14" t="n">
        <v>9456</v>
      </c>
      <c r="I794" s="14" t="n">
        <v>9721</v>
      </c>
      <c r="J794" s="15" t="n">
        <f aca="false">I794/H794</f>
        <v>1.02802453468697</v>
      </c>
      <c r="K794" s="16" t="n">
        <f aca="false">ROUND(I794*J794^($F$8-1),0)</f>
        <v>9659</v>
      </c>
      <c r="L794" s="16" t="n">
        <f aca="false">ROUND(I794*J794^($F$9-1),0)</f>
        <v>9707</v>
      </c>
      <c r="M794" s="17" t="n">
        <f aca="false">G794*$F$7</f>
        <v>168404.496811752</v>
      </c>
      <c r="N794" s="18" t="n">
        <f aca="false">F794/K794</f>
        <v>6.53556268764883</v>
      </c>
      <c r="O794" s="18" t="n">
        <f aca="false">G794/L794</f>
        <v>18.0096837333883</v>
      </c>
      <c r="P794" s="18" t="n">
        <f aca="false">M794/L794</f>
        <v>17.34876860119</v>
      </c>
      <c r="Q794" s="19" t="n">
        <f aca="false">IF(N794=0,"n.a.",P794/N794-1)</f>
        <v>1.65451797042303</v>
      </c>
    </row>
    <row r="795" customFormat="false" ht="15" hidden="false" customHeight="false" outlineLevel="0" collapsed="false">
      <c r="A795" s="12" t="s">
        <v>1743</v>
      </c>
      <c r="B795" s="12" t="s">
        <v>1451</v>
      </c>
      <c r="C795" s="12" t="s">
        <v>1452</v>
      </c>
      <c r="D795" s="12" t="s">
        <v>1744</v>
      </c>
      <c r="E795" s="12" t="s">
        <v>1745</v>
      </c>
      <c r="F795" s="13" t="n">
        <v>53024</v>
      </c>
      <c r="G795" s="13" t="n">
        <v>49271</v>
      </c>
      <c r="H795" s="14" t="n">
        <v>1025</v>
      </c>
      <c r="I795" s="14" t="n">
        <v>988</v>
      </c>
      <c r="J795" s="15" t="n">
        <f aca="false">I795/H795</f>
        <v>0.96390243902439</v>
      </c>
      <c r="K795" s="16" t="n">
        <f aca="false">ROUND(I795*J795^($F$8-1),0)</f>
        <v>996</v>
      </c>
      <c r="L795" s="16" t="n">
        <f aca="false">ROUND(I795*J795^($F$9-1),0)</f>
        <v>990</v>
      </c>
      <c r="M795" s="17" t="n">
        <f aca="false">G795*$F$7</f>
        <v>47462.8644457832</v>
      </c>
      <c r="N795" s="18" t="n">
        <f aca="false">F795/K795</f>
        <v>53.2369477911647</v>
      </c>
      <c r="O795" s="18" t="n">
        <f aca="false">G795/L795</f>
        <v>49.7686868686869</v>
      </c>
      <c r="P795" s="18" t="n">
        <f aca="false">M795/L795</f>
        <v>47.9422873189729</v>
      </c>
      <c r="Q795" s="19" t="n">
        <f aca="false">IF(N795=0,"n.a.",P795/N795-1)</f>
        <v>-0.0994546211206812</v>
      </c>
    </row>
    <row r="796" customFormat="false" ht="15" hidden="false" customHeight="false" outlineLevel="0" collapsed="false">
      <c r="A796" s="12" t="s">
        <v>1746</v>
      </c>
      <c r="B796" s="12" t="s">
        <v>1451</v>
      </c>
      <c r="C796" s="12" t="s">
        <v>1452</v>
      </c>
      <c r="D796" s="12" t="s">
        <v>1747</v>
      </c>
      <c r="E796" s="12" t="s">
        <v>1748</v>
      </c>
      <c r="F796" s="13" t="n">
        <v>1626686</v>
      </c>
      <c r="G796" s="13" t="n">
        <v>1402675</v>
      </c>
      <c r="H796" s="14" t="n">
        <v>5202</v>
      </c>
      <c r="I796" s="14" t="n">
        <v>6027</v>
      </c>
      <c r="J796" s="15" t="n">
        <f aca="false">I796/H796</f>
        <v>1.15859284890427</v>
      </c>
      <c r="K796" s="16" t="n">
        <f aca="false">ROUND(I796*J796^($F$8-1),0)</f>
        <v>5826</v>
      </c>
      <c r="L796" s="16" t="n">
        <f aca="false">ROUND(I796*J796^($F$9-1),0)</f>
        <v>5981</v>
      </c>
      <c r="M796" s="17" t="n">
        <f aca="false">G796*$F$7</f>
        <v>1351199.96319313</v>
      </c>
      <c r="N796" s="18" t="n">
        <f aca="false">F796/K796</f>
        <v>279.211465842774</v>
      </c>
      <c r="O796" s="18" t="n">
        <f aca="false">G796/L796</f>
        <v>234.521819093797</v>
      </c>
      <c r="P796" s="18" t="n">
        <f aca="false">M796/L796</f>
        <v>225.915392608784</v>
      </c>
      <c r="Q796" s="19" t="n">
        <f aca="false">IF(N796=0,"n.a.",P796/N796-1)</f>
        <v>-0.190880675595184</v>
      </c>
    </row>
    <row r="797" customFormat="false" ht="15" hidden="false" customHeight="false" outlineLevel="0" collapsed="false">
      <c r="A797" s="12" t="s">
        <v>1749</v>
      </c>
      <c r="B797" s="12" t="s">
        <v>1451</v>
      </c>
      <c r="C797" s="12" t="s">
        <v>1452</v>
      </c>
      <c r="D797" s="12" t="s">
        <v>1750</v>
      </c>
      <c r="E797" s="12" t="s">
        <v>1751</v>
      </c>
      <c r="F797" s="13" t="n">
        <v>26275</v>
      </c>
      <c r="G797" s="13" t="n">
        <v>32436</v>
      </c>
      <c r="H797" s="14" t="n">
        <v>2780</v>
      </c>
      <c r="I797" s="14" t="n">
        <v>2587</v>
      </c>
      <c r="J797" s="15" t="n">
        <f aca="false">I797/H797</f>
        <v>0.930575539568345</v>
      </c>
      <c r="K797" s="16" t="n">
        <f aca="false">ROUND(I797*J797^($F$8-1),0)</f>
        <v>2630</v>
      </c>
      <c r="L797" s="16" t="n">
        <f aca="false">ROUND(I797*J797^($F$9-1),0)</f>
        <v>2597</v>
      </c>
      <c r="M797" s="17" t="n">
        <f aca="false">G797*$F$7</f>
        <v>31245.6713109826</v>
      </c>
      <c r="N797" s="18" t="n">
        <f aca="false">F797/K797</f>
        <v>9.99049429657795</v>
      </c>
      <c r="O797" s="18" t="n">
        <f aca="false">G797/L797</f>
        <v>12.4897959183673</v>
      </c>
      <c r="P797" s="18" t="n">
        <f aca="false">M797/L797</f>
        <v>12.0314483292193</v>
      </c>
      <c r="Q797" s="19" t="n">
        <f aca="false">IF(N797=0,"n.a.",P797/N797-1)</f>
        <v>0.204289594894265</v>
      </c>
    </row>
    <row r="798" customFormat="false" ht="15" hidden="false" customHeight="false" outlineLevel="0" collapsed="false">
      <c r="A798" s="12" t="s">
        <v>1752</v>
      </c>
      <c r="B798" s="12" t="s">
        <v>1451</v>
      </c>
      <c r="C798" s="12" t="s">
        <v>1452</v>
      </c>
      <c r="D798" s="12" t="s">
        <v>1753</v>
      </c>
      <c r="E798" s="12" t="s">
        <v>1754</v>
      </c>
      <c r="F798" s="13" t="n">
        <v>3265</v>
      </c>
      <c r="G798" s="13" t="n">
        <v>1440</v>
      </c>
      <c r="H798" s="14" t="n">
        <v>376</v>
      </c>
      <c r="I798" s="14" t="n">
        <v>389</v>
      </c>
      <c r="J798" s="15" t="n">
        <f aca="false">I798/H798</f>
        <v>1.03457446808511</v>
      </c>
      <c r="K798" s="16" t="n">
        <f aca="false">ROUND(I798*J798^($F$8-1),0)</f>
        <v>386</v>
      </c>
      <c r="L798" s="16" t="n">
        <f aca="false">ROUND(I798*J798^($F$9-1),0)</f>
        <v>388</v>
      </c>
      <c r="M798" s="17" t="n">
        <f aca="false">G798*$F$7</f>
        <v>1387.15521913352</v>
      </c>
      <c r="N798" s="18" t="n">
        <f aca="false">F798/K798</f>
        <v>8.45854922279793</v>
      </c>
      <c r="O798" s="18" t="n">
        <f aca="false">G798/L798</f>
        <v>3.71134020618557</v>
      </c>
      <c r="P798" s="18" t="n">
        <f aca="false">M798/L798</f>
        <v>3.57514231735444</v>
      </c>
      <c r="Q798" s="19" t="n">
        <f aca="false">IF(N798=0,"n.a.",P798/N798-1)</f>
        <v>-0.577333863859475</v>
      </c>
    </row>
    <row r="799" customFormat="false" ht="15" hidden="false" customHeight="false" outlineLevel="0" collapsed="false">
      <c r="A799" s="12" t="s">
        <v>1755</v>
      </c>
      <c r="B799" s="12" t="s">
        <v>1451</v>
      </c>
      <c r="C799" s="12" t="s">
        <v>1452</v>
      </c>
      <c r="D799" s="12" t="s">
        <v>1756</v>
      </c>
      <c r="E799" s="12" t="s">
        <v>1757</v>
      </c>
      <c r="F799" s="13" t="n">
        <v>0</v>
      </c>
      <c r="G799" s="13" t="n">
        <v>14345</v>
      </c>
      <c r="H799" s="14" t="n">
        <v>2182</v>
      </c>
      <c r="I799" s="14" t="n">
        <v>1943</v>
      </c>
      <c r="J799" s="15" t="n">
        <f aca="false">I799/H799</f>
        <v>0.890467461044913</v>
      </c>
      <c r="K799" s="16" t="n">
        <f aca="false">ROUND(I799*J799^($F$8-1),0)</f>
        <v>1996</v>
      </c>
      <c r="L799" s="16" t="n">
        <f aca="false">ROUND(I799*J799^($F$9-1),0)</f>
        <v>1955</v>
      </c>
      <c r="M799" s="17" t="n">
        <f aca="false">G799*$F$7</f>
        <v>13818.5705683822</v>
      </c>
      <c r="N799" s="18" t="n">
        <f aca="false">F799/K799</f>
        <v>0</v>
      </c>
      <c r="O799" s="18" t="n">
        <f aca="false">G799/L799</f>
        <v>7.33759590792839</v>
      </c>
      <c r="P799" s="18" t="n">
        <f aca="false">M799/L799</f>
        <v>7.06832254137197</v>
      </c>
      <c r="Q799" s="19" t="str">
        <f aca="false">IF(N799=0,"n.a.",P799/N799-1)</f>
        <v>n.a.</v>
      </c>
    </row>
    <row r="800" customFormat="false" ht="15" hidden="false" customHeight="false" outlineLevel="0" collapsed="false">
      <c r="A800" s="12" t="s">
        <v>1758</v>
      </c>
      <c r="B800" s="12" t="s">
        <v>1451</v>
      </c>
      <c r="C800" s="12" t="s">
        <v>1452</v>
      </c>
      <c r="D800" s="12" t="s">
        <v>1759</v>
      </c>
      <c r="E800" s="12" t="s">
        <v>1760</v>
      </c>
      <c r="F800" s="13" t="n">
        <v>31174</v>
      </c>
      <c r="G800" s="13" t="n">
        <v>52044</v>
      </c>
      <c r="H800" s="14" t="n">
        <v>2019</v>
      </c>
      <c r="I800" s="14" t="n">
        <v>1886</v>
      </c>
      <c r="J800" s="15" t="n">
        <f aca="false">I800/H800</f>
        <v>0.934125804853888</v>
      </c>
      <c r="K800" s="16" t="n">
        <f aca="false">ROUND(I800*J800^($F$8-1),0)</f>
        <v>1916</v>
      </c>
      <c r="L800" s="16" t="n">
        <f aca="false">ROUND(I800*J800^($F$9-1),0)</f>
        <v>1893</v>
      </c>
      <c r="M800" s="17" t="n">
        <f aca="false">G800*$F$7</f>
        <v>50134.1015448507</v>
      </c>
      <c r="N800" s="18" t="n">
        <f aca="false">F800/K800</f>
        <v>16.2703549060543</v>
      </c>
      <c r="O800" s="18" t="n">
        <f aca="false">G800/L800</f>
        <v>27.4928684627575</v>
      </c>
      <c r="P800" s="18" t="n">
        <f aca="false">M800/L800</f>
        <v>26.4839416507399</v>
      </c>
      <c r="Q800" s="19" t="n">
        <f aca="false">IF(N800=0,"n.a.",P800/N800-1)</f>
        <v>0.627742099275606</v>
      </c>
    </row>
    <row r="801" customFormat="false" ht="15" hidden="false" customHeight="false" outlineLevel="0" collapsed="false">
      <c r="A801" s="12" t="s">
        <v>1761</v>
      </c>
      <c r="B801" s="12" t="s">
        <v>1451</v>
      </c>
      <c r="C801" s="12" t="s">
        <v>1452</v>
      </c>
      <c r="D801" s="12" t="s">
        <v>1762</v>
      </c>
      <c r="E801" s="12" t="s">
        <v>1763</v>
      </c>
      <c r="F801" s="13" t="n">
        <v>29314</v>
      </c>
      <c r="G801" s="13" t="n">
        <v>178236</v>
      </c>
      <c r="H801" s="14" t="n">
        <v>13856</v>
      </c>
      <c r="I801" s="14" t="n">
        <v>15656</v>
      </c>
      <c r="J801" s="15" t="n">
        <f aca="false">I801/H801</f>
        <v>1.12990762124711</v>
      </c>
      <c r="K801" s="16" t="n">
        <f aca="false">ROUND(I801*J801^($F$8-1),0)</f>
        <v>15221</v>
      </c>
      <c r="L801" s="16" t="n">
        <f aca="false">ROUND(I801*J801^($F$9-1),0)</f>
        <v>15557</v>
      </c>
      <c r="M801" s="17" t="n">
        <f aca="false">G801*$F$7</f>
        <v>171695.137248252</v>
      </c>
      <c r="N801" s="18" t="n">
        <f aca="false">F801/K801</f>
        <v>1.92589185993036</v>
      </c>
      <c r="O801" s="18" t="n">
        <f aca="false">G801/L801</f>
        <v>11.4569647104197</v>
      </c>
      <c r="P801" s="18" t="n">
        <f aca="false">M801/L801</f>
        <v>11.0365197176995</v>
      </c>
      <c r="Q801" s="19" t="n">
        <f aca="false">IF(N801=0,"n.a.",P801/N801-1)</f>
        <v>4.73060198618765</v>
      </c>
    </row>
    <row r="802" customFormat="false" ht="15" hidden="false" customHeight="false" outlineLevel="0" collapsed="false">
      <c r="A802" s="12" t="s">
        <v>1764</v>
      </c>
      <c r="B802" s="12" t="s">
        <v>1451</v>
      </c>
      <c r="C802" s="12" t="s">
        <v>1452</v>
      </c>
      <c r="D802" s="12" t="s">
        <v>1765</v>
      </c>
      <c r="E802" s="12" t="s">
        <v>1766</v>
      </c>
      <c r="F802" s="13" t="n">
        <v>0</v>
      </c>
      <c r="G802" s="13" t="n">
        <v>0</v>
      </c>
      <c r="H802" s="14" t="n">
        <v>312</v>
      </c>
      <c r="I802" s="14" t="n">
        <v>274</v>
      </c>
      <c r="J802" s="15" t="n">
        <f aca="false">I802/H802</f>
        <v>0.878205128205128</v>
      </c>
      <c r="K802" s="16" t="n">
        <f aca="false">ROUND(I802*J802^($F$8-1),0)</f>
        <v>282</v>
      </c>
      <c r="L802" s="16" t="n">
        <f aca="false">ROUND(I802*J802^($F$9-1),0)</f>
        <v>276</v>
      </c>
      <c r="M802" s="17" t="n">
        <f aca="false">G802*$F$7</f>
        <v>0</v>
      </c>
      <c r="N802" s="18" t="n">
        <f aca="false">F802/K802</f>
        <v>0</v>
      </c>
      <c r="O802" s="18" t="n">
        <f aca="false">G802/L802</f>
        <v>0</v>
      </c>
      <c r="P802" s="18" t="n">
        <f aca="false">M802/L802</f>
        <v>0</v>
      </c>
      <c r="Q802" s="19" t="str">
        <f aca="false">IF(N802=0,"n.a.",P802/N802-1)</f>
        <v>n.a.</v>
      </c>
    </row>
    <row r="803" customFormat="false" ht="15" hidden="false" customHeight="false" outlineLevel="0" collapsed="false">
      <c r="A803" s="12" t="s">
        <v>1767</v>
      </c>
      <c r="B803" s="12" t="s">
        <v>1451</v>
      </c>
      <c r="C803" s="12" t="s">
        <v>1452</v>
      </c>
      <c r="D803" s="12" t="s">
        <v>1768</v>
      </c>
      <c r="E803" s="12" t="s">
        <v>1769</v>
      </c>
      <c r="F803" s="13" t="n">
        <v>2450</v>
      </c>
      <c r="G803" s="13" t="n">
        <v>0</v>
      </c>
      <c r="H803" s="14" t="n">
        <v>2379</v>
      </c>
      <c r="I803" s="14" t="n">
        <v>2263</v>
      </c>
      <c r="J803" s="15" t="n">
        <f aca="false">I803/H803</f>
        <v>0.951240016813787</v>
      </c>
      <c r="K803" s="16" t="n">
        <f aca="false">ROUND(I803*J803^($F$8-1),0)</f>
        <v>2289</v>
      </c>
      <c r="L803" s="16" t="n">
        <f aca="false">ROUND(I803*J803^($F$9-1),0)</f>
        <v>2269</v>
      </c>
      <c r="M803" s="17" t="n">
        <f aca="false">G803*$F$7</f>
        <v>0</v>
      </c>
      <c r="N803" s="18" t="n">
        <f aca="false">F803/K803</f>
        <v>1.07033639143731</v>
      </c>
      <c r="O803" s="18" t="n">
        <f aca="false">G803/L803</f>
        <v>0</v>
      </c>
      <c r="P803" s="18" t="n">
        <f aca="false">M803/L803</f>
        <v>0</v>
      </c>
      <c r="Q803" s="19" t="n">
        <f aca="false">IF(N803=0,"n.a.",P803/N803-1)</f>
        <v>-1</v>
      </c>
    </row>
    <row r="804" customFormat="false" ht="15" hidden="false" customHeight="false" outlineLevel="0" collapsed="false">
      <c r="A804" s="12" t="s">
        <v>1770</v>
      </c>
      <c r="B804" s="12" t="s">
        <v>1451</v>
      </c>
      <c r="C804" s="12" t="s">
        <v>1452</v>
      </c>
      <c r="D804" s="12" t="s">
        <v>1771</v>
      </c>
      <c r="E804" s="12" t="s">
        <v>1772</v>
      </c>
      <c r="F804" s="13" t="n">
        <v>300</v>
      </c>
      <c r="G804" s="13" t="n">
        <v>170300</v>
      </c>
      <c r="H804" s="14" t="n">
        <v>4910</v>
      </c>
      <c r="I804" s="14" t="n">
        <v>4771</v>
      </c>
      <c r="J804" s="15" t="n">
        <f aca="false">I804/H804</f>
        <v>0.971690427698574</v>
      </c>
      <c r="K804" s="16" t="n">
        <f aca="false">ROUND(I804*J804^($F$8-1),0)</f>
        <v>4803</v>
      </c>
      <c r="L804" s="16" t="n">
        <f aca="false">ROUND(I804*J804^($F$9-1),0)</f>
        <v>4778</v>
      </c>
      <c r="M804" s="17" t="n">
        <f aca="false">G804*$F$7</f>
        <v>164050.370707249</v>
      </c>
      <c r="N804" s="18" t="n">
        <f aca="false">F804/K804</f>
        <v>0.0624609618988132</v>
      </c>
      <c r="O804" s="18" t="n">
        <f aca="false">G804/L804</f>
        <v>35.6425282544998</v>
      </c>
      <c r="P804" s="18" t="n">
        <f aca="false">M804/L804</f>
        <v>34.3345271467663</v>
      </c>
      <c r="Q804" s="19" t="n">
        <f aca="false">IF(N804=0,"n.a.",P804/N804-1)</f>
        <v>548.695779619728</v>
      </c>
    </row>
    <row r="805" customFormat="false" ht="15" hidden="false" customHeight="false" outlineLevel="0" collapsed="false">
      <c r="A805" s="12" t="s">
        <v>1773</v>
      </c>
      <c r="B805" s="12" t="s">
        <v>1451</v>
      </c>
      <c r="C805" s="12" t="s">
        <v>1452</v>
      </c>
      <c r="D805" s="12" t="s">
        <v>1774</v>
      </c>
      <c r="E805" s="12" t="s">
        <v>1775</v>
      </c>
      <c r="F805" s="13" t="n">
        <v>74281</v>
      </c>
      <c r="G805" s="13" t="n">
        <v>78220</v>
      </c>
      <c r="H805" s="14" t="n">
        <v>2329</v>
      </c>
      <c r="I805" s="14" t="n">
        <v>2243</v>
      </c>
      <c r="J805" s="15" t="n">
        <f aca="false">I805/H805</f>
        <v>0.963074280807213</v>
      </c>
      <c r="K805" s="16" t="n">
        <f aca="false">ROUND(I805*J805^($F$8-1),0)</f>
        <v>2263</v>
      </c>
      <c r="L805" s="16" t="n">
        <f aca="false">ROUND(I805*J805^($F$9-1),0)</f>
        <v>2247</v>
      </c>
      <c r="M805" s="17" t="n">
        <f aca="false">G805*$F$7</f>
        <v>75349.5008615445</v>
      </c>
      <c r="N805" s="18" t="n">
        <f aca="false">F805/K805</f>
        <v>32.8241272646929</v>
      </c>
      <c r="O805" s="18" t="n">
        <f aca="false">G805/L805</f>
        <v>34.8108589230085</v>
      </c>
      <c r="P805" s="18" t="n">
        <f aca="false">M805/L805</f>
        <v>33.5333782205361</v>
      </c>
      <c r="Q805" s="19" t="n">
        <f aca="false">IF(N805=0,"n.a.",P805/N805-1)</f>
        <v>0.0216076104666481</v>
      </c>
    </row>
    <row r="806" customFormat="false" ht="15" hidden="false" customHeight="false" outlineLevel="0" collapsed="false">
      <c r="A806" s="12" t="s">
        <v>1776</v>
      </c>
      <c r="B806" s="12" t="s">
        <v>1451</v>
      </c>
      <c r="C806" s="12" t="s">
        <v>1452</v>
      </c>
      <c r="D806" s="12" t="s">
        <v>1777</v>
      </c>
      <c r="E806" s="12" t="s">
        <v>1778</v>
      </c>
      <c r="F806" s="13" t="n">
        <v>16404</v>
      </c>
      <c r="G806" s="13" t="n">
        <v>16744</v>
      </c>
      <c r="H806" s="14" t="n">
        <v>1060</v>
      </c>
      <c r="I806" s="14" t="n">
        <v>1101</v>
      </c>
      <c r="J806" s="15" t="n">
        <f aca="false">I806/H806</f>
        <v>1.03867924528302</v>
      </c>
      <c r="K806" s="16" t="n">
        <f aca="false">ROUND(I806*J806^($F$8-1),0)</f>
        <v>1091</v>
      </c>
      <c r="L806" s="16" t="n">
        <f aca="false">ROUND(I806*J806^($F$9-1),0)</f>
        <v>1099</v>
      </c>
      <c r="M806" s="17" t="n">
        <f aca="false">G806*$F$7</f>
        <v>16129.5326313692</v>
      </c>
      <c r="N806" s="18" t="n">
        <f aca="false">F806/K806</f>
        <v>15.0357470210816</v>
      </c>
      <c r="O806" s="18" t="n">
        <f aca="false">G806/L806</f>
        <v>15.2356687898089</v>
      </c>
      <c r="P806" s="18" t="n">
        <f aca="false">M806/L806</f>
        <v>14.6765538047036</v>
      </c>
      <c r="Q806" s="19" t="n">
        <f aca="false">IF(N806=0,"n.a.",P806/N806-1)</f>
        <v>-0.0238892830448914</v>
      </c>
    </row>
    <row r="807" customFormat="false" ht="15" hidden="false" customHeight="false" outlineLevel="0" collapsed="false">
      <c r="A807" s="12" t="s">
        <v>1779</v>
      </c>
      <c r="B807" s="12" t="s">
        <v>1451</v>
      </c>
      <c r="C807" s="12" t="s">
        <v>1452</v>
      </c>
      <c r="D807" s="12" t="s">
        <v>1780</v>
      </c>
      <c r="E807" s="12" t="s">
        <v>1781</v>
      </c>
      <c r="F807" s="13" t="n">
        <v>60733</v>
      </c>
      <c r="G807" s="13" t="n">
        <v>47965</v>
      </c>
      <c r="H807" s="14" t="n">
        <v>3656</v>
      </c>
      <c r="I807" s="14" t="n">
        <v>3513</v>
      </c>
      <c r="J807" s="15" t="n">
        <f aca="false">I807/H807</f>
        <v>0.960886214442013</v>
      </c>
      <c r="K807" s="16" t="n">
        <f aca="false">ROUND(I807*J807^($F$8-1),0)</f>
        <v>3546</v>
      </c>
      <c r="L807" s="16" t="n">
        <f aca="false">ROUND(I807*J807^($F$9-1),0)</f>
        <v>3520</v>
      </c>
      <c r="M807" s="17" t="n">
        <f aca="false">G807*$F$7</f>
        <v>46204.7917262079</v>
      </c>
      <c r="N807" s="18" t="n">
        <f aca="false">F807/K807</f>
        <v>17.1271855611957</v>
      </c>
      <c r="O807" s="18" t="n">
        <f aca="false">G807/L807</f>
        <v>13.6264204545455</v>
      </c>
      <c r="P807" s="18" t="n">
        <f aca="false">M807/L807</f>
        <v>13.1263612858545</v>
      </c>
      <c r="Q807" s="19" t="n">
        <f aca="false">IF(N807=0,"n.a.",P807/N807-1)</f>
        <v>-0.233594962876194</v>
      </c>
    </row>
    <row r="808" customFormat="false" ht="15" hidden="false" customHeight="false" outlineLevel="0" collapsed="false">
      <c r="A808" s="12" t="s">
        <v>1782</v>
      </c>
      <c r="B808" s="12" t="s">
        <v>1451</v>
      </c>
      <c r="C808" s="12" t="s">
        <v>1452</v>
      </c>
      <c r="D808" s="12" t="s">
        <v>1783</v>
      </c>
      <c r="E808" s="12" t="s">
        <v>1784</v>
      </c>
      <c r="F808" s="13" t="n">
        <v>3413360</v>
      </c>
      <c r="G808" s="13" t="n">
        <v>6499172</v>
      </c>
      <c r="H808" s="14" t="n">
        <v>16814</v>
      </c>
      <c r="I808" s="14" t="n">
        <v>18110</v>
      </c>
      <c r="J808" s="15" t="n">
        <f aca="false">I808/H808</f>
        <v>1.07707862495539</v>
      </c>
      <c r="K808" s="16" t="n">
        <f aca="false">ROUND(I808*J808^($F$8-1),0)</f>
        <v>17802</v>
      </c>
      <c r="L808" s="16" t="n">
        <f aca="false">ROUND(I808*J808^($F$9-1),0)</f>
        <v>18040</v>
      </c>
      <c r="M808" s="17" t="n">
        <f aca="false">G808*$F$7</f>
        <v>6260666.91656004</v>
      </c>
      <c r="N808" s="18" t="n">
        <f aca="false">F808/K808</f>
        <v>191.740253904056</v>
      </c>
      <c r="O808" s="18" t="n">
        <f aca="false">G808/L808</f>
        <v>360.264523281596</v>
      </c>
      <c r="P808" s="18" t="n">
        <f aca="false">M808/L808</f>
        <v>347.043620651887</v>
      </c>
      <c r="Q808" s="19" t="n">
        <f aca="false">IF(N808=0,"n.a.",P808/N808-1)</f>
        <v>0.809967461634544</v>
      </c>
    </row>
    <row r="809" customFormat="false" ht="15" hidden="false" customHeight="false" outlineLevel="0" collapsed="false">
      <c r="A809" s="12" t="s">
        <v>1785</v>
      </c>
      <c r="B809" s="12" t="s">
        <v>1451</v>
      </c>
      <c r="C809" s="12" t="s">
        <v>1452</v>
      </c>
      <c r="D809" s="12" t="s">
        <v>1786</v>
      </c>
      <c r="E809" s="12" t="s">
        <v>1787</v>
      </c>
      <c r="F809" s="13" t="n">
        <v>5724</v>
      </c>
      <c r="G809" s="13" t="n">
        <v>4118</v>
      </c>
      <c r="H809" s="14" t="n">
        <v>2210</v>
      </c>
      <c r="I809" s="14" t="n">
        <v>2053</v>
      </c>
      <c r="J809" s="15" t="n">
        <f aca="false">I809/H809</f>
        <v>0.9289592760181</v>
      </c>
      <c r="K809" s="16" t="n">
        <f aca="false">ROUND(I809*J809^($F$8-1),0)</f>
        <v>2088</v>
      </c>
      <c r="L809" s="16" t="n">
        <f aca="false">ROUND(I809*J809^($F$9-1),0)</f>
        <v>2061</v>
      </c>
      <c r="M809" s="17" t="n">
        <f aca="false">G809*$F$7</f>
        <v>3966.87860582767</v>
      </c>
      <c r="N809" s="18" t="n">
        <f aca="false">F809/K809</f>
        <v>2.74137931034483</v>
      </c>
      <c r="O809" s="18" t="n">
        <f aca="false">G809/L809</f>
        <v>1.99805919456574</v>
      </c>
      <c r="P809" s="18" t="n">
        <f aca="false">M809/L809</f>
        <v>1.92473488880527</v>
      </c>
      <c r="Q809" s="19" t="n">
        <f aca="false">IF(N809=0,"n.a.",P809/N809-1)</f>
        <v>-0.29789544936663</v>
      </c>
    </row>
    <row r="810" customFormat="false" ht="15" hidden="false" customHeight="false" outlineLevel="0" collapsed="false">
      <c r="A810" s="12" t="s">
        <v>1788</v>
      </c>
      <c r="B810" s="12" t="s">
        <v>1451</v>
      </c>
      <c r="C810" s="12" t="s">
        <v>1452</v>
      </c>
      <c r="D810" s="12" t="s">
        <v>1789</v>
      </c>
      <c r="E810" s="12" t="s">
        <v>1790</v>
      </c>
      <c r="F810" s="13" t="n">
        <v>0</v>
      </c>
      <c r="G810" s="13" t="n">
        <v>0</v>
      </c>
      <c r="H810" s="14" t="n">
        <v>5537</v>
      </c>
      <c r="I810" s="14" t="n">
        <v>4825</v>
      </c>
      <c r="J810" s="15" t="n">
        <f aca="false">I810/H810</f>
        <v>0.871410511107098</v>
      </c>
      <c r="K810" s="16" t="n">
        <f aca="false">ROUND(I810*J810^($F$8-1),0)</f>
        <v>4981</v>
      </c>
      <c r="L810" s="16" t="n">
        <f aca="false">ROUND(I810*J810^($F$9-1),0)</f>
        <v>4860</v>
      </c>
      <c r="M810" s="17" t="n">
        <f aca="false">G810*$F$7</f>
        <v>0</v>
      </c>
      <c r="N810" s="18" t="n">
        <f aca="false">F810/K810</f>
        <v>0</v>
      </c>
      <c r="O810" s="18" t="n">
        <f aca="false">G810/L810</f>
        <v>0</v>
      </c>
      <c r="P810" s="18" t="n">
        <f aca="false">M810/L810</f>
        <v>0</v>
      </c>
      <c r="Q810" s="19" t="str">
        <f aca="false">IF(N810=0,"n.a.",P810/N810-1)</f>
        <v>n.a.</v>
      </c>
    </row>
    <row r="811" customFormat="false" ht="15" hidden="false" customHeight="false" outlineLevel="0" collapsed="false">
      <c r="A811" s="12" t="s">
        <v>1791</v>
      </c>
      <c r="B811" s="12" t="s">
        <v>1451</v>
      </c>
      <c r="C811" s="12" t="s">
        <v>1452</v>
      </c>
      <c r="D811" s="12" t="s">
        <v>1792</v>
      </c>
      <c r="E811" s="12" t="s">
        <v>1793</v>
      </c>
      <c r="F811" s="13" t="n">
        <v>50687</v>
      </c>
      <c r="G811" s="13" t="n">
        <v>76599</v>
      </c>
      <c r="H811" s="14" t="n">
        <v>1429</v>
      </c>
      <c r="I811" s="14" t="n">
        <v>1394</v>
      </c>
      <c r="J811" s="15" t="n">
        <f aca="false">I811/H811</f>
        <v>0.975507347795661</v>
      </c>
      <c r="K811" s="16" t="n">
        <f aca="false">ROUND(I811*J811^($F$8-1),0)</f>
        <v>1402</v>
      </c>
      <c r="L811" s="16" t="n">
        <f aca="false">ROUND(I811*J811^($F$9-1),0)</f>
        <v>1396</v>
      </c>
      <c r="M811" s="17" t="n">
        <f aca="false">G811*$F$7</f>
        <v>73787.9879377838</v>
      </c>
      <c r="N811" s="18" t="n">
        <f aca="false">F811/K811</f>
        <v>36.1533523537803</v>
      </c>
      <c r="O811" s="18" t="n">
        <f aca="false">G811/L811</f>
        <v>54.8703438395416</v>
      </c>
      <c r="P811" s="18" t="n">
        <f aca="false">M811/L811</f>
        <v>52.8567248837993</v>
      </c>
      <c r="Q811" s="19" t="n">
        <f aca="false">IF(N811=0,"n.a.",P811/N811-1)</f>
        <v>0.462014486694549</v>
      </c>
    </row>
    <row r="812" customFormat="false" ht="15" hidden="false" customHeight="false" outlineLevel="0" collapsed="false">
      <c r="A812" s="12" t="s">
        <v>1794</v>
      </c>
      <c r="B812" s="12" t="s">
        <v>1451</v>
      </c>
      <c r="C812" s="12" t="s">
        <v>1452</v>
      </c>
      <c r="D812" s="12" t="s">
        <v>1795</v>
      </c>
      <c r="E812" s="12" t="s">
        <v>1796</v>
      </c>
      <c r="F812" s="13" t="n">
        <v>840</v>
      </c>
      <c r="G812" s="13" t="n">
        <v>570</v>
      </c>
      <c r="H812" s="14" t="n">
        <v>2730</v>
      </c>
      <c r="I812" s="14" t="n">
        <v>2472</v>
      </c>
      <c r="J812" s="15" t="n">
        <f aca="false">I812/H812</f>
        <v>0.905494505494506</v>
      </c>
      <c r="K812" s="16" t="n">
        <f aca="false">ROUND(I812*J812^($F$8-1),0)</f>
        <v>2529</v>
      </c>
      <c r="L812" s="16" t="n">
        <f aca="false">ROUND(I812*J812^($F$9-1),0)</f>
        <v>2485</v>
      </c>
      <c r="M812" s="17" t="n">
        <f aca="false">G812*$F$7</f>
        <v>549.082274240353</v>
      </c>
      <c r="N812" s="18" t="n">
        <f aca="false">F812/K812</f>
        <v>0.33214709371293</v>
      </c>
      <c r="O812" s="18" t="n">
        <f aca="false">G812/L812</f>
        <v>0.229376257545272</v>
      </c>
      <c r="P812" s="18" t="n">
        <f aca="false">M812/L812</f>
        <v>0.220958661666138</v>
      </c>
      <c r="Q812" s="19" t="n">
        <f aca="false">IF(N812=0,"n.a.",P812/N812-1)</f>
        <v>-0.334756600769449</v>
      </c>
    </row>
    <row r="813" customFormat="false" ht="15" hidden="false" customHeight="false" outlineLevel="0" collapsed="false">
      <c r="A813" s="12" t="s">
        <v>1797</v>
      </c>
      <c r="B813" s="12" t="s">
        <v>1451</v>
      </c>
      <c r="C813" s="12" t="s">
        <v>1452</v>
      </c>
      <c r="D813" s="12" t="s">
        <v>1798</v>
      </c>
      <c r="E813" s="12" t="s">
        <v>1799</v>
      </c>
      <c r="F813" s="13" t="n">
        <v>0</v>
      </c>
      <c r="G813" s="13" t="n">
        <v>0</v>
      </c>
      <c r="H813" s="14" t="n">
        <v>2046</v>
      </c>
      <c r="I813" s="14" t="n">
        <v>2104</v>
      </c>
      <c r="J813" s="15" t="n">
        <f aca="false">I813/H813</f>
        <v>1.02834799608993</v>
      </c>
      <c r="K813" s="16" t="n">
        <f aca="false">ROUND(I813*J813^($F$8-1),0)</f>
        <v>2090</v>
      </c>
      <c r="L813" s="16" t="n">
        <f aca="false">ROUND(I813*J813^($F$9-1),0)</f>
        <v>2101</v>
      </c>
      <c r="M813" s="17" t="n">
        <f aca="false">G813*$F$7</f>
        <v>0</v>
      </c>
      <c r="N813" s="18" t="n">
        <f aca="false">F813/K813</f>
        <v>0</v>
      </c>
      <c r="O813" s="18" t="n">
        <f aca="false">G813/L813</f>
        <v>0</v>
      </c>
      <c r="P813" s="18" t="n">
        <f aca="false">M813/L813</f>
        <v>0</v>
      </c>
      <c r="Q813" s="19" t="str">
        <f aca="false">IF(N813=0,"n.a.",P813/N813-1)</f>
        <v>n.a.</v>
      </c>
    </row>
    <row r="814" customFormat="false" ht="15" hidden="false" customHeight="false" outlineLevel="0" collapsed="false">
      <c r="A814" s="12" t="s">
        <v>1800</v>
      </c>
      <c r="B814" s="12" t="s">
        <v>1451</v>
      </c>
      <c r="C814" s="12" t="s">
        <v>1452</v>
      </c>
      <c r="D814" s="12" t="s">
        <v>1801</v>
      </c>
      <c r="E814" s="12" t="s">
        <v>1802</v>
      </c>
      <c r="F814" s="13" t="n">
        <v>0</v>
      </c>
      <c r="G814" s="13" t="n">
        <v>0</v>
      </c>
      <c r="H814" s="14" t="n">
        <v>1552</v>
      </c>
      <c r="I814" s="14" t="n">
        <v>1349</v>
      </c>
      <c r="J814" s="15" t="n">
        <f aca="false">I814/H814</f>
        <v>0.869201030927835</v>
      </c>
      <c r="K814" s="16" t="n">
        <f aca="false">ROUND(I814*J814^($F$8-1),0)</f>
        <v>1393</v>
      </c>
      <c r="L814" s="16" t="n">
        <f aca="false">ROUND(I814*J814^($F$9-1),0)</f>
        <v>1359</v>
      </c>
      <c r="M814" s="17" t="n">
        <f aca="false">G814*$F$7</f>
        <v>0</v>
      </c>
      <c r="N814" s="18" t="n">
        <f aca="false">F814/K814</f>
        <v>0</v>
      </c>
      <c r="O814" s="18" t="n">
        <f aca="false">G814/L814</f>
        <v>0</v>
      </c>
      <c r="P814" s="18" t="n">
        <f aca="false">M814/L814</f>
        <v>0</v>
      </c>
      <c r="Q814" s="19" t="str">
        <f aca="false">IF(N814=0,"n.a.",P814/N814-1)</f>
        <v>n.a.</v>
      </c>
    </row>
    <row r="815" customFormat="false" ht="15" hidden="false" customHeight="false" outlineLevel="0" collapsed="false">
      <c r="A815" s="12" t="s">
        <v>1803</v>
      </c>
      <c r="B815" s="12" t="s">
        <v>1451</v>
      </c>
      <c r="C815" s="12" t="s">
        <v>1452</v>
      </c>
      <c r="D815" s="12" t="s">
        <v>1804</v>
      </c>
      <c r="E815" s="12" t="s">
        <v>1805</v>
      </c>
      <c r="F815" s="13" t="n">
        <v>0</v>
      </c>
      <c r="G815" s="13" t="n">
        <v>0</v>
      </c>
      <c r="H815" s="14" t="n">
        <v>2878</v>
      </c>
      <c r="I815" s="14" t="n">
        <v>2755</v>
      </c>
      <c r="J815" s="15" t="n">
        <f aca="false">I815/H815</f>
        <v>0.957261987491313</v>
      </c>
      <c r="K815" s="16" t="n">
        <f aca="false">ROUND(I815*J815^($F$8-1),0)</f>
        <v>2783</v>
      </c>
      <c r="L815" s="16" t="n">
        <f aca="false">ROUND(I815*J815^($F$9-1),0)</f>
        <v>2761</v>
      </c>
      <c r="M815" s="17" t="n">
        <f aca="false">G815*$F$7</f>
        <v>0</v>
      </c>
      <c r="N815" s="18" t="n">
        <f aca="false">F815/K815</f>
        <v>0</v>
      </c>
      <c r="O815" s="18" t="n">
        <f aca="false">G815/L815</f>
        <v>0</v>
      </c>
      <c r="P815" s="18" t="n">
        <f aca="false">M815/L815</f>
        <v>0</v>
      </c>
      <c r="Q815" s="19" t="str">
        <f aca="false">IF(N815=0,"n.a.",P815/N815-1)</f>
        <v>n.a.</v>
      </c>
    </row>
    <row r="816" customFormat="false" ht="15" hidden="false" customHeight="false" outlineLevel="0" collapsed="false">
      <c r="A816" s="12" t="s">
        <v>1806</v>
      </c>
      <c r="B816" s="12" t="s">
        <v>1451</v>
      </c>
      <c r="C816" s="12" t="s">
        <v>1452</v>
      </c>
      <c r="D816" s="12" t="s">
        <v>1807</v>
      </c>
      <c r="E816" s="12" t="s">
        <v>1808</v>
      </c>
      <c r="F816" s="13" t="n">
        <v>6929</v>
      </c>
      <c r="G816" s="13" t="n">
        <v>33329</v>
      </c>
      <c r="H816" s="14" t="n">
        <v>1629</v>
      </c>
      <c r="I816" s="14" t="n">
        <v>1566</v>
      </c>
      <c r="J816" s="15" t="n">
        <f aca="false">I816/H816</f>
        <v>0.961325966850829</v>
      </c>
      <c r="K816" s="16" t="n">
        <f aca="false">ROUND(I816*J816^($F$8-1),0)</f>
        <v>1580</v>
      </c>
      <c r="L816" s="16" t="n">
        <f aca="false">ROUND(I816*J816^($F$9-1),0)</f>
        <v>1569</v>
      </c>
      <c r="M816" s="17" t="n">
        <f aca="false">G816*$F$7</f>
        <v>32105.9002072925</v>
      </c>
      <c r="N816" s="18" t="n">
        <f aca="false">F816/K816</f>
        <v>4.38544303797468</v>
      </c>
      <c r="O816" s="18" t="n">
        <f aca="false">G816/L816</f>
        <v>21.2421924792862</v>
      </c>
      <c r="P816" s="18" t="n">
        <f aca="false">M816/L816</f>
        <v>20.4626515024171</v>
      </c>
      <c r="Q816" s="19" t="n">
        <f aca="false">IF(N816=0,"n.a.",P816/N816-1)</f>
        <v>3.66603974221663</v>
      </c>
    </row>
    <row r="817" customFormat="false" ht="15" hidden="false" customHeight="false" outlineLevel="0" collapsed="false">
      <c r="A817" s="12" t="s">
        <v>1809</v>
      </c>
      <c r="B817" s="12" t="s">
        <v>1451</v>
      </c>
      <c r="C817" s="12" t="s">
        <v>1452</v>
      </c>
      <c r="D817" s="12" t="s">
        <v>1810</v>
      </c>
      <c r="E817" s="12" t="s">
        <v>1811</v>
      </c>
      <c r="F817" s="13" t="n">
        <v>291438</v>
      </c>
      <c r="G817" s="13" t="n">
        <v>564494</v>
      </c>
      <c r="H817" s="14" t="n">
        <v>11287</v>
      </c>
      <c r="I817" s="14" t="n">
        <v>9716</v>
      </c>
      <c r="J817" s="15" t="n">
        <f aca="false">I817/H817</f>
        <v>0.860813325064233</v>
      </c>
      <c r="K817" s="16" t="n">
        <f aca="false">ROUND(I817*J817^($F$8-1),0)</f>
        <v>10058</v>
      </c>
      <c r="L817" s="16" t="n">
        <f aca="false">ROUND(I817*J817^($F$9-1),0)</f>
        <v>9792</v>
      </c>
      <c r="M817" s="17" t="n">
        <f aca="false">G817*$F$7</f>
        <v>543778.332131638</v>
      </c>
      <c r="N817" s="18" t="n">
        <f aca="false">F817/K817</f>
        <v>28.9757407039173</v>
      </c>
      <c r="O817" s="18" t="n">
        <f aca="false">G817/L817</f>
        <v>57.6484885620915</v>
      </c>
      <c r="P817" s="18" t="n">
        <f aca="false">M817/L817</f>
        <v>55.5329179056003</v>
      </c>
      <c r="Q817" s="19" t="n">
        <f aca="false">IF(N817=0,"n.a.",P817/N817-1)</f>
        <v>0.916531434797547</v>
      </c>
    </row>
    <row r="818" customFormat="false" ht="15" hidden="false" customHeight="false" outlineLevel="0" collapsed="false">
      <c r="A818" s="12" t="s">
        <v>1812</v>
      </c>
      <c r="B818" s="12" t="s">
        <v>1451</v>
      </c>
      <c r="C818" s="12" t="s">
        <v>1452</v>
      </c>
      <c r="D818" s="12" t="s">
        <v>1813</v>
      </c>
      <c r="E818" s="12" t="s">
        <v>1814</v>
      </c>
      <c r="F818" s="13" t="n">
        <v>11942</v>
      </c>
      <c r="G818" s="13" t="n">
        <v>18768</v>
      </c>
      <c r="H818" s="14" t="n">
        <v>2149</v>
      </c>
      <c r="I818" s="14" t="n">
        <v>2107</v>
      </c>
      <c r="J818" s="15" t="n">
        <f aca="false">I818/H818</f>
        <v>0.980456026058632</v>
      </c>
      <c r="K818" s="16" t="n">
        <f aca="false">ROUND(I818*J818^($F$8-1),0)</f>
        <v>2117</v>
      </c>
      <c r="L818" s="16" t="n">
        <f aca="false">ROUND(I818*J818^($F$9-1),0)</f>
        <v>2109</v>
      </c>
      <c r="M818" s="17" t="n">
        <f aca="false">G818*$F$7</f>
        <v>18079.2563560402</v>
      </c>
      <c r="N818" s="18" t="n">
        <f aca="false">F818/K818</f>
        <v>5.64100141709967</v>
      </c>
      <c r="O818" s="18" t="n">
        <f aca="false">G818/L818</f>
        <v>8.89900426742532</v>
      </c>
      <c r="P818" s="18" t="n">
        <f aca="false">M818/L818</f>
        <v>8.57243070461842</v>
      </c>
      <c r="Q818" s="19" t="n">
        <f aca="false">IF(N818=0,"n.a.",P818/N818-1)</f>
        <v>0.51966469617126</v>
      </c>
    </row>
    <row r="819" customFormat="false" ht="15" hidden="false" customHeight="false" outlineLevel="0" collapsed="false">
      <c r="A819" s="12" t="s">
        <v>1815</v>
      </c>
      <c r="B819" s="12" t="s">
        <v>1451</v>
      </c>
      <c r="C819" s="12" t="s">
        <v>1452</v>
      </c>
      <c r="D819" s="12" t="s">
        <v>1816</v>
      </c>
      <c r="E819" s="12" t="s">
        <v>1817</v>
      </c>
      <c r="F819" s="13" t="n">
        <v>0</v>
      </c>
      <c r="G819" s="13" t="n">
        <v>26585</v>
      </c>
      <c r="H819" s="14" t="n">
        <v>4106</v>
      </c>
      <c r="I819" s="14" t="n">
        <v>3557</v>
      </c>
      <c r="J819" s="15" t="n">
        <f aca="false">I819/H819</f>
        <v>0.866293229420361</v>
      </c>
      <c r="K819" s="16" t="n">
        <f aca="false">ROUND(I819*J819^($F$8-1),0)</f>
        <v>3677</v>
      </c>
      <c r="L819" s="16" t="n">
        <f aca="false">ROUND(I819*J819^($F$9-1),0)</f>
        <v>3584</v>
      </c>
      <c r="M819" s="17" t="n">
        <f aca="false">G819*$F$7</f>
        <v>25609.3899310171</v>
      </c>
      <c r="N819" s="18" t="n">
        <f aca="false">F819/K819</f>
        <v>0</v>
      </c>
      <c r="O819" s="18" t="n">
        <f aca="false">G819/L819</f>
        <v>7.41768973214286</v>
      </c>
      <c r="P819" s="18" t="n">
        <f aca="false">M819/L819</f>
        <v>7.14547710128826</v>
      </c>
      <c r="Q819" s="19" t="str">
        <f aca="false">IF(N819=0,"n.a.",P819/N819-1)</f>
        <v>n.a.</v>
      </c>
    </row>
    <row r="820" customFormat="false" ht="15" hidden="false" customHeight="false" outlineLevel="0" collapsed="false">
      <c r="A820" s="12" t="s">
        <v>1818</v>
      </c>
      <c r="B820" s="12" t="s">
        <v>1451</v>
      </c>
      <c r="C820" s="12" t="s">
        <v>1452</v>
      </c>
      <c r="D820" s="12" t="s">
        <v>1819</v>
      </c>
      <c r="E820" s="12" t="s">
        <v>1820</v>
      </c>
      <c r="F820" s="13" t="n">
        <v>0</v>
      </c>
      <c r="G820" s="13" t="n">
        <v>36634</v>
      </c>
      <c r="H820" s="14" t="n">
        <v>3700</v>
      </c>
      <c r="I820" s="14" t="n">
        <v>3306</v>
      </c>
      <c r="J820" s="15" t="n">
        <f aca="false">I820/H820</f>
        <v>0.893513513513514</v>
      </c>
      <c r="K820" s="16" t="n">
        <f aca="false">ROUND(I820*J820^($F$8-1),0)</f>
        <v>3393</v>
      </c>
      <c r="L820" s="16" t="n">
        <f aca="false">ROUND(I820*J820^($F$9-1),0)</f>
        <v>3325</v>
      </c>
      <c r="M820" s="17" t="n">
        <f aca="false">G820*$F$7</f>
        <v>35289.614095651</v>
      </c>
      <c r="N820" s="18" t="n">
        <f aca="false">F820/K820</f>
        <v>0</v>
      </c>
      <c r="O820" s="18" t="n">
        <f aca="false">G820/L820</f>
        <v>11.0177443609023</v>
      </c>
      <c r="P820" s="18" t="n">
        <f aca="false">M820/L820</f>
        <v>10.6134177731281</v>
      </c>
      <c r="Q820" s="19" t="str">
        <f aca="false">IF(N820=0,"n.a.",P820/N820-1)</f>
        <v>n.a.</v>
      </c>
    </row>
    <row r="821" customFormat="false" ht="15" hidden="false" customHeight="false" outlineLevel="0" collapsed="false">
      <c r="A821" s="12" t="s">
        <v>1821</v>
      </c>
      <c r="B821" s="12" t="s">
        <v>1451</v>
      </c>
      <c r="C821" s="12" t="s">
        <v>1452</v>
      </c>
      <c r="D821" s="12" t="s">
        <v>1822</v>
      </c>
      <c r="E821" s="12" t="s">
        <v>1823</v>
      </c>
      <c r="F821" s="13" t="n">
        <v>32651</v>
      </c>
      <c r="G821" s="13" t="n">
        <v>29025</v>
      </c>
      <c r="H821" s="14" t="n">
        <v>17905</v>
      </c>
      <c r="I821" s="14" t="n">
        <v>16912</v>
      </c>
      <c r="J821" s="15" t="n">
        <f aca="false">I821/H821</f>
        <v>0.944540631108629</v>
      </c>
      <c r="K821" s="16" t="n">
        <f aca="false">ROUND(I821*J821^($F$8-1),0)</f>
        <v>17136</v>
      </c>
      <c r="L821" s="16" t="n">
        <f aca="false">ROUND(I821*J821^($F$9-1),0)</f>
        <v>16962</v>
      </c>
      <c r="M821" s="17" t="n">
        <f aca="false">G821*$F$7</f>
        <v>27959.8473856601</v>
      </c>
      <c r="N821" s="18" t="n">
        <f aca="false">F821/K821</f>
        <v>1.90540382819795</v>
      </c>
      <c r="O821" s="18" t="n">
        <f aca="false">G821/L821</f>
        <v>1.71117792713123</v>
      </c>
      <c r="P821" s="18" t="n">
        <f aca="false">M821/L821</f>
        <v>1.64838152255984</v>
      </c>
      <c r="Q821" s="19" t="n">
        <f aca="false">IF(N821=0,"n.a.",P821/N821-1)</f>
        <v>-0.134891250786026</v>
      </c>
    </row>
    <row r="822" customFormat="false" ht="15" hidden="false" customHeight="false" outlineLevel="0" collapsed="false">
      <c r="A822" s="12" t="s">
        <v>1824</v>
      </c>
      <c r="B822" s="12" t="s">
        <v>1451</v>
      </c>
      <c r="C822" s="12" t="s">
        <v>1452</v>
      </c>
      <c r="D822" s="12" t="s">
        <v>1825</v>
      </c>
      <c r="E822" s="12" t="s">
        <v>1826</v>
      </c>
      <c r="F822" s="13" t="n">
        <v>3201</v>
      </c>
      <c r="G822" s="13" t="n">
        <v>2211</v>
      </c>
      <c r="H822" s="14" t="n">
        <v>408</v>
      </c>
      <c r="I822" s="14" t="n">
        <v>411</v>
      </c>
      <c r="J822" s="15" t="n">
        <f aca="false">I822/H822</f>
        <v>1.00735294117647</v>
      </c>
      <c r="K822" s="16" t="n">
        <f aca="false">ROUND(I822*J822^($F$8-1),0)</f>
        <v>410</v>
      </c>
      <c r="L822" s="16" t="n">
        <f aca="false">ROUND(I822*J822^($F$9-1),0)</f>
        <v>411</v>
      </c>
      <c r="M822" s="17" t="n">
        <f aca="false">G822*$F$7</f>
        <v>2129.86124271126</v>
      </c>
      <c r="N822" s="18" t="n">
        <f aca="false">F822/K822</f>
        <v>7.80731707317073</v>
      </c>
      <c r="O822" s="18" t="n">
        <f aca="false">G822/L822</f>
        <v>5.37956204379562</v>
      </c>
      <c r="P822" s="18" t="n">
        <f aca="false">M822/L822</f>
        <v>5.18214414284979</v>
      </c>
      <c r="Q822" s="19" t="n">
        <f aca="false">IF(N822=0,"n.a.",P822/N822-1)</f>
        <v>-0.336245205070787</v>
      </c>
    </row>
    <row r="823" customFormat="false" ht="15" hidden="false" customHeight="false" outlineLevel="0" collapsed="false">
      <c r="A823" s="12" t="s">
        <v>1827</v>
      </c>
      <c r="B823" s="12" t="s">
        <v>1451</v>
      </c>
      <c r="C823" s="12" t="s">
        <v>1452</v>
      </c>
      <c r="D823" s="12" t="s">
        <v>1828</v>
      </c>
      <c r="E823" s="12" t="s">
        <v>1829</v>
      </c>
      <c r="F823" s="13" t="n">
        <v>19009</v>
      </c>
      <c r="G823" s="13" t="n">
        <v>2525</v>
      </c>
      <c r="H823" s="14" t="n">
        <v>1457</v>
      </c>
      <c r="I823" s="14" t="n">
        <v>1454</v>
      </c>
      <c r="J823" s="15" t="n">
        <f aca="false">I823/H823</f>
        <v>0.997940974605354</v>
      </c>
      <c r="K823" s="16" t="n">
        <f aca="false">ROUND(I823*J823^($F$8-1),0)</f>
        <v>1455</v>
      </c>
      <c r="L823" s="16" t="n">
        <f aca="false">ROUND(I823*J823^($F$9-1),0)</f>
        <v>1454</v>
      </c>
      <c r="M823" s="17" t="n">
        <f aca="false">G823*$F$7</f>
        <v>2432.33814466121</v>
      </c>
      <c r="N823" s="18" t="n">
        <f aca="false">F823/K823</f>
        <v>13.0646048109966</v>
      </c>
      <c r="O823" s="18" t="n">
        <f aca="false">G823/L823</f>
        <v>1.73658872077029</v>
      </c>
      <c r="P823" s="18" t="n">
        <f aca="false">M823/L823</f>
        <v>1.67285979687841</v>
      </c>
      <c r="Q823" s="19" t="n">
        <f aca="false">IF(N823=0,"n.a.",P823/N823-1)</f>
        <v>-0.871954810644532</v>
      </c>
    </row>
    <row r="824" customFormat="false" ht="15" hidden="false" customHeight="false" outlineLevel="0" collapsed="false">
      <c r="A824" s="12" t="s">
        <v>1830</v>
      </c>
      <c r="B824" s="12" t="s">
        <v>1451</v>
      </c>
      <c r="C824" s="12" t="s">
        <v>1452</v>
      </c>
      <c r="D824" s="12" t="s">
        <v>1831</v>
      </c>
      <c r="E824" s="12" t="s">
        <v>1832</v>
      </c>
      <c r="F824" s="13" t="n">
        <v>0</v>
      </c>
      <c r="G824" s="13" t="n">
        <v>0</v>
      </c>
      <c r="H824" s="14" t="n">
        <v>1424</v>
      </c>
      <c r="I824" s="14" t="n">
        <v>1389</v>
      </c>
      <c r="J824" s="15" t="n">
        <f aca="false">I824/H824</f>
        <v>0.975421348314607</v>
      </c>
      <c r="K824" s="16" t="n">
        <f aca="false">ROUND(I824*J824^($F$8-1),0)</f>
        <v>1397</v>
      </c>
      <c r="L824" s="16" t="n">
        <f aca="false">ROUND(I824*J824^($F$9-1),0)</f>
        <v>1391</v>
      </c>
      <c r="M824" s="17" t="n">
        <f aca="false">G824*$F$7</f>
        <v>0</v>
      </c>
      <c r="N824" s="18" t="n">
        <f aca="false">F824/K824</f>
        <v>0</v>
      </c>
      <c r="O824" s="18" t="n">
        <f aca="false">G824/L824</f>
        <v>0</v>
      </c>
      <c r="P824" s="18" t="n">
        <f aca="false">M824/L824</f>
        <v>0</v>
      </c>
      <c r="Q824" s="19" t="str">
        <f aca="false">IF(N824=0,"n.a.",P824/N824-1)</f>
        <v>n.a.</v>
      </c>
    </row>
    <row r="825" customFormat="false" ht="15" hidden="false" customHeight="false" outlineLevel="0" collapsed="false">
      <c r="A825" s="12" t="s">
        <v>1833</v>
      </c>
      <c r="B825" s="12" t="s">
        <v>1451</v>
      </c>
      <c r="C825" s="12" t="s">
        <v>1452</v>
      </c>
      <c r="D825" s="12" t="s">
        <v>1834</v>
      </c>
      <c r="E825" s="12" t="s">
        <v>1835</v>
      </c>
      <c r="F825" s="13" t="n">
        <v>573218</v>
      </c>
      <c r="G825" s="13" t="n">
        <v>622324</v>
      </c>
      <c r="H825" s="14" t="n">
        <v>10139</v>
      </c>
      <c r="I825" s="14" t="n">
        <v>10266</v>
      </c>
      <c r="J825" s="15" t="n">
        <f aca="false">I825/H825</f>
        <v>1.01252589012723</v>
      </c>
      <c r="K825" s="16" t="n">
        <f aca="false">ROUND(I825*J825^($F$8-1),0)</f>
        <v>10237</v>
      </c>
      <c r="L825" s="16" t="n">
        <f aca="false">ROUND(I825*J825^($F$9-1),0)</f>
        <v>10259</v>
      </c>
      <c r="M825" s="17" t="n">
        <f aca="false">G825*$F$7</f>
        <v>599486.100411146</v>
      </c>
      <c r="N825" s="18" t="n">
        <f aca="false">F825/K825</f>
        <v>55.9947250170949</v>
      </c>
      <c r="O825" s="18" t="n">
        <f aca="false">G825/L825</f>
        <v>60.6612730285603</v>
      </c>
      <c r="P825" s="18" t="n">
        <f aca="false">M825/L825</f>
        <v>58.4351399172576</v>
      </c>
      <c r="Q825" s="19" t="n">
        <f aca="false">IF(N825=0,"n.a.",P825/N825-1)</f>
        <v>0.0435829428471648</v>
      </c>
    </row>
    <row r="826" customFormat="false" ht="15" hidden="false" customHeight="false" outlineLevel="0" collapsed="false">
      <c r="A826" s="12" t="s">
        <v>1836</v>
      </c>
      <c r="B826" s="12" t="s">
        <v>1451</v>
      </c>
      <c r="C826" s="12" t="s">
        <v>1452</v>
      </c>
      <c r="D826" s="12" t="s">
        <v>1837</v>
      </c>
      <c r="E826" s="12" t="s">
        <v>1838</v>
      </c>
      <c r="F826" s="13" t="n">
        <v>25330</v>
      </c>
      <c r="G826" s="13" t="n">
        <v>0</v>
      </c>
      <c r="H826" s="14" t="n">
        <v>6692</v>
      </c>
      <c r="I826" s="14" t="n">
        <v>7042</v>
      </c>
      <c r="J826" s="15" t="n">
        <f aca="false">I826/H826</f>
        <v>1.05230125523013</v>
      </c>
      <c r="K826" s="16" t="n">
        <f aca="false">ROUND(I826*J826^($F$8-1),0)</f>
        <v>6960</v>
      </c>
      <c r="L826" s="16" t="n">
        <f aca="false">ROUND(I826*J826^($F$9-1),0)</f>
        <v>7023</v>
      </c>
      <c r="M826" s="17" t="n">
        <f aca="false">G826*$F$7</f>
        <v>0</v>
      </c>
      <c r="N826" s="18" t="n">
        <f aca="false">F826/K826</f>
        <v>3.63936781609195</v>
      </c>
      <c r="O826" s="18" t="n">
        <f aca="false">G826/L826</f>
        <v>0</v>
      </c>
      <c r="P826" s="18" t="n">
        <f aca="false">M826/L826</f>
        <v>0</v>
      </c>
      <c r="Q826" s="19" t="n">
        <f aca="false">IF(N826=0,"n.a.",P826/N826-1)</f>
        <v>-1</v>
      </c>
    </row>
    <row r="827" customFormat="false" ht="15" hidden="false" customHeight="false" outlineLevel="0" collapsed="false">
      <c r="A827" s="12" t="s">
        <v>1839</v>
      </c>
      <c r="B827" s="12" t="s">
        <v>1451</v>
      </c>
      <c r="C827" s="12" t="s">
        <v>1452</v>
      </c>
      <c r="D827" s="12" t="s">
        <v>1840</v>
      </c>
      <c r="E827" s="12" t="s">
        <v>1841</v>
      </c>
      <c r="F827" s="13" t="n">
        <v>23200</v>
      </c>
      <c r="G827" s="13" t="n">
        <v>22550</v>
      </c>
      <c r="H827" s="14" t="n">
        <v>1447</v>
      </c>
      <c r="I827" s="14" t="n">
        <v>1399</v>
      </c>
      <c r="J827" s="15" t="n">
        <f aca="false">I827/H827</f>
        <v>0.96682791983414</v>
      </c>
      <c r="K827" s="16" t="n">
        <f aca="false">ROUND(I827*J827^($F$8-1),0)</f>
        <v>1410</v>
      </c>
      <c r="L827" s="16" t="n">
        <f aca="false">ROUND(I827*J827^($F$9-1),0)</f>
        <v>1401</v>
      </c>
      <c r="M827" s="17" t="n">
        <f aca="false">G827*$F$7</f>
        <v>21722.4654107368</v>
      </c>
      <c r="N827" s="18" t="n">
        <f aca="false">F827/K827</f>
        <v>16.4539007092199</v>
      </c>
      <c r="O827" s="18" t="n">
        <f aca="false">G827/L827</f>
        <v>16.0956459671663</v>
      </c>
      <c r="P827" s="18" t="n">
        <f aca="false">M827/L827</f>
        <v>15.504971742139</v>
      </c>
      <c r="Q827" s="19" t="n">
        <f aca="false">IF(N827=0,"n.a.",P827/N827-1)</f>
        <v>-0.0576719760165515</v>
      </c>
    </row>
    <row r="828" customFormat="false" ht="15" hidden="false" customHeight="false" outlineLevel="0" collapsed="false">
      <c r="A828" s="12" t="s">
        <v>1842</v>
      </c>
      <c r="B828" s="12" t="s">
        <v>1451</v>
      </c>
      <c r="C828" s="12" t="s">
        <v>1452</v>
      </c>
      <c r="D828" s="12" t="s">
        <v>1843</v>
      </c>
      <c r="E828" s="12" t="s">
        <v>1844</v>
      </c>
      <c r="F828" s="13" t="n">
        <v>39928</v>
      </c>
      <c r="G828" s="13" t="n">
        <v>14631</v>
      </c>
      <c r="H828" s="14" t="n">
        <v>2344</v>
      </c>
      <c r="I828" s="14" t="n">
        <v>2305</v>
      </c>
      <c r="J828" s="15" t="n">
        <f aca="false">I828/H828</f>
        <v>0.983361774744027</v>
      </c>
      <c r="K828" s="16" t="n">
        <f aca="false">ROUND(I828*J828^($F$8-1),0)</f>
        <v>2314</v>
      </c>
      <c r="L828" s="16" t="n">
        <f aca="false">ROUND(I828*J828^($F$9-1),0)</f>
        <v>2307</v>
      </c>
      <c r="M828" s="17" t="n">
        <f aca="false">G828*$F$7</f>
        <v>14094.0750077379</v>
      </c>
      <c r="N828" s="18" t="n">
        <f aca="false">F828/K828</f>
        <v>17.2549697493518</v>
      </c>
      <c r="O828" s="18" t="n">
        <f aca="false">G828/L828</f>
        <v>6.34200260078023</v>
      </c>
      <c r="P828" s="18" t="n">
        <f aca="false">M828/L828</f>
        <v>6.10926528293797</v>
      </c>
      <c r="Q828" s="19" t="n">
        <f aca="false">IF(N828=0,"n.a.",P828/N828-1)</f>
        <v>-0.645941698439229</v>
      </c>
    </row>
    <row r="829" customFormat="false" ht="15" hidden="false" customHeight="false" outlineLevel="0" collapsed="false">
      <c r="A829" s="12" t="s">
        <v>1845</v>
      </c>
      <c r="B829" s="12" t="s">
        <v>1451</v>
      </c>
      <c r="C829" s="12" t="s">
        <v>1452</v>
      </c>
      <c r="D829" s="12" t="s">
        <v>1846</v>
      </c>
      <c r="E829" s="12" t="s">
        <v>1847</v>
      </c>
      <c r="F829" s="13" t="n">
        <v>59472</v>
      </c>
      <c r="G829" s="13" t="n">
        <v>21199</v>
      </c>
      <c r="H829" s="14" t="n">
        <v>453</v>
      </c>
      <c r="I829" s="14" t="n">
        <v>382</v>
      </c>
      <c r="J829" s="15" t="n">
        <f aca="false">I829/H829</f>
        <v>0.84326710816777</v>
      </c>
      <c r="K829" s="16" t="n">
        <f aca="false">ROUND(I829*J829^($F$8-1),0)</f>
        <v>397</v>
      </c>
      <c r="L829" s="16" t="n">
        <f aca="false">ROUND(I829*J829^($F$9-1),0)</f>
        <v>385</v>
      </c>
      <c r="M829" s="17" t="n">
        <f aca="false">G829*$F$7</f>
        <v>20421.0440905636</v>
      </c>
      <c r="N829" s="18" t="n">
        <f aca="false">F829/K829</f>
        <v>149.803526448363</v>
      </c>
      <c r="O829" s="18" t="n">
        <f aca="false">G829/L829</f>
        <v>55.0623376623377</v>
      </c>
      <c r="P829" s="18" t="n">
        <f aca="false">M829/L829</f>
        <v>53.0416729625028</v>
      </c>
      <c r="Q829" s="19" t="n">
        <f aca="false">IF(N829=0,"n.a.",P829/N829-1)</f>
        <v>-0.645925071191257</v>
      </c>
    </row>
    <row r="830" customFormat="false" ht="15" hidden="false" customHeight="false" outlineLevel="0" collapsed="false">
      <c r="A830" s="12" t="s">
        <v>1848</v>
      </c>
      <c r="B830" s="12" t="s">
        <v>1451</v>
      </c>
      <c r="C830" s="12" t="s">
        <v>1452</v>
      </c>
      <c r="D830" s="12" t="s">
        <v>1849</v>
      </c>
      <c r="E830" s="12" t="s">
        <v>1850</v>
      </c>
      <c r="F830" s="13" t="n">
        <v>0</v>
      </c>
      <c r="G830" s="13" t="n">
        <v>0</v>
      </c>
      <c r="H830" s="14" t="n">
        <v>2156</v>
      </c>
      <c r="I830" s="14" t="n">
        <v>1899</v>
      </c>
      <c r="J830" s="15" t="n">
        <f aca="false">I830/H830</f>
        <v>0.880797773654917</v>
      </c>
      <c r="K830" s="16" t="n">
        <f aca="false">ROUND(I830*J830^($F$8-1),0)</f>
        <v>1955</v>
      </c>
      <c r="L830" s="16" t="n">
        <f aca="false">ROUND(I830*J830^($F$9-1),0)</f>
        <v>1912</v>
      </c>
      <c r="M830" s="17" t="n">
        <f aca="false">G830*$F$7</f>
        <v>0</v>
      </c>
      <c r="N830" s="18" t="n">
        <f aca="false">F830/K830</f>
        <v>0</v>
      </c>
      <c r="O830" s="18" t="n">
        <f aca="false">G830/L830</f>
        <v>0</v>
      </c>
      <c r="P830" s="18" t="n">
        <f aca="false">M830/L830</f>
        <v>0</v>
      </c>
      <c r="Q830" s="19" t="str">
        <f aca="false">IF(N830=0,"n.a.",P830/N830-1)</f>
        <v>n.a.</v>
      </c>
    </row>
    <row r="831" customFormat="false" ht="15" hidden="false" customHeight="false" outlineLevel="0" collapsed="false">
      <c r="A831" s="12" t="s">
        <v>1851</v>
      </c>
      <c r="B831" s="12" t="s">
        <v>1451</v>
      </c>
      <c r="C831" s="12" t="s">
        <v>1452</v>
      </c>
      <c r="D831" s="12" t="s">
        <v>1852</v>
      </c>
      <c r="E831" s="12" t="s">
        <v>1853</v>
      </c>
      <c r="F831" s="13" t="n">
        <v>18386</v>
      </c>
      <c r="G831" s="13" t="n">
        <v>22851</v>
      </c>
      <c r="H831" s="14" t="n">
        <v>1475</v>
      </c>
      <c r="I831" s="14" t="n">
        <v>1353</v>
      </c>
      <c r="J831" s="15" t="n">
        <f aca="false">I831/H831</f>
        <v>0.91728813559322</v>
      </c>
      <c r="K831" s="16" t="n">
        <f aca="false">ROUND(I831*J831^($F$8-1),0)</f>
        <v>1380</v>
      </c>
      <c r="L831" s="16" t="n">
        <f aca="false">ROUND(I831*J831^($F$9-1),0)</f>
        <v>1359</v>
      </c>
      <c r="M831" s="17" t="n">
        <f aca="false">G831*$F$7</f>
        <v>22012.4193836251</v>
      </c>
      <c r="N831" s="18" t="n">
        <f aca="false">F831/K831</f>
        <v>13.3231884057971</v>
      </c>
      <c r="O831" s="18" t="n">
        <f aca="false">G831/L831</f>
        <v>16.8145695364238</v>
      </c>
      <c r="P831" s="18" t="n">
        <f aca="false">M831/L831</f>
        <v>16.1975124235652</v>
      </c>
      <c r="Q831" s="19" t="n">
        <f aca="false">IF(N831=0,"n.a.",P831/N831-1)</f>
        <v>0.215738450153375</v>
      </c>
    </row>
    <row r="832" customFormat="false" ht="15" hidden="false" customHeight="false" outlineLevel="0" collapsed="false">
      <c r="A832" s="12" t="s">
        <v>1854</v>
      </c>
      <c r="B832" s="12" t="s">
        <v>1451</v>
      </c>
      <c r="C832" s="12" t="s">
        <v>1452</v>
      </c>
      <c r="D832" s="12" t="s">
        <v>1855</v>
      </c>
      <c r="E832" s="12" t="s">
        <v>1856</v>
      </c>
      <c r="F832" s="13" t="n">
        <v>50288142</v>
      </c>
      <c r="G832" s="13" t="n">
        <v>57935026</v>
      </c>
      <c r="H832" s="14" t="n">
        <v>158767</v>
      </c>
      <c r="I832" s="14" t="n">
        <v>158424</v>
      </c>
      <c r="J832" s="15" t="n">
        <f aca="false">I832/H832</f>
        <v>0.997839601428509</v>
      </c>
      <c r="K832" s="16" t="n">
        <f aca="false">ROUND(I832*J832^($F$8-1),0)</f>
        <v>158503</v>
      </c>
      <c r="L832" s="16" t="n">
        <f aca="false">ROUND(I832*J832^($F$9-1),0)</f>
        <v>158442</v>
      </c>
      <c r="M832" s="17" t="n">
        <f aca="false">G832*$F$7</f>
        <v>55808940.0600947</v>
      </c>
      <c r="N832" s="18" t="n">
        <f aca="false">F832/K832</f>
        <v>317.269338750686</v>
      </c>
      <c r="O832" s="18" t="n">
        <f aca="false">G832/L832</f>
        <v>365.654472930157</v>
      </c>
      <c r="P832" s="18" t="n">
        <f aca="false">M832/L832</f>
        <v>352.235771197629</v>
      </c>
      <c r="Q832" s="19" t="n">
        <f aca="false">IF(N832=0,"n.a.",P832/N832-1)</f>
        <v>0.110210563001864</v>
      </c>
    </row>
    <row r="833" customFormat="false" ht="15" hidden="false" customHeight="false" outlineLevel="0" collapsed="false">
      <c r="A833" s="12" t="s">
        <v>1857</v>
      </c>
      <c r="B833" s="12" t="s">
        <v>1451</v>
      </c>
      <c r="C833" s="12" t="s">
        <v>1452</v>
      </c>
      <c r="D833" s="12" t="s">
        <v>1858</v>
      </c>
      <c r="E833" s="12" t="s">
        <v>1859</v>
      </c>
      <c r="F833" s="13" t="n">
        <v>0</v>
      </c>
      <c r="G833" s="13" t="n">
        <v>42733</v>
      </c>
      <c r="H833" s="14" t="n">
        <v>8939</v>
      </c>
      <c r="I833" s="14" t="n">
        <v>8224</v>
      </c>
      <c r="J833" s="15" t="n">
        <f aca="false">I833/H833</f>
        <v>0.920013424320394</v>
      </c>
      <c r="K833" s="16" t="n">
        <f aca="false">ROUND(I833*J833^($F$8-1),0)</f>
        <v>8384</v>
      </c>
      <c r="L833" s="16" t="n">
        <f aca="false">ROUND(I833*J833^($F$9-1),0)</f>
        <v>8260</v>
      </c>
      <c r="M833" s="17" t="n">
        <f aca="false">G833*$F$7</f>
        <v>41164.7944300228</v>
      </c>
      <c r="N833" s="18" t="n">
        <f aca="false">F833/K833</f>
        <v>0</v>
      </c>
      <c r="O833" s="18" t="n">
        <f aca="false">G833/L833</f>
        <v>5.17348668280872</v>
      </c>
      <c r="P833" s="18" t="n">
        <f aca="false">M833/L833</f>
        <v>4.9836312869277</v>
      </c>
      <c r="Q833" s="19" t="str">
        <f aca="false">IF(N833=0,"n.a.",P833/N833-1)</f>
        <v>n.a.</v>
      </c>
    </row>
    <row r="834" customFormat="false" ht="15" hidden="false" customHeight="false" outlineLevel="0" collapsed="false">
      <c r="A834" s="12" t="s">
        <v>1860</v>
      </c>
      <c r="B834" s="12" t="s">
        <v>1451</v>
      </c>
      <c r="C834" s="12" t="s">
        <v>1452</v>
      </c>
      <c r="D834" s="12" t="s">
        <v>1861</v>
      </c>
      <c r="E834" s="12" t="s">
        <v>1862</v>
      </c>
      <c r="F834" s="13" t="n">
        <v>21865</v>
      </c>
      <c r="G834" s="13" t="n">
        <v>24350</v>
      </c>
      <c r="H834" s="14" t="n">
        <v>524</v>
      </c>
      <c r="I834" s="14" t="n">
        <v>446</v>
      </c>
      <c r="J834" s="15" t="n">
        <f aca="false">I834/H834</f>
        <v>0.851145038167939</v>
      </c>
      <c r="K834" s="16" t="n">
        <f aca="false">ROUND(I834*J834^($F$8-1),0)</f>
        <v>463</v>
      </c>
      <c r="L834" s="16" t="n">
        <f aca="false">ROUND(I834*J834^($F$9-1),0)</f>
        <v>450</v>
      </c>
      <c r="M834" s="17" t="n">
        <f aca="false">G834*$F$7</f>
        <v>23456.4094346537</v>
      </c>
      <c r="N834" s="18" t="n">
        <f aca="false">F834/K834</f>
        <v>47.2246220302376</v>
      </c>
      <c r="O834" s="18" t="n">
        <f aca="false">G834/L834</f>
        <v>54.1111111111111</v>
      </c>
      <c r="P834" s="18" t="n">
        <f aca="false">M834/L834</f>
        <v>52.1253542992303</v>
      </c>
      <c r="Q834" s="19" t="n">
        <f aca="false">IF(N834=0,"n.a.",P834/N834-1)</f>
        <v>0.103774938968381</v>
      </c>
    </row>
    <row r="835" customFormat="false" ht="15" hidden="false" customHeight="false" outlineLevel="0" collapsed="false">
      <c r="A835" s="12" t="s">
        <v>1863</v>
      </c>
      <c r="B835" s="12" t="s">
        <v>1451</v>
      </c>
      <c r="C835" s="12" t="s">
        <v>1452</v>
      </c>
      <c r="D835" s="12" t="s">
        <v>1864</v>
      </c>
      <c r="E835" s="12" t="s">
        <v>1865</v>
      </c>
      <c r="F835" s="13" t="n">
        <v>0</v>
      </c>
      <c r="G835" s="13" t="n">
        <v>2700</v>
      </c>
      <c r="H835" s="14" t="n">
        <v>1761</v>
      </c>
      <c r="I835" s="14" t="n">
        <v>1776</v>
      </c>
      <c r="J835" s="15" t="n">
        <f aca="false">I835/H835</f>
        <v>1.00851788756388</v>
      </c>
      <c r="K835" s="16" t="n">
        <f aca="false">ROUND(I835*J835^($F$8-1),0)</f>
        <v>1773</v>
      </c>
      <c r="L835" s="16" t="n">
        <f aca="false">ROUND(I835*J835^($F$9-1),0)</f>
        <v>1775</v>
      </c>
      <c r="M835" s="17" t="n">
        <f aca="false">G835*$F$7</f>
        <v>2600.91603587535</v>
      </c>
      <c r="N835" s="18" t="n">
        <f aca="false">F835/K835</f>
        <v>0</v>
      </c>
      <c r="O835" s="18" t="n">
        <f aca="false">G835/L835</f>
        <v>1.52112676056338</v>
      </c>
      <c r="P835" s="18" t="n">
        <f aca="false">M835/L835</f>
        <v>1.46530480894386</v>
      </c>
      <c r="Q835" s="19" t="str">
        <f aca="false">IF(N835=0,"n.a.",P835/N835-1)</f>
        <v>n.a.</v>
      </c>
    </row>
    <row r="836" customFormat="false" ht="15" hidden="false" customHeight="false" outlineLevel="0" collapsed="false">
      <c r="A836" s="12" t="s">
        <v>1866</v>
      </c>
      <c r="B836" s="12" t="s">
        <v>1451</v>
      </c>
      <c r="C836" s="12" t="s">
        <v>1452</v>
      </c>
      <c r="D836" s="12" t="s">
        <v>1867</v>
      </c>
      <c r="E836" s="12" t="s">
        <v>1868</v>
      </c>
      <c r="F836" s="13" t="n">
        <v>11018</v>
      </c>
      <c r="G836" s="13" t="n">
        <v>20515</v>
      </c>
      <c r="H836" s="14" t="n">
        <v>9609</v>
      </c>
      <c r="I836" s="14" t="n">
        <v>9719</v>
      </c>
      <c r="J836" s="15" t="n">
        <f aca="false">I836/H836</f>
        <v>1.0114476012072</v>
      </c>
      <c r="K836" s="16" t="n">
        <f aca="false">ROUND(I836*J836^($F$8-1),0)</f>
        <v>9693</v>
      </c>
      <c r="L836" s="16" t="n">
        <f aca="false">ROUND(I836*J836^($F$9-1),0)</f>
        <v>9713</v>
      </c>
      <c r="M836" s="17" t="n">
        <f aca="false">G836*$F$7</f>
        <v>19762.1453614751</v>
      </c>
      <c r="N836" s="18" t="n">
        <f aca="false">F836/K836</f>
        <v>1.13669658516455</v>
      </c>
      <c r="O836" s="18" t="n">
        <f aca="false">G836/L836</f>
        <v>2.11211778029445</v>
      </c>
      <c r="P836" s="18" t="n">
        <f aca="false">M836/L836</f>
        <v>2.03460777941678</v>
      </c>
      <c r="Q836" s="19" t="n">
        <f aca="false">IF(N836=0,"n.a.",P836/N836-1)</f>
        <v>0.789930405326448</v>
      </c>
    </row>
    <row r="837" customFormat="false" ht="15" hidden="false" customHeight="false" outlineLevel="0" collapsed="false">
      <c r="A837" s="12" t="s">
        <v>1869</v>
      </c>
      <c r="B837" s="12" t="s">
        <v>1451</v>
      </c>
      <c r="C837" s="12" t="s">
        <v>1452</v>
      </c>
      <c r="D837" s="12" t="s">
        <v>1870</v>
      </c>
      <c r="E837" s="12" t="s">
        <v>1871</v>
      </c>
      <c r="F837" s="13" t="n">
        <v>0</v>
      </c>
      <c r="G837" s="13" t="n">
        <v>1800</v>
      </c>
      <c r="H837" s="14" t="n">
        <v>3116</v>
      </c>
      <c r="I837" s="14" t="n">
        <v>3003</v>
      </c>
      <c r="J837" s="15" t="n">
        <f aca="false">I837/H837</f>
        <v>0.963735558408216</v>
      </c>
      <c r="K837" s="16" t="n">
        <f aca="false">ROUND(I837*J837^($F$8-1),0)</f>
        <v>3029</v>
      </c>
      <c r="L837" s="16" t="n">
        <f aca="false">ROUND(I837*J837^($F$9-1),0)</f>
        <v>3009</v>
      </c>
      <c r="M837" s="17" t="n">
        <f aca="false">G837*$F$7</f>
        <v>1733.9440239169</v>
      </c>
      <c r="N837" s="18" t="n">
        <f aca="false">F837/K837</f>
        <v>0</v>
      </c>
      <c r="O837" s="18" t="n">
        <f aca="false">G837/L837</f>
        <v>0.598205383848455</v>
      </c>
      <c r="P837" s="18" t="n">
        <f aca="false">M837/L837</f>
        <v>0.576252583554969</v>
      </c>
      <c r="Q837" s="19" t="str">
        <f aca="false">IF(N837=0,"n.a.",P837/N837-1)</f>
        <v>n.a.</v>
      </c>
    </row>
    <row r="838" customFormat="false" ht="15" hidden="false" customHeight="false" outlineLevel="0" collapsed="false">
      <c r="A838" s="12" t="s">
        <v>1872</v>
      </c>
      <c r="B838" s="12" t="s">
        <v>1451</v>
      </c>
      <c r="C838" s="12" t="s">
        <v>1452</v>
      </c>
      <c r="D838" s="12" t="s">
        <v>1873</v>
      </c>
      <c r="E838" s="12" t="s">
        <v>1874</v>
      </c>
      <c r="F838" s="13" t="n">
        <v>322140</v>
      </c>
      <c r="G838" s="13" t="n">
        <v>928553</v>
      </c>
      <c r="H838" s="14" t="n">
        <v>22320</v>
      </c>
      <c r="I838" s="14" t="n">
        <v>24218</v>
      </c>
      <c r="J838" s="15" t="n">
        <f aca="false">I838/H838</f>
        <v>1.08503584229391</v>
      </c>
      <c r="K838" s="16" t="n">
        <f aca="false">ROUND(I838*J838^($F$8-1),0)</f>
        <v>23766</v>
      </c>
      <c r="L838" s="16" t="n">
        <f aca="false">ROUND(I838*J838^($F$9-1),0)</f>
        <v>24116</v>
      </c>
      <c r="M838" s="17" t="n">
        <f aca="false">G838*$F$7</f>
        <v>894477.180688951</v>
      </c>
      <c r="N838" s="18" t="n">
        <f aca="false">F838/K838</f>
        <v>13.554657914668</v>
      </c>
      <c r="O838" s="18" t="n">
        <f aca="false">G838/L838</f>
        <v>38.5036075634434</v>
      </c>
      <c r="P838" s="18" t="n">
        <f aca="false">M838/L838</f>
        <v>37.0906112410413</v>
      </c>
      <c r="Q838" s="19" t="n">
        <f aca="false">IF(N838=0,"n.a.",P838/N838-1)</f>
        <v>1.73637383359591</v>
      </c>
    </row>
    <row r="839" customFormat="false" ht="15" hidden="false" customHeight="false" outlineLevel="0" collapsed="false">
      <c r="A839" s="12" t="s">
        <v>1875</v>
      </c>
      <c r="B839" s="12" t="s">
        <v>1451</v>
      </c>
      <c r="C839" s="12" t="s">
        <v>1452</v>
      </c>
      <c r="D839" s="12" t="s">
        <v>1876</v>
      </c>
      <c r="E839" s="12" t="s">
        <v>1877</v>
      </c>
      <c r="F839" s="13" t="n">
        <v>7304</v>
      </c>
      <c r="G839" s="13" t="n">
        <v>20452</v>
      </c>
      <c r="H839" s="14" t="n">
        <v>296</v>
      </c>
      <c r="I839" s="14" t="n">
        <v>326</v>
      </c>
      <c r="J839" s="15" t="n">
        <f aca="false">I839/H839</f>
        <v>1.10135135135135</v>
      </c>
      <c r="K839" s="16" t="n">
        <f aca="false">ROUND(I839*J839^($F$8-1),0)</f>
        <v>319</v>
      </c>
      <c r="L839" s="16" t="n">
        <f aca="false">ROUND(I839*J839^($F$9-1),0)</f>
        <v>324</v>
      </c>
      <c r="M839" s="17" t="n">
        <f aca="false">G839*$F$7</f>
        <v>19701.4573206381</v>
      </c>
      <c r="N839" s="18" t="n">
        <f aca="false">F839/K839</f>
        <v>22.8965517241379</v>
      </c>
      <c r="O839" s="18" t="n">
        <f aca="false">G839/L839</f>
        <v>63.1234567901235</v>
      </c>
      <c r="P839" s="18" t="n">
        <f aca="false">M839/L839</f>
        <v>60.8069670390063</v>
      </c>
      <c r="Q839" s="19" t="n">
        <f aca="false">IF(N839=0,"n.a.",P839/N839-1)</f>
        <v>1.65572597007708</v>
      </c>
    </row>
    <row r="840" customFormat="false" ht="15" hidden="false" customHeight="false" outlineLevel="0" collapsed="false">
      <c r="A840" s="12" t="s">
        <v>1878</v>
      </c>
      <c r="B840" s="12" t="s">
        <v>1451</v>
      </c>
      <c r="C840" s="12" t="s">
        <v>1452</v>
      </c>
      <c r="D840" s="12" t="s">
        <v>1879</v>
      </c>
      <c r="E840" s="12" t="s">
        <v>1880</v>
      </c>
      <c r="F840" s="13" t="n">
        <v>270340</v>
      </c>
      <c r="G840" s="13" t="n">
        <v>286476</v>
      </c>
      <c r="H840" s="14" t="n">
        <v>1522</v>
      </c>
      <c r="I840" s="14" t="n">
        <v>1457</v>
      </c>
      <c r="J840" s="15" t="n">
        <f aca="false">I840/H840</f>
        <v>0.957293035479632</v>
      </c>
      <c r="K840" s="16" t="n">
        <f aca="false">ROUND(I840*J840^($F$8-1),0)</f>
        <v>1472</v>
      </c>
      <c r="L840" s="16" t="n">
        <f aca="false">ROUND(I840*J840^($F$9-1),0)</f>
        <v>1460</v>
      </c>
      <c r="M840" s="17" t="n">
        <f aca="false">G840*$F$7</f>
        <v>275962.971219788</v>
      </c>
      <c r="N840" s="18" t="n">
        <f aca="false">F840/K840</f>
        <v>183.654891304348</v>
      </c>
      <c r="O840" s="18" t="n">
        <f aca="false">G840/L840</f>
        <v>196.216438356164</v>
      </c>
      <c r="P840" s="18" t="n">
        <f aca="false">M840/L840</f>
        <v>189.015733712184</v>
      </c>
      <c r="Q840" s="19" t="n">
        <f aca="false">IF(N840=0,"n.a.",P840/N840-1)</f>
        <v>0.0291897611316649</v>
      </c>
    </row>
    <row r="841" customFormat="false" ht="15" hidden="false" customHeight="false" outlineLevel="0" collapsed="false">
      <c r="A841" s="12" t="s">
        <v>1881</v>
      </c>
      <c r="B841" s="12" t="s">
        <v>1451</v>
      </c>
      <c r="C841" s="12" t="s">
        <v>1452</v>
      </c>
      <c r="D841" s="12" t="s">
        <v>1882</v>
      </c>
      <c r="E841" s="12" t="s">
        <v>1883</v>
      </c>
      <c r="F841" s="13" t="n">
        <v>24820</v>
      </c>
      <c r="G841" s="13" t="n">
        <v>26228</v>
      </c>
      <c r="H841" s="14" t="n">
        <v>2807</v>
      </c>
      <c r="I841" s="14" t="n">
        <v>2776</v>
      </c>
      <c r="J841" s="15" t="n">
        <f aca="false">I841/H841</f>
        <v>0.988956180976131</v>
      </c>
      <c r="K841" s="16" t="n">
        <f aca="false">ROUND(I841*J841^($F$8-1),0)</f>
        <v>2783</v>
      </c>
      <c r="L841" s="16" t="n">
        <f aca="false">ROUND(I841*J841^($F$9-1),0)</f>
        <v>2778</v>
      </c>
      <c r="M841" s="17" t="n">
        <f aca="false">G841*$F$7</f>
        <v>25265.4910329403</v>
      </c>
      <c r="N841" s="18" t="n">
        <f aca="false">F841/K841</f>
        <v>8.91843334531082</v>
      </c>
      <c r="O841" s="18" t="n">
        <f aca="false">G841/L841</f>
        <v>9.44132469402448</v>
      </c>
      <c r="P841" s="18" t="n">
        <f aca="false">M841/L841</f>
        <v>9.09484918392379</v>
      </c>
      <c r="Q841" s="19" t="n">
        <f aca="false">IF(N841=0,"n.a.",P841/N841-1)</f>
        <v>0.0197810346035419</v>
      </c>
    </row>
    <row r="842" customFormat="false" ht="15" hidden="false" customHeight="false" outlineLevel="0" collapsed="false">
      <c r="A842" s="12" t="s">
        <v>1884</v>
      </c>
      <c r="B842" s="12" t="s">
        <v>1451</v>
      </c>
      <c r="C842" s="12" t="s">
        <v>1452</v>
      </c>
      <c r="D842" s="12" t="s">
        <v>1885</v>
      </c>
      <c r="E842" s="12" t="s">
        <v>1886</v>
      </c>
      <c r="F842" s="13" t="n">
        <v>5860</v>
      </c>
      <c r="G842" s="13" t="n">
        <v>818</v>
      </c>
      <c r="H842" s="14" t="n">
        <v>1372</v>
      </c>
      <c r="I842" s="14" t="n">
        <v>1327</v>
      </c>
      <c r="J842" s="15" t="n">
        <f aca="false">I842/H842</f>
        <v>0.967201166180758</v>
      </c>
      <c r="K842" s="16" t="n">
        <f aca="false">ROUND(I842*J842^($F$8-1),0)</f>
        <v>1337</v>
      </c>
      <c r="L842" s="16" t="n">
        <f aca="false">ROUND(I842*J842^($F$9-1),0)</f>
        <v>1329</v>
      </c>
      <c r="M842" s="17" t="n">
        <f aca="false">G842*$F$7</f>
        <v>787.981228646681</v>
      </c>
      <c r="N842" s="18" t="n">
        <f aca="false">F842/K842</f>
        <v>4.3829468960359</v>
      </c>
      <c r="O842" s="18" t="n">
        <f aca="false">G842/L842</f>
        <v>0.615500376222724</v>
      </c>
      <c r="P842" s="18" t="n">
        <f aca="false">M842/L842</f>
        <v>0.592912888372221</v>
      </c>
      <c r="Q842" s="19" t="n">
        <f aca="false">IF(N842=0,"n.a.",P842/N842-1)</f>
        <v>-0.864722776151253</v>
      </c>
    </row>
    <row r="843" customFormat="false" ht="15" hidden="false" customHeight="false" outlineLevel="0" collapsed="false">
      <c r="A843" s="12" t="s">
        <v>1887</v>
      </c>
      <c r="B843" s="12" t="s">
        <v>1451</v>
      </c>
      <c r="C843" s="12" t="s">
        <v>1452</v>
      </c>
      <c r="D843" s="12" t="s">
        <v>1888</v>
      </c>
      <c r="E843" s="12" t="s">
        <v>1889</v>
      </c>
      <c r="F843" s="13" t="n">
        <v>0</v>
      </c>
      <c r="G843" s="13" t="n">
        <v>0</v>
      </c>
      <c r="H843" s="14" t="n">
        <v>1056</v>
      </c>
      <c r="I843" s="14" t="n">
        <v>962</v>
      </c>
      <c r="J843" s="15" t="n">
        <f aca="false">I843/H843</f>
        <v>0.910984848484849</v>
      </c>
      <c r="K843" s="16" t="n">
        <f aca="false">ROUND(I843*J843^($F$8-1),0)</f>
        <v>983</v>
      </c>
      <c r="L843" s="16" t="n">
        <f aca="false">ROUND(I843*J843^($F$9-1),0)</f>
        <v>967</v>
      </c>
      <c r="M843" s="17" t="n">
        <f aca="false">G843*$F$7</f>
        <v>0</v>
      </c>
      <c r="N843" s="18" t="n">
        <f aca="false">F843/K843</f>
        <v>0</v>
      </c>
      <c r="O843" s="18" t="n">
        <f aca="false">G843/L843</f>
        <v>0</v>
      </c>
      <c r="P843" s="18" t="n">
        <f aca="false">M843/L843</f>
        <v>0</v>
      </c>
      <c r="Q843" s="19" t="str">
        <f aca="false">IF(N843=0,"n.a.",P843/N843-1)</f>
        <v>n.a.</v>
      </c>
    </row>
    <row r="844" customFormat="false" ht="15" hidden="false" customHeight="false" outlineLevel="0" collapsed="false">
      <c r="A844" s="12" t="s">
        <v>1890</v>
      </c>
      <c r="B844" s="12" t="s">
        <v>1451</v>
      </c>
      <c r="C844" s="12" t="s">
        <v>1452</v>
      </c>
      <c r="D844" s="12" t="s">
        <v>1891</v>
      </c>
      <c r="E844" s="12" t="s">
        <v>1892</v>
      </c>
      <c r="F844" s="13" t="n">
        <v>7168</v>
      </c>
      <c r="G844" s="13" t="n">
        <v>10242</v>
      </c>
      <c r="H844" s="14" t="n">
        <v>407</v>
      </c>
      <c r="I844" s="14" t="n">
        <v>421</v>
      </c>
      <c r="J844" s="15" t="n">
        <f aca="false">I844/H844</f>
        <v>1.03439803439803</v>
      </c>
      <c r="K844" s="16" t="n">
        <f aca="false">ROUND(I844*J844^($F$8-1),0)</f>
        <v>418</v>
      </c>
      <c r="L844" s="16" t="n">
        <f aca="false">ROUND(I844*J844^($F$9-1),0)</f>
        <v>420</v>
      </c>
      <c r="M844" s="17" t="n">
        <f aca="false">G844*$F$7</f>
        <v>9866.14149608718</v>
      </c>
      <c r="N844" s="18" t="n">
        <f aca="false">F844/K844</f>
        <v>17.1483253588517</v>
      </c>
      <c r="O844" s="18" t="n">
        <f aca="false">G844/L844</f>
        <v>24.3857142857143</v>
      </c>
      <c r="P844" s="18" t="n">
        <f aca="false">M844/L844</f>
        <v>23.4908130859218</v>
      </c>
      <c r="Q844" s="19" t="n">
        <f aca="false">IF(N844=0,"n.a.",P844/N844-1)</f>
        <v>0.369860472923456</v>
      </c>
    </row>
    <row r="845" customFormat="false" ht="15" hidden="false" customHeight="false" outlineLevel="0" collapsed="false">
      <c r="A845" s="12" t="s">
        <v>1893</v>
      </c>
      <c r="B845" s="12" t="s">
        <v>1451</v>
      </c>
      <c r="C845" s="12" t="s">
        <v>1452</v>
      </c>
      <c r="D845" s="12" t="s">
        <v>1894</v>
      </c>
      <c r="E845" s="12" t="s">
        <v>1895</v>
      </c>
      <c r="F845" s="13" t="n">
        <v>220148</v>
      </c>
      <c r="G845" s="13" t="n">
        <v>290663</v>
      </c>
      <c r="H845" s="14" t="n">
        <v>3288</v>
      </c>
      <c r="I845" s="14" t="n">
        <v>3219</v>
      </c>
      <c r="J845" s="15" t="n">
        <f aca="false">I845/H845</f>
        <v>0.979014598540146</v>
      </c>
      <c r="K845" s="16" t="n">
        <f aca="false">ROUND(I845*J845^($F$8-1),0)</f>
        <v>3235</v>
      </c>
      <c r="L845" s="16" t="n">
        <f aca="false">ROUND(I845*J845^($F$9-1),0)</f>
        <v>3223</v>
      </c>
      <c r="M845" s="17" t="n">
        <f aca="false">G845*$F$7</f>
        <v>279996.317679866</v>
      </c>
      <c r="N845" s="18" t="n">
        <f aca="false">F845/K845</f>
        <v>68.0519319938176</v>
      </c>
      <c r="O845" s="18" t="n">
        <f aca="false">G845/L845</f>
        <v>90.1839900713621</v>
      </c>
      <c r="P845" s="18" t="n">
        <f aca="false">M845/L845</f>
        <v>86.8744392428998</v>
      </c>
      <c r="Q845" s="19" t="n">
        <f aca="false">IF(N845=0,"n.a.",P845/N845-1)</f>
        <v>0.276590343545164</v>
      </c>
    </row>
    <row r="846" customFormat="false" ht="15" hidden="false" customHeight="false" outlineLevel="0" collapsed="false">
      <c r="A846" s="12" t="s">
        <v>1896</v>
      </c>
      <c r="B846" s="12" t="s">
        <v>1451</v>
      </c>
      <c r="C846" s="12" t="s">
        <v>1452</v>
      </c>
      <c r="D846" s="12" t="s">
        <v>1897</v>
      </c>
      <c r="E846" s="12" t="s">
        <v>1898</v>
      </c>
      <c r="F846" s="13" t="n">
        <v>721993</v>
      </c>
      <c r="G846" s="13" t="n">
        <v>726652</v>
      </c>
      <c r="H846" s="14" t="n">
        <v>29772</v>
      </c>
      <c r="I846" s="14" t="n">
        <v>29912</v>
      </c>
      <c r="J846" s="15" t="n">
        <f aca="false">I846/H846</f>
        <v>1.00470240494424</v>
      </c>
      <c r="K846" s="16" t="n">
        <f aca="false">ROUND(I846*J846^($F$8-1),0)</f>
        <v>29880</v>
      </c>
      <c r="L846" s="16" t="n">
        <f aca="false">ROUND(I846*J846^($F$9-1),0)</f>
        <v>29905</v>
      </c>
      <c r="M846" s="17" t="n">
        <f aca="false">G846*$F$7</f>
        <v>699985.49603737</v>
      </c>
      <c r="N846" s="18" t="n">
        <f aca="false">F846/K846</f>
        <v>24.1630856760375</v>
      </c>
      <c r="O846" s="18" t="n">
        <f aca="false">G846/L846</f>
        <v>24.2986791506437</v>
      </c>
      <c r="P846" s="18" t="n">
        <f aca="false">M846/L846</f>
        <v>23.4069719457405</v>
      </c>
      <c r="Q846" s="19" t="n">
        <f aca="false">IF(N846=0,"n.a.",P846/N846-1)</f>
        <v>-0.0312921015318348</v>
      </c>
    </row>
    <row r="847" customFormat="false" ht="15" hidden="false" customHeight="false" outlineLevel="0" collapsed="false">
      <c r="A847" s="12" t="s">
        <v>1899</v>
      </c>
      <c r="B847" s="12" t="s">
        <v>1451</v>
      </c>
      <c r="C847" s="12" t="s">
        <v>1452</v>
      </c>
      <c r="D847" s="12" t="s">
        <v>1900</v>
      </c>
      <c r="E847" s="12" t="s">
        <v>1901</v>
      </c>
      <c r="F847" s="13" t="n">
        <v>0</v>
      </c>
      <c r="G847" s="13" t="n">
        <v>0</v>
      </c>
      <c r="H847" s="14" t="n">
        <v>494</v>
      </c>
      <c r="I847" s="14" t="n">
        <v>385</v>
      </c>
      <c r="J847" s="15" t="n">
        <f aca="false">I847/H847</f>
        <v>0.779352226720648</v>
      </c>
      <c r="K847" s="16" t="n">
        <f aca="false">ROUND(I847*J847^($F$8-1),0)</f>
        <v>408</v>
      </c>
      <c r="L847" s="16" t="n">
        <f aca="false">ROUND(I847*J847^($F$9-1),0)</f>
        <v>390</v>
      </c>
      <c r="M847" s="17" t="n">
        <f aca="false">G847*$F$7</f>
        <v>0</v>
      </c>
      <c r="N847" s="18" t="n">
        <f aca="false">F847/K847</f>
        <v>0</v>
      </c>
      <c r="O847" s="18" t="n">
        <f aca="false">G847/L847</f>
        <v>0</v>
      </c>
      <c r="P847" s="18" t="n">
        <f aca="false">M847/L847</f>
        <v>0</v>
      </c>
      <c r="Q847" s="19" t="str">
        <f aca="false">IF(N847=0,"n.a.",P847/N847-1)</f>
        <v>n.a.</v>
      </c>
    </row>
    <row r="848" customFormat="false" ht="15" hidden="false" customHeight="false" outlineLevel="0" collapsed="false">
      <c r="A848" s="12" t="s">
        <v>1902</v>
      </c>
      <c r="B848" s="12" t="s">
        <v>1451</v>
      </c>
      <c r="C848" s="12" t="s">
        <v>1452</v>
      </c>
      <c r="D848" s="12" t="s">
        <v>1903</v>
      </c>
      <c r="E848" s="12" t="s">
        <v>1904</v>
      </c>
      <c r="F848" s="13" t="n">
        <v>0</v>
      </c>
      <c r="G848" s="13" t="n">
        <v>0</v>
      </c>
      <c r="H848" s="14" t="n">
        <v>1880</v>
      </c>
      <c r="I848" s="14" t="n">
        <v>1763</v>
      </c>
      <c r="J848" s="15" t="n">
        <f aca="false">I848/H848</f>
        <v>0.937765957446809</v>
      </c>
      <c r="K848" s="16" t="n">
        <f aca="false">ROUND(I848*J848^($F$8-1),0)</f>
        <v>1789</v>
      </c>
      <c r="L848" s="16" t="n">
        <f aca="false">ROUND(I848*J848^($F$9-1),0)</f>
        <v>1769</v>
      </c>
      <c r="M848" s="17" t="n">
        <f aca="false">G848*$F$7</f>
        <v>0</v>
      </c>
      <c r="N848" s="18" t="n">
        <f aca="false">F848/K848</f>
        <v>0</v>
      </c>
      <c r="O848" s="18" t="n">
        <f aca="false">G848/L848</f>
        <v>0</v>
      </c>
      <c r="P848" s="18" t="n">
        <f aca="false">M848/L848</f>
        <v>0</v>
      </c>
      <c r="Q848" s="19" t="str">
        <f aca="false">IF(N848=0,"n.a.",P848/N848-1)</f>
        <v>n.a.</v>
      </c>
    </row>
    <row r="849" customFormat="false" ht="15" hidden="false" customHeight="false" outlineLevel="0" collapsed="false">
      <c r="A849" s="12" t="s">
        <v>1905</v>
      </c>
      <c r="B849" s="12" t="s">
        <v>1451</v>
      </c>
      <c r="C849" s="12" t="s">
        <v>1452</v>
      </c>
      <c r="D849" s="12" t="s">
        <v>1906</v>
      </c>
      <c r="E849" s="12" t="s">
        <v>1907</v>
      </c>
      <c r="F849" s="13" t="n">
        <v>8430</v>
      </c>
      <c r="G849" s="13" t="n">
        <v>3160</v>
      </c>
      <c r="H849" s="14" t="n">
        <v>4577</v>
      </c>
      <c r="I849" s="14" t="n">
        <v>4646</v>
      </c>
      <c r="J849" s="15" t="n">
        <f aca="false">I849/H849</f>
        <v>1.01507537688442</v>
      </c>
      <c r="K849" s="16" t="n">
        <f aca="false">ROUND(I849*J849^($F$8-1),0)</f>
        <v>4630</v>
      </c>
      <c r="L849" s="16" t="n">
        <f aca="false">ROUND(I849*J849^($F$9-1),0)</f>
        <v>4642</v>
      </c>
      <c r="M849" s="17" t="n">
        <f aca="false">G849*$F$7</f>
        <v>3044.03506420967</v>
      </c>
      <c r="N849" s="18" t="n">
        <f aca="false">F849/K849</f>
        <v>1.8207343412527</v>
      </c>
      <c r="O849" s="18" t="n">
        <f aca="false">G849/L849</f>
        <v>0.680741059887979</v>
      </c>
      <c r="P849" s="18" t="n">
        <f aca="false">M849/L849</f>
        <v>0.655759384793122</v>
      </c>
      <c r="Q849" s="19" t="n">
        <f aca="false">IF(N849=0,"n.a.",P849/N849-1)</f>
        <v>-0.639837965410183</v>
      </c>
    </row>
    <row r="850" customFormat="false" ht="15" hidden="false" customHeight="false" outlineLevel="0" collapsed="false">
      <c r="A850" s="12" t="s">
        <v>1908</v>
      </c>
      <c r="B850" s="12" t="s">
        <v>1451</v>
      </c>
      <c r="C850" s="12" t="s">
        <v>1452</v>
      </c>
      <c r="D850" s="12" t="s">
        <v>1909</v>
      </c>
      <c r="E850" s="12" t="s">
        <v>1910</v>
      </c>
      <c r="F850" s="13" t="n">
        <v>0</v>
      </c>
      <c r="G850" s="13" t="n">
        <v>0</v>
      </c>
      <c r="H850" s="14" t="n">
        <v>634</v>
      </c>
      <c r="I850" s="14" t="n">
        <v>585</v>
      </c>
      <c r="J850" s="15" t="n">
        <f aca="false">I850/H850</f>
        <v>0.922712933753943</v>
      </c>
      <c r="K850" s="16" t="n">
        <f aca="false">ROUND(I850*J850^($F$8-1),0)</f>
        <v>596</v>
      </c>
      <c r="L850" s="16" t="n">
        <f aca="false">ROUND(I850*J850^($F$9-1),0)</f>
        <v>587</v>
      </c>
      <c r="M850" s="17" t="n">
        <f aca="false">G850*$F$7</f>
        <v>0</v>
      </c>
      <c r="N850" s="18" t="n">
        <f aca="false">F850/K850</f>
        <v>0</v>
      </c>
      <c r="O850" s="18" t="n">
        <f aca="false">G850/L850</f>
        <v>0</v>
      </c>
      <c r="P850" s="18" t="n">
        <f aca="false">M850/L850</f>
        <v>0</v>
      </c>
      <c r="Q850" s="19" t="str">
        <f aca="false">IF(N850=0,"n.a.",P850/N850-1)</f>
        <v>n.a.</v>
      </c>
    </row>
    <row r="851" customFormat="false" ht="15" hidden="false" customHeight="false" outlineLevel="0" collapsed="false">
      <c r="A851" s="12" t="s">
        <v>1911</v>
      </c>
      <c r="B851" s="12" t="s">
        <v>1451</v>
      </c>
      <c r="C851" s="12" t="s">
        <v>1452</v>
      </c>
      <c r="D851" s="12" t="s">
        <v>1912</v>
      </c>
      <c r="E851" s="12" t="s">
        <v>1913</v>
      </c>
      <c r="F851" s="13" t="n">
        <v>0</v>
      </c>
      <c r="G851" s="13" t="n">
        <v>0</v>
      </c>
      <c r="H851" s="14" t="n">
        <v>16949</v>
      </c>
      <c r="I851" s="14" t="n">
        <v>18593</v>
      </c>
      <c r="J851" s="15" t="n">
        <f aca="false">I851/H851</f>
        <v>1.09699687297186</v>
      </c>
      <c r="K851" s="16" t="n">
        <f aca="false">ROUND(I851*J851^($F$8-1),0)</f>
        <v>18200</v>
      </c>
      <c r="L851" s="16" t="n">
        <f aca="false">ROUND(I851*J851^($F$9-1),0)</f>
        <v>18504</v>
      </c>
      <c r="M851" s="17" t="n">
        <f aca="false">G851*$F$7</f>
        <v>0</v>
      </c>
      <c r="N851" s="18" t="n">
        <f aca="false">F851/K851</f>
        <v>0</v>
      </c>
      <c r="O851" s="18" t="n">
        <f aca="false">G851/L851</f>
        <v>0</v>
      </c>
      <c r="P851" s="18" t="n">
        <f aca="false">M851/L851</f>
        <v>0</v>
      </c>
      <c r="Q851" s="19" t="str">
        <f aca="false">IF(N851=0,"n.a.",P851/N851-1)</f>
        <v>n.a.</v>
      </c>
    </row>
    <row r="852" customFormat="false" ht="15" hidden="false" customHeight="false" outlineLevel="0" collapsed="false">
      <c r="A852" s="12" t="s">
        <v>1914</v>
      </c>
      <c r="B852" s="12" t="s">
        <v>1451</v>
      </c>
      <c r="C852" s="12" t="s">
        <v>1452</v>
      </c>
      <c r="D852" s="12" t="s">
        <v>1915</v>
      </c>
      <c r="E852" s="12" t="s">
        <v>1916</v>
      </c>
      <c r="F852" s="13" t="n">
        <v>15559</v>
      </c>
      <c r="G852" s="13" t="n">
        <v>11335</v>
      </c>
      <c r="H852" s="14" t="n">
        <v>2421</v>
      </c>
      <c r="I852" s="14" t="n">
        <v>2286</v>
      </c>
      <c r="J852" s="15" t="n">
        <f aca="false">I852/H852</f>
        <v>0.944237918215613</v>
      </c>
      <c r="K852" s="16" t="n">
        <f aca="false">ROUND(I852*J852^($F$8-1),0)</f>
        <v>2316</v>
      </c>
      <c r="L852" s="16" t="n">
        <f aca="false">ROUND(I852*J852^($F$9-1),0)</f>
        <v>2293</v>
      </c>
      <c r="M852" s="17" t="n">
        <f aca="false">G852*$F$7</f>
        <v>10919.0308394989</v>
      </c>
      <c r="N852" s="18" t="n">
        <f aca="false">F852/K852</f>
        <v>6.71804835924007</v>
      </c>
      <c r="O852" s="18" t="n">
        <f aca="false">G852/L852</f>
        <v>4.94330571303969</v>
      </c>
      <c r="P852" s="18" t="n">
        <f aca="false">M852/L852</f>
        <v>4.76189744417747</v>
      </c>
      <c r="Q852" s="19" t="n">
        <f aca="false">IF(N852=0,"n.a.",P852/N852-1)</f>
        <v>-0.29117845101131</v>
      </c>
    </row>
    <row r="853" customFormat="false" ht="15" hidden="false" customHeight="false" outlineLevel="0" collapsed="false">
      <c r="A853" s="12" t="s">
        <v>1917</v>
      </c>
      <c r="B853" s="12" t="s">
        <v>1451</v>
      </c>
      <c r="C853" s="12" t="s">
        <v>1452</v>
      </c>
      <c r="D853" s="12" t="s">
        <v>1918</v>
      </c>
      <c r="E853" s="12" t="s">
        <v>1919</v>
      </c>
      <c r="F853" s="13" t="n">
        <v>0</v>
      </c>
      <c r="G853" s="13" t="n">
        <v>0</v>
      </c>
      <c r="H853" s="14" t="n">
        <v>6886</v>
      </c>
      <c r="I853" s="14" t="n">
        <v>7103</v>
      </c>
      <c r="J853" s="15" t="n">
        <f aca="false">I853/H853</f>
        <v>1.03151321521929</v>
      </c>
      <c r="K853" s="16" t="n">
        <f aca="false">ROUND(I853*J853^($F$8-1),0)</f>
        <v>7052</v>
      </c>
      <c r="L853" s="16" t="n">
        <f aca="false">ROUND(I853*J853^($F$9-1),0)</f>
        <v>7092</v>
      </c>
      <c r="M853" s="17" t="n">
        <f aca="false">G853*$F$7</f>
        <v>0</v>
      </c>
      <c r="N853" s="18" t="n">
        <f aca="false">F853/K853</f>
        <v>0</v>
      </c>
      <c r="O853" s="18" t="n">
        <f aca="false">G853/L853</f>
        <v>0</v>
      </c>
      <c r="P853" s="18" t="n">
        <f aca="false">M853/L853</f>
        <v>0</v>
      </c>
      <c r="Q853" s="19" t="str">
        <f aca="false">IF(N853=0,"n.a.",P853/N853-1)</f>
        <v>n.a.</v>
      </c>
    </row>
    <row r="854" customFormat="false" ht="15" hidden="false" customHeight="false" outlineLevel="0" collapsed="false">
      <c r="A854" s="12" t="s">
        <v>1920</v>
      </c>
      <c r="B854" s="12" t="s">
        <v>1451</v>
      </c>
      <c r="C854" s="12" t="s">
        <v>1452</v>
      </c>
      <c r="D854" s="12" t="s">
        <v>1921</v>
      </c>
      <c r="E854" s="12" t="s">
        <v>1919</v>
      </c>
      <c r="F854" s="13" t="n">
        <v>16379</v>
      </c>
      <c r="G854" s="13" t="n">
        <v>16096</v>
      </c>
      <c r="H854" s="14" t="n">
        <v>607</v>
      </c>
      <c r="I854" s="14" t="n">
        <v>522</v>
      </c>
      <c r="J854" s="15" t="n">
        <f aca="false">I854/H854</f>
        <v>0.85996705107084</v>
      </c>
      <c r="K854" s="16" t="n">
        <f aca="false">ROUND(I854*J854^($F$8-1),0)</f>
        <v>541</v>
      </c>
      <c r="L854" s="16" t="n">
        <f aca="false">ROUND(I854*J854^($F$9-1),0)</f>
        <v>526</v>
      </c>
      <c r="M854" s="17" t="n">
        <f aca="false">G854*$F$7</f>
        <v>15505.3127827591</v>
      </c>
      <c r="N854" s="18" t="n">
        <f aca="false">F854/K854</f>
        <v>30.275415896488</v>
      </c>
      <c r="O854" s="18" t="n">
        <f aca="false">G854/L854</f>
        <v>30.6007604562738</v>
      </c>
      <c r="P854" s="18" t="n">
        <f aca="false">M854/L854</f>
        <v>29.4777809558159</v>
      </c>
      <c r="Q854" s="19" t="n">
        <f aca="false">IF(N854=0,"n.a.",P854/N854-1)</f>
        <v>-0.0263459614691748</v>
      </c>
    </row>
    <row r="855" customFormat="false" ht="15" hidden="false" customHeight="false" outlineLevel="0" collapsed="false">
      <c r="A855" s="12" t="s">
        <v>1922</v>
      </c>
      <c r="B855" s="12" t="s">
        <v>1451</v>
      </c>
      <c r="C855" s="12" t="s">
        <v>1452</v>
      </c>
      <c r="D855" s="12" t="s">
        <v>1923</v>
      </c>
      <c r="E855" s="12" t="s">
        <v>1924</v>
      </c>
      <c r="F855" s="13" t="n">
        <v>0</v>
      </c>
      <c r="G855" s="13" t="n">
        <v>0</v>
      </c>
      <c r="H855" s="14" t="n">
        <v>5773</v>
      </c>
      <c r="I855" s="14" t="n">
        <v>5679</v>
      </c>
      <c r="J855" s="15" t="n">
        <f aca="false">I855/H855</f>
        <v>0.983717304694266</v>
      </c>
      <c r="K855" s="16" t="n">
        <f aca="false">ROUND(I855*J855^($F$8-1),0)</f>
        <v>5701</v>
      </c>
      <c r="L855" s="16" t="n">
        <f aca="false">ROUND(I855*J855^($F$9-1),0)</f>
        <v>5684</v>
      </c>
      <c r="M855" s="17" t="n">
        <f aca="false">G855*$F$7</f>
        <v>0</v>
      </c>
      <c r="N855" s="18" t="n">
        <f aca="false">F855/K855</f>
        <v>0</v>
      </c>
      <c r="O855" s="18" t="n">
        <f aca="false">G855/L855</f>
        <v>0</v>
      </c>
      <c r="P855" s="18" t="n">
        <f aca="false">M855/L855</f>
        <v>0</v>
      </c>
      <c r="Q855" s="19" t="str">
        <f aca="false">IF(N855=0,"n.a.",P855/N855-1)</f>
        <v>n.a.</v>
      </c>
    </row>
    <row r="856" customFormat="false" ht="15" hidden="false" customHeight="false" outlineLevel="0" collapsed="false">
      <c r="A856" s="12" t="s">
        <v>1925</v>
      </c>
      <c r="B856" s="12" t="s">
        <v>1451</v>
      </c>
      <c r="C856" s="12" t="s">
        <v>1452</v>
      </c>
      <c r="D856" s="12" t="s">
        <v>1926</v>
      </c>
      <c r="E856" s="12" t="s">
        <v>1927</v>
      </c>
      <c r="F856" s="13" t="n">
        <v>0</v>
      </c>
      <c r="G856" s="13" t="n">
        <v>0</v>
      </c>
      <c r="H856" s="14" t="n">
        <v>3411</v>
      </c>
      <c r="I856" s="14" t="n">
        <v>3005</v>
      </c>
      <c r="J856" s="15" t="n">
        <f aca="false">I856/H856</f>
        <v>0.880973321606567</v>
      </c>
      <c r="K856" s="16" t="n">
        <f aca="false">ROUND(I856*J856^($F$8-1),0)</f>
        <v>3094</v>
      </c>
      <c r="L856" s="16" t="n">
        <f aca="false">ROUND(I856*J856^($F$9-1),0)</f>
        <v>3025</v>
      </c>
      <c r="M856" s="17" t="n">
        <f aca="false">G856*$F$7</f>
        <v>0</v>
      </c>
      <c r="N856" s="18" t="n">
        <f aca="false">F856/K856</f>
        <v>0</v>
      </c>
      <c r="O856" s="18" t="n">
        <f aca="false">G856/L856</f>
        <v>0</v>
      </c>
      <c r="P856" s="18" t="n">
        <f aca="false">M856/L856</f>
        <v>0</v>
      </c>
      <c r="Q856" s="19" t="str">
        <f aca="false">IF(N856=0,"n.a.",P856/N856-1)</f>
        <v>n.a.</v>
      </c>
    </row>
    <row r="857" customFormat="false" ht="15" hidden="false" customHeight="false" outlineLevel="0" collapsed="false">
      <c r="A857" s="12" t="s">
        <v>1928</v>
      </c>
      <c r="B857" s="12" t="s">
        <v>1451</v>
      </c>
      <c r="C857" s="12" t="s">
        <v>1452</v>
      </c>
      <c r="D857" s="12" t="s">
        <v>1929</v>
      </c>
      <c r="E857" s="12" t="s">
        <v>1930</v>
      </c>
      <c r="F857" s="13" t="n">
        <v>0</v>
      </c>
      <c r="G857" s="13" t="n">
        <v>0</v>
      </c>
      <c r="H857" s="14" t="n">
        <v>3117</v>
      </c>
      <c r="I857" s="14" t="n">
        <v>3248</v>
      </c>
      <c r="J857" s="15" t="n">
        <f aca="false">I857/H857</f>
        <v>1.04202759063202</v>
      </c>
      <c r="K857" s="16" t="n">
        <f aca="false">ROUND(I857*J857^($F$8-1),0)</f>
        <v>3217</v>
      </c>
      <c r="L857" s="16" t="n">
        <f aca="false">ROUND(I857*J857^($F$9-1),0)</f>
        <v>3241</v>
      </c>
      <c r="M857" s="17" t="n">
        <f aca="false">G857*$F$7</f>
        <v>0</v>
      </c>
      <c r="N857" s="18" t="n">
        <f aca="false">F857/K857</f>
        <v>0</v>
      </c>
      <c r="O857" s="18" t="n">
        <f aca="false">G857/L857</f>
        <v>0</v>
      </c>
      <c r="P857" s="18" t="n">
        <f aca="false">M857/L857</f>
        <v>0</v>
      </c>
      <c r="Q857" s="19" t="str">
        <f aca="false">IF(N857=0,"n.a.",P857/N857-1)</f>
        <v>n.a.</v>
      </c>
    </row>
    <row r="858" customFormat="false" ht="15" hidden="false" customHeight="false" outlineLevel="0" collapsed="false">
      <c r="A858" s="12" t="s">
        <v>1931</v>
      </c>
      <c r="B858" s="12" t="s">
        <v>1451</v>
      </c>
      <c r="C858" s="12" t="s">
        <v>1452</v>
      </c>
      <c r="D858" s="12" t="s">
        <v>1932</v>
      </c>
      <c r="E858" s="12" t="s">
        <v>1933</v>
      </c>
      <c r="F858" s="13" t="n">
        <v>0</v>
      </c>
      <c r="G858" s="13" t="n">
        <v>0</v>
      </c>
      <c r="H858" s="14" t="n">
        <v>4199</v>
      </c>
      <c r="I858" s="14" t="n">
        <v>3906</v>
      </c>
      <c r="J858" s="15" t="n">
        <f aca="false">I858/H858</f>
        <v>0.930221481305073</v>
      </c>
      <c r="K858" s="16" t="n">
        <f aca="false">ROUND(I858*J858^($F$8-1),0)</f>
        <v>3972</v>
      </c>
      <c r="L858" s="16" t="n">
        <f aca="false">ROUND(I858*J858^($F$9-1),0)</f>
        <v>3921</v>
      </c>
      <c r="M858" s="17" t="n">
        <f aca="false">G858*$F$7</f>
        <v>0</v>
      </c>
      <c r="N858" s="18" t="n">
        <f aca="false">F858/K858</f>
        <v>0</v>
      </c>
      <c r="O858" s="18" t="n">
        <f aca="false">G858/L858</f>
        <v>0</v>
      </c>
      <c r="P858" s="18" t="n">
        <f aca="false">M858/L858</f>
        <v>0</v>
      </c>
      <c r="Q858" s="19" t="str">
        <f aca="false">IF(N858=0,"n.a.",P858/N858-1)</f>
        <v>n.a.</v>
      </c>
    </row>
    <row r="859" customFormat="false" ht="15" hidden="false" customHeight="false" outlineLevel="0" collapsed="false">
      <c r="A859" s="12" t="s">
        <v>1934</v>
      </c>
      <c r="B859" s="12" t="s">
        <v>1451</v>
      </c>
      <c r="C859" s="12" t="s">
        <v>1452</v>
      </c>
      <c r="D859" s="12" t="s">
        <v>1935</v>
      </c>
      <c r="E859" s="12" t="s">
        <v>1936</v>
      </c>
      <c r="F859" s="13" t="n">
        <v>0</v>
      </c>
      <c r="G859" s="13" t="n">
        <v>0</v>
      </c>
      <c r="H859" s="14" t="n">
        <v>2033</v>
      </c>
      <c r="I859" s="14" t="n">
        <v>1784</v>
      </c>
      <c r="J859" s="15" t="n">
        <f aca="false">I859/H859</f>
        <v>0.877520905066404</v>
      </c>
      <c r="K859" s="16" t="n">
        <f aca="false">ROUND(I859*J859^($F$8-1),0)</f>
        <v>1839</v>
      </c>
      <c r="L859" s="16" t="n">
        <f aca="false">ROUND(I859*J859^($F$9-1),0)</f>
        <v>1796</v>
      </c>
      <c r="M859" s="17" t="n">
        <f aca="false">G859*$F$7</f>
        <v>0</v>
      </c>
      <c r="N859" s="18" t="n">
        <f aca="false">F859/K859</f>
        <v>0</v>
      </c>
      <c r="O859" s="18" t="n">
        <f aca="false">G859/L859</f>
        <v>0</v>
      </c>
      <c r="P859" s="18" t="n">
        <f aca="false">M859/L859</f>
        <v>0</v>
      </c>
      <c r="Q859" s="19" t="str">
        <f aca="false">IF(N859=0,"n.a.",P859/N859-1)</f>
        <v>n.a.</v>
      </c>
    </row>
    <row r="860" customFormat="false" ht="15" hidden="false" customHeight="false" outlineLevel="0" collapsed="false">
      <c r="A860" s="12" t="s">
        <v>1937</v>
      </c>
      <c r="B860" s="12" t="s">
        <v>1451</v>
      </c>
      <c r="C860" s="12" t="s">
        <v>1452</v>
      </c>
      <c r="D860" s="12" t="s">
        <v>1938</v>
      </c>
      <c r="E860" s="12" t="s">
        <v>1939</v>
      </c>
      <c r="F860" s="13" t="n">
        <v>18133</v>
      </c>
      <c r="G860" s="13" t="n">
        <v>9956</v>
      </c>
      <c r="H860" s="14" t="n">
        <v>829</v>
      </c>
      <c r="I860" s="14" t="n">
        <v>809</v>
      </c>
      <c r="J860" s="15" t="n">
        <f aca="false">I860/H860</f>
        <v>0.975874547647768</v>
      </c>
      <c r="K860" s="16" t="n">
        <f aca="false">ROUND(I860*J860^($F$8-1),0)</f>
        <v>814</v>
      </c>
      <c r="L860" s="16" t="n">
        <f aca="false">ROUND(I860*J860^($F$9-1),0)</f>
        <v>810</v>
      </c>
      <c r="M860" s="17" t="n">
        <f aca="false">G860*$F$7</f>
        <v>9590.63705673149</v>
      </c>
      <c r="N860" s="18" t="n">
        <f aca="false">F860/K860</f>
        <v>22.2764127764128</v>
      </c>
      <c r="O860" s="18" t="n">
        <f aca="false">G860/L860</f>
        <v>12.2913580246914</v>
      </c>
      <c r="P860" s="18" t="n">
        <f aca="false">M860/L860</f>
        <v>11.8402926626315</v>
      </c>
      <c r="Q860" s="19" t="n">
        <f aca="false">IF(N860=0,"n.a.",P860/N860-1)</f>
        <v>-0.468482974279931</v>
      </c>
    </row>
    <row r="861" customFormat="false" ht="15" hidden="false" customHeight="false" outlineLevel="0" collapsed="false">
      <c r="A861" s="12" t="s">
        <v>1940</v>
      </c>
      <c r="B861" s="12" t="s">
        <v>1451</v>
      </c>
      <c r="C861" s="12" t="s">
        <v>1452</v>
      </c>
      <c r="D861" s="12" t="s">
        <v>1941</v>
      </c>
      <c r="E861" s="12" t="s">
        <v>1942</v>
      </c>
      <c r="F861" s="13" t="n">
        <v>5390</v>
      </c>
      <c r="G861" s="13" t="n">
        <v>5775</v>
      </c>
      <c r="H861" s="14" t="n">
        <v>1237</v>
      </c>
      <c r="I861" s="14" t="n">
        <v>1134</v>
      </c>
      <c r="J861" s="15" t="n">
        <f aca="false">I861/H861</f>
        <v>0.916734033953112</v>
      </c>
      <c r="K861" s="16" t="n">
        <f aca="false">ROUND(I861*J861^($F$8-1),0)</f>
        <v>1157</v>
      </c>
      <c r="L861" s="16" t="n">
        <f aca="false">ROUND(I861*J861^($F$9-1),0)</f>
        <v>1139</v>
      </c>
      <c r="M861" s="17" t="n">
        <f aca="false">G861*$F$7</f>
        <v>5563.07041006673</v>
      </c>
      <c r="N861" s="18" t="n">
        <f aca="false">F861/K861</f>
        <v>4.65859982713915</v>
      </c>
      <c r="O861" s="18" t="n">
        <f aca="false">G861/L861</f>
        <v>5.0702370500439</v>
      </c>
      <c r="P861" s="18" t="n">
        <f aca="false">M861/L861</f>
        <v>4.88417068486982</v>
      </c>
      <c r="Q861" s="19" t="n">
        <f aca="false">IF(N861=0,"n.a.",P861/N861-1)</f>
        <v>0.0484203121325391</v>
      </c>
    </row>
    <row r="862" customFormat="false" ht="15" hidden="false" customHeight="false" outlineLevel="0" collapsed="false">
      <c r="A862" s="12" t="s">
        <v>1943</v>
      </c>
      <c r="B862" s="12" t="s">
        <v>1451</v>
      </c>
      <c r="C862" s="12" t="s">
        <v>1452</v>
      </c>
      <c r="D862" s="12" t="s">
        <v>1944</v>
      </c>
      <c r="E862" s="12" t="s">
        <v>1945</v>
      </c>
      <c r="F862" s="13" t="n">
        <v>0</v>
      </c>
      <c r="G862" s="13" t="n">
        <v>0</v>
      </c>
      <c r="H862" s="14" t="n">
        <v>3167</v>
      </c>
      <c r="I862" s="14" t="n">
        <v>2954</v>
      </c>
      <c r="J862" s="15" t="n">
        <f aca="false">I862/H862</f>
        <v>0.932743921692454</v>
      </c>
      <c r="K862" s="16" t="n">
        <f aca="false">ROUND(I862*J862^($F$8-1),0)</f>
        <v>3002</v>
      </c>
      <c r="L862" s="16" t="n">
        <f aca="false">ROUND(I862*J862^($F$9-1),0)</f>
        <v>2965</v>
      </c>
      <c r="M862" s="17" t="n">
        <f aca="false">G862*$F$7</f>
        <v>0</v>
      </c>
      <c r="N862" s="18" t="n">
        <f aca="false">F862/K862</f>
        <v>0</v>
      </c>
      <c r="O862" s="18" t="n">
        <f aca="false">G862/L862</f>
        <v>0</v>
      </c>
      <c r="P862" s="18" t="n">
        <f aca="false">M862/L862</f>
        <v>0</v>
      </c>
      <c r="Q862" s="19" t="str">
        <f aca="false">IF(N862=0,"n.a.",P862/N862-1)</f>
        <v>n.a.</v>
      </c>
    </row>
    <row r="863" customFormat="false" ht="15" hidden="false" customHeight="false" outlineLevel="0" collapsed="false">
      <c r="A863" s="12" t="s">
        <v>1946</v>
      </c>
      <c r="B863" s="12" t="s">
        <v>1451</v>
      </c>
      <c r="C863" s="12" t="s">
        <v>1452</v>
      </c>
      <c r="D863" s="12" t="s">
        <v>1947</v>
      </c>
      <c r="E863" s="12" t="s">
        <v>1948</v>
      </c>
      <c r="F863" s="13" t="n">
        <v>20501</v>
      </c>
      <c r="G863" s="13" t="n">
        <v>40846</v>
      </c>
      <c r="H863" s="14" t="n">
        <v>544</v>
      </c>
      <c r="I863" s="14" t="n">
        <v>465</v>
      </c>
      <c r="J863" s="15" t="n">
        <f aca="false">I863/H863</f>
        <v>0.854779411764706</v>
      </c>
      <c r="K863" s="16" t="n">
        <f aca="false">ROUND(I863*J863^($F$8-1),0)</f>
        <v>482</v>
      </c>
      <c r="L863" s="16" t="n">
        <f aca="false">ROUND(I863*J863^($F$9-1),0)</f>
        <v>469</v>
      </c>
      <c r="M863" s="17" t="n">
        <f aca="false">G863*$F$7</f>
        <v>39347.0431116166</v>
      </c>
      <c r="N863" s="18" t="n">
        <f aca="false">F863/K863</f>
        <v>42.5331950207469</v>
      </c>
      <c r="O863" s="18" t="n">
        <f aca="false">G863/L863</f>
        <v>87.091684434968</v>
      </c>
      <c r="P863" s="18" t="n">
        <f aca="false">M863/L863</f>
        <v>83.8956143104831</v>
      </c>
      <c r="Q863" s="19" t="n">
        <f aca="false">IF(N863=0,"n.a.",P863/N863-1)</f>
        <v>0.972473835308172</v>
      </c>
    </row>
    <row r="864" customFormat="false" ht="15" hidden="false" customHeight="false" outlineLevel="0" collapsed="false">
      <c r="A864" s="12" t="s">
        <v>1949</v>
      </c>
      <c r="B864" s="12" t="s">
        <v>1451</v>
      </c>
      <c r="C864" s="12" t="s">
        <v>1452</v>
      </c>
      <c r="D864" s="12" t="s">
        <v>1950</v>
      </c>
      <c r="E864" s="12" t="s">
        <v>1951</v>
      </c>
      <c r="F864" s="13" t="n">
        <v>27138</v>
      </c>
      <c r="G864" s="13" t="n">
        <v>12113</v>
      </c>
      <c r="H864" s="14" t="n">
        <v>2668</v>
      </c>
      <c r="I864" s="14" t="n">
        <v>2656</v>
      </c>
      <c r="J864" s="15" t="n">
        <f aca="false">I864/H864</f>
        <v>0.995502248875562</v>
      </c>
      <c r="K864" s="16" t="n">
        <f aca="false">ROUND(I864*J864^($F$8-1),0)</f>
        <v>2659</v>
      </c>
      <c r="L864" s="16" t="n">
        <f aca="false">ROUND(I864*J864^($F$9-1),0)</f>
        <v>2657</v>
      </c>
      <c r="M864" s="17" t="n">
        <f aca="false">G864*$F$7</f>
        <v>11668.4799787252</v>
      </c>
      <c r="N864" s="18" t="n">
        <f aca="false">F864/K864</f>
        <v>10.2060925159835</v>
      </c>
      <c r="O864" s="18" t="n">
        <f aca="false">G864/L864</f>
        <v>4.55890101618367</v>
      </c>
      <c r="P864" s="18" t="n">
        <f aca="false">M864/L864</f>
        <v>4.39159954035576</v>
      </c>
      <c r="Q864" s="19" t="n">
        <f aca="false">IF(N864=0,"n.a.",P864/N864-1)</f>
        <v>-0.569708041203996</v>
      </c>
    </row>
    <row r="865" customFormat="false" ht="15" hidden="false" customHeight="false" outlineLevel="0" collapsed="false">
      <c r="A865" s="12" t="s">
        <v>1952</v>
      </c>
      <c r="B865" s="12" t="s">
        <v>1451</v>
      </c>
      <c r="C865" s="12" t="s">
        <v>1452</v>
      </c>
      <c r="D865" s="12" t="s">
        <v>1953</v>
      </c>
      <c r="E865" s="12" t="s">
        <v>1954</v>
      </c>
      <c r="F865" s="13" t="n">
        <v>67643</v>
      </c>
      <c r="G865" s="13" t="n">
        <v>67272</v>
      </c>
      <c r="H865" s="14" t="n">
        <v>2692</v>
      </c>
      <c r="I865" s="14" t="n">
        <v>2449</v>
      </c>
      <c r="J865" s="15" t="n">
        <f aca="false">I865/H865</f>
        <v>0.909732540861813</v>
      </c>
      <c r="K865" s="16" t="n">
        <f aca="false">ROUND(I865*J865^($F$8-1),0)</f>
        <v>2503</v>
      </c>
      <c r="L865" s="16" t="n">
        <f aca="false">ROUND(I865*J865^($F$9-1),0)</f>
        <v>2461</v>
      </c>
      <c r="M865" s="17" t="n">
        <f aca="false">G865*$F$7</f>
        <v>64803.2679871877</v>
      </c>
      <c r="N865" s="18" t="n">
        <f aca="false">F865/K865</f>
        <v>27.0247702756692</v>
      </c>
      <c r="O865" s="18" t="n">
        <f aca="false">G865/L865</f>
        <v>27.3352295814709</v>
      </c>
      <c r="P865" s="18" t="n">
        <f aca="false">M865/L865</f>
        <v>26.3320877639934</v>
      </c>
      <c r="Q865" s="19" t="n">
        <f aca="false">IF(N865=0,"n.a.",P865/N865-1)</f>
        <v>-0.0256313931482131</v>
      </c>
    </row>
    <row r="866" customFormat="false" ht="15" hidden="false" customHeight="false" outlineLevel="0" collapsed="false">
      <c r="A866" s="12" t="s">
        <v>1955</v>
      </c>
      <c r="B866" s="12" t="s">
        <v>1451</v>
      </c>
      <c r="C866" s="12" t="s">
        <v>1452</v>
      </c>
      <c r="D866" s="12" t="s">
        <v>1956</v>
      </c>
      <c r="E866" s="12" t="s">
        <v>1957</v>
      </c>
      <c r="F866" s="13" t="n">
        <v>0</v>
      </c>
      <c r="G866" s="13" t="n">
        <v>0</v>
      </c>
      <c r="H866" s="14" t="n">
        <v>1494</v>
      </c>
      <c r="I866" s="14" t="n">
        <v>1351</v>
      </c>
      <c r="J866" s="15" t="n">
        <f aca="false">I866/H866</f>
        <v>0.904283801874163</v>
      </c>
      <c r="K866" s="16" t="n">
        <f aca="false">ROUND(I866*J866^($F$8-1),0)</f>
        <v>1383</v>
      </c>
      <c r="L866" s="16" t="n">
        <f aca="false">ROUND(I866*J866^($F$9-1),0)</f>
        <v>1358</v>
      </c>
      <c r="M866" s="17" t="n">
        <f aca="false">G866*$F$7</f>
        <v>0</v>
      </c>
      <c r="N866" s="18" t="n">
        <f aca="false">F866/K866</f>
        <v>0</v>
      </c>
      <c r="O866" s="18" t="n">
        <f aca="false">G866/L866</f>
        <v>0</v>
      </c>
      <c r="P866" s="18" t="n">
        <f aca="false">M866/L866</f>
        <v>0</v>
      </c>
      <c r="Q866" s="19" t="str">
        <f aca="false">IF(N866=0,"n.a.",P866/N866-1)</f>
        <v>n.a.</v>
      </c>
    </row>
    <row r="867" customFormat="false" ht="15" hidden="false" customHeight="false" outlineLevel="0" collapsed="false">
      <c r="A867" s="12" t="s">
        <v>1958</v>
      </c>
      <c r="B867" s="12" t="s">
        <v>1451</v>
      </c>
      <c r="C867" s="12" t="s">
        <v>1452</v>
      </c>
      <c r="D867" s="12" t="s">
        <v>1959</v>
      </c>
      <c r="E867" s="12" t="s">
        <v>1960</v>
      </c>
      <c r="F867" s="13" t="n">
        <v>6607</v>
      </c>
      <c r="G867" s="13" t="n">
        <v>2467</v>
      </c>
      <c r="H867" s="14" t="n">
        <v>1424</v>
      </c>
      <c r="I867" s="14" t="n">
        <v>1299</v>
      </c>
      <c r="J867" s="15" t="n">
        <f aca="false">I867/H867</f>
        <v>0.912219101123596</v>
      </c>
      <c r="K867" s="16" t="n">
        <f aca="false">ROUND(I867*J867^($F$8-1),0)</f>
        <v>1327</v>
      </c>
      <c r="L867" s="16" t="n">
        <f aca="false">ROUND(I867*J867^($F$9-1),0)</f>
        <v>1305</v>
      </c>
      <c r="M867" s="17" t="n">
        <f aca="false">G867*$F$7</f>
        <v>2376.46661500167</v>
      </c>
      <c r="N867" s="18" t="n">
        <f aca="false">F867/K867</f>
        <v>4.97889977392615</v>
      </c>
      <c r="O867" s="18" t="n">
        <f aca="false">G867/L867</f>
        <v>1.8904214559387</v>
      </c>
      <c r="P867" s="18" t="n">
        <f aca="false">M867/L867</f>
        <v>1.82104721456066</v>
      </c>
      <c r="Q867" s="19" t="n">
        <f aca="false">IF(N867=0,"n.a.",P867/N867-1)</f>
        <v>-0.634247063156955</v>
      </c>
    </row>
    <row r="868" customFormat="false" ht="15" hidden="false" customHeight="false" outlineLevel="0" collapsed="false">
      <c r="A868" s="12" t="s">
        <v>1961</v>
      </c>
      <c r="B868" s="12" t="s">
        <v>1451</v>
      </c>
      <c r="C868" s="12" t="s">
        <v>1452</v>
      </c>
      <c r="D868" s="12" t="s">
        <v>1962</v>
      </c>
      <c r="E868" s="12" t="s">
        <v>1963</v>
      </c>
      <c r="F868" s="13" t="n">
        <v>0</v>
      </c>
      <c r="G868" s="13" t="n">
        <v>0</v>
      </c>
      <c r="H868" s="14" t="n">
        <v>440</v>
      </c>
      <c r="I868" s="14" t="n">
        <v>437</v>
      </c>
      <c r="J868" s="15" t="n">
        <f aca="false">I868/H868</f>
        <v>0.993181818181818</v>
      </c>
      <c r="K868" s="16" t="n">
        <f aca="false">ROUND(I868*J868^($F$8-1),0)</f>
        <v>438</v>
      </c>
      <c r="L868" s="16" t="n">
        <f aca="false">ROUND(I868*J868^($F$9-1),0)</f>
        <v>437</v>
      </c>
      <c r="M868" s="17" t="n">
        <f aca="false">G868*$F$7</f>
        <v>0</v>
      </c>
      <c r="N868" s="18" t="n">
        <f aca="false">F868/K868</f>
        <v>0</v>
      </c>
      <c r="O868" s="18" t="n">
        <f aca="false">G868/L868</f>
        <v>0</v>
      </c>
      <c r="P868" s="18" t="n">
        <f aca="false">M868/L868</f>
        <v>0</v>
      </c>
      <c r="Q868" s="19" t="str">
        <f aca="false">IF(N868=0,"n.a.",P868/N868-1)</f>
        <v>n.a.</v>
      </c>
    </row>
    <row r="869" customFormat="false" ht="15" hidden="false" customHeight="false" outlineLevel="0" collapsed="false">
      <c r="A869" s="12" t="s">
        <v>1964</v>
      </c>
      <c r="B869" s="12" t="s">
        <v>1451</v>
      </c>
      <c r="C869" s="12" t="s">
        <v>1452</v>
      </c>
      <c r="D869" s="12" t="s">
        <v>1965</v>
      </c>
      <c r="E869" s="12" t="s">
        <v>1966</v>
      </c>
      <c r="F869" s="13" t="n">
        <v>28186</v>
      </c>
      <c r="G869" s="13" t="n">
        <v>33370</v>
      </c>
      <c r="H869" s="14" t="n">
        <v>643</v>
      </c>
      <c r="I869" s="14" t="n">
        <v>622</v>
      </c>
      <c r="J869" s="15" t="n">
        <f aca="false">I869/H869</f>
        <v>0.967340590979782</v>
      </c>
      <c r="K869" s="16" t="n">
        <f aca="false">ROUND(I869*J869^($F$8-1),0)</f>
        <v>627</v>
      </c>
      <c r="L869" s="16" t="n">
        <f aca="false">ROUND(I869*J869^($F$9-1),0)</f>
        <v>623</v>
      </c>
      <c r="M869" s="17" t="n">
        <f aca="false">G869*$F$7</f>
        <v>32145.3955989484</v>
      </c>
      <c r="N869" s="18" t="n">
        <f aca="false">F869/K869</f>
        <v>44.9537480063796</v>
      </c>
      <c r="O869" s="18" t="n">
        <f aca="false">G869/L869</f>
        <v>53.5634028892456</v>
      </c>
      <c r="P869" s="18" t="n">
        <f aca="false">M869/L869</f>
        <v>51.5977457447004</v>
      </c>
      <c r="Q869" s="19" t="n">
        <f aca="false">IF(N869=0,"n.a.",P869/N869-1)</f>
        <v>0.147796302488014</v>
      </c>
    </row>
    <row r="870" customFormat="false" ht="15" hidden="false" customHeight="false" outlineLevel="0" collapsed="false">
      <c r="A870" s="12" t="s">
        <v>1967</v>
      </c>
      <c r="B870" s="12" t="s">
        <v>1451</v>
      </c>
      <c r="C870" s="12" t="s">
        <v>1452</v>
      </c>
      <c r="D870" s="12" t="s">
        <v>1968</v>
      </c>
      <c r="E870" s="12" t="s">
        <v>1969</v>
      </c>
      <c r="F870" s="13" t="n">
        <v>9749</v>
      </c>
      <c r="G870" s="13" t="n">
        <v>14165</v>
      </c>
      <c r="H870" s="14" t="n">
        <v>2971</v>
      </c>
      <c r="I870" s="14" t="n">
        <v>2928</v>
      </c>
      <c r="J870" s="15" t="n">
        <f aca="false">I870/H870</f>
        <v>0.985526758667116</v>
      </c>
      <c r="K870" s="16" t="n">
        <f aca="false">ROUND(I870*J870^($F$8-1),0)</f>
        <v>2938</v>
      </c>
      <c r="L870" s="16" t="n">
        <f aca="false">ROUND(I870*J870^($F$9-1),0)</f>
        <v>2930</v>
      </c>
      <c r="M870" s="17" t="n">
        <f aca="false">G870*$F$7</f>
        <v>13645.1761659905</v>
      </c>
      <c r="N870" s="18" t="n">
        <f aca="false">F870/K870</f>
        <v>3.31824370319946</v>
      </c>
      <c r="O870" s="18" t="n">
        <f aca="false">G870/L870</f>
        <v>4.83447098976109</v>
      </c>
      <c r="P870" s="18" t="n">
        <f aca="false">M870/L870</f>
        <v>4.65705671194216</v>
      </c>
      <c r="Q870" s="19" t="n">
        <f aca="false">IF(N870=0,"n.a.",P870/N870-1)</f>
        <v>0.403470368210694</v>
      </c>
    </row>
    <row r="871" customFormat="false" ht="15" hidden="false" customHeight="false" outlineLevel="0" collapsed="false">
      <c r="A871" s="12" t="s">
        <v>1970</v>
      </c>
      <c r="B871" s="12" t="s">
        <v>1451</v>
      </c>
      <c r="C871" s="12" t="s">
        <v>1452</v>
      </c>
      <c r="D871" s="12" t="s">
        <v>1971</v>
      </c>
      <c r="E871" s="12" t="s">
        <v>1972</v>
      </c>
      <c r="F871" s="13" t="n">
        <v>3993308</v>
      </c>
      <c r="G871" s="13" t="n">
        <v>4494113</v>
      </c>
      <c r="H871" s="14" t="n">
        <v>18301</v>
      </c>
      <c r="I871" s="14" t="n">
        <v>20844</v>
      </c>
      <c r="J871" s="15" t="n">
        <f aca="false">I871/H871</f>
        <v>1.13895415551063</v>
      </c>
      <c r="K871" s="16" t="n">
        <f aca="false">ROUND(I871*J871^($F$8-1),0)</f>
        <v>20227</v>
      </c>
      <c r="L871" s="16" t="n">
        <f aca="false">ROUND(I871*J871^($F$9-1),0)</f>
        <v>20704</v>
      </c>
      <c r="M871" s="17" t="n">
        <f aca="false">G871*$F$7</f>
        <v>4329189.09953181</v>
      </c>
      <c r="N871" s="18" t="n">
        <f aca="false">F871/K871</f>
        <v>197.424630444455</v>
      </c>
      <c r="O871" s="18" t="n">
        <f aca="false">G871/L871</f>
        <v>217.064963292117</v>
      </c>
      <c r="P871" s="18" t="n">
        <f aca="false">M871/L871</f>
        <v>209.099164390061</v>
      </c>
      <c r="Q871" s="19" t="n">
        <f aca="false">IF(N871=0,"n.a.",P871/N871-1)</f>
        <v>0.0591341309304851</v>
      </c>
    </row>
    <row r="872" customFormat="false" ht="15" hidden="false" customHeight="false" outlineLevel="0" collapsed="false">
      <c r="A872" s="12" t="s">
        <v>1973</v>
      </c>
      <c r="B872" s="12" t="s">
        <v>1451</v>
      </c>
      <c r="C872" s="12" t="s">
        <v>1452</v>
      </c>
      <c r="D872" s="12" t="s">
        <v>1974</v>
      </c>
      <c r="E872" s="12" t="s">
        <v>1975</v>
      </c>
      <c r="F872" s="13" t="n">
        <v>0</v>
      </c>
      <c r="G872" s="13" t="n">
        <v>0</v>
      </c>
      <c r="H872" s="14" t="n">
        <v>809</v>
      </c>
      <c r="I872" s="14" t="n">
        <v>696</v>
      </c>
      <c r="J872" s="15" t="n">
        <f aca="false">I872/H872</f>
        <v>0.860321384425216</v>
      </c>
      <c r="K872" s="16" t="n">
        <f aca="false">ROUND(I872*J872^($F$8-1),0)</f>
        <v>721</v>
      </c>
      <c r="L872" s="16" t="n">
        <f aca="false">ROUND(I872*J872^($F$9-1),0)</f>
        <v>701</v>
      </c>
      <c r="M872" s="17" t="n">
        <f aca="false">G872*$F$7</f>
        <v>0</v>
      </c>
      <c r="N872" s="18" t="n">
        <f aca="false">F872/K872</f>
        <v>0</v>
      </c>
      <c r="O872" s="18" t="n">
        <f aca="false">G872/L872</f>
        <v>0</v>
      </c>
      <c r="P872" s="18" t="n">
        <f aca="false">M872/L872</f>
        <v>0</v>
      </c>
      <c r="Q872" s="19" t="str">
        <f aca="false">IF(N872=0,"n.a.",P872/N872-1)</f>
        <v>n.a.</v>
      </c>
    </row>
    <row r="873" customFormat="false" ht="15" hidden="false" customHeight="false" outlineLevel="0" collapsed="false">
      <c r="A873" s="12" t="s">
        <v>1976</v>
      </c>
      <c r="B873" s="12" t="s">
        <v>1451</v>
      </c>
      <c r="C873" s="12" t="s">
        <v>1452</v>
      </c>
      <c r="D873" s="12" t="s">
        <v>1977</v>
      </c>
      <c r="E873" s="12" t="s">
        <v>1978</v>
      </c>
      <c r="F873" s="13" t="n">
        <v>13554</v>
      </c>
      <c r="G873" s="13" t="n">
        <v>7934</v>
      </c>
      <c r="H873" s="14" t="n">
        <v>9046</v>
      </c>
      <c r="I873" s="14" t="n">
        <v>8399</v>
      </c>
      <c r="J873" s="15" t="n">
        <f aca="false">I873/H873</f>
        <v>0.928476674773381</v>
      </c>
      <c r="K873" s="16" t="n">
        <f aca="false">ROUND(I873*J873^($F$8-1),0)</f>
        <v>8544</v>
      </c>
      <c r="L873" s="16" t="n">
        <f aca="false">ROUND(I873*J873^($F$9-1),0)</f>
        <v>8431</v>
      </c>
      <c r="M873" s="17" t="n">
        <f aca="false">G873*$F$7</f>
        <v>7642.8399365315</v>
      </c>
      <c r="N873" s="18" t="n">
        <f aca="false">F873/K873</f>
        <v>1.58637640449438</v>
      </c>
      <c r="O873" s="18" t="n">
        <f aca="false">G873/L873</f>
        <v>0.941050883643696</v>
      </c>
      <c r="P873" s="18" t="n">
        <f aca="false">M873/L873</f>
        <v>0.906516419942059</v>
      </c>
      <c r="Q873" s="19" t="n">
        <f aca="false">IF(N873=0,"n.a.",P873/N873-1)</f>
        <v>-0.428561583887786</v>
      </c>
    </row>
    <row r="874" customFormat="false" ht="15" hidden="false" customHeight="false" outlineLevel="0" collapsed="false">
      <c r="A874" s="12" t="s">
        <v>1979</v>
      </c>
      <c r="B874" s="12" t="s">
        <v>1451</v>
      </c>
      <c r="C874" s="12" t="s">
        <v>1452</v>
      </c>
      <c r="D874" s="12" t="s">
        <v>1980</v>
      </c>
      <c r="E874" s="12" t="s">
        <v>1981</v>
      </c>
      <c r="F874" s="13" t="n">
        <v>30030</v>
      </c>
      <c r="G874" s="13" t="n">
        <v>21830</v>
      </c>
      <c r="H874" s="14" t="n">
        <v>932</v>
      </c>
      <c r="I874" s="14" t="n">
        <v>867</v>
      </c>
      <c r="J874" s="15" t="n">
        <f aca="false">I874/H874</f>
        <v>0.930257510729614</v>
      </c>
      <c r="K874" s="16" t="n">
        <f aca="false">ROUND(I874*J874^($F$8-1),0)</f>
        <v>882</v>
      </c>
      <c r="L874" s="16" t="n">
        <f aca="false">ROUND(I874*J874^($F$9-1),0)</f>
        <v>870</v>
      </c>
      <c r="M874" s="17" t="n">
        <f aca="false">G874*$F$7</f>
        <v>21028.88780117</v>
      </c>
      <c r="N874" s="18" t="n">
        <f aca="false">F874/K874</f>
        <v>34.0476190476191</v>
      </c>
      <c r="O874" s="18" t="n">
        <f aca="false">G874/L874</f>
        <v>25.0919540229885</v>
      </c>
      <c r="P874" s="18" t="n">
        <f aca="false">M874/L874</f>
        <v>24.1711354036437</v>
      </c>
      <c r="Q874" s="19" t="n">
        <f aca="false">IF(N874=0,"n.a.",P874/N874-1)</f>
        <v>-0.290078540592284</v>
      </c>
    </row>
    <row r="875" customFormat="false" ht="15" hidden="false" customHeight="false" outlineLevel="0" collapsed="false">
      <c r="A875" s="12" t="s">
        <v>1982</v>
      </c>
      <c r="B875" s="12" t="s">
        <v>1451</v>
      </c>
      <c r="C875" s="12" t="s">
        <v>1452</v>
      </c>
      <c r="D875" s="12" t="s">
        <v>1983</v>
      </c>
      <c r="E875" s="12" t="s">
        <v>1984</v>
      </c>
      <c r="F875" s="13" t="n">
        <v>0</v>
      </c>
      <c r="G875" s="13" t="n">
        <v>0</v>
      </c>
      <c r="H875" s="14" t="n">
        <v>3187</v>
      </c>
      <c r="I875" s="14" t="n">
        <v>3311</v>
      </c>
      <c r="J875" s="15" t="n">
        <f aca="false">I875/H875</f>
        <v>1.03890806401004</v>
      </c>
      <c r="K875" s="16" t="n">
        <f aca="false">ROUND(I875*J875^($F$8-1),0)</f>
        <v>3282</v>
      </c>
      <c r="L875" s="16" t="n">
        <f aca="false">ROUND(I875*J875^($F$9-1),0)</f>
        <v>3304</v>
      </c>
      <c r="M875" s="17" t="n">
        <f aca="false">G875*$F$7</f>
        <v>0</v>
      </c>
      <c r="N875" s="18" t="n">
        <f aca="false">F875/K875</f>
        <v>0</v>
      </c>
      <c r="O875" s="18" t="n">
        <f aca="false">G875/L875</f>
        <v>0</v>
      </c>
      <c r="P875" s="18" t="n">
        <f aca="false">M875/L875</f>
        <v>0</v>
      </c>
      <c r="Q875" s="19" t="str">
        <f aca="false">IF(N875=0,"n.a.",P875/N875-1)</f>
        <v>n.a.</v>
      </c>
    </row>
    <row r="876" customFormat="false" ht="15" hidden="false" customHeight="false" outlineLevel="0" collapsed="false">
      <c r="A876" s="12" t="s">
        <v>1985</v>
      </c>
      <c r="B876" s="12" t="s">
        <v>1451</v>
      </c>
      <c r="C876" s="12" t="s">
        <v>1452</v>
      </c>
      <c r="D876" s="12" t="s">
        <v>1986</v>
      </c>
      <c r="E876" s="12" t="s">
        <v>1987</v>
      </c>
      <c r="F876" s="13" t="n">
        <v>156549</v>
      </c>
      <c r="G876" s="13" t="n">
        <v>82756</v>
      </c>
      <c r="H876" s="14" t="n">
        <v>22129</v>
      </c>
      <c r="I876" s="14" t="n">
        <v>21728</v>
      </c>
      <c r="J876" s="15" t="n">
        <f aca="false">I876/H876</f>
        <v>0.981878982330878</v>
      </c>
      <c r="K876" s="16" t="n">
        <f aca="false">ROUND(I876*J876^($F$8-1),0)</f>
        <v>21820</v>
      </c>
      <c r="L876" s="16" t="n">
        <f aca="false">ROUND(I876*J876^($F$9-1),0)</f>
        <v>21749</v>
      </c>
      <c r="M876" s="17" t="n">
        <f aca="false">G876*$F$7</f>
        <v>79719.0398018151</v>
      </c>
      <c r="N876" s="18" t="n">
        <f aca="false">F876/K876</f>
        <v>7.17456461961503</v>
      </c>
      <c r="O876" s="18" t="n">
        <f aca="false">G876/L876</f>
        <v>3.80504850797738</v>
      </c>
      <c r="P876" s="18" t="n">
        <f aca="false">M876/L876</f>
        <v>3.66541173395628</v>
      </c>
      <c r="Q876" s="19" t="n">
        <f aca="false">IF(N876=0,"n.a.",P876/N876-1)</f>
        <v>-0.48911022085784</v>
      </c>
    </row>
    <row r="877" customFormat="false" ht="15" hidden="false" customHeight="false" outlineLevel="0" collapsed="false">
      <c r="A877" s="12" t="s">
        <v>1988</v>
      </c>
      <c r="B877" s="12" t="s">
        <v>1451</v>
      </c>
      <c r="C877" s="12" t="s">
        <v>1452</v>
      </c>
      <c r="D877" s="12" t="s">
        <v>1989</v>
      </c>
      <c r="E877" s="12" t="s">
        <v>1990</v>
      </c>
      <c r="F877" s="13" t="n">
        <v>0</v>
      </c>
      <c r="G877" s="13" t="n">
        <v>0</v>
      </c>
      <c r="H877" s="14" t="n">
        <v>1720</v>
      </c>
      <c r="I877" s="14" t="n">
        <v>1638</v>
      </c>
      <c r="J877" s="15" t="n">
        <f aca="false">I877/H877</f>
        <v>0.952325581395349</v>
      </c>
      <c r="K877" s="16" t="n">
        <f aca="false">ROUND(I877*J877^($F$8-1),0)</f>
        <v>1657</v>
      </c>
      <c r="L877" s="16" t="n">
        <f aca="false">ROUND(I877*J877^($F$9-1),0)</f>
        <v>1642</v>
      </c>
      <c r="M877" s="17" t="n">
        <f aca="false">G877*$F$7</f>
        <v>0</v>
      </c>
      <c r="N877" s="18" t="n">
        <f aca="false">F877/K877</f>
        <v>0</v>
      </c>
      <c r="O877" s="18" t="n">
        <f aca="false">G877/L877</f>
        <v>0</v>
      </c>
      <c r="P877" s="18" t="n">
        <f aca="false">M877/L877</f>
        <v>0</v>
      </c>
      <c r="Q877" s="19" t="str">
        <f aca="false">IF(N877=0,"n.a.",P877/N877-1)</f>
        <v>n.a.</v>
      </c>
    </row>
    <row r="878" customFormat="false" ht="15" hidden="false" customHeight="false" outlineLevel="0" collapsed="false">
      <c r="A878" s="12" t="s">
        <v>1991</v>
      </c>
      <c r="B878" s="12" t="s">
        <v>1451</v>
      </c>
      <c r="C878" s="12" t="s">
        <v>1452</v>
      </c>
      <c r="D878" s="12" t="s">
        <v>1992</v>
      </c>
      <c r="E878" s="12" t="s">
        <v>1993</v>
      </c>
      <c r="F878" s="13" t="n">
        <v>0</v>
      </c>
      <c r="G878" s="13" t="n">
        <v>0</v>
      </c>
      <c r="H878" s="14" t="n">
        <v>7135</v>
      </c>
      <c r="I878" s="14" t="n">
        <v>6273</v>
      </c>
      <c r="J878" s="15" t="n">
        <f aca="false">I878/H878</f>
        <v>0.879187105816398</v>
      </c>
      <c r="K878" s="16" t="n">
        <f aca="false">ROUND(I878*J878^($F$8-1),0)</f>
        <v>6462</v>
      </c>
      <c r="L878" s="16" t="n">
        <f aca="false">ROUND(I878*J878^($F$9-1),0)</f>
        <v>6315</v>
      </c>
      <c r="M878" s="17" t="n">
        <f aca="false">G878*$F$7</f>
        <v>0</v>
      </c>
      <c r="N878" s="18" t="n">
        <f aca="false">F878/K878</f>
        <v>0</v>
      </c>
      <c r="O878" s="18" t="n">
        <f aca="false">G878/L878</f>
        <v>0</v>
      </c>
      <c r="P878" s="18" t="n">
        <f aca="false">M878/L878</f>
        <v>0</v>
      </c>
      <c r="Q878" s="19" t="str">
        <f aca="false">IF(N878=0,"n.a.",P878/N878-1)</f>
        <v>n.a.</v>
      </c>
    </row>
    <row r="879" customFormat="false" ht="15" hidden="false" customHeight="false" outlineLevel="0" collapsed="false">
      <c r="A879" s="12" t="s">
        <v>1994</v>
      </c>
      <c r="B879" s="12" t="s">
        <v>1451</v>
      </c>
      <c r="C879" s="12" t="s">
        <v>1452</v>
      </c>
      <c r="D879" s="12" t="s">
        <v>1995</v>
      </c>
      <c r="E879" s="12" t="s">
        <v>1996</v>
      </c>
      <c r="F879" s="13" t="n">
        <v>52946</v>
      </c>
      <c r="G879" s="13" t="n">
        <v>42032</v>
      </c>
      <c r="H879" s="14" t="n">
        <v>3811</v>
      </c>
      <c r="I879" s="14" t="n">
        <v>3692</v>
      </c>
      <c r="J879" s="15" t="n">
        <f aca="false">I879/H879</f>
        <v>0.968774599842561</v>
      </c>
      <c r="K879" s="16" t="n">
        <f aca="false">ROUND(I879*J879^($F$8-1),0)</f>
        <v>3719</v>
      </c>
      <c r="L879" s="16" t="n">
        <f aca="false">ROUND(I879*J879^($F$9-1),0)</f>
        <v>3698</v>
      </c>
      <c r="M879" s="17" t="n">
        <f aca="false">G879*$F$7</f>
        <v>40489.5195629307</v>
      </c>
      <c r="N879" s="18" t="n">
        <f aca="false">F879/K879</f>
        <v>14.2366227480506</v>
      </c>
      <c r="O879" s="18" t="n">
        <f aca="false">G879/L879</f>
        <v>11.3661438615468</v>
      </c>
      <c r="P879" s="18" t="n">
        <f aca="false">M879/L879</f>
        <v>10.9490317909493</v>
      </c>
      <c r="Q879" s="19" t="n">
        <f aca="false">IF(N879=0,"n.a.",P879/N879-1)</f>
        <v>-0.23092491915271</v>
      </c>
    </row>
    <row r="880" customFormat="false" ht="15" hidden="false" customHeight="false" outlineLevel="0" collapsed="false">
      <c r="A880" s="12" t="s">
        <v>1997</v>
      </c>
      <c r="B880" s="12" t="s">
        <v>1451</v>
      </c>
      <c r="C880" s="12" t="s">
        <v>1452</v>
      </c>
      <c r="D880" s="12" t="s">
        <v>1998</v>
      </c>
      <c r="E880" s="12" t="s">
        <v>1999</v>
      </c>
      <c r="F880" s="13" t="n">
        <v>29832</v>
      </c>
      <c r="G880" s="13" t="n">
        <v>34090</v>
      </c>
      <c r="H880" s="14" t="n">
        <v>1366</v>
      </c>
      <c r="I880" s="14" t="n">
        <v>1188</v>
      </c>
      <c r="J880" s="15" t="n">
        <f aca="false">I880/H880</f>
        <v>0.869692532942899</v>
      </c>
      <c r="K880" s="16" t="n">
        <f aca="false">ROUND(I880*J880^($F$8-1),0)</f>
        <v>1227</v>
      </c>
      <c r="L880" s="16" t="n">
        <f aca="false">ROUND(I880*J880^($F$9-1),0)</f>
        <v>1197</v>
      </c>
      <c r="M880" s="17" t="n">
        <f aca="false">G880*$F$7</f>
        <v>32838.9732085151</v>
      </c>
      <c r="N880" s="18" t="n">
        <f aca="false">F880/K880</f>
        <v>24.3129584352078</v>
      </c>
      <c r="O880" s="18" t="n">
        <f aca="false">G880/L880</f>
        <v>28.4795321637427</v>
      </c>
      <c r="P880" s="18" t="n">
        <f aca="false">M880/L880</f>
        <v>27.4343969995949</v>
      </c>
      <c r="Q880" s="19" t="n">
        <f aca="false">IF(N880=0,"n.a.",P880/N880-1)</f>
        <v>0.128385797750837</v>
      </c>
    </row>
    <row r="881" customFormat="false" ht="15" hidden="false" customHeight="false" outlineLevel="0" collapsed="false">
      <c r="A881" s="12" t="s">
        <v>2000</v>
      </c>
      <c r="B881" s="12" t="s">
        <v>1451</v>
      </c>
      <c r="C881" s="12" t="s">
        <v>1452</v>
      </c>
      <c r="D881" s="12" t="s">
        <v>2001</v>
      </c>
      <c r="E881" s="12" t="s">
        <v>2002</v>
      </c>
      <c r="F881" s="13" t="n">
        <v>38391</v>
      </c>
      <c r="G881" s="13" t="n">
        <v>27748</v>
      </c>
      <c r="H881" s="14" t="n">
        <v>994</v>
      </c>
      <c r="I881" s="14" t="n">
        <v>995</v>
      </c>
      <c r="J881" s="15" t="n">
        <f aca="false">I881/H881</f>
        <v>1.0010060362173</v>
      </c>
      <c r="K881" s="16" t="n">
        <f aca="false">ROUND(I881*J881^($F$8-1),0)</f>
        <v>995</v>
      </c>
      <c r="L881" s="16" t="n">
        <f aca="false">ROUND(I881*J881^($F$9-1),0)</f>
        <v>995</v>
      </c>
      <c r="M881" s="17" t="n">
        <f aca="false">G881*$F$7</f>
        <v>26729.7104309146</v>
      </c>
      <c r="N881" s="18" t="n">
        <f aca="false">F881/K881</f>
        <v>38.58391959799</v>
      </c>
      <c r="O881" s="18" t="n">
        <f aca="false">G881/L881</f>
        <v>27.8874371859297</v>
      </c>
      <c r="P881" s="18" t="n">
        <f aca="false">M881/L881</f>
        <v>26.8640305838337</v>
      </c>
      <c r="Q881" s="19" t="n">
        <f aca="false">IF(N881=0,"n.a.",P881/N881-1)</f>
        <v>-0.303750607410212</v>
      </c>
    </row>
    <row r="882" customFormat="false" ht="15" hidden="false" customHeight="false" outlineLevel="0" collapsed="false">
      <c r="A882" s="12" t="s">
        <v>2003</v>
      </c>
      <c r="B882" s="12" t="s">
        <v>1451</v>
      </c>
      <c r="C882" s="12" t="s">
        <v>1452</v>
      </c>
      <c r="D882" s="12" t="s">
        <v>2004</v>
      </c>
      <c r="E882" s="12" t="s">
        <v>2005</v>
      </c>
      <c r="F882" s="13" t="n">
        <v>12272</v>
      </c>
      <c r="G882" s="13" t="n">
        <v>3979</v>
      </c>
      <c r="H882" s="14" t="n">
        <v>1000</v>
      </c>
      <c r="I882" s="14" t="n">
        <v>869</v>
      </c>
      <c r="J882" s="15" t="n">
        <f aca="false">I882/H882</f>
        <v>0.869</v>
      </c>
      <c r="K882" s="16" t="n">
        <f aca="false">ROUND(I882*J882^($F$8-1),0)</f>
        <v>898</v>
      </c>
      <c r="L882" s="16" t="n">
        <f aca="false">ROUND(I882*J882^($F$9-1),0)</f>
        <v>875</v>
      </c>
      <c r="M882" s="17" t="n">
        <f aca="false">G882*$F$7</f>
        <v>3832.97959509186</v>
      </c>
      <c r="N882" s="18" t="n">
        <f aca="false">F882/K882</f>
        <v>13.6659242761693</v>
      </c>
      <c r="O882" s="18" t="n">
        <f aca="false">G882/L882</f>
        <v>4.54742857142857</v>
      </c>
      <c r="P882" s="18" t="n">
        <f aca="false">M882/L882</f>
        <v>4.38054810867642</v>
      </c>
      <c r="Q882" s="19" t="n">
        <f aca="false">IF(N882=0,"n.a.",P882/N882-1)</f>
        <v>-0.679454677184532</v>
      </c>
    </row>
    <row r="883" customFormat="false" ht="15" hidden="false" customHeight="false" outlineLevel="0" collapsed="false">
      <c r="A883" s="12" t="s">
        <v>2006</v>
      </c>
      <c r="B883" s="12" t="s">
        <v>1451</v>
      </c>
      <c r="C883" s="12" t="s">
        <v>1452</v>
      </c>
      <c r="D883" s="12" t="s">
        <v>2007</v>
      </c>
      <c r="E883" s="12" t="s">
        <v>2008</v>
      </c>
      <c r="F883" s="13" t="n">
        <v>0</v>
      </c>
      <c r="G883" s="13" t="n">
        <v>0</v>
      </c>
      <c r="H883" s="14" t="n">
        <v>2705</v>
      </c>
      <c r="I883" s="14" t="n">
        <v>2557</v>
      </c>
      <c r="J883" s="15" t="n">
        <f aca="false">I883/H883</f>
        <v>0.945286506469501</v>
      </c>
      <c r="K883" s="16" t="n">
        <f aca="false">ROUND(I883*J883^($F$8-1),0)</f>
        <v>2590</v>
      </c>
      <c r="L883" s="16" t="n">
        <f aca="false">ROUND(I883*J883^($F$9-1),0)</f>
        <v>2564</v>
      </c>
      <c r="M883" s="17" t="n">
        <f aca="false">G883*$F$7</f>
        <v>0</v>
      </c>
      <c r="N883" s="18" t="n">
        <f aca="false">F883/K883</f>
        <v>0</v>
      </c>
      <c r="O883" s="18" t="n">
        <f aca="false">G883/L883</f>
        <v>0</v>
      </c>
      <c r="P883" s="18" t="n">
        <f aca="false">M883/L883</f>
        <v>0</v>
      </c>
      <c r="Q883" s="19" t="str">
        <f aca="false">IF(N883=0,"n.a.",P883/N883-1)</f>
        <v>n.a.</v>
      </c>
    </row>
    <row r="884" customFormat="false" ht="15" hidden="false" customHeight="false" outlineLevel="0" collapsed="false">
      <c r="A884" s="12" t="s">
        <v>2009</v>
      </c>
      <c r="B884" s="12" t="s">
        <v>1451</v>
      </c>
      <c r="C884" s="12" t="s">
        <v>1452</v>
      </c>
      <c r="D884" s="12" t="s">
        <v>2010</v>
      </c>
      <c r="E884" s="12" t="s">
        <v>2011</v>
      </c>
      <c r="F884" s="13" t="n">
        <v>0</v>
      </c>
      <c r="G884" s="13" t="n">
        <v>0</v>
      </c>
      <c r="H884" s="14" t="n">
        <v>1034</v>
      </c>
      <c r="I884" s="14" t="n">
        <v>1041</v>
      </c>
      <c r="J884" s="15" t="n">
        <f aca="false">I884/H884</f>
        <v>1.00676982591876</v>
      </c>
      <c r="K884" s="16" t="n">
        <f aca="false">ROUND(I884*J884^($F$8-1),0)</f>
        <v>1039</v>
      </c>
      <c r="L884" s="16" t="n">
        <f aca="false">ROUND(I884*J884^($F$9-1),0)</f>
        <v>1041</v>
      </c>
      <c r="M884" s="17" t="n">
        <f aca="false">G884*$F$7</f>
        <v>0</v>
      </c>
      <c r="N884" s="18" t="n">
        <f aca="false">F884/K884</f>
        <v>0</v>
      </c>
      <c r="O884" s="18" t="n">
        <f aca="false">G884/L884</f>
        <v>0</v>
      </c>
      <c r="P884" s="18" t="n">
        <f aca="false">M884/L884</f>
        <v>0</v>
      </c>
      <c r="Q884" s="19" t="str">
        <f aca="false">IF(N884=0,"n.a.",P884/N884-1)</f>
        <v>n.a.</v>
      </c>
    </row>
    <row r="885" customFormat="false" ht="15" hidden="false" customHeight="false" outlineLevel="0" collapsed="false">
      <c r="A885" s="12" t="s">
        <v>2012</v>
      </c>
      <c r="B885" s="12" t="s">
        <v>1451</v>
      </c>
      <c r="C885" s="12" t="s">
        <v>1452</v>
      </c>
      <c r="D885" s="12" t="s">
        <v>2013</v>
      </c>
      <c r="E885" s="12" t="s">
        <v>2014</v>
      </c>
      <c r="F885" s="13" t="n">
        <v>0</v>
      </c>
      <c r="G885" s="13" t="n">
        <v>0</v>
      </c>
      <c r="H885" s="14" t="n">
        <v>12411</v>
      </c>
      <c r="I885" s="14" t="n">
        <v>11871</v>
      </c>
      <c r="J885" s="15" t="n">
        <f aca="false">I885/H885</f>
        <v>0.956490210297317</v>
      </c>
      <c r="K885" s="16" t="n">
        <f aca="false">ROUND(I885*J885^($F$8-1),0)</f>
        <v>11994</v>
      </c>
      <c r="L885" s="16" t="n">
        <f aca="false">ROUND(I885*J885^($F$9-1),0)</f>
        <v>11898</v>
      </c>
      <c r="M885" s="17" t="n">
        <f aca="false">G885*$F$7</f>
        <v>0</v>
      </c>
      <c r="N885" s="18" t="n">
        <f aca="false">F885/K885</f>
        <v>0</v>
      </c>
      <c r="O885" s="18" t="n">
        <f aca="false">G885/L885</f>
        <v>0</v>
      </c>
      <c r="P885" s="18" t="n">
        <f aca="false">M885/L885</f>
        <v>0</v>
      </c>
      <c r="Q885" s="19" t="str">
        <f aca="false">IF(N885=0,"n.a.",P885/N885-1)</f>
        <v>n.a.</v>
      </c>
    </row>
    <row r="886" customFormat="false" ht="15" hidden="false" customHeight="false" outlineLevel="0" collapsed="false">
      <c r="A886" s="12" t="s">
        <v>2015</v>
      </c>
      <c r="B886" s="12" t="s">
        <v>1451</v>
      </c>
      <c r="C886" s="12" t="s">
        <v>1452</v>
      </c>
      <c r="D886" s="12" t="s">
        <v>2016</v>
      </c>
      <c r="E886" s="12" t="s">
        <v>2017</v>
      </c>
      <c r="F886" s="13" t="n">
        <v>177708</v>
      </c>
      <c r="G886" s="13" t="n">
        <v>188969</v>
      </c>
      <c r="H886" s="14" t="n">
        <v>1975</v>
      </c>
      <c r="I886" s="14" t="n">
        <v>1922</v>
      </c>
      <c r="J886" s="15" t="n">
        <f aca="false">I886/H886</f>
        <v>0.973164556962025</v>
      </c>
      <c r="K886" s="16" t="n">
        <f aca="false">ROUND(I886*J886^($F$8-1),0)</f>
        <v>1934</v>
      </c>
      <c r="L886" s="16" t="n">
        <f aca="false">ROUND(I886*J886^($F$9-1),0)</f>
        <v>1925</v>
      </c>
      <c r="M886" s="17" t="n">
        <f aca="false">G886*$F$7</f>
        <v>182034.260141974</v>
      </c>
      <c r="N886" s="18" t="n">
        <f aca="false">F886/K886</f>
        <v>91.8862461220269</v>
      </c>
      <c r="O886" s="18" t="n">
        <f aca="false">G886/L886</f>
        <v>98.1657142857143</v>
      </c>
      <c r="P886" s="18" t="n">
        <f aca="false">M886/L886</f>
        <v>94.5632520218047</v>
      </c>
      <c r="Q886" s="19" t="n">
        <f aca="false">IF(N886=0,"n.a.",P886/N886-1)</f>
        <v>0.0291339129930572</v>
      </c>
    </row>
    <row r="887" customFormat="false" ht="15" hidden="false" customHeight="false" outlineLevel="0" collapsed="false">
      <c r="A887" s="12" t="s">
        <v>2018</v>
      </c>
      <c r="B887" s="12" t="s">
        <v>1451</v>
      </c>
      <c r="C887" s="12" t="s">
        <v>1452</v>
      </c>
      <c r="D887" s="12" t="s">
        <v>2019</v>
      </c>
      <c r="E887" s="12" t="s">
        <v>2020</v>
      </c>
      <c r="F887" s="13" t="n">
        <v>330</v>
      </c>
      <c r="G887" s="13" t="n">
        <v>0</v>
      </c>
      <c r="H887" s="14" t="n">
        <v>3934</v>
      </c>
      <c r="I887" s="14" t="n">
        <v>3922</v>
      </c>
      <c r="J887" s="15" t="n">
        <f aca="false">I887/H887</f>
        <v>0.996949669547534</v>
      </c>
      <c r="K887" s="16" t="n">
        <f aca="false">ROUND(I887*J887^($F$8-1),0)</f>
        <v>3925</v>
      </c>
      <c r="L887" s="16" t="n">
        <f aca="false">ROUND(I887*J887^($F$9-1),0)</f>
        <v>3923</v>
      </c>
      <c r="M887" s="17" t="n">
        <f aca="false">G887*$F$7</f>
        <v>0</v>
      </c>
      <c r="N887" s="18" t="n">
        <f aca="false">F887/K887</f>
        <v>0.0840764331210191</v>
      </c>
      <c r="O887" s="18" t="n">
        <f aca="false">G887/L887</f>
        <v>0</v>
      </c>
      <c r="P887" s="18" t="n">
        <f aca="false">M887/L887</f>
        <v>0</v>
      </c>
      <c r="Q887" s="19" t="n">
        <f aca="false">IF(N887=0,"n.a.",P887/N887-1)</f>
        <v>-1</v>
      </c>
    </row>
    <row r="888" customFormat="false" ht="15" hidden="false" customHeight="false" outlineLevel="0" collapsed="false">
      <c r="A888" s="12" t="s">
        <v>2021</v>
      </c>
      <c r="B888" s="12" t="s">
        <v>1451</v>
      </c>
      <c r="C888" s="12" t="s">
        <v>1452</v>
      </c>
      <c r="D888" s="12" t="s">
        <v>2022</v>
      </c>
      <c r="E888" s="12" t="s">
        <v>2023</v>
      </c>
      <c r="F888" s="13" t="n">
        <v>0</v>
      </c>
      <c r="G888" s="13" t="n">
        <v>0</v>
      </c>
      <c r="H888" s="14" t="n">
        <v>1315</v>
      </c>
      <c r="I888" s="14" t="n">
        <v>1269</v>
      </c>
      <c r="J888" s="15" t="n">
        <f aca="false">I888/H888</f>
        <v>0.965019011406844</v>
      </c>
      <c r="K888" s="16" t="n">
        <f aca="false">ROUND(I888*J888^($F$8-1),0)</f>
        <v>1279</v>
      </c>
      <c r="L888" s="16" t="n">
        <f aca="false">ROUND(I888*J888^($F$9-1),0)</f>
        <v>1271</v>
      </c>
      <c r="M888" s="17" t="n">
        <f aca="false">G888*$F$7</f>
        <v>0</v>
      </c>
      <c r="N888" s="18" t="n">
        <f aca="false">F888/K888</f>
        <v>0</v>
      </c>
      <c r="O888" s="18" t="n">
        <f aca="false">G888/L888</f>
        <v>0</v>
      </c>
      <c r="P888" s="18" t="n">
        <f aca="false">M888/L888</f>
        <v>0</v>
      </c>
      <c r="Q888" s="19" t="str">
        <f aca="false">IF(N888=0,"n.a.",P888/N888-1)</f>
        <v>n.a.</v>
      </c>
    </row>
    <row r="889" customFormat="false" ht="15" hidden="false" customHeight="false" outlineLevel="0" collapsed="false">
      <c r="A889" s="12" t="s">
        <v>2024</v>
      </c>
      <c r="B889" s="12" t="s">
        <v>1451</v>
      </c>
      <c r="C889" s="12" t="s">
        <v>1452</v>
      </c>
      <c r="D889" s="12" t="s">
        <v>2025</v>
      </c>
      <c r="E889" s="12" t="s">
        <v>2026</v>
      </c>
      <c r="F889" s="13" t="n">
        <v>0</v>
      </c>
      <c r="G889" s="13" t="n">
        <v>0</v>
      </c>
      <c r="H889" s="14" t="n">
        <v>611</v>
      </c>
      <c r="I889" s="14" t="n">
        <v>613</v>
      </c>
      <c r="J889" s="15" t="n">
        <f aca="false">I889/H889</f>
        <v>1.00327332242226</v>
      </c>
      <c r="K889" s="16" t="n">
        <f aca="false">ROUND(I889*J889^($F$8-1),0)</f>
        <v>613</v>
      </c>
      <c r="L889" s="16" t="n">
        <f aca="false">ROUND(I889*J889^($F$9-1),0)</f>
        <v>613</v>
      </c>
      <c r="M889" s="17" t="n">
        <f aca="false">G889*$F$7</f>
        <v>0</v>
      </c>
      <c r="N889" s="18" t="n">
        <f aca="false">F889/K889</f>
        <v>0</v>
      </c>
      <c r="O889" s="18" t="n">
        <f aca="false">G889/L889</f>
        <v>0</v>
      </c>
      <c r="P889" s="18" t="n">
        <f aca="false">M889/L889</f>
        <v>0</v>
      </c>
      <c r="Q889" s="19" t="str">
        <f aca="false">IF(N889=0,"n.a.",P889/N889-1)</f>
        <v>n.a.</v>
      </c>
    </row>
    <row r="890" customFormat="false" ht="15" hidden="false" customHeight="false" outlineLevel="0" collapsed="false">
      <c r="A890" s="12" t="s">
        <v>2027</v>
      </c>
      <c r="B890" s="12" t="s">
        <v>1451</v>
      </c>
      <c r="C890" s="12" t="s">
        <v>1452</v>
      </c>
      <c r="D890" s="12" t="s">
        <v>2028</v>
      </c>
      <c r="E890" s="12" t="s">
        <v>2029</v>
      </c>
      <c r="F890" s="13" t="n">
        <v>18649</v>
      </c>
      <c r="G890" s="13" t="n">
        <v>33299</v>
      </c>
      <c r="H890" s="14" t="n">
        <v>1544</v>
      </c>
      <c r="I890" s="14" t="n">
        <v>1481</v>
      </c>
      <c r="J890" s="15" t="n">
        <f aca="false">I890/H890</f>
        <v>0.95919689119171</v>
      </c>
      <c r="K890" s="16" t="n">
        <f aca="false">ROUND(I890*J890^($F$8-1),0)</f>
        <v>1495</v>
      </c>
      <c r="L890" s="16" t="n">
        <f aca="false">ROUND(I890*J890^($F$9-1),0)</f>
        <v>1484</v>
      </c>
      <c r="M890" s="17" t="n">
        <f aca="false">G890*$F$7</f>
        <v>32077.0011402272</v>
      </c>
      <c r="N890" s="18" t="n">
        <f aca="false">F890/K890</f>
        <v>12.4742474916388</v>
      </c>
      <c r="O890" s="18" t="n">
        <f aca="false">G890/L890</f>
        <v>22.438679245283</v>
      </c>
      <c r="P890" s="18" t="n">
        <f aca="false">M890/L890</f>
        <v>21.6152298788593</v>
      </c>
      <c r="Q890" s="19" t="n">
        <f aca="false">IF(N890=0,"n.a.",P890/N890-1)</f>
        <v>0.732788281886141</v>
      </c>
    </row>
    <row r="891" customFormat="false" ht="15" hidden="false" customHeight="false" outlineLevel="0" collapsed="false">
      <c r="A891" s="12" t="s">
        <v>2030</v>
      </c>
      <c r="B891" s="12" t="s">
        <v>1451</v>
      </c>
      <c r="C891" s="12" t="s">
        <v>1452</v>
      </c>
      <c r="D891" s="12" t="s">
        <v>2031</v>
      </c>
      <c r="E891" s="12" t="s">
        <v>2032</v>
      </c>
      <c r="F891" s="13" t="n">
        <v>0</v>
      </c>
      <c r="G891" s="13" t="n">
        <v>0</v>
      </c>
      <c r="H891" s="14" t="n">
        <v>15569</v>
      </c>
      <c r="I891" s="14" t="n">
        <v>15952</v>
      </c>
      <c r="J891" s="15" t="n">
        <f aca="false">I891/H891</f>
        <v>1.02460016699852</v>
      </c>
      <c r="K891" s="16" t="n">
        <f aca="false">ROUND(I891*J891^($F$8-1),0)</f>
        <v>15863</v>
      </c>
      <c r="L891" s="16" t="n">
        <f aca="false">ROUND(I891*J891^($F$9-1),0)</f>
        <v>15932</v>
      </c>
      <c r="M891" s="17" t="n">
        <f aca="false">G891*$F$7</f>
        <v>0</v>
      </c>
      <c r="N891" s="18" t="n">
        <f aca="false">F891/K891</f>
        <v>0</v>
      </c>
      <c r="O891" s="18" t="n">
        <f aca="false">G891/L891</f>
        <v>0</v>
      </c>
      <c r="P891" s="18" t="n">
        <f aca="false">M891/L891</f>
        <v>0</v>
      </c>
      <c r="Q891" s="19" t="str">
        <f aca="false">IF(N891=0,"n.a.",P891/N891-1)</f>
        <v>n.a.</v>
      </c>
    </row>
    <row r="892" customFormat="false" ht="15" hidden="false" customHeight="false" outlineLevel="0" collapsed="false">
      <c r="A892" s="12" t="s">
        <v>2033</v>
      </c>
      <c r="B892" s="12" t="s">
        <v>1451</v>
      </c>
      <c r="C892" s="12" t="s">
        <v>1452</v>
      </c>
      <c r="D892" s="12" t="s">
        <v>2034</v>
      </c>
      <c r="E892" s="12" t="s">
        <v>2035</v>
      </c>
      <c r="F892" s="13" t="n">
        <v>17063</v>
      </c>
      <c r="G892" s="13" t="n">
        <v>25097</v>
      </c>
      <c r="H892" s="14" t="n">
        <v>3831</v>
      </c>
      <c r="I892" s="14" t="n">
        <v>3595</v>
      </c>
      <c r="J892" s="15" t="n">
        <f aca="false">I892/H892</f>
        <v>0.938397285304098</v>
      </c>
      <c r="K892" s="16" t="n">
        <f aca="false">ROUND(I892*J892^($F$8-1),0)</f>
        <v>3648</v>
      </c>
      <c r="L892" s="16" t="n">
        <f aca="false">ROUND(I892*J892^($F$9-1),0)</f>
        <v>3607</v>
      </c>
      <c r="M892" s="17" t="n">
        <f aca="false">G892*$F$7</f>
        <v>24175.9962045792</v>
      </c>
      <c r="N892" s="18" t="n">
        <f aca="false">F892/K892</f>
        <v>4.67735745614035</v>
      </c>
      <c r="O892" s="18" t="n">
        <f aca="false">G892/L892</f>
        <v>6.95785971721652</v>
      </c>
      <c r="P892" s="18" t="n">
        <f aca="false">M892/L892</f>
        <v>6.70252181995541</v>
      </c>
      <c r="Q892" s="19" t="n">
        <f aca="false">IF(N892=0,"n.a.",P892/N892-1)</f>
        <v>0.432971904072985</v>
      </c>
    </row>
    <row r="893" customFormat="false" ht="15" hidden="false" customHeight="false" outlineLevel="0" collapsed="false">
      <c r="A893" s="12" t="s">
        <v>2036</v>
      </c>
      <c r="B893" s="12" t="s">
        <v>1451</v>
      </c>
      <c r="C893" s="12" t="s">
        <v>1452</v>
      </c>
      <c r="D893" s="12" t="s">
        <v>2037</v>
      </c>
      <c r="E893" s="12" t="s">
        <v>2038</v>
      </c>
      <c r="F893" s="13" t="n">
        <v>51592</v>
      </c>
      <c r="G893" s="13" t="n">
        <v>66434</v>
      </c>
      <c r="H893" s="14" t="n">
        <v>1239</v>
      </c>
      <c r="I893" s="14" t="n">
        <v>1276</v>
      </c>
      <c r="J893" s="15" t="n">
        <f aca="false">I893/H893</f>
        <v>1.02986279257466</v>
      </c>
      <c r="K893" s="16" t="n">
        <f aca="false">ROUND(I893*J893^($F$8-1),0)</f>
        <v>1267</v>
      </c>
      <c r="L893" s="16" t="n">
        <f aca="false">ROUND(I893*J893^($F$9-1),0)</f>
        <v>1274</v>
      </c>
      <c r="M893" s="17" t="n">
        <f aca="false">G893*$F$7</f>
        <v>63996.0207138308</v>
      </c>
      <c r="N893" s="18" t="n">
        <f aca="false">F893/K893</f>
        <v>40.7198105761642</v>
      </c>
      <c r="O893" s="18" t="n">
        <f aca="false">G893/L893</f>
        <v>52.1459968602826</v>
      </c>
      <c r="P893" s="18" t="n">
        <f aca="false">M893/L893</f>
        <v>50.2323553483759</v>
      </c>
      <c r="Q893" s="19" t="n">
        <f aca="false">IF(N893=0,"n.a.",P893/N893-1)</f>
        <v>0.233609750085134</v>
      </c>
    </row>
    <row r="894" customFormat="false" ht="15" hidden="false" customHeight="false" outlineLevel="0" collapsed="false">
      <c r="A894" s="12" t="s">
        <v>2039</v>
      </c>
      <c r="B894" s="12" t="s">
        <v>1451</v>
      </c>
      <c r="C894" s="12" t="s">
        <v>1452</v>
      </c>
      <c r="D894" s="12" t="s">
        <v>2040</v>
      </c>
      <c r="E894" s="12" t="s">
        <v>2041</v>
      </c>
      <c r="F894" s="13" t="n">
        <v>0</v>
      </c>
      <c r="G894" s="13" t="n">
        <v>0</v>
      </c>
      <c r="H894" s="14" t="n">
        <v>1217</v>
      </c>
      <c r="I894" s="14" t="n">
        <v>1042</v>
      </c>
      <c r="J894" s="15" t="n">
        <f aca="false">I894/H894</f>
        <v>0.85620377978636</v>
      </c>
      <c r="K894" s="16" t="n">
        <f aca="false">ROUND(I894*J894^($F$8-1),0)</f>
        <v>1080</v>
      </c>
      <c r="L894" s="16" t="n">
        <f aca="false">ROUND(I894*J894^($F$9-1),0)</f>
        <v>1050</v>
      </c>
      <c r="M894" s="17" t="n">
        <f aca="false">G894*$F$7</f>
        <v>0</v>
      </c>
      <c r="N894" s="18" t="n">
        <f aca="false">F894/K894</f>
        <v>0</v>
      </c>
      <c r="O894" s="18" t="n">
        <f aca="false">G894/L894</f>
        <v>0</v>
      </c>
      <c r="P894" s="18" t="n">
        <f aca="false">M894/L894</f>
        <v>0</v>
      </c>
      <c r="Q894" s="19" t="str">
        <f aca="false">IF(N894=0,"n.a.",P894/N894-1)</f>
        <v>n.a.</v>
      </c>
    </row>
    <row r="895" customFormat="false" ht="15" hidden="false" customHeight="false" outlineLevel="0" collapsed="false">
      <c r="A895" s="12" t="s">
        <v>2042</v>
      </c>
      <c r="B895" s="12" t="s">
        <v>1451</v>
      </c>
      <c r="C895" s="12" t="s">
        <v>1452</v>
      </c>
      <c r="D895" s="12" t="s">
        <v>2043</v>
      </c>
      <c r="E895" s="12" t="s">
        <v>2044</v>
      </c>
      <c r="F895" s="13" t="n">
        <v>0</v>
      </c>
      <c r="G895" s="13" t="n">
        <v>0</v>
      </c>
      <c r="H895" s="14" t="n">
        <v>2254</v>
      </c>
      <c r="I895" s="14" t="n">
        <v>2219</v>
      </c>
      <c r="J895" s="15" t="n">
        <f aca="false">I895/H895</f>
        <v>0.984472049689441</v>
      </c>
      <c r="K895" s="16" t="n">
        <f aca="false">ROUND(I895*J895^($F$8-1),0)</f>
        <v>2227</v>
      </c>
      <c r="L895" s="16" t="n">
        <f aca="false">ROUND(I895*J895^($F$9-1),0)</f>
        <v>2221</v>
      </c>
      <c r="M895" s="17" t="n">
        <f aca="false">G895*$F$7</f>
        <v>0</v>
      </c>
      <c r="N895" s="18" t="n">
        <f aca="false">F895/K895</f>
        <v>0</v>
      </c>
      <c r="O895" s="18" t="n">
        <f aca="false">G895/L895</f>
        <v>0</v>
      </c>
      <c r="P895" s="18" t="n">
        <f aca="false">M895/L895</f>
        <v>0</v>
      </c>
      <c r="Q895" s="19" t="str">
        <f aca="false">IF(N895=0,"n.a.",P895/N895-1)</f>
        <v>n.a.</v>
      </c>
    </row>
    <row r="896" customFormat="false" ht="15" hidden="false" customHeight="false" outlineLevel="0" collapsed="false">
      <c r="A896" s="12" t="s">
        <v>2045</v>
      </c>
      <c r="B896" s="12" t="s">
        <v>1451</v>
      </c>
      <c r="C896" s="12" t="s">
        <v>1452</v>
      </c>
      <c r="D896" s="12" t="s">
        <v>2046</v>
      </c>
      <c r="E896" s="12" t="s">
        <v>2047</v>
      </c>
      <c r="F896" s="13" t="n">
        <v>24234</v>
      </c>
      <c r="G896" s="13" t="n">
        <v>7135</v>
      </c>
      <c r="H896" s="14" t="n">
        <v>2017</v>
      </c>
      <c r="I896" s="14" t="n">
        <v>1662</v>
      </c>
      <c r="J896" s="15" t="n">
        <f aca="false">I896/H896</f>
        <v>0.823996033713436</v>
      </c>
      <c r="K896" s="16" t="n">
        <f aca="false">ROUND(I896*J896^($F$8-1),0)</f>
        <v>1738</v>
      </c>
      <c r="L896" s="16" t="n">
        <f aca="false">ROUND(I896*J896^($F$9-1),0)</f>
        <v>1679</v>
      </c>
      <c r="M896" s="17" t="n">
        <f aca="false">G896*$F$7</f>
        <v>6873.1614503595</v>
      </c>
      <c r="N896" s="18" t="n">
        <f aca="false">F896/K896</f>
        <v>13.9436133486766</v>
      </c>
      <c r="O896" s="18" t="n">
        <f aca="false">G896/L896</f>
        <v>4.24955330553901</v>
      </c>
      <c r="P896" s="18" t="n">
        <f aca="false">M896/L896</f>
        <v>4.09360419914205</v>
      </c>
      <c r="Q896" s="19" t="n">
        <f aca="false">IF(N896=0,"n.a.",P896/N896-1)</f>
        <v>-0.706417260951189</v>
      </c>
    </row>
    <row r="897" customFormat="false" ht="15" hidden="false" customHeight="false" outlineLevel="0" collapsed="false">
      <c r="A897" s="12" t="s">
        <v>2048</v>
      </c>
      <c r="B897" s="12" t="s">
        <v>1451</v>
      </c>
      <c r="C897" s="12" t="s">
        <v>1452</v>
      </c>
      <c r="D897" s="12" t="s">
        <v>2049</v>
      </c>
      <c r="E897" s="12" t="s">
        <v>2050</v>
      </c>
      <c r="F897" s="13" t="n">
        <v>0</v>
      </c>
      <c r="G897" s="13" t="n">
        <v>230333</v>
      </c>
      <c r="H897" s="14" t="n">
        <v>3194</v>
      </c>
      <c r="I897" s="14" t="n">
        <v>3564</v>
      </c>
      <c r="J897" s="15" t="n">
        <f aca="false">I897/H897</f>
        <v>1.11584220413275</v>
      </c>
      <c r="K897" s="16" t="n">
        <f aca="false">ROUND(I897*J897^($F$8-1),0)</f>
        <v>3475</v>
      </c>
      <c r="L897" s="16" t="n">
        <f aca="false">ROUND(I897*J897^($F$9-1),0)</f>
        <v>3544</v>
      </c>
      <c r="M897" s="17" t="n">
        <f aca="false">G897*$F$7</f>
        <v>221880.293811584</v>
      </c>
      <c r="N897" s="18" t="n">
        <f aca="false">F897/K897</f>
        <v>0</v>
      </c>
      <c r="O897" s="18" t="n">
        <f aca="false">G897/L897</f>
        <v>64.992381489842</v>
      </c>
      <c r="P897" s="18" t="n">
        <f aca="false">M897/L897</f>
        <v>62.6073063802439</v>
      </c>
      <c r="Q897" s="19" t="str">
        <f aca="false">IF(N897=0,"n.a.",P897/N897-1)</f>
        <v>n.a.</v>
      </c>
    </row>
    <row r="898" customFormat="false" ht="15" hidden="false" customHeight="false" outlineLevel="0" collapsed="false">
      <c r="A898" s="12" t="s">
        <v>2051</v>
      </c>
      <c r="B898" s="12" t="s">
        <v>1451</v>
      </c>
      <c r="C898" s="12" t="s">
        <v>1452</v>
      </c>
      <c r="D898" s="12" t="s">
        <v>2052</v>
      </c>
      <c r="E898" s="12" t="s">
        <v>2053</v>
      </c>
      <c r="F898" s="13" t="n">
        <v>0</v>
      </c>
      <c r="G898" s="13" t="n">
        <v>0</v>
      </c>
      <c r="H898" s="14" t="n">
        <v>1977</v>
      </c>
      <c r="I898" s="14" t="n">
        <v>1971</v>
      </c>
      <c r="J898" s="15" t="n">
        <f aca="false">I898/H898</f>
        <v>0.996965098634294</v>
      </c>
      <c r="K898" s="16" t="n">
        <f aca="false">ROUND(I898*J898^($F$8-1),0)</f>
        <v>1972</v>
      </c>
      <c r="L898" s="16" t="n">
        <f aca="false">ROUND(I898*J898^($F$9-1),0)</f>
        <v>1971</v>
      </c>
      <c r="M898" s="17" t="n">
        <f aca="false">G898*$F$7</f>
        <v>0</v>
      </c>
      <c r="N898" s="18" t="n">
        <f aca="false">F898/K898</f>
        <v>0</v>
      </c>
      <c r="O898" s="18" t="n">
        <f aca="false">G898/L898</f>
        <v>0</v>
      </c>
      <c r="P898" s="18" t="n">
        <f aca="false">M898/L898</f>
        <v>0</v>
      </c>
      <c r="Q898" s="19" t="str">
        <f aca="false">IF(N898=0,"n.a.",P898/N898-1)</f>
        <v>n.a.</v>
      </c>
    </row>
    <row r="899" customFormat="false" ht="15" hidden="false" customHeight="false" outlineLevel="0" collapsed="false">
      <c r="A899" s="12" t="s">
        <v>2054</v>
      </c>
      <c r="B899" s="12" t="s">
        <v>1451</v>
      </c>
      <c r="C899" s="12" t="s">
        <v>1452</v>
      </c>
      <c r="D899" s="12" t="s">
        <v>2055</v>
      </c>
      <c r="E899" s="12" t="s">
        <v>2056</v>
      </c>
      <c r="F899" s="13" t="n">
        <v>2880</v>
      </c>
      <c r="G899" s="13" t="n">
        <v>2340</v>
      </c>
      <c r="H899" s="14" t="n">
        <v>229</v>
      </c>
      <c r="I899" s="14" t="n">
        <v>214</v>
      </c>
      <c r="J899" s="15" t="n">
        <f aca="false">I899/H899</f>
        <v>0.934497816593886</v>
      </c>
      <c r="K899" s="16" t="n">
        <f aca="false">ROUND(I899*J899^($F$8-1),0)</f>
        <v>217</v>
      </c>
      <c r="L899" s="16" t="n">
        <f aca="false">ROUND(I899*J899^($F$9-1),0)</f>
        <v>215</v>
      </c>
      <c r="M899" s="17" t="n">
        <f aca="false">G899*$F$7</f>
        <v>2254.12723109197</v>
      </c>
      <c r="N899" s="18" t="n">
        <f aca="false">F899/K899</f>
        <v>13.2718894009217</v>
      </c>
      <c r="O899" s="18" t="n">
        <f aca="false">G899/L899</f>
        <v>10.8837209302326</v>
      </c>
      <c r="P899" s="18" t="n">
        <f aca="false">M899/L899</f>
        <v>10.4843127027534</v>
      </c>
      <c r="Q899" s="19" t="n">
        <f aca="false">IF(N899=0,"n.a.",P899/N899-1)</f>
        <v>-0.210036160938375</v>
      </c>
    </row>
    <row r="900" customFormat="false" ht="15" hidden="false" customHeight="false" outlineLevel="0" collapsed="false">
      <c r="A900" s="12" t="s">
        <v>2057</v>
      </c>
      <c r="B900" s="12" t="s">
        <v>1451</v>
      </c>
      <c r="C900" s="12" t="s">
        <v>1452</v>
      </c>
      <c r="D900" s="12" t="s">
        <v>2058</v>
      </c>
      <c r="E900" s="12" t="s">
        <v>2059</v>
      </c>
      <c r="F900" s="13" t="n">
        <v>0</v>
      </c>
      <c r="G900" s="13" t="n">
        <v>6214</v>
      </c>
      <c r="H900" s="14" t="n">
        <v>1052</v>
      </c>
      <c r="I900" s="14" t="n">
        <v>1006</v>
      </c>
      <c r="J900" s="15" t="n">
        <f aca="false">I900/H900</f>
        <v>0.956273764258555</v>
      </c>
      <c r="K900" s="16" t="n">
        <f aca="false">ROUND(I900*J900^($F$8-1),0)</f>
        <v>1016</v>
      </c>
      <c r="L900" s="16" t="n">
        <f aca="false">ROUND(I900*J900^($F$9-1),0)</f>
        <v>1008</v>
      </c>
      <c r="M900" s="17" t="n">
        <f aca="false">G900*$F$7</f>
        <v>5985.96009145535</v>
      </c>
      <c r="N900" s="18" t="n">
        <f aca="false">F900/K900</f>
        <v>0</v>
      </c>
      <c r="O900" s="18" t="n">
        <f aca="false">G900/L900</f>
        <v>6.16468253968254</v>
      </c>
      <c r="P900" s="18" t="n">
        <f aca="false">M900/L900</f>
        <v>5.9384524716819</v>
      </c>
      <c r="Q900" s="19" t="str">
        <f aca="false">IF(N900=0,"n.a.",P900/N900-1)</f>
        <v>n.a.</v>
      </c>
    </row>
    <row r="901" customFormat="false" ht="15" hidden="false" customHeight="false" outlineLevel="0" collapsed="false">
      <c r="A901" s="12" t="s">
        <v>2060</v>
      </c>
      <c r="B901" s="12" t="s">
        <v>1451</v>
      </c>
      <c r="C901" s="12" t="s">
        <v>1452</v>
      </c>
      <c r="D901" s="12" t="s">
        <v>2061</v>
      </c>
      <c r="E901" s="12" t="s">
        <v>2062</v>
      </c>
      <c r="F901" s="13" t="n">
        <v>51284</v>
      </c>
      <c r="G901" s="13" t="n">
        <v>46521</v>
      </c>
      <c r="H901" s="14" t="n">
        <v>698</v>
      </c>
      <c r="I901" s="14" t="n">
        <v>627</v>
      </c>
      <c r="J901" s="15" t="n">
        <f aca="false">I901/H901</f>
        <v>0.898280802292264</v>
      </c>
      <c r="K901" s="16" t="n">
        <f aca="false">ROUND(I901*J901^($F$8-1),0)</f>
        <v>643</v>
      </c>
      <c r="L901" s="16" t="n">
        <f aca="false">ROUND(I901*J901^($F$9-1),0)</f>
        <v>631</v>
      </c>
      <c r="M901" s="17" t="n">
        <f aca="false">G901*$F$7</f>
        <v>44813.7832981323</v>
      </c>
      <c r="N901" s="18" t="n">
        <f aca="false">F901/K901</f>
        <v>79.7573872472784</v>
      </c>
      <c r="O901" s="18" t="n">
        <f aca="false">G901/L901</f>
        <v>73.7258320126783</v>
      </c>
      <c r="P901" s="18" t="n">
        <f aca="false">M901/L901</f>
        <v>71.0202587926028</v>
      </c>
      <c r="Q901" s="19" t="n">
        <f aca="false">IF(N901=0,"n.a.",P901/N901-1)</f>
        <v>-0.1095463223687</v>
      </c>
    </row>
    <row r="902" customFormat="false" ht="15" hidden="false" customHeight="false" outlineLevel="0" collapsed="false">
      <c r="A902" s="12" t="s">
        <v>2063</v>
      </c>
      <c r="B902" s="12" t="s">
        <v>1451</v>
      </c>
      <c r="C902" s="12" t="s">
        <v>1452</v>
      </c>
      <c r="D902" s="12" t="s">
        <v>2064</v>
      </c>
      <c r="E902" s="12" t="s">
        <v>2065</v>
      </c>
      <c r="F902" s="13" t="n">
        <v>8297</v>
      </c>
      <c r="G902" s="13" t="n">
        <v>0</v>
      </c>
      <c r="H902" s="14" t="n">
        <v>2191</v>
      </c>
      <c r="I902" s="14" t="n">
        <v>1770</v>
      </c>
      <c r="J902" s="15" t="n">
        <f aca="false">I902/H902</f>
        <v>0.807850296668188</v>
      </c>
      <c r="K902" s="16" t="n">
        <f aca="false">ROUND(I902*J902^($F$8-1),0)</f>
        <v>1859</v>
      </c>
      <c r="L902" s="16" t="n">
        <f aca="false">ROUND(I902*J902^($F$9-1),0)</f>
        <v>1790</v>
      </c>
      <c r="M902" s="17" t="n">
        <f aca="false">G902*$F$7</f>
        <v>0</v>
      </c>
      <c r="N902" s="18" t="n">
        <f aca="false">F902/K902</f>
        <v>4.463152232383</v>
      </c>
      <c r="O902" s="18" t="n">
        <f aca="false">G902/L902</f>
        <v>0</v>
      </c>
      <c r="P902" s="18" t="n">
        <f aca="false">M902/L902</f>
        <v>0</v>
      </c>
      <c r="Q902" s="19" t="n">
        <f aca="false">IF(N902=0,"n.a.",P902/N902-1)</f>
        <v>-1</v>
      </c>
    </row>
    <row r="903" customFormat="false" ht="15" hidden="false" customHeight="false" outlineLevel="0" collapsed="false">
      <c r="A903" s="12" t="s">
        <v>2066</v>
      </c>
      <c r="B903" s="12" t="s">
        <v>1451</v>
      </c>
      <c r="C903" s="12" t="s">
        <v>1452</v>
      </c>
      <c r="D903" s="12" t="s">
        <v>2067</v>
      </c>
      <c r="E903" s="12" t="s">
        <v>2068</v>
      </c>
      <c r="F903" s="13" t="n">
        <v>5617</v>
      </c>
      <c r="G903" s="13" t="n">
        <v>27188</v>
      </c>
      <c r="H903" s="14" t="n">
        <v>6932</v>
      </c>
      <c r="I903" s="14" t="n">
        <v>6991</v>
      </c>
      <c r="J903" s="15" t="n">
        <f aca="false">I903/H903</f>
        <v>1.00851125216388</v>
      </c>
      <c r="K903" s="16" t="n">
        <f aca="false">ROUND(I903*J903^($F$8-1),0)</f>
        <v>6977</v>
      </c>
      <c r="L903" s="16" t="n">
        <f aca="false">ROUND(I903*J903^($F$9-1),0)</f>
        <v>6988</v>
      </c>
      <c r="M903" s="17" t="n">
        <f aca="false">G903*$F$7</f>
        <v>26190.2611790293</v>
      </c>
      <c r="N903" s="18" t="n">
        <f aca="false">F903/K903</f>
        <v>0.805073813960155</v>
      </c>
      <c r="O903" s="18" t="n">
        <f aca="false">G903/L903</f>
        <v>3.89066971951918</v>
      </c>
      <c r="P903" s="18" t="n">
        <f aca="false">M903/L903</f>
        <v>3.74789083844152</v>
      </c>
      <c r="Q903" s="19" t="n">
        <f aca="false">IF(N903=0,"n.a.",P903/N903-1)</f>
        <v>3.65533814844338</v>
      </c>
    </row>
    <row r="904" customFormat="false" ht="15" hidden="false" customHeight="false" outlineLevel="0" collapsed="false">
      <c r="A904" s="12" t="s">
        <v>2069</v>
      </c>
      <c r="B904" s="12" t="s">
        <v>1451</v>
      </c>
      <c r="C904" s="12" t="s">
        <v>1452</v>
      </c>
      <c r="D904" s="12" t="s">
        <v>2070</v>
      </c>
      <c r="E904" s="12" t="s">
        <v>2071</v>
      </c>
      <c r="F904" s="13" t="n">
        <v>11610</v>
      </c>
      <c r="G904" s="13" t="n">
        <v>11040</v>
      </c>
      <c r="H904" s="14" t="n">
        <v>985</v>
      </c>
      <c r="I904" s="14" t="n">
        <v>868</v>
      </c>
      <c r="J904" s="15" t="n">
        <f aca="false">I904/H904</f>
        <v>0.881218274111675</v>
      </c>
      <c r="K904" s="16" t="n">
        <f aca="false">ROUND(I904*J904^($F$8-1),0)</f>
        <v>894</v>
      </c>
      <c r="L904" s="16" t="n">
        <f aca="false">ROUND(I904*J904^($F$9-1),0)</f>
        <v>874</v>
      </c>
      <c r="M904" s="17" t="n">
        <f aca="false">G904*$F$7</f>
        <v>10634.8566800237</v>
      </c>
      <c r="N904" s="18" t="n">
        <f aca="false">F904/K904</f>
        <v>12.9865771812081</v>
      </c>
      <c r="O904" s="18" t="n">
        <f aca="false">G904/L904</f>
        <v>12.6315789473684</v>
      </c>
      <c r="P904" s="18" t="n">
        <f aca="false">M904/L904</f>
        <v>12.1680282380134</v>
      </c>
      <c r="Q904" s="19" t="n">
        <f aca="false">IF(N904=0,"n.a.",P904/N904-1)</f>
        <v>-0.0630303837395403</v>
      </c>
    </row>
    <row r="905" customFormat="false" ht="15" hidden="false" customHeight="false" outlineLevel="0" collapsed="false">
      <c r="A905" s="12" t="s">
        <v>2072</v>
      </c>
      <c r="B905" s="12" t="s">
        <v>1451</v>
      </c>
      <c r="C905" s="12" t="s">
        <v>1452</v>
      </c>
      <c r="D905" s="12" t="s">
        <v>2073</v>
      </c>
      <c r="E905" s="12" t="s">
        <v>2074</v>
      </c>
      <c r="F905" s="13" t="n">
        <v>1004</v>
      </c>
      <c r="G905" s="13" t="n">
        <v>2008</v>
      </c>
      <c r="H905" s="14" t="n">
        <v>3184</v>
      </c>
      <c r="I905" s="14" t="n">
        <v>2829</v>
      </c>
      <c r="J905" s="15" t="n">
        <f aca="false">I905/H905</f>
        <v>0.888505025125628</v>
      </c>
      <c r="K905" s="16" t="n">
        <f aca="false">ROUND(I905*J905^($F$8-1),0)</f>
        <v>2907</v>
      </c>
      <c r="L905" s="16" t="n">
        <f aca="false">ROUND(I905*J905^($F$9-1),0)</f>
        <v>2846</v>
      </c>
      <c r="M905" s="17" t="n">
        <f aca="false">G905*$F$7</f>
        <v>1934.31088890286</v>
      </c>
      <c r="N905" s="18" t="n">
        <f aca="false">F905/K905</f>
        <v>0.345373237014104</v>
      </c>
      <c r="O905" s="18" t="n">
        <f aca="false">G905/L905</f>
        <v>0.705551651440618</v>
      </c>
      <c r="P905" s="18" t="n">
        <f aca="false">M905/L905</f>
        <v>0.67965948310009</v>
      </c>
      <c r="Q905" s="19" t="n">
        <f aca="false">IF(N905=0,"n.a.",P905/N905-1)</f>
        <v>0.967898523278846</v>
      </c>
    </row>
    <row r="906" customFormat="false" ht="15" hidden="false" customHeight="false" outlineLevel="0" collapsed="false">
      <c r="A906" s="12" t="s">
        <v>2075</v>
      </c>
      <c r="B906" s="12" t="s">
        <v>1451</v>
      </c>
      <c r="C906" s="12" t="s">
        <v>1452</v>
      </c>
      <c r="D906" s="12" t="s">
        <v>2076</v>
      </c>
      <c r="E906" s="12" t="s">
        <v>2077</v>
      </c>
      <c r="F906" s="13" t="n">
        <v>0</v>
      </c>
      <c r="G906" s="13" t="n">
        <v>0</v>
      </c>
      <c r="H906" s="14" t="n">
        <v>2079</v>
      </c>
      <c r="I906" s="14" t="n">
        <v>2025</v>
      </c>
      <c r="J906" s="15" t="n">
        <f aca="false">I906/H906</f>
        <v>0.974025974025974</v>
      </c>
      <c r="K906" s="16" t="n">
        <f aca="false">ROUND(I906*J906^($F$8-1),0)</f>
        <v>2037</v>
      </c>
      <c r="L906" s="16" t="n">
        <f aca="false">ROUND(I906*J906^($F$9-1),0)</f>
        <v>2028</v>
      </c>
      <c r="M906" s="17" t="n">
        <f aca="false">G906*$F$7</f>
        <v>0</v>
      </c>
      <c r="N906" s="18" t="n">
        <f aca="false">F906/K906</f>
        <v>0</v>
      </c>
      <c r="O906" s="18" t="n">
        <f aca="false">G906/L906</f>
        <v>0</v>
      </c>
      <c r="P906" s="18" t="n">
        <f aca="false">M906/L906</f>
        <v>0</v>
      </c>
      <c r="Q906" s="19" t="str">
        <f aca="false">IF(N906=0,"n.a.",P906/N906-1)</f>
        <v>n.a.</v>
      </c>
    </row>
    <row r="907" customFormat="false" ht="15" hidden="false" customHeight="false" outlineLevel="0" collapsed="false">
      <c r="A907" s="12" t="s">
        <v>2078</v>
      </c>
      <c r="B907" s="12" t="s">
        <v>1451</v>
      </c>
      <c r="C907" s="12" t="s">
        <v>1452</v>
      </c>
      <c r="D907" s="12" t="s">
        <v>2079</v>
      </c>
      <c r="E907" s="12" t="s">
        <v>2080</v>
      </c>
      <c r="F907" s="13" t="n">
        <v>0</v>
      </c>
      <c r="G907" s="13" t="n">
        <v>0</v>
      </c>
      <c r="H907" s="14" t="n">
        <v>6711</v>
      </c>
      <c r="I907" s="14" t="n">
        <v>6599</v>
      </c>
      <c r="J907" s="15" t="n">
        <f aca="false">I907/H907</f>
        <v>0.9833109819699</v>
      </c>
      <c r="K907" s="16" t="n">
        <f aca="false">ROUND(I907*J907^($F$8-1),0)</f>
        <v>6625</v>
      </c>
      <c r="L907" s="16" t="n">
        <f aca="false">ROUND(I907*J907^($F$9-1),0)</f>
        <v>6605</v>
      </c>
      <c r="M907" s="17" t="n">
        <f aca="false">G907*$F$7</f>
        <v>0</v>
      </c>
      <c r="N907" s="18" t="n">
        <f aca="false">F907/K907</f>
        <v>0</v>
      </c>
      <c r="O907" s="18" t="n">
        <f aca="false">G907/L907</f>
        <v>0</v>
      </c>
      <c r="P907" s="18" t="n">
        <f aca="false">M907/L907</f>
        <v>0</v>
      </c>
      <c r="Q907" s="19" t="str">
        <f aca="false">IF(N907=0,"n.a.",P907/N907-1)</f>
        <v>n.a.</v>
      </c>
    </row>
    <row r="908" customFormat="false" ht="15" hidden="false" customHeight="false" outlineLevel="0" collapsed="false">
      <c r="A908" s="12" t="s">
        <v>2081</v>
      </c>
      <c r="B908" s="12" t="s">
        <v>1451</v>
      </c>
      <c r="C908" s="12" t="s">
        <v>1452</v>
      </c>
      <c r="D908" s="12" t="s">
        <v>2082</v>
      </c>
      <c r="E908" s="12" t="s">
        <v>2083</v>
      </c>
      <c r="F908" s="13" t="n">
        <v>376307</v>
      </c>
      <c r="G908" s="13" t="n">
        <v>265668</v>
      </c>
      <c r="H908" s="14" t="n">
        <v>8551</v>
      </c>
      <c r="I908" s="14" t="n">
        <v>8588</v>
      </c>
      <c r="J908" s="15" t="n">
        <f aca="false">I908/H908</f>
        <v>1.00432697930067</v>
      </c>
      <c r="K908" s="16" t="n">
        <f aca="false">ROUND(I908*J908^($F$8-1),0)</f>
        <v>8579</v>
      </c>
      <c r="L908" s="16" t="n">
        <f aca="false">ROUND(I908*J908^($F$9-1),0)</f>
        <v>8586</v>
      </c>
      <c r="M908" s="17" t="n">
        <f aca="false">G908*$F$7</f>
        <v>255918.578303309</v>
      </c>
      <c r="N908" s="18" t="n">
        <f aca="false">F908/K908</f>
        <v>43.8637370322881</v>
      </c>
      <c r="O908" s="18" t="n">
        <f aca="false">G908/L908</f>
        <v>30.941998602376</v>
      </c>
      <c r="P908" s="18" t="n">
        <f aca="false">M908/L908</f>
        <v>29.8064964247972</v>
      </c>
      <c r="Q908" s="19" t="n">
        <f aca="false">IF(N908=0,"n.a.",P908/N908-1)</f>
        <v>-0.320475216171012</v>
      </c>
    </row>
    <row r="909" customFormat="false" ht="15" hidden="false" customHeight="false" outlineLevel="0" collapsed="false">
      <c r="A909" s="12" t="s">
        <v>2084</v>
      </c>
      <c r="B909" s="12" t="s">
        <v>1451</v>
      </c>
      <c r="C909" s="12" t="s">
        <v>1452</v>
      </c>
      <c r="D909" s="12" t="s">
        <v>2085</v>
      </c>
      <c r="E909" s="12" t="s">
        <v>2086</v>
      </c>
      <c r="F909" s="13" t="n">
        <v>3421</v>
      </c>
      <c r="G909" s="13" t="n">
        <v>4142</v>
      </c>
      <c r="H909" s="14" t="n">
        <v>245</v>
      </c>
      <c r="I909" s="14" t="n">
        <v>200</v>
      </c>
      <c r="J909" s="15" t="n">
        <f aca="false">I909/H909</f>
        <v>0.816326530612245</v>
      </c>
      <c r="K909" s="16" t="n">
        <f aca="false">ROUND(I909*J909^($F$8-1),0)</f>
        <v>210</v>
      </c>
      <c r="L909" s="16" t="n">
        <f aca="false">ROUND(I909*J909^($F$9-1),0)</f>
        <v>202</v>
      </c>
      <c r="M909" s="17" t="n">
        <f aca="false">G909*$F$7</f>
        <v>3989.99785947989</v>
      </c>
      <c r="N909" s="18" t="n">
        <f aca="false">F909/K909</f>
        <v>16.2904761904762</v>
      </c>
      <c r="O909" s="18" t="n">
        <f aca="false">G909/L909</f>
        <v>20.5049504950495</v>
      </c>
      <c r="P909" s="18" t="n">
        <f aca="false">M909/L909</f>
        <v>19.7524646508906</v>
      </c>
      <c r="Q909" s="19" t="n">
        <f aca="false">IF(N909=0,"n.a.",P909/N909-1)</f>
        <v>0.212516099586968</v>
      </c>
    </row>
    <row r="910" customFormat="false" ht="15" hidden="false" customHeight="false" outlineLevel="0" collapsed="false">
      <c r="A910" s="12" t="s">
        <v>2087</v>
      </c>
      <c r="B910" s="12" t="s">
        <v>1451</v>
      </c>
      <c r="C910" s="12" t="s">
        <v>1452</v>
      </c>
      <c r="D910" s="12" t="s">
        <v>2088</v>
      </c>
      <c r="E910" s="12" t="s">
        <v>2089</v>
      </c>
      <c r="F910" s="13" t="n">
        <v>215711</v>
      </c>
      <c r="G910" s="13" t="n">
        <v>392708</v>
      </c>
      <c r="H910" s="14" t="n">
        <v>1149</v>
      </c>
      <c r="I910" s="14" t="n">
        <v>1125</v>
      </c>
      <c r="J910" s="15" t="n">
        <f aca="false">I910/H910</f>
        <v>0.97911227154047</v>
      </c>
      <c r="K910" s="16" t="n">
        <f aca="false">ROUND(I910*J910^($F$8-1),0)</f>
        <v>1130</v>
      </c>
      <c r="L910" s="16" t="n">
        <f aca="false">ROUND(I910*J910^($F$9-1),0)</f>
        <v>1126</v>
      </c>
      <c r="M910" s="17" t="n">
        <f aca="false">G910*$F$7</f>
        <v>378296.494302422</v>
      </c>
      <c r="N910" s="18" t="n">
        <f aca="false">F910/K910</f>
        <v>190.894690265487</v>
      </c>
      <c r="O910" s="18" t="n">
        <f aca="false">G910/L910</f>
        <v>348.763765541741</v>
      </c>
      <c r="P910" s="18" t="n">
        <f aca="false">M910/L910</f>
        <v>335.964915011032</v>
      </c>
      <c r="Q910" s="19" t="n">
        <f aca="false">IF(N910=0,"n.a.",P910/N910-1)</f>
        <v>0.759948977856789</v>
      </c>
    </row>
    <row r="911" customFormat="false" ht="15" hidden="false" customHeight="false" outlineLevel="0" collapsed="false">
      <c r="A911" s="12" t="s">
        <v>2090</v>
      </c>
      <c r="B911" s="12" t="s">
        <v>1451</v>
      </c>
      <c r="C911" s="12" t="s">
        <v>1452</v>
      </c>
      <c r="D911" s="12" t="s">
        <v>2091</v>
      </c>
      <c r="E911" s="12" t="s">
        <v>2092</v>
      </c>
      <c r="F911" s="13" t="n">
        <v>0</v>
      </c>
      <c r="G911" s="13" t="n">
        <v>0</v>
      </c>
      <c r="H911" s="14" t="n">
        <v>4218</v>
      </c>
      <c r="I911" s="14" t="n">
        <v>3684</v>
      </c>
      <c r="J911" s="15" t="n">
        <f aca="false">I911/H911</f>
        <v>0.873399715504979</v>
      </c>
      <c r="K911" s="16" t="n">
        <f aca="false">ROUND(I911*J911^($F$8-1),0)</f>
        <v>3801</v>
      </c>
      <c r="L911" s="16" t="n">
        <f aca="false">ROUND(I911*J911^($F$9-1),0)</f>
        <v>3710</v>
      </c>
      <c r="M911" s="17" t="n">
        <f aca="false">G911*$F$7</f>
        <v>0</v>
      </c>
      <c r="N911" s="18" t="n">
        <f aca="false">F911/K911</f>
        <v>0</v>
      </c>
      <c r="O911" s="18" t="n">
        <f aca="false">G911/L911</f>
        <v>0</v>
      </c>
      <c r="P911" s="18" t="n">
        <f aca="false">M911/L911</f>
        <v>0</v>
      </c>
      <c r="Q911" s="19" t="str">
        <f aca="false">IF(N911=0,"n.a.",P911/N911-1)</f>
        <v>n.a.</v>
      </c>
    </row>
    <row r="912" customFormat="false" ht="15" hidden="false" customHeight="false" outlineLevel="0" collapsed="false">
      <c r="A912" s="12" t="s">
        <v>2093</v>
      </c>
      <c r="B912" s="12" t="s">
        <v>1451</v>
      </c>
      <c r="C912" s="12" t="s">
        <v>1452</v>
      </c>
      <c r="D912" s="12" t="s">
        <v>2094</v>
      </c>
      <c r="E912" s="12" t="s">
        <v>2095</v>
      </c>
      <c r="F912" s="13" t="n">
        <v>0</v>
      </c>
      <c r="G912" s="13" t="n">
        <v>2800</v>
      </c>
      <c r="H912" s="14" t="n">
        <v>1231</v>
      </c>
      <c r="I912" s="14" t="n">
        <v>1178</v>
      </c>
      <c r="J912" s="15" t="n">
        <f aca="false">I912/H912</f>
        <v>0.956945572705118</v>
      </c>
      <c r="K912" s="16" t="n">
        <f aca="false">ROUND(I912*J912^($F$8-1),0)</f>
        <v>1190</v>
      </c>
      <c r="L912" s="16" t="n">
        <f aca="false">ROUND(I912*J912^($F$9-1),0)</f>
        <v>1181</v>
      </c>
      <c r="M912" s="17" t="n">
        <f aca="false">G912*$F$7</f>
        <v>2697.24625942629</v>
      </c>
      <c r="N912" s="18" t="n">
        <f aca="false">F912/K912</f>
        <v>0</v>
      </c>
      <c r="O912" s="18" t="n">
        <f aca="false">G912/L912</f>
        <v>2.37087214225233</v>
      </c>
      <c r="P912" s="18" t="n">
        <f aca="false">M912/L912</f>
        <v>2.28386643473861</v>
      </c>
      <c r="Q912" s="19" t="str">
        <f aca="false">IF(N912=0,"n.a.",P912/N912-1)</f>
        <v>n.a.</v>
      </c>
    </row>
    <row r="913" customFormat="false" ht="15" hidden="false" customHeight="false" outlineLevel="0" collapsed="false">
      <c r="A913" s="12" t="s">
        <v>2096</v>
      </c>
      <c r="B913" s="12" t="s">
        <v>1451</v>
      </c>
      <c r="C913" s="12" t="s">
        <v>1452</v>
      </c>
      <c r="D913" s="12" t="s">
        <v>2097</v>
      </c>
      <c r="E913" s="12" t="s">
        <v>2098</v>
      </c>
      <c r="F913" s="13" t="n">
        <v>0</v>
      </c>
      <c r="G913" s="13" t="n">
        <v>0</v>
      </c>
      <c r="H913" s="14" t="n">
        <v>3142</v>
      </c>
      <c r="I913" s="14" t="n">
        <v>2892</v>
      </c>
      <c r="J913" s="15" t="n">
        <f aca="false">I913/H913</f>
        <v>0.920432845321451</v>
      </c>
      <c r="K913" s="16" t="n">
        <f aca="false">ROUND(I913*J913^($F$8-1),0)</f>
        <v>2948</v>
      </c>
      <c r="L913" s="16" t="n">
        <f aca="false">ROUND(I913*J913^($F$9-1),0)</f>
        <v>2904</v>
      </c>
      <c r="M913" s="17" t="n">
        <f aca="false">G913*$F$7</f>
        <v>0</v>
      </c>
      <c r="N913" s="18" t="n">
        <f aca="false">F913/K913</f>
        <v>0</v>
      </c>
      <c r="O913" s="18" t="n">
        <f aca="false">G913/L913</f>
        <v>0</v>
      </c>
      <c r="P913" s="18" t="n">
        <f aca="false">M913/L913</f>
        <v>0</v>
      </c>
      <c r="Q913" s="19" t="str">
        <f aca="false">IF(N913=0,"n.a.",P913/N913-1)</f>
        <v>n.a.</v>
      </c>
    </row>
    <row r="914" customFormat="false" ht="15" hidden="false" customHeight="false" outlineLevel="0" collapsed="false">
      <c r="A914" s="12" t="s">
        <v>2099</v>
      </c>
      <c r="B914" s="12" t="s">
        <v>1451</v>
      </c>
      <c r="C914" s="12" t="s">
        <v>1452</v>
      </c>
      <c r="D914" s="12" t="s">
        <v>2100</v>
      </c>
      <c r="E914" s="12" t="s">
        <v>2101</v>
      </c>
      <c r="F914" s="13" t="n">
        <v>2460</v>
      </c>
      <c r="G914" s="13" t="n">
        <v>6951</v>
      </c>
      <c r="H914" s="14" t="n">
        <v>6250</v>
      </c>
      <c r="I914" s="14" t="n">
        <v>5989</v>
      </c>
      <c r="J914" s="15" t="n">
        <f aca="false">I914/H914</f>
        <v>0.95824</v>
      </c>
      <c r="K914" s="16" t="n">
        <f aca="false">ROUND(I914*J914^($F$8-1),0)</f>
        <v>6048</v>
      </c>
      <c r="L914" s="16" t="n">
        <f aca="false">ROUND(I914*J914^($F$9-1),0)</f>
        <v>6002</v>
      </c>
      <c r="M914" s="17" t="n">
        <f aca="false">G914*$F$7</f>
        <v>6695.91383902577</v>
      </c>
      <c r="N914" s="18" t="n">
        <f aca="false">F914/K914</f>
        <v>0.406746031746032</v>
      </c>
      <c r="O914" s="18" t="n">
        <f aca="false">G914/L914</f>
        <v>1.15811396201266</v>
      </c>
      <c r="P914" s="18" t="n">
        <f aca="false">M914/L914</f>
        <v>1.11561376858144</v>
      </c>
      <c r="Q914" s="19" t="n">
        <f aca="false">IF(N914=0,"n.a.",P914/N914-1)</f>
        <v>1.74277726519533</v>
      </c>
    </row>
    <row r="915" customFormat="false" ht="15" hidden="false" customHeight="false" outlineLevel="0" collapsed="false">
      <c r="A915" s="12" t="s">
        <v>2102</v>
      </c>
      <c r="B915" s="12" t="s">
        <v>1451</v>
      </c>
      <c r="C915" s="12" t="s">
        <v>1452</v>
      </c>
      <c r="D915" s="12" t="s">
        <v>2103</v>
      </c>
      <c r="E915" s="12" t="s">
        <v>2104</v>
      </c>
      <c r="F915" s="13" t="n">
        <v>0</v>
      </c>
      <c r="G915" s="13" t="n">
        <v>0</v>
      </c>
      <c r="H915" s="14" t="n">
        <v>3769</v>
      </c>
      <c r="I915" s="14" t="n">
        <v>3077</v>
      </c>
      <c r="J915" s="15" t="n">
        <f aca="false">I915/H915</f>
        <v>0.816396922260547</v>
      </c>
      <c r="K915" s="16" t="n">
        <f aca="false">ROUND(I915*J915^($F$8-1),0)</f>
        <v>3225</v>
      </c>
      <c r="L915" s="16" t="n">
        <f aca="false">ROUND(I915*J915^($F$9-1),0)</f>
        <v>3110</v>
      </c>
      <c r="M915" s="17" t="n">
        <f aca="false">G915*$F$7</f>
        <v>0</v>
      </c>
      <c r="N915" s="18" t="n">
        <f aca="false">F915/K915</f>
        <v>0</v>
      </c>
      <c r="O915" s="18" t="n">
        <f aca="false">G915/L915</f>
        <v>0</v>
      </c>
      <c r="P915" s="18" t="n">
        <f aca="false">M915/L915</f>
        <v>0</v>
      </c>
      <c r="Q915" s="19" t="str">
        <f aca="false">IF(N915=0,"n.a.",P915/N915-1)</f>
        <v>n.a.</v>
      </c>
    </row>
    <row r="916" customFormat="false" ht="15" hidden="false" customHeight="false" outlineLevel="0" collapsed="false">
      <c r="A916" s="12" t="s">
        <v>2105</v>
      </c>
      <c r="B916" s="12" t="s">
        <v>1451</v>
      </c>
      <c r="C916" s="12" t="s">
        <v>1452</v>
      </c>
      <c r="D916" s="12" t="s">
        <v>2106</v>
      </c>
      <c r="E916" s="12" t="s">
        <v>2107</v>
      </c>
      <c r="F916" s="13" t="n">
        <v>26624</v>
      </c>
      <c r="G916" s="13" t="n">
        <v>14626</v>
      </c>
      <c r="H916" s="14" t="n">
        <v>1274</v>
      </c>
      <c r="I916" s="14" t="n">
        <v>1234</v>
      </c>
      <c r="J916" s="15" t="n">
        <f aca="false">I916/H916</f>
        <v>0.968602825745683</v>
      </c>
      <c r="K916" s="16" t="n">
        <f aca="false">ROUND(I916*J916^($F$8-1),0)</f>
        <v>1243</v>
      </c>
      <c r="L916" s="16" t="n">
        <f aca="false">ROUND(I916*J916^($F$9-1),0)</f>
        <v>1236</v>
      </c>
      <c r="M916" s="17" t="n">
        <f aca="false">G916*$F$7</f>
        <v>14089.2584965603</v>
      </c>
      <c r="N916" s="18" t="n">
        <f aca="false">F916/K916</f>
        <v>21.419147224457</v>
      </c>
      <c r="O916" s="18" t="n">
        <f aca="false">G916/L916</f>
        <v>11.8333333333333</v>
      </c>
      <c r="P916" s="18" t="n">
        <f aca="false">M916/L916</f>
        <v>11.3990764535278</v>
      </c>
      <c r="Q916" s="19" t="n">
        <f aca="false">IF(N916=0,"n.a.",P916/N916-1)</f>
        <v>-0.467809043279183</v>
      </c>
    </row>
    <row r="917" customFormat="false" ht="15" hidden="false" customHeight="false" outlineLevel="0" collapsed="false">
      <c r="A917" s="12" t="s">
        <v>2108</v>
      </c>
      <c r="B917" s="12" t="s">
        <v>1451</v>
      </c>
      <c r="C917" s="12" t="s">
        <v>1452</v>
      </c>
      <c r="D917" s="12" t="s">
        <v>2109</v>
      </c>
      <c r="E917" s="12" t="s">
        <v>2110</v>
      </c>
      <c r="F917" s="13" t="n">
        <v>0</v>
      </c>
      <c r="G917" s="13" t="n">
        <v>0</v>
      </c>
      <c r="H917" s="14" t="n">
        <v>7285</v>
      </c>
      <c r="I917" s="14" t="n">
        <v>8135</v>
      </c>
      <c r="J917" s="15" t="n">
        <f aca="false">I917/H917</f>
        <v>1.11667810569664</v>
      </c>
      <c r="K917" s="16" t="n">
        <f aca="false">ROUND(I917*J917^($F$8-1),0)</f>
        <v>7930</v>
      </c>
      <c r="L917" s="16" t="n">
        <f aca="false">ROUND(I917*J917^($F$9-1),0)</f>
        <v>8088</v>
      </c>
      <c r="M917" s="17" t="n">
        <f aca="false">G917*$F$7</f>
        <v>0</v>
      </c>
      <c r="N917" s="18" t="n">
        <f aca="false">F917/K917</f>
        <v>0</v>
      </c>
      <c r="O917" s="18" t="n">
        <f aca="false">G917/L917</f>
        <v>0</v>
      </c>
      <c r="P917" s="18" t="n">
        <f aca="false">M917/L917</f>
        <v>0</v>
      </c>
      <c r="Q917" s="19" t="str">
        <f aca="false">IF(N917=0,"n.a.",P917/N917-1)</f>
        <v>n.a.</v>
      </c>
    </row>
    <row r="918" customFormat="false" ht="15" hidden="false" customHeight="false" outlineLevel="0" collapsed="false">
      <c r="A918" s="12" t="s">
        <v>2111</v>
      </c>
      <c r="B918" s="12" t="s">
        <v>1451</v>
      </c>
      <c r="C918" s="12" t="s">
        <v>1452</v>
      </c>
      <c r="D918" s="12" t="s">
        <v>2112</v>
      </c>
      <c r="E918" s="12" t="s">
        <v>2113</v>
      </c>
      <c r="F918" s="13" t="n">
        <v>1242</v>
      </c>
      <c r="G918" s="13" t="n">
        <v>28183</v>
      </c>
      <c r="H918" s="14" t="n">
        <v>691</v>
      </c>
      <c r="I918" s="14" t="n">
        <v>665</v>
      </c>
      <c r="J918" s="15" t="n">
        <f aca="false">I918/H918</f>
        <v>0.962373371924747</v>
      </c>
      <c r="K918" s="16" t="n">
        <f aca="false">ROUND(I918*J918^($F$8-1),0)</f>
        <v>671</v>
      </c>
      <c r="L918" s="16" t="n">
        <f aca="false">ROUND(I918*J918^($F$9-1),0)</f>
        <v>666</v>
      </c>
      <c r="M918" s="17" t="n">
        <f aca="false">G918*$F$7</f>
        <v>27148.7469033612</v>
      </c>
      <c r="N918" s="18" t="n">
        <f aca="false">F918/K918</f>
        <v>1.85096870342772</v>
      </c>
      <c r="O918" s="18" t="n">
        <f aca="false">G918/L918</f>
        <v>42.3168168168168</v>
      </c>
      <c r="P918" s="18" t="n">
        <f aca="false">M918/L918</f>
        <v>40.763884239281</v>
      </c>
      <c r="Q918" s="19" t="n">
        <f aca="false">IF(N918=0,"n.a.",P918/N918-1)</f>
        <v>21.0230002613185</v>
      </c>
    </row>
    <row r="919" customFormat="false" ht="15" hidden="false" customHeight="false" outlineLevel="0" collapsed="false">
      <c r="A919" s="12" t="s">
        <v>2114</v>
      </c>
      <c r="B919" s="12" t="s">
        <v>1451</v>
      </c>
      <c r="C919" s="12" t="s">
        <v>1452</v>
      </c>
      <c r="D919" s="12" t="s">
        <v>2115</v>
      </c>
      <c r="E919" s="12" t="s">
        <v>2116</v>
      </c>
      <c r="F919" s="13" t="n">
        <v>71191</v>
      </c>
      <c r="G919" s="13" t="n">
        <v>343690</v>
      </c>
      <c r="H919" s="14" t="n">
        <v>12350</v>
      </c>
      <c r="I919" s="14" t="n">
        <v>12801</v>
      </c>
      <c r="J919" s="15" t="n">
        <f aca="false">I919/H919</f>
        <v>1.03651821862348</v>
      </c>
      <c r="K919" s="16" t="n">
        <f aca="false">ROUND(I919*J919^($F$8-1),0)</f>
        <v>12695</v>
      </c>
      <c r="L919" s="16" t="n">
        <f aca="false">ROUND(I919*J919^($F$9-1),0)</f>
        <v>12777</v>
      </c>
      <c r="M919" s="17" t="n">
        <f aca="false">G919*$F$7</f>
        <v>331077.345322222</v>
      </c>
      <c r="N919" s="18" t="n">
        <f aca="false">F919/K919</f>
        <v>5.60779834580544</v>
      </c>
      <c r="O919" s="18" t="n">
        <f aca="false">G919/L919</f>
        <v>26.8991155983408</v>
      </c>
      <c r="P919" s="18" t="n">
        <f aca="false">M919/L919</f>
        <v>25.9119781891072</v>
      </c>
      <c r="Q919" s="19" t="n">
        <f aca="false">IF(N919=0,"n.a.",P919/N919-1)</f>
        <v>3.6207043462055</v>
      </c>
    </row>
    <row r="920" customFormat="false" ht="15" hidden="false" customHeight="false" outlineLevel="0" collapsed="false">
      <c r="A920" s="12" t="s">
        <v>2117</v>
      </c>
      <c r="B920" s="12" t="s">
        <v>1451</v>
      </c>
      <c r="C920" s="12" t="s">
        <v>1452</v>
      </c>
      <c r="D920" s="12" t="s">
        <v>2118</v>
      </c>
      <c r="E920" s="12" t="s">
        <v>2119</v>
      </c>
      <c r="F920" s="13" t="n">
        <v>838547</v>
      </c>
      <c r="G920" s="13" t="n">
        <v>832089</v>
      </c>
      <c r="H920" s="14" t="n">
        <v>38529</v>
      </c>
      <c r="I920" s="14" t="n">
        <v>41525</v>
      </c>
      <c r="J920" s="15" t="n">
        <f aca="false">I920/H920</f>
        <v>1.07775960964468</v>
      </c>
      <c r="K920" s="16" t="n">
        <f aca="false">ROUND(I920*J920^($F$8-1),0)</f>
        <v>40813</v>
      </c>
      <c r="L920" s="16" t="n">
        <f aca="false">ROUND(I920*J920^($F$9-1),0)</f>
        <v>41364</v>
      </c>
      <c r="M920" s="17" t="n">
        <f aca="false">G920*$F$7</f>
        <v>801553.193842773</v>
      </c>
      <c r="N920" s="18" t="n">
        <f aca="false">F920/K920</f>
        <v>20.5460760051944</v>
      </c>
      <c r="O920" s="18" t="n">
        <f aca="false">G920/L920</f>
        <v>20.1162605163911</v>
      </c>
      <c r="P920" s="18" t="n">
        <f aca="false">M920/L920</f>
        <v>19.3780387255288</v>
      </c>
      <c r="Q920" s="19" t="n">
        <f aca="false">IF(N920=0,"n.a.",P920/N920-1)</f>
        <v>-0.0568496524285379</v>
      </c>
    </row>
    <row r="921" customFormat="false" ht="15" hidden="false" customHeight="false" outlineLevel="0" collapsed="false">
      <c r="A921" s="12" t="s">
        <v>2120</v>
      </c>
      <c r="B921" s="12" t="s">
        <v>1451</v>
      </c>
      <c r="C921" s="12" t="s">
        <v>1452</v>
      </c>
      <c r="D921" s="12" t="s">
        <v>2121</v>
      </c>
      <c r="E921" s="12" t="s">
        <v>2122</v>
      </c>
      <c r="F921" s="13" t="n">
        <v>15664</v>
      </c>
      <c r="G921" s="13" t="n">
        <v>0</v>
      </c>
      <c r="H921" s="14" t="n">
        <v>2900</v>
      </c>
      <c r="I921" s="14" t="n">
        <v>2692</v>
      </c>
      <c r="J921" s="15" t="n">
        <f aca="false">I921/H921</f>
        <v>0.928275862068966</v>
      </c>
      <c r="K921" s="16" t="n">
        <f aca="false">ROUND(I921*J921^($F$8-1),0)</f>
        <v>2739</v>
      </c>
      <c r="L921" s="16" t="n">
        <f aca="false">ROUND(I921*J921^($F$9-1),0)</f>
        <v>2702</v>
      </c>
      <c r="M921" s="17" t="n">
        <f aca="false">G921*$F$7</f>
        <v>0</v>
      </c>
      <c r="N921" s="18" t="n">
        <f aca="false">F921/K921</f>
        <v>5.71887550200803</v>
      </c>
      <c r="O921" s="18" t="n">
        <f aca="false">G921/L921</f>
        <v>0</v>
      </c>
      <c r="P921" s="18" t="n">
        <f aca="false">M921/L921</f>
        <v>0</v>
      </c>
      <c r="Q921" s="19" t="n">
        <f aca="false">IF(N921=0,"n.a.",P921/N921-1)</f>
        <v>-1</v>
      </c>
    </row>
    <row r="922" customFormat="false" ht="15" hidden="false" customHeight="false" outlineLevel="0" collapsed="false">
      <c r="A922" s="12" t="s">
        <v>2123</v>
      </c>
      <c r="B922" s="12" t="s">
        <v>1451</v>
      </c>
      <c r="C922" s="12" t="s">
        <v>1452</v>
      </c>
      <c r="D922" s="12" t="s">
        <v>2124</v>
      </c>
      <c r="E922" s="12" t="s">
        <v>2125</v>
      </c>
      <c r="F922" s="13" t="n">
        <v>49299</v>
      </c>
      <c r="G922" s="13" t="n">
        <v>36177</v>
      </c>
      <c r="H922" s="14" t="n">
        <v>2011</v>
      </c>
      <c r="I922" s="14" t="n">
        <v>1816</v>
      </c>
      <c r="J922" s="15" t="n">
        <f aca="false">I922/H922</f>
        <v>0.903033316757832</v>
      </c>
      <c r="K922" s="16" t="n">
        <f aca="false">ROUND(I922*J922^($F$8-1),0)</f>
        <v>1859</v>
      </c>
      <c r="L922" s="16" t="n">
        <f aca="false">ROUND(I922*J922^($F$9-1),0)</f>
        <v>1826</v>
      </c>
      <c r="M922" s="17" t="n">
        <f aca="false">G922*$F$7</f>
        <v>34849.3849740232</v>
      </c>
      <c r="N922" s="18" t="n">
        <f aca="false">F922/K922</f>
        <v>26.5190962883271</v>
      </c>
      <c r="O922" s="18" t="n">
        <f aca="false">G922/L922</f>
        <v>19.8121577217963</v>
      </c>
      <c r="P922" s="18" t="n">
        <f aca="false">M922/L922</f>
        <v>19.085095823671</v>
      </c>
      <c r="Q922" s="19" t="n">
        <f aca="false">IF(N922=0,"n.a.",P922/N922-1)</f>
        <v>-0.280326312172572</v>
      </c>
    </row>
    <row r="923" customFormat="false" ht="15" hidden="false" customHeight="false" outlineLevel="0" collapsed="false">
      <c r="A923" s="12" t="s">
        <v>2126</v>
      </c>
      <c r="B923" s="12" t="s">
        <v>1451</v>
      </c>
      <c r="C923" s="12" t="s">
        <v>1452</v>
      </c>
      <c r="D923" s="12" t="s">
        <v>2127</v>
      </c>
      <c r="E923" s="12" t="s">
        <v>2128</v>
      </c>
      <c r="F923" s="13" t="n">
        <v>1109</v>
      </c>
      <c r="G923" s="13" t="n">
        <v>0</v>
      </c>
      <c r="H923" s="14" t="n">
        <v>305</v>
      </c>
      <c r="I923" s="14" t="n">
        <v>314</v>
      </c>
      <c r="J923" s="15" t="n">
        <f aca="false">I923/H923</f>
        <v>1.02950819672131</v>
      </c>
      <c r="K923" s="16" t="n">
        <f aca="false">ROUND(I923*J923^($F$8-1),0)</f>
        <v>312</v>
      </c>
      <c r="L923" s="16" t="n">
        <f aca="false">ROUND(I923*J923^($F$9-1),0)</f>
        <v>314</v>
      </c>
      <c r="M923" s="17" t="n">
        <f aca="false">G923*$F$7</f>
        <v>0</v>
      </c>
      <c r="N923" s="18" t="n">
        <f aca="false">F923/K923</f>
        <v>3.55448717948718</v>
      </c>
      <c r="O923" s="18" t="n">
        <f aca="false">G923/L923</f>
        <v>0</v>
      </c>
      <c r="P923" s="18" t="n">
        <f aca="false">M923/L923</f>
        <v>0</v>
      </c>
      <c r="Q923" s="19" t="n">
        <f aca="false">IF(N923=0,"n.a.",P923/N923-1)</f>
        <v>-1</v>
      </c>
    </row>
    <row r="924" customFormat="false" ht="15" hidden="false" customHeight="false" outlineLevel="0" collapsed="false">
      <c r="A924" s="12" t="s">
        <v>2129</v>
      </c>
      <c r="B924" s="12" t="s">
        <v>1451</v>
      </c>
      <c r="C924" s="12" t="s">
        <v>1452</v>
      </c>
      <c r="D924" s="12" t="s">
        <v>2130</v>
      </c>
      <c r="E924" s="12" t="s">
        <v>2131</v>
      </c>
      <c r="F924" s="13" t="n">
        <v>0</v>
      </c>
      <c r="G924" s="13" t="n">
        <v>0</v>
      </c>
      <c r="H924" s="14" t="n">
        <v>653</v>
      </c>
      <c r="I924" s="14" t="n">
        <v>681</v>
      </c>
      <c r="J924" s="15" t="n">
        <f aca="false">I924/H924</f>
        <v>1.04287901990812</v>
      </c>
      <c r="K924" s="16" t="n">
        <f aca="false">ROUND(I924*J924^($F$8-1),0)</f>
        <v>674</v>
      </c>
      <c r="L924" s="16" t="n">
        <f aca="false">ROUND(I924*J924^($F$9-1),0)</f>
        <v>680</v>
      </c>
      <c r="M924" s="17" t="n">
        <f aca="false">G924*$F$7</f>
        <v>0</v>
      </c>
      <c r="N924" s="18" t="n">
        <f aca="false">F924/K924</f>
        <v>0</v>
      </c>
      <c r="O924" s="18" t="n">
        <f aca="false">G924/L924</f>
        <v>0</v>
      </c>
      <c r="P924" s="18" t="n">
        <f aca="false">M924/L924</f>
        <v>0</v>
      </c>
      <c r="Q924" s="19" t="str">
        <f aca="false">IF(N924=0,"n.a.",P924/N924-1)</f>
        <v>n.a.</v>
      </c>
    </row>
    <row r="925" customFormat="false" ht="15" hidden="false" customHeight="false" outlineLevel="0" collapsed="false">
      <c r="A925" s="12" t="s">
        <v>2132</v>
      </c>
      <c r="B925" s="12" t="s">
        <v>1451</v>
      </c>
      <c r="C925" s="12" t="s">
        <v>1452</v>
      </c>
      <c r="D925" s="12" t="s">
        <v>2133</v>
      </c>
      <c r="E925" s="12" t="s">
        <v>2134</v>
      </c>
      <c r="F925" s="13" t="n">
        <v>15892</v>
      </c>
      <c r="G925" s="13" t="n">
        <v>26788</v>
      </c>
      <c r="H925" s="14" t="n">
        <v>1044</v>
      </c>
      <c r="I925" s="14" t="n">
        <v>1058</v>
      </c>
      <c r="J925" s="15" t="n">
        <f aca="false">I925/H925</f>
        <v>1.01340996168582</v>
      </c>
      <c r="K925" s="16" t="n">
        <f aca="false">ROUND(I925*J925^($F$8-1),0)</f>
        <v>1055</v>
      </c>
      <c r="L925" s="16" t="n">
        <f aca="false">ROUND(I925*J925^($F$9-1),0)</f>
        <v>1057</v>
      </c>
      <c r="M925" s="17" t="n">
        <f aca="false">G925*$F$7</f>
        <v>25804.9402848256</v>
      </c>
      <c r="N925" s="18" t="n">
        <f aca="false">F925/K925</f>
        <v>15.0635071090047</v>
      </c>
      <c r="O925" s="18" t="n">
        <f aca="false">G925/L925</f>
        <v>25.3434247871334</v>
      </c>
      <c r="P925" s="18" t="n">
        <f aca="false">M925/L925</f>
        <v>24.4133777529097</v>
      </c>
      <c r="Q925" s="19" t="n">
        <f aca="false">IF(N925=0,"n.a.",P925/N925-1)</f>
        <v>0.620696798975568</v>
      </c>
    </row>
    <row r="926" customFormat="false" ht="15" hidden="false" customHeight="false" outlineLevel="0" collapsed="false">
      <c r="A926" s="12" t="s">
        <v>2135</v>
      </c>
      <c r="B926" s="12" t="s">
        <v>1451</v>
      </c>
      <c r="C926" s="12" t="s">
        <v>1452</v>
      </c>
      <c r="D926" s="12" t="s">
        <v>2136</v>
      </c>
      <c r="E926" s="12" t="s">
        <v>2137</v>
      </c>
      <c r="F926" s="13" t="n">
        <v>36254</v>
      </c>
      <c r="G926" s="13" t="n">
        <v>9448</v>
      </c>
      <c r="H926" s="14" t="n">
        <v>3141</v>
      </c>
      <c r="I926" s="14" t="n">
        <v>2566</v>
      </c>
      <c r="J926" s="15" t="n">
        <f aca="false">I926/H926</f>
        <v>0.816937281120662</v>
      </c>
      <c r="K926" s="16" t="n">
        <f aca="false">ROUND(I926*J926^($F$8-1),0)</f>
        <v>2689</v>
      </c>
      <c r="L926" s="16" t="n">
        <f aca="false">ROUND(I926*J926^($F$9-1),0)</f>
        <v>2593</v>
      </c>
      <c r="M926" s="17" t="n">
        <f aca="false">G926*$F$7</f>
        <v>9101.27952109272</v>
      </c>
      <c r="N926" s="18" t="n">
        <f aca="false">F926/K926</f>
        <v>13.4823354406843</v>
      </c>
      <c r="O926" s="18" t="n">
        <f aca="false">G926/L926</f>
        <v>3.64365599691477</v>
      </c>
      <c r="P926" s="18" t="n">
        <f aca="false">M926/L926</f>
        <v>3.50994196725519</v>
      </c>
      <c r="Q926" s="19" t="n">
        <f aca="false">IF(N926=0,"n.a.",P926/N926-1)</f>
        <v>-0.739663652288045</v>
      </c>
    </row>
    <row r="927" customFormat="false" ht="15" hidden="false" customHeight="false" outlineLevel="0" collapsed="false">
      <c r="A927" s="12" t="s">
        <v>2138</v>
      </c>
      <c r="B927" s="12" t="s">
        <v>1451</v>
      </c>
      <c r="C927" s="12" t="s">
        <v>1452</v>
      </c>
      <c r="D927" s="12" t="s">
        <v>2139</v>
      </c>
      <c r="E927" s="12" t="s">
        <v>2140</v>
      </c>
      <c r="F927" s="13" t="n">
        <v>10422</v>
      </c>
      <c r="G927" s="13" t="n">
        <v>29684</v>
      </c>
      <c r="H927" s="14" t="n">
        <v>3668</v>
      </c>
      <c r="I927" s="14" t="n">
        <v>3545</v>
      </c>
      <c r="J927" s="15" t="n">
        <f aca="false">I927/H927</f>
        <v>0.966466739367503</v>
      </c>
      <c r="K927" s="16" t="n">
        <f aca="false">ROUND(I927*J927^($F$8-1),0)</f>
        <v>3573</v>
      </c>
      <c r="L927" s="16" t="n">
        <f aca="false">ROUND(I927*J927^($F$9-1),0)</f>
        <v>3551</v>
      </c>
      <c r="M927" s="17" t="n">
        <f aca="false">G927*$F$7</f>
        <v>28594.6635588607</v>
      </c>
      <c r="N927" s="18" t="n">
        <f aca="false">F927/K927</f>
        <v>2.9168765743073</v>
      </c>
      <c r="O927" s="18" t="n">
        <f aca="false">G927/L927</f>
        <v>8.3593353984793</v>
      </c>
      <c r="P927" s="18" t="n">
        <f aca="false">M927/L927</f>
        <v>8.05256647672789</v>
      </c>
      <c r="Q927" s="19" t="n">
        <f aca="false">IF(N927=0,"n.a.",P927/N927-1)</f>
        <v>1.76068125324782</v>
      </c>
    </row>
    <row r="928" customFormat="false" ht="15" hidden="false" customHeight="false" outlineLevel="0" collapsed="false">
      <c r="A928" s="12" t="s">
        <v>2141</v>
      </c>
      <c r="B928" s="12" t="s">
        <v>1451</v>
      </c>
      <c r="C928" s="12" t="s">
        <v>1452</v>
      </c>
      <c r="D928" s="12" t="s">
        <v>2142</v>
      </c>
      <c r="E928" s="12" t="s">
        <v>2143</v>
      </c>
      <c r="F928" s="13" t="n">
        <v>217500</v>
      </c>
      <c r="G928" s="13" t="n">
        <v>29033</v>
      </c>
      <c r="H928" s="14" t="n">
        <v>307</v>
      </c>
      <c r="I928" s="14" t="n">
        <v>301</v>
      </c>
      <c r="J928" s="15" t="n">
        <f aca="false">I928/H928</f>
        <v>0.980456026058632</v>
      </c>
      <c r="K928" s="16" t="n">
        <f aca="false">ROUND(I928*J928^($F$8-1),0)</f>
        <v>302</v>
      </c>
      <c r="L928" s="16" t="n">
        <f aca="false">ROUND(I928*J928^($F$9-1),0)</f>
        <v>301</v>
      </c>
      <c r="M928" s="17" t="n">
        <f aca="false">G928*$F$7</f>
        <v>27967.5538035441</v>
      </c>
      <c r="N928" s="18" t="n">
        <f aca="false">F928/K928</f>
        <v>720.198675496689</v>
      </c>
      <c r="O928" s="18" t="n">
        <f aca="false">G928/L928</f>
        <v>96.4551495016611</v>
      </c>
      <c r="P928" s="18" t="n">
        <f aca="false">M928/L928</f>
        <v>92.9154611413426</v>
      </c>
      <c r="Q928" s="19" t="n">
        <f aca="false">IF(N928=0,"n.a.",P928/N928-1)</f>
        <v>-0.870986348208343</v>
      </c>
    </row>
    <row r="929" customFormat="false" ht="15" hidden="false" customHeight="false" outlineLevel="0" collapsed="false">
      <c r="A929" s="12" t="s">
        <v>2144</v>
      </c>
      <c r="B929" s="12" t="s">
        <v>1451</v>
      </c>
      <c r="C929" s="12" t="s">
        <v>1452</v>
      </c>
      <c r="D929" s="12" t="s">
        <v>2145</v>
      </c>
      <c r="E929" s="12" t="s">
        <v>2146</v>
      </c>
      <c r="F929" s="13" t="n">
        <v>0</v>
      </c>
      <c r="G929" s="13" t="n">
        <v>0</v>
      </c>
      <c r="H929" s="14" t="n">
        <v>584</v>
      </c>
      <c r="I929" s="14" t="n">
        <v>660</v>
      </c>
      <c r="J929" s="15" t="n">
        <f aca="false">I929/H929</f>
        <v>1.13013698630137</v>
      </c>
      <c r="K929" s="16" t="n">
        <f aca="false">ROUND(I929*J929^($F$8-1),0)</f>
        <v>642</v>
      </c>
      <c r="L929" s="16" t="n">
        <f aca="false">ROUND(I929*J929^($F$9-1),0)</f>
        <v>656</v>
      </c>
      <c r="M929" s="17" t="n">
        <f aca="false">G929*$F$7</f>
        <v>0</v>
      </c>
      <c r="N929" s="18" t="n">
        <f aca="false">F929/K929</f>
        <v>0</v>
      </c>
      <c r="O929" s="18" t="n">
        <f aca="false">G929/L929</f>
        <v>0</v>
      </c>
      <c r="P929" s="18" t="n">
        <f aca="false">M929/L929</f>
        <v>0</v>
      </c>
      <c r="Q929" s="19" t="str">
        <f aca="false">IF(N929=0,"n.a.",P929/N929-1)</f>
        <v>n.a.</v>
      </c>
    </row>
    <row r="930" customFormat="false" ht="15" hidden="false" customHeight="false" outlineLevel="0" collapsed="false">
      <c r="A930" s="12" t="s">
        <v>2147</v>
      </c>
      <c r="B930" s="12" t="s">
        <v>1451</v>
      </c>
      <c r="C930" s="12" t="s">
        <v>1452</v>
      </c>
      <c r="D930" s="12" t="s">
        <v>2148</v>
      </c>
      <c r="E930" s="12" t="s">
        <v>2149</v>
      </c>
      <c r="F930" s="13" t="n">
        <v>0</v>
      </c>
      <c r="G930" s="13" t="n">
        <v>0</v>
      </c>
      <c r="H930" s="14" t="n">
        <v>1214</v>
      </c>
      <c r="I930" s="14" t="n">
        <v>1080</v>
      </c>
      <c r="J930" s="15" t="n">
        <f aca="false">I930/H930</f>
        <v>0.889621087314662</v>
      </c>
      <c r="K930" s="16" t="n">
        <f aca="false">ROUND(I930*J930^($F$8-1),0)</f>
        <v>1110</v>
      </c>
      <c r="L930" s="16" t="n">
        <f aca="false">ROUND(I930*J930^($F$9-1),0)</f>
        <v>1087</v>
      </c>
      <c r="M930" s="17" t="n">
        <f aca="false">G930*$F$7</f>
        <v>0</v>
      </c>
      <c r="N930" s="18" t="n">
        <f aca="false">F930/K930</f>
        <v>0</v>
      </c>
      <c r="O930" s="18" t="n">
        <f aca="false">G930/L930</f>
        <v>0</v>
      </c>
      <c r="P930" s="18" t="n">
        <f aca="false">M930/L930</f>
        <v>0</v>
      </c>
      <c r="Q930" s="19" t="str">
        <f aca="false">IF(N930=0,"n.a.",P930/N930-1)</f>
        <v>n.a.</v>
      </c>
    </row>
    <row r="931" customFormat="false" ht="15" hidden="false" customHeight="false" outlineLevel="0" collapsed="false">
      <c r="A931" s="12" t="s">
        <v>2150</v>
      </c>
      <c r="B931" s="12" t="s">
        <v>1451</v>
      </c>
      <c r="C931" s="12" t="s">
        <v>1452</v>
      </c>
      <c r="D931" s="12" t="s">
        <v>2151</v>
      </c>
      <c r="E931" s="12" t="s">
        <v>2152</v>
      </c>
      <c r="F931" s="13" t="n">
        <v>0</v>
      </c>
      <c r="G931" s="13" t="n">
        <v>3677</v>
      </c>
      <c r="H931" s="14" t="n">
        <v>1043</v>
      </c>
      <c r="I931" s="14" t="n">
        <v>993</v>
      </c>
      <c r="J931" s="15" t="n">
        <f aca="false">I931/H931</f>
        <v>0.952061361457335</v>
      </c>
      <c r="K931" s="16" t="n">
        <f aca="false">ROUND(I931*J931^($F$8-1),0)</f>
        <v>1004</v>
      </c>
      <c r="L931" s="16" t="n">
        <f aca="false">ROUND(I931*J931^($F$9-1),0)</f>
        <v>996</v>
      </c>
      <c r="M931" s="17" t="n">
        <f aca="false">G931*$F$7</f>
        <v>3542.06231996803</v>
      </c>
      <c r="N931" s="18" t="n">
        <f aca="false">F931/K931</f>
        <v>0</v>
      </c>
      <c r="O931" s="18" t="n">
        <f aca="false">G931/L931</f>
        <v>3.69176706827309</v>
      </c>
      <c r="P931" s="18" t="n">
        <f aca="false">M931/L931</f>
        <v>3.55628746984742</v>
      </c>
      <c r="Q931" s="19" t="str">
        <f aca="false">IF(N931=0,"n.a.",P931/N931-1)</f>
        <v>n.a.</v>
      </c>
    </row>
    <row r="932" customFormat="false" ht="15" hidden="false" customHeight="false" outlineLevel="0" collapsed="false">
      <c r="A932" s="12" t="s">
        <v>2153</v>
      </c>
      <c r="B932" s="12" t="s">
        <v>1451</v>
      </c>
      <c r="C932" s="12" t="s">
        <v>1452</v>
      </c>
      <c r="D932" s="12" t="s">
        <v>2154</v>
      </c>
      <c r="E932" s="12" t="s">
        <v>2155</v>
      </c>
      <c r="F932" s="13" t="n">
        <v>0</v>
      </c>
      <c r="G932" s="13" t="n">
        <v>720</v>
      </c>
      <c r="H932" s="14" t="n">
        <v>4308</v>
      </c>
      <c r="I932" s="14" t="n">
        <v>4100</v>
      </c>
      <c r="J932" s="15" t="n">
        <f aca="false">I932/H932</f>
        <v>0.95171773444754</v>
      </c>
      <c r="K932" s="16" t="n">
        <f aca="false">ROUND(I932*J932^($F$8-1),0)</f>
        <v>4147</v>
      </c>
      <c r="L932" s="16" t="n">
        <f aca="false">ROUND(I932*J932^($F$9-1),0)</f>
        <v>4111</v>
      </c>
      <c r="M932" s="17" t="n">
        <f aca="false">G932*$F$7</f>
        <v>693.577609566761</v>
      </c>
      <c r="N932" s="18" t="n">
        <f aca="false">F932/K932</f>
        <v>0</v>
      </c>
      <c r="O932" s="18" t="n">
        <f aca="false">G932/L932</f>
        <v>0.175139868645099</v>
      </c>
      <c r="P932" s="18" t="n">
        <f aca="false">M932/L932</f>
        <v>0.168712626992644</v>
      </c>
      <c r="Q932" s="19" t="str">
        <f aca="false">IF(N932=0,"n.a.",P932/N932-1)</f>
        <v>n.a.</v>
      </c>
    </row>
    <row r="933" customFormat="false" ht="15" hidden="false" customHeight="false" outlineLevel="0" collapsed="false">
      <c r="A933" s="12" t="s">
        <v>2156</v>
      </c>
      <c r="B933" s="12" t="s">
        <v>1451</v>
      </c>
      <c r="C933" s="12" t="s">
        <v>1452</v>
      </c>
      <c r="D933" s="12" t="s">
        <v>2157</v>
      </c>
      <c r="E933" s="12" t="s">
        <v>2158</v>
      </c>
      <c r="F933" s="13" t="n">
        <v>0</v>
      </c>
      <c r="G933" s="13" t="n">
        <v>0</v>
      </c>
      <c r="H933" s="14" t="n">
        <v>1480</v>
      </c>
      <c r="I933" s="14" t="n">
        <v>1199</v>
      </c>
      <c r="J933" s="15" t="n">
        <f aca="false">I933/H933</f>
        <v>0.810135135135135</v>
      </c>
      <c r="K933" s="16" t="n">
        <f aca="false">ROUND(I933*J933^($F$8-1),0)</f>
        <v>1259</v>
      </c>
      <c r="L933" s="16" t="n">
        <f aca="false">ROUND(I933*J933^($F$9-1),0)</f>
        <v>1212</v>
      </c>
      <c r="M933" s="17" t="n">
        <f aca="false">G933*$F$7</f>
        <v>0</v>
      </c>
      <c r="N933" s="18" t="n">
        <f aca="false">F933/K933</f>
        <v>0</v>
      </c>
      <c r="O933" s="18" t="n">
        <f aca="false">G933/L933</f>
        <v>0</v>
      </c>
      <c r="P933" s="18" t="n">
        <f aca="false">M933/L933</f>
        <v>0</v>
      </c>
      <c r="Q933" s="19" t="str">
        <f aca="false">IF(N933=0,"n.a.",P933/N933-1)</f>
        <v>n.a.</v>
      </c>
    </row>
    <row r="934" customFormat="false" ht="15" hidden="false" customHeight="false" outlineLevel="0" collapsed="false">
      <c r="A934" s="12" t="s">
        <v>2159</v>
      </c>
      <c r="B934" s="12" t="s">
        <v>1451</v>
      </c>
      <c r="C934" s="12" t="s">
        <v>1452</v>
      </c>
      <c r="D934" s="12" t="s">
        <v>2160</v>
      </c>
      <c r="E934" s="12" t="s">
        <v>2161</v>
      </c>
      <c r="F934" s="13" t="n">
        <v>7062495</v>
      </c>
      <c r="G934" s="13" t="n">
        <v>7765245</v>
      </c>
      <c r="H934" s="14" t="n">
        <v>17061</v>
      </c>
      <c r="I934" s="14" t="n">
        <v>18216</v>
      </c>
      <c r="J934" s="15" t="n">
        <f aca="false">I934/H934</f>
        <v>1.06769825918762</v>
      </c>
      <c r="K934" s="16" t="n">
        <f aca="false">ROUND(I934*J934^($F$8-1),0)</f>
        <v>17943</v>
      </c>
      <c r="L934" s="16" t="n">
        <f aca="false">ROUND(I934*J934^($F$9-1),0)</f>
        <v>18154</v>
      </c>
      <c r="M934" s="17" t="n">
        <f aca="false">G934*$F$7</f>
        <v>7480277.86777812</v>
      </c>
      <c r="N934" s="18" t="n">
        <f aca="false">F934/K934</f>
        <v>393.607256311654</v>
      </c>
      <c r="O934" s="18" t="n">
        <f aca="false">G934/L934</f>
        <v>427.742921670155</v>
      </c>
      <c r="P934" s="18" t="n">
        <f aca="false">M934/L934</f>
        <v>412.045712668179</v>
      </c>
      <c r="Q934" s="19" t="n">
        <f aca="false">IF(N934=0,"n.a.",P934/N934-1)</f>
        <v>0.0468448080182897</v>
      </c>
    </row>
    <row r="935" customFormat="false" ht="15" hidden="false" customHeight="false" outlineLevel="0" collapsed="false">
      <c r="A935" s="12" t="s">
        <v>2162</v>
      </c>
      <c r="B935" s="12" t="s">
        <v>1451</v>
      </c>
      <c r="C935" s="12" t="s">
        <v>1452</v>
      </c>
      <c r="D935" s="12" t="s">
        <v>2163</v>
      </c>
      <c r="E935" s="12" t="s">
        <v>2164</v>
      </c>
      <c r="F935" s="13" t="n">
        <v>813248</v>
      </c>
      <c r="G935" s="13" t="n">
        <v>906021</v>
      </c>
      <c r="H935" s="14" t="n">
        <v>7035</v>
      </c>
      <c r="I935" s="14" t="n">
        <v>7499</v>
      </c>
      <c r="J935" s="15" t="n">
        <f aca="false">I935/H935</f>
        <v>1.06595593461265</v>
      </c>
      <c r="K935" s="16" t="n">
        <f aca="false">ROUND(I935*J935^($F$8-1),0)</f>
        <v>7389</v>
      </c>
      <c r="L935" s="16" t="n">
        <f aca="false">ROUND(I935*J935^($F$9-1),0)</f>
        <v>7474</v>
      </c>
      <c r="M935" s="17" t="n">
        <f aca="false">G935*$F$7</f>
        <v>872772.054718453</v>
      </c>
      <c r="N935" s="18" t="n">
        <f aca="false">F935/K935</f>
        <v>110.061984030315</v>
      </c>
      <c r="O935" s="18" t="n">
        <f aca="false">G935/L935</f>
        <v>121.223039871555</v>
      </c>
      <c r="P935" s="18" t="n">
        <f aca="false">M935/L935</f>
        <v>116.774425303513</v>
      </c>
      <c r="Q935" s="19" t="n">
        <f aca="false">IF(N935=0,"n.a.",P935/N935-1)</f>
        <v>0.0609878272896518</v>
      </c>
    </row>
    <row r="936" customFormat="false" ht="15" hidden="false" customHeight="false" outlineLevel="0" collapsed="false">
      <c r="A936" s="12" t="s">
        <v>2165</v>
      </c>
      <c r="B936" s="12" t="s">
        <v>1451</v>
      </c>
      <c r="C936" s="12" t="s">
        <v>1452</v>
      </c>
      <c r="D936" s="12" t="s">
        <v>2166</v>
      </c>
      <c r="E936" s="12" t="s">
        <v>2167</v>
      </c>
      <c r="F936" s="13" t="n">
        <v>1711308</v>
      </c>
      <c r="G936" s="13" t="n">
        <v>2043819</v>
      </c>
      <c r="H936" s="14" t="n">
        <v>10020</v>
      </c>
      <c r="I936" s="14" t="n">
        <v>10251</v>
      </c>
      <c r="J936" s="15" t="n">
        <f aca="false">I936/H936</f>
        <v>1.02305389221557</v>
      </c>
      <c r="K936" s="16" t="n">
        <f aca="false">ROUND(I936*J936^($F$8-1),0)</f>
        <v>10197</v>
      </c>
      <c r="L936" s="16" t="n">
        <f aca="false">ROUND(I936*J936^($F$9-1),0)</f>
        <v>10239</v>
      </c>
      <c r="M936" s="17" t="n">
        <f aca="false">G936*$F$7</f>
        <v>1968815.41167657</v>
      </c>
      <c r="N936" s="18" t="n">
        <f aca="false">F936/K936</f>
        <v>167.824654310091</v>
      </c>
      <c r="O936" s="18" t="n">
        <f aca="false">G936/L936</f>
        <v>199.611192499268</v>
      </c>
      <c r="P936" s="18" t="n">
        <f aca="false">M936/L936</f>
        <v>192.28590796724</v>
      </c>
      <c r="Q936" s="19" t="n">
        <f aca="false">IF(N936=0,"n.a.",P936/N936-1)</f>
        <v>0.145754828202721</v>
      </c>
    </row>
    <row r="937" customFormat="false" ht="15" hidden="false" customHeight="false" outlineLevel="0" collapsed="false">
      <c r="A937" s="12" t="s">
        <v>2168</v>
      </c>
      <c r="B937" s="12" t="s">
        <v>1451</v>
      </c>
      <c r="C937" s="12" t="s">
        <v>1452</v>
      </c>
      <c r="D937" s="12" t="s">
        <v>2169</v>
      </c>
      <c r="E937" s="12" t="s">
        <v>2170</v>
      </c>
      <c r="F937" s="13" t="n">
        <v>13965</v>
      </c>
      <c r="G937" s="13" t="n">
        <v>35949</v>
      </c>
      <c r="H937" s="14" t="n">
        <v>946</v>
      </c>
      <c r="I937" s="14" t="n">
        <v>790</v>
      </c>
      <c r="J937" s="15" t="n">
        <f aca="false">I937/H937</f>
        <v>0.835095137420719</v>
      </c>
      <c r="K937" s="16" t="n">
        <f aca="false">ROUND(I937*J937^($F$8-1),0)</f>
        <v>824</v>
      </c>
      <c r="L937" s="16" t="n">
        <f aca="false">ROUND(I937*J937^($F$9-1),0)</f>
        <v>797</v>
      </c>
      <c r="M937" s="17" t="n">
        <f aca="false">G937*$F$7</f>
        <v>34629.7520643271</v>
      </c>
      <c r="N937" s="18" t="n">
        <f aca="false">F937/K937</f>
        <v>16.9478155339806</v>
      </c>
      <c r="O937" s="18" t="n">
        <f aca="false">G937/L937</f>
        <v>45.1053952321205</v>
      </c>
      <c r="P937" s="18" t="n">
        <f aca="false">M937/L937</f>
        <v>43.4501280606362</v>
      </c>
      <c r="Q937" s="19" t="n">
        <f aca="false">IF(N937=0,"n.a.",P937/N937-1)</f>
        <v>1.5637597939108</v>
      </c>
    </row>
    <row r="938" customFormat="false" ht="15" hidden="false" customHeight="false" outlineLevel="0" collapsed="false">
      <c r="A938" s="12" t="s">
        <v>2171</v>
      </c>
      <c r="B938" s="12" t="s">
        <v>1451</v>
      </c>
      <c r="C938" s="12" t="s">
        <v>1452</v>
      </c>
      <c r="D938" s="12" t="s">
        <v>2172</v>
      </c>
      <c r="E938" s="12" t="s">
        <v>2173</v>
      </c>
      <c r="F938" s="13" t="n">
        <v>0</v>
      </c>
      <c r="G938" s="13" t="n">
        <v>0</v>
      </c>
      <c r="H938" s="14" t="n">
        <v>2706</v>
      </c>
      <c r="I938" s="14" t="n">
        <v>2363</v>
      </c>
      <c r="J938" s="15" t="n">
        <f aca="false">I938/H938</f>
        <v>0.873244641537325</v>
      </c>
      <c r="K938" s="16" t="n">
        <f aca="false">ROUND(I938*J938^($F$8-1),0)</f>
        <v>2438</v>
      </c>
      <c r="L938" s="16" t="n">
        <f aca="false">ROUND(I938*J938^($F$9-1),0)</f>
        <v>2380</v>
      </c>
      <c r="M938" s="17" t="n">
        <f aca="false">G938*$F$7</f>
        <v>0</v>
      </c>
      <c r="N938" s="18" t="n">
        <f aca="false">F938/K938</f>
        <v>0</v>
      </c>
      <c r="O938" s="18" t="n">
        <f aca="false">G938/L938</f>
        <v>0</v>
      </c>
      <c r="P938" s="18" t="n">
        <f aca="false">M938/L938</f>
        <v>0</v>
      </c>
      <c r="Q938" s="19" t="str">
        <f aca="false">IF(N938=0,"n.a.",P938/N938-1)</f>
        <v>n.a.</v>
      </c>
    </row>
    <row r="939" customFormat="false" ht="15" hidden="false" customHeight="false" outlineLevel="0" collapsed="false">
      <c r="A939" s="12" t="s">
        <v>2174</v>
      </c>
      <c r="B939" s="12" t="s">
        <v>1451</v>
      </c>
      <c r="C939" s="12" t="s">
        <v>1452</v>
      </c>
      <c r="D939" s="12" t="s">
        <v>2175</v>
      </c>
      <c r="E939" s="12" t="s">
        <v>2176</v>
      </c>
      <c r="F939" s="13" t="n">
        <v>543980</v>
      </c>
      <c r="G939" s="13" t="n">
        <v>756641</v>
      </c>
      <c r="H939" s="14" t="n">
        <v>13587</v>
      </c>
      <c r="I939" s="14" t="n">
        <v>14110</v>
      </c>
      <c r="J939" s="15" t="n">
        <f aca="false">I939/H939</f>
        <v>1.03849267682343</v>
      </c>
      <c r="K939" s="16" t="n">
        <f aca="false">ROUND(I939*J939^($F$8-1),0)</f>
        <v>13987</v>
      </c>
      <c r="L939" s="16" t="n">
        <f aca="false">ROUND(I939*J939^($F$9-1),0)</f>
        <v>14082</v>
      </c>
      <c r="M939" s="17" t="n">
        <f aca="false">G939*$F$7</f>
        <v>728873.966778061</v>
      </c>
      <c r="N939" s="18" t="n">
        <f aca="false">F939/K939</f>
        <v>38.8918281261171</v>
      </c>
      <c r="O939" s="18" t="n">
        <f aca="false">G939/L939</f>
        <v>53.7310751313734</v>
      </c>
      <c r="P939" s="18" t="n">
        <f aca="false">M939/L939</f>
        <v>51.759264790375</v>
      </c>
      <c r="Q939" s="19" t="n">
        <f aca="false">IF(N939=0,"n.a.",P939/N939-1)</f>
        <v>0.330851936878148</v>
      </c>
    </row>
    <row r="940" customFormat="false" ht="15" hidden="false" customHeight="false" outlineLevel="0" collapsed="false">
      <c r="A940" s="12" t="s">
        <v>2177</v>
      </c>
      <c r="B940" s="12" t="s">
        <v>1451</v>
      </c>
      <c r="C940" s="12" t="s">
        <v>1452</v>
      </c>
      <c r="D940" s="12" t="s">
        <v>2178</v>
      </c>
      <c r="E940" s="12" t="s">
        <v>2179</v>
      </c>
      <c r="F940" s="13" t="n">
        <v>0</v>
      </c>
      <c r="G940" s="13" t="n">
        <v>0</v>
      </c>
      <c r="H940" s="14" t="n">
        <v>1125</v>
      </c>
      <c r="I940" s="14" t="n">
        <v>1121</v>
      </c>
      <c r="J940" s="15" t="n">
        <f aca="false">I940/H940</f>
        <v>0.996444444444445</v>
      </c>
      <c r="K940" s="16" t="n">
        <f aca="false">ROUND(I940*J940^($F$8-1),0)</f>
        <v>1122</v>
      </c>
      <c r="L940" s="16" t="n">
        <f aca="false">ROUND(I940*J940^($F$9-1),0)</f>
        <v>1121</v>
      </c>
      <c r="M940" s="17" t="n">
        <f aca="false">G940*$F$7</f>
        <v>0</v>
      </c>
      <c r="N940" s="18" t="n">
        <f aca="false">F940/K940</f>
        <v>0</v>
      </c>
      <c r="O940" s="18" t="n">
        <f aca="false">G940/L940</f>
        <v>0</v>
      </c>
      <c r="P940" s="18" t="n">
        <f aca="false">M940/L940</f>
        <v>0</v>
      </c>
      <c r="Q940" s="19" t="str">
        <f aca="false">IF(N940=0,"n.a.",P940/N940-1)</f>
        <v>n.a.</v>
      </c>
    </row>
    <row r="941" customFormat="false" ht="15" hidden="false" customHeight="false" outlineLevel="0" collapsed="false">
      <c r="A941" s="12" t="s">
        <v>2180</v>
      </c>
      <c r="B941" s="12" t="s">
        <v>1451</v>
      </c>
      <c r="C941" s="12" t="s">
        <v>1452</v>
      </c>
      <c r="D941" s="12" t="s">
        <v>2181</v>
      </c>
      <c r="E941" s="12" t="s">
        <v>2182</v>
      </c>
      <c r="F941" s="13" t="n">
        <v>43353</v>
      </c>
      <c r="G941" s="13" t="n">
        <v>7465</v>
      </c>
      <c r="H941" s="14" t="n">
        <v>6616</v>
      </c>
      <c r="I941" s="14" t="n">
        <v>7273</v>
      </c>
      <c r="J941" s="15" t="n">
        <f aca="false">I941/H941</f>
        <v>1.09930471584039</v>
      </c>
      <c r="K941" s="16" t="n">
        <f aca="false">ROUND(I941*J941^($F$8-1),0)</f>
        <v>7116</v>
      </c>
      <c r="L941" s="16" t="n">
        <f aca="false">ROUND(I941*J941^($F$9-1),0)</f>
        <v>7237</v>
      </c>
      <c r="M941" s="17" t="n">
        <f aca="false">G941*$F$7</f>
        <v>7191.0511880776</v>
      </c>
      <c r="N941" s="18" t="n">
        <f aca="false">F941/K941</f>
        <v>6.09232715008432</v>
      </c>
      <c r="O941" s="18" t="n">
        <f aca="false">G941/L941</f>
        <v>1.03150476716872</v>
      </c>
      <c r="P941" s="18" t="n">
        <f aca="false">M941/L941</f>
        <v>0.993650848152218</v>
      </c>
      <c r="Q941" s="19" t="n">
        <f aca="false">IF(N941=0,"n.a.",P941/N941-1)</f>
        <v>-0.836901265530617</v>
      </c>
    </row>
    <row r="942" customFormat="false" ht="15" hidden="false" customHeight="false" outlineLevel="0" collapsed="false">
      <c r="A942" s="12" t="s">
        <v>2183</v>
      </c>
      <c r="B942" s="12" t="s">
        <v>1451</v>
      </c>
      <c r="C942" s="12" t="s">
        <v>1452</v>
      </c>
      <c r="D942" s="12" t="s">
        <v>2184</v>
      </c>
      <c r="E942" s="12" t="s">
        <v>2185</v>
      </c>
      <c r="F942" s="13" t="n">
        <v>324116</v>
      </c>
      <c r="G942" s="13" t="n">
        <v>256609</v>
      </c>
      <c r="H942" s="14" t="n">
        <v>1594</v>
      </c>
      <c r="I942" s="14" t="n">
        <v>1523</v>
      </c>
      <c r="J942" s="15" t="n">
        <f aca="false">I942/H942</f>
        <v>0.955457967377666</v>
      </c>
      <c r="K942" s="16" t="n">
        <f aca="false">ROUND(I942*J942^($F$8-1),0)</f>
        <v>1539</v>
      </c>
      <c r="L942" s="16" t="n">
        <f aca="false">ROUND(I942*J942^($F$9-1),0)</f>
        <v>1527</v>
      </c>
      <c r="M942" s="17" t="n">
        <f aca="false">G942*$F$7</f>
        <v>247192.023351829</v>
      </c>
      <c r="N942" s="18" t="n">
        <f aca="false">F942/K942</f>
        <v>210.601689408707</v>
      </c>
      <c r="O942" s="18" t="n">
        <f aca="false">G942/L942</f>
        <v>168.047806155861</v>
      </c>
      <c r="P942" s="18" t="n">
        <f aca="false">M942/L942</f>
        <v>161.88082734239</v>
      </c>
      <c r="Q942" s="19" t="n">
        <f aca="false">IF(N942=0,"n.a.",P942/N942-1)</f>
        <v>-0.2313412689286</v>
      </c>
    </row>
    <row r="943" customFormat="false" ht="15" hidden="false" customHeight="false" outlineLevel="0" collapsed="false">
      <c r="A943" s="12" t="s">
        <v>2186</v>
      </c>
      <c r="B943" s="12" t="s">
        <v>1451</v>
      </c>
      <c r="C943" s="12" t="s">
        <v>1452</v>
      </c>
      <c r="D943" s="12" t="s">
        <v>2187</v>
      </c>
      <c r="E943" s="12" t="s">
        <v>2188</v>
      </c>
      <c r="F943" s="13" t="n">
        <v>0</v>
      </c>
      <c r="G943" s="13" t="n">
        <v>0</v>
      </c>
      <c r="H943" s="14" t="n">
        <v>4555</v>
      </c>
      <c r="I943" s="14" t="n">
        <v>4304</v>
      </c>
      <c r="J943" s="15" t="n">
        <f aca="false">I943/H943</f>
        <v>0.944895718990121</v>
      </c>
      <c r="K943" s="16" t="n">
        <f aca="false">ROUND(I943*J943^($F$8-1),0)</f>
        <v>4361</v>
      </c>
      <c r="L943" s="16" t="n">
        <f aca="false">ROUND(I943*J943^($F$9-1),0)</f>
        <v>4317</v>
      </c>
      <c r="M943" s="17" t="n">
        <f aca="false">G943*$F$7</f>
        <v>0</v>
      </c>
      <c r="N943" s="18" t="n">
        <f aca="false">F943/K943</f>
        <v>0</v>
      </c>
      <c r="O943" s="18" t="n">
        <f aca="false">G943/L943</f>
        <v>0</v>
      </c>
      <c r="P943" s="18" t="n">
        <f aca="false">M943/L943</f>
        <v>0</v>
      </c>
      <c r="Q943" s="19" t="str">
        <f aca="false">IF(N943=0,"n.a.",P943/N943-1)</f>
        <v>n.a.</v>
      </c>
    </row>
    <row r="944" customFormat="false" ht="15" hidden="false" customHeight="false" outlineLevel="0" collapsed="false">
      <c r="A944" s="12" t="s">
        <v>2189</v>
      </c>
      <c r="B944" s="12" t="s">
        <v>1451</v>
      </c>
      <c r="C944" s="12" t="s">
        <v>1452</v>
      </c>
      <c r="D944" s="12" t="s">
        <v>2190</v>
      </c>
      <c r="E944" s="12" t="s">
        <v>2191</v>
      </c>
      <c r="F944" s="13" t="n">
        <v>0</v>
      </c>
      <c r="G944" s="13" t="n">
        <v>0</v>
      </c>
      <c r="H944" s="14" t="n">
        <v>1081</v>
      </c>
      <c r="I944" s="14" t="n">
        <v>1082</v>
      </c>
      <c r="J944" s="15" t="n">
        <f aca="false">I944/H944</f>
        <v>1.0009250693802</v>
      </c>
      <c r="K944" s="16" t="n">
        <f aca="false">ROUND(I944*J944^($F$8-1),0)</f>
        <v>1082</v>
      </c>
      <c r="L944" s="16" t="n">
        <f aca="false">ROUND(I944*J944^($F$9-1),0)</f>
        <v>1082</v>
      </c>
      <c r="M944" s="17" t="n">
        <f aca="false">G944*$F$7</f>
        <v>0</v>
      </c>
      <c r="N944" s="18" t="n">
        <f aca="false">F944/K944</f>
        <v>0</v>
      </c>
      <c r="O944" s="18" t="n">
        <f aca="false">G944/L944</f>
        <v>0</v>
      </c>
      <c r="P944" s="18" t="n">
        <f aca="false">M944/L944</f>
        <v>0</v>
      </c>
      <c r="Q944" s="19" t="str">
        <f aca="false">IF(N944=0,"n.a.",P944/N944-1)</f>
        <v>n.a.</v>
      </c>
    </row>
    <row r="945" customFormat="false" ht="15" hidden="false" customHeight="false" outlineLevel="0" collapsed="false">
      <c r="A945" s="12" t="s">
        <v>2192</v>
      </c>
      <c r="B945" s="12" t="s">
        <v>1451</v>
      </c>
      <c r="C945" s="12" t="s">
        <v>1452</v>
      </c>
      <c r="D945" s="12" t="s">
        <v>2193</v>
      </c>
      <c r="E945" s="12" t="s">
        <v>2194</v>
      </c>
      <c r="F945" s="13" t="n">
        <v>0</v>
      </c>
      <c r="G945" s="13" t="n">
        <v>0</v>
      </c>
      <c r="H945" s="14" t="n">
        <v>716</v>
      </c>
      <c r="I945" s="14" t="n">
        <v>633</v>
      </c>
      <c r="J945" s="15" t="n">
        <f aca="false">I945/H945</f>
        <v>0.884078212290503</v>
      </c>
      <c r="K945" s="16" t="n">
        <f aca="false">ROUND(I945*J945^($F$8-1),0)</f>
        <v>651</v>
      </c>
      <c r="L945" s="16" t="n">
        <f aca="false">ROUND(I945*J945^($F$9-1),0)</f>
        <v>637</v>
      </c>
      <c r="M945" s="17" t="n">
        <f aca="false">G945*$F$7</f>
        <v>0</v>
      </c>
      <c r="N945" s="18" t="n">
        <f aca="false">F945/K945</f>
        <v>0</v>
      </c>
      <c r="O945" s="18" t="n">
        <f aca="false">G945/L945</f>
        <v>0</v>
      </c>
      <c r="P945" s="18" t="n">
        <f aca="false">M945/L945</f>
        <v>0</v>
      </c>
      <c r="Q945" s="19" t="str">
        <f aca="false">IF(N945=0,"n.a.",P945/N945-1)</f>
        <v>n.a.</v>
      </c>
    </row>
    <row r="946" customFormat="false" ht="15" hidden="false" customHeight="false" outlineLevel="0" collapsed="false">
      <c r="A946" s="12" t="s">
        <v>2195</v>
      </c>
      <c r="B946" s="12" t="s">
        <v>1451</v>
      </c>
      <c r="C946" s="12" t="s">
        <v>1452</v>
      </c>
      <c r="D946" s="12" t="s">
        <v>2196</v>
      </c>
      <c r="E946" s="12" t="s">
        <v>2197</v>
      </c>
      <c r="F946" s="13" t="n">
        <v>15252</v>
      </c>
      <c r="G946" s="13" t="n">
        <v>3631</v>
      </c>
      <c r="H946" s="14" t="n">
        <v>4333</v>
      </c>
      <c r="I946" s="14" t="n">
        <v>4147</v>
      </c>
      <c r="J946" s="15" t="n">
        <f aca="false">I946/H946</f>
        <v>0.957073621047773</v>
      </c>
      <c r="K946" s="16" t="n">
        <f aca="false">ROUND(I946*J946^($F$8-1),0)</f>
        <v>4189</v>
      </c>
      <c r="L946" s="16" t="n">
        <f aca="false">ROUND(I946*J946^($F$9-1),0)</f>
        <v>4156</v>
      </c>
      <c r="M946" s="17" t="n">
        <f aca="false">G946*$F$7</f>
        <v>3497.7504171346</v>
      </c>
      <c r="N946" s="18" t="n">
        <f aca="false">F946/K946</f>
        <v>3.64096443065171</v>
      </c>
      <c r="O946" s="18" t="n">
        <f aca="false">G946/L946</f>
        <v>0.873676612127045</v>
      </c>
      <c r="P946" s="18" t="n">
        <f aca="false">M946/L946</f>
        <v>0.841614633574253</v>
      </c>
      <c r="Q946" s="19" t="n">
        <f aca="false">IF(N946=0,"n.a.",P946/N946-1)</f>
        <v>-0.768848432989605</v>
      </c>
    </row>
    <row r="947" customFormat="false" ht="15" hidden="false" customHeight="false" outlineLevel="0" collapsed="false">
      <c r="A947" s="12" t="s">
        <v>2198</v>
      </c>
      <c r="B947" s="12" t="s">
        <v>1451</v>
      </c>
      <c r="C947" s="12" t="s">
        <v>1452</v>
      </c>
      <c r="D947" s="12" t="s">
        <v>2199</v>
      </c>
      <c r="E947" s="12" t="s">
        <v>2200</v>
      </c>
      <c r="F947" s="13" t="n">
        <v>0</v>
      </c>
      <c r="G947" s="13" t="n">
        <v>0</v>
      </c>
      <c r="H947" s="14" t="n">
        <v>4654</v>
      </c>
      <c r="I947" s="14" t="n">
        <v>3876</v>
      </c>
      <c r="J947" s="15" t="n">
        <f aca="false">I947/H947</f>
        <v>0.832831972496777</v>
      </c>
      <c r="K947" s="16" t="n">
        <f aca="false">ROUND(I947*J947^($F$8-1),0)</f>
        <v>4043</v>
      </c>
      <c r="L947" s="16" t="n">
        <f aca="false">ROUND(I947*J947^($F$9-1),0)</f>
        <v>3913</v>
      </c>
      <c r="M947" s="17" t="n">
        <f aca="false">G947*$F$7</f>
        <v>0</v>
      </c>
      <c r="N947" s="18" t="n">
        <f aca="false">F947/K947</f>
        <v>0</v>
      </c>
      <c r="O947" s="18" t="n">
        <f aca="false">G947/L947</f>
        <v>0</v>
      </c>
      <c r="P947" s="18" t="n">
        <f aca="false">M947/L947</f>
        <v>0</v>
      </c>
      <c r="Q947" s="19" t="str">
        <f aca="false">IF(N947=0,"n.a.",P947/N947-1)</f>
        <v>n.a.</v>
      </c>
    </row>
    <row r="948" customFormat="false" ht="15" hidden="false" customHeight="false" outlineLevel="0" collapsed="false">
      <c r="A948" s="12" t="s">
        <v>2201</v>
      </c>
      <c r="B948" s="12" t="s">
        <v>1451</v>
      </c>
      <c r="C948" s="12" t="s">
        <v>1452</v>
      </c>
      <c r="D948" s="12" t="s">
        <v>2202</v>
      </c>
      <c r="E948" s="12" t="s">
        <v>2203</v>
      </c>
      <c r="F948" s="13" t="n">
        <v>74658</v>
      </c>
      <c r="G948" s="13" t="n">
        <v>0</v>
      </c>
      <c r="H948" s="14" t="n">
        <v>9703</v>
      </c>
      <c r="I948" s="14" t="n">
        <v>10688</v>
      </c>
      <c r="J948" s="15" t="n">
        <f aca="false">I948/H948</f>
        <v>1.10151499536226</v>
      </c>
      <c r="K948" s="16" t="n">
        <f aca="false">ROUND(I948*J948^($F$8-1),0)</f>
        <v>10452</v>
      </c>
      <c r="L948" s="16" t="n">
        <f aca="false">ROUND(I948*J948^($F$9-1),0)</f>
        <v>10634</v>
      </c>
      <c r="M948" s="17" t="n">
        <f aca="false">G948*$F$7</f>
        <v>0</v>
      </c>
      <c r="N948" s="18" t="n">
        <f aca="false">F948/K948</f>
        <v>7.14293915040184</v>
      </c>
      <c r="O948" s="18" t="n">
        <f aca="false">G948/L948</f>
        <v>0</v>
      </c>
      <c r="P948" s="18" t="n">
        <f aca="false">M948/L948</f>
        <v>0</v>
      </c>
      <c r="Q948" s="19" t="n">
        <f aca="false">IF(N948=0,"n.a.",P948/N948-1)</f>
        <v>-1</v>
      </c>
    </row>
    <row r="949" customFormat="false" ht="15" hidden="false" customHeight="false" outlineLevel="0" collapsed="false">
      <c r="A949" s="12" t="s">
        <v>2204</v>
      </c>
      <c r="B949" s="12" t="s">
        <v>1451</v>
      </c>
      <c r="C949" s="12" t="s">
        <v>1452</v>
      </c>
      <c r="D949" s="12" t="s">
        <v>2205</v>
      </c>
      <c r="E949" s="12" t="s">
        <v>2206</v>
      </c>
      <c r="F949" s="13" t="n">
        <v>800</v>
      </c>
      <c r="G949" s="13" t="n">
        <v>4000</v>
      </c>
      <c r="H949" s="14" t="n">
        <v>3307</v>
      </c>
      <c r="I949" s="14" t="n">
        <v>3454</v>
      </c>
      <c r="J949" s="15" t="n">
        <f aca="false">I949/H949</f>
        <v>1.04445116419716</v>
      </c>
      <c r="K949" s="16" t="n">
        <f aca="false">ROUND(I949*J949^($F$8-1),0)</f>
        <v>3419</v>
      </c>
      <c r="L949" s="16" t="n">
        <f aca="false">ROUND(I949*J949^($F$9-1),0)</f>
        <v>3446</v>
      </c>
      <c r="M949" s="17" t="n">
        <f aca="false">G949*$F$7</f>
        <v>3853.20894203756</v>
      </c>
      <c r="N949" s="18" t="n">
        <f aca="false">F949/K949</f>
        <v>0.233986545773618</v>
      </c>
      <c r="O949" s="18" t="n">
        <f aca="false">G949/L949</f>
        <v>1.16076610562972</v>
      </c>
      <c r="P949" s="18" t="n">
        <f aca="false">M949/L949</f>
        <v>1.11816858445663</v>
      </c>
      <c r="Q949" s="19" t="n">
        <f aca="false">IF(N949=0,"n.a.",P949/N949-1)</f>
        <v>3.77877298782154</v>
      </c>
    </row>
    <row r="950" customFormat="false" ht="15" hidden="false" customHeight="false" outlineLevel="0" collapsed="false">
      <c r="A950" s="12" t="s">
        <v>2207</v>
      </c>
      <c r="B950" s="12" t="s">
        <v>1451</v>
      </c>
      <c r="C950" s="12" t="s">
        <v>1452</v>
      </c>
      <c r="D950" s="12" t="s">
        <v>2208</v>
      </c>
      <c r="E950" s="12" t="s">
        <v>2209</v>
      </c>
      <c r="F950" s="13" t="n">
        <v>48760</v>
      </c>
      <c r="G950" s="13" t="n">
        <v>104135</v>
      </c>
      <c r="H950" s="14" t="n">
        <v>10211</v>
      </c>
      <c r="I950" s="14" t="n">
        <v>9512</v>
      </c>
      <c r="J950" s="15" t="n">
        <f aca="false">I950/H950</f>
        <v>0.931544412888062</v>
      </c>
      <c r="K950" s="16" t="n">
        <f aca="false">ROUND(I950*J950^($F$8-1),0)</f>
        <v>9669</v>
      </c>
      <c r="L950" s="16" t="n">
        <f aca="false">ROUND(I950*J950^($F$9-1),0)</f>
        <v>9547</v>
      </c>
      <c r="M950" s="17" t="n">
        <f aca="false">G950*$F$7</f>
        <v>100313.47829477</v>
      </c>
      <c r="N950" s="18" t="n">
        <f aca="false">F950/K950</f>
        <v>5.04292067431999</v>
      </c>
      <c r="O950" s="18" t="n">
        <f aca="false">G950/L950</f>
        <v>10.9076149575783</v>
      </c>
      <c r="P950" s="18" t="n">
        <f aca="false">M950/L950</f>
        <v>10.5073298727108</v>
      </c>
      <c r="Q950" s="19" t="n">
        <f aca="false">IF(N950=0,"n.a.",P950/N950-1)</f>
        <v>1.08358024075556</v>
      </c>
    </row>
    <row r="951" customFormat="false" ht="15" hidden="false" customHeight="false" outlineLevel="0" collapsed="false">
      <c r="A951" s="12" t="s">
        <v>2210</v>
      </c>
      <c r="B951" s="12" t="s">
        <v>1451</v>
      </c>
      <c r="C951" s="12" t="s">
        <v>1452</v>
      </c>
      <c r="D951" s="12" t="s">
        <v>2211</v>
      </c>
      <c r="E951" s="12" t="s">
        <v>2212</v>
      </c>
      <c r="F951" s="13" t="n">
        <v>665872</v>
      </c>
      <c r="G951" s="13" t="n">
        <v>597496</v>
      </c>
      <c r="H951" s="14" t="n">
        <v>14549</v>
      </c>
      <c r="I951" s="14" t="n">
        <v>16416</v>
      </c>
      <c r="J951" s="15" t="n">
        <f aca="false">I951/H951</f>
        <v>1.12832497078837</v>
      </c>
      <c r="K951" s="16" t="n">
        <f aca="false">ROUND(I951*J951^($F$8-1),0)</f>
        <v>15965</v>
      </c>
      <c r="L951" s="16" t="n">
        <f aca="false">ROUND(I951*J951^($F$9-1),0)</f>
        <v>16313</v>
      </c>
      <c r="M951" s="17" t="n">
        <f aca="false">G951*$F$7</f>
        <v>575569.232507919</v>
      </c>
      <c r="N951" s="18" t="n">
        <f aca="false">F951/K951</f>
        <v>41.7082367679299</v>
      </c>
      <c r="O951" s="18" t="n">
        <f aca="false">G951/L951</f>
        <v>36.6269846134984</v>
      </c>
      <c r="P951" s="18" t="n">
        <f aca="false">M951/L951</f>
        <v>35.2828561581511</v>
      </c>
      <c r="Q951" s="19" t="n">
        <f aca="false">IF(N951=0,"n.a.",P951/N951-1)</f>
        <v>-0.154055436232666</v>
      </c>
    </row>
    <row r="952" customFormat="false" ht="15" hidden="false" customHeight="false" outlineLevel="0" collapsed="false">
      <c r="A952" s="12" t="s">
        <v>2213</v>
      </c>
      <c r="B952" s="12" t="s">
        <v>1451</v>
      </c>
      <c r="C952" s="12" t="s">
        <v>1452</v>
      </c>
      <c r="D952" s="12" t="s">
        <v>2214</v>
      </c>
      <c r="E952" s="12" t="s">
        <v>2215</v>
      </c>
      <c r="F952" s="13" t="n">
        <v>1020</v>
      </c>
      <c r="G952" s="13" t="n">
        <v>8132</v>
      </c>
      <c r="H952" s="14" t="n">
        <v>483</v>
      </c>
      <c r="I952" s="14" t="n">
        <v>493</v>
      </c>
      <c r="J952" s="15" t="n">
        <f aca="false">I952/H952</f>
        <v>1.02070393374741</v>
      </c>
      <c r="K952" s="16" t="n">
        <f aca="false">ROUND(I952*J952^($F$8-1),0)</f>
        <v>491</v>
      </c>
      <c r="L952" s="16" t="n">
        <f aca="false">ROUND(I952*J952^($F$9-1),0)</f>
        <v>492</v>
      </c>
      <c r="M952" s="17" t="n">
        <f aca="false">G952*$F$7</f>
        <v>7833.57377916236</v>
      </c>
      <c r="N952" s="18" t="n">
        <f aca="false">F952/K952</f>
        <v>2.07739307535642</v>
      </c>
      <c r="O952" s="18" t="n">
        <f aca="false">G952/L952</f>
        <v>16.5284552845528</v>
      </c>
      <c r="P952" s="18" t="n">
        <f aca="false">M952/L952</f>
        <v>15.9218979251268</v>
      </c>
      <c r="Q952" s="19" t="n">
        <f aca="false">IF(N952=0,"n.a.",P952/N952-1)</f>
        <v>6.66436458944827</v>
      </c>
    </row>
    <row r="953" customFormat="false" ht="15" hidden="false" customHeight="false" outlineLevel="0" collapsed="false">
      <c r="A953" s="12" t="s">
        <v>2216</v>
      </c>
      <c r="B953" s="12" t="s">
        <v>1451</v>
      </c>
      <c r="C953" s="12" t="s">
        <v>1452</v>
      </c>
      <c r="D953" s="12" t="s">
        <v>2217</v>
      </c>
      <c r="E953" s="12" t="s">
        <v>2218</v>
      </c>
      <c r="F953" s="13" t="n">
        <v>3722</v>
      </c>
      <c r="G953" s="13" t="n">
        <v>31389</v>
      </c>
      <c r="H953" s="14" t="n">
        <v>11279</v>
      </c>
      <c r="I953" s="14" t="n">
        <v>11226</v>
      </c>
      <c r="J953" s="15" t="n">
        <f aca="false">I953/H953</f>
        <v>0.995301001861867</v>
      </c>
      <c r="K953" s="16" t="n">
        <f aca="false">ROUND(I953*J953^($F$8-1),0)</f>
        <v>11238</v>
      </c>
      <c r="L953" s="16" t="n">
        <f aca="false">ROUND(I953*J953^($F$9-1),0)</f>
        <v>11229</v>
      </c>
      <c r="M953" s="17" t="n">
        <f aca="false">G953*$F$7</f>
        <v>30237.0938704043</v>
      </c>
      <c r="N953" s="18" t="n">
        <f aca="false">F953/K953</f>
        <v>0.331197722014593</v>
      </c>
      <c r="O953" s="18" t="n">
        <f aca="false">G953/L953</f>
        <v>2.79535132246861</v>
      </c>
      <c r="P953" s="18" t="n">
        <f aca="false">M953/L953</f>
        <v>2.69276817796814</v>
      </c>
      <c r="Q953" s="19" t="n">
        <f aca="false">IF(N953=0,"n.a.",P953/N953-1)</f>
        <v>7.13039462224771</v>
      </c>
    </row>
    <row r="954" customFormat="false" ht="15" hidden="false" customHeight="false" outlineLevel="0" collapsed="false">
      <c r="A954" s="12" t="s">
        <v>2219</v>
      </c>
      <c r="B954" s="12" t="s">
        <v>1451</v>
      </c>
      <c r="C954" s="12" t="s">
        <v>1452</v>
      </c>
      <c r="D954" s="12" t="s">
        <v>2220</v>
      </c>
      <c r="E954" s="12" t="s">
        <v>2221</v>
      </c>
      <c r="F954" s="13" t="n">
        <v>0</v>
      </c>
      <c r="G954" s="13" t="n">
        <v>0</v>
      </c>
      <c r="H954" s="14" t="n">
        <v>730</v>
      </c>
      <c r="I954" s="14" t="n">
        <v>728</v>
      </c>
      <c r="J954" s="15" t="n">
        <f aca="false">I954/H954</f>
        <v>0.997260273972603</v>
      </c>
      <c r="K954" s="16" t="n">
        <f aca="false">ROUND(I954*J954^($F$8-1),0)</f>
        <v>728</v>
      </c>
      <c r="L954" s="16" t="n">
        <f aca="false">ROUND(I954*J954^($F$9-1),0)</f>
        <v>728</v>
      </c>
      <c r="M954" s="17" t="n">
        <f aca="false">G954*$F$7</f>
        <v>0</v>
      </c>
      <c r="N954" s="18" t="n">
        <f aca="false">F954/K954</f>
        <v>0</v>
      </c>
      <c r="O954" s="18" t="n">
        <f aca="false">G954/L954</f>
        <v>0</v>
      </c>
      <c r="P954" s="18" t="n">
        <f aca="false">M954/L954</f>
        <v>0</v>
      </c>
      <c r="Q954" s="19" t="str">
        <f aca="false">IF(N954=0,"n.a.",P954/N954-1)</f>
        <v>n.a.</v>
      </c>
    </row>
    <row r="955" customFormat="false" ht="15" hidden="false" customHeight="false" outlineLevel="0" collapsed="false">
      <c r="A955" s="12" t="s">
        <v>2222</v>
      </c>
      <c r="B955" s="12" t="s">
        <v>1451</v>
      </c>
      <c r="C955" s="12" t="s">
        <v>1452</v>
      </c>
      <c r="D955" s="12" t="s">
        <v>2223</v>
      </c>
      <c r="E955" s="12" t="s">
        <v>2224</v>
      </c>
      <c r="F955" s="13" t="n">
        <v>360</v>
      </c>
      <c r="G955" s="13" t="n">
        <v>12398</v>
      </c>
      <c r="H955" s="14" t="n">
        <v>1755</v>
      </c>
      <c r="I955" s="14" t="n">
        <v>1641</v>
      </c>
      <c r="J955" s="15" t="n">
        <f aca="false">I955/H955</f>
        <v>0.935042735042735</v>
      </c>
      <c r="K955" s="16" t="n">
        <f aca="false">ROUND(I955*J955^($F$8-1),0)</f>
        <v>1667</v>
      </c>
      <c r="L955" s="16" t="n">
        <f aca="false">ROUND(I955*J955^($F$9-1),0)</f>
        <v>1647</v>
      </c>
      <c r="M955" s="17" t="n">
        <f aca="false">G955*$F$7</f>
        <v>11943.0211158454</v>
      </c>
      <c r="N955" s="18" t="n">
        <f aca="false">F955/K955</f>
        <v>0.215956808638272</v>
      </c>
      <c r="O955" s="18" t="n">
        <f aca="false">G955/L955</f>
        <v>7.52762598664238</v>
      </c>
      <c r="P955" s="18" t="n">
        <f aca="false">M955/L955</f>
        <v>7.25137894101118</v>
      </c>
      <c r="Q955" s="19" t="n">
        <f aca="false">IF(N955=0,"n.a.",P955/N955-1)</f>
        <v>32.5779130407379</v>
      </c>
    </row>
    <row r="956" customFormat="false" ht="15" hidden="false" customHeight="false" outlineLevel="0" collapsed="false">
      <c r="A956" s="12" t="s">
        <v>2225</v>
      </c>
      <c r="B956" s="12" t="s">
        <v>1451</v>
      </c>
      <c r="C956" s="12" t="s">
        <v>1452</v>
      </c>
      <c r="D956" s="12" t="s">
        <v>2226</v>
      </c>
      <c r="E956" s="12" t="s">
        <v>2227</v>
      </c>
      <c r="F956" s="13" t="n">
        <v>18010</v>
      </c>
      <c r="G956" s="13" t="n">
        <v>13654</v>
      </c>
      <c r="H956" s="14" t="n">
        <v>1899</v>
      </c>
      <c r="I956" s="14" t="n">
        <v>1620</v>
      </c>
      <c r="J956" s="15" t="n">
        <f aca="false">I956/H956</f>
        <v>0.853080568720379</v>
      </c>
      <c r="K956" s="16" t="n">
        <f aca="false">ROUND(I956*J956^($F$8-1),0)</f>
        <v>1681</v>
      </c>
      <c r="L956" s="16" t="n">
        <f aca="false">ROUND(I956*J956^($F$9-1),0)</f>
        <v>1633</v>
      </c>
      <c r="M956" s="17" t="n">
        <f aca="false">G956*$F$7</f>
        <v>13152.9287236452</v>
      </c>
      <c r="N956" s="18" t="n">
        <f aca="false">F956/K956</f>
        <v>10.7138607971446</v>
      </c>
      <c r="O956" s="18" t="n">
        <f aca="false">G956/L956</f>
        <v>8.36129822412737</v>
      </c>
      <c r="P956" s="18" t="n">
        <f aca="false">M956/L956</f>
        <v>8.05445727106259</v>
      </c>
      <c r="Q956" s="19" t="n">
        <f aca="false">IF(N956=0,"n.a.",P956/N956-1)</f>
        <v>-0.248220839941354</v>
      </c>
    </row>
    <row r="957" customFormat="false" ht="15" hidden="false" customHeight="false" outlineLevel="0" collapsed="false">
      <c r="A957" s="12" t="s">
        <v>2228</v>
      </c>
      <c r="B957" s="12" t="s">
        <v>1451</v>
      </c>
      <c r="C957" s="12" t="s">
        <v>1452</v>
      </c>
      <c r="D957" s="12" t="s">
        <v>2229</v>
      </c>
      <c r="E957" s="12" t="s">
        <v>2230</v>
      </c>
      <c r="F957" s="13" t="n">
        <v>8517</v>
      </c>
      <c r="G957" s="13" t="n">
        <v>8220</v>
      </c>
      <c r="H957" s="14" t="n">
        <v>721</v>
      </c>
      <c r="I957" s="14" t="n">
        <v>627</v>
      </c>
      <c r="J957" s="15" t="n">
        <f aca="false">I957/H957</f>
        <v>0.869625520110957</v>
      </c>
      <c r="K957" s="16" t="n">
        <f aca="false">ROUND(I957*J957^($F$8-1),0)</f>
        <v>648</v>
      </c>
      <c r="L957" s="16" t="n">
        <f aca="false">ROUND(I957*J957^($F$9-1),0)</f>
        <v>632</v>
      </c>
      <c r="M957" s="17" t="n">
        <f aca="false">G957*$F$7</f>
        <v>7918.34437588719</v>
      </c>
      <c r="N957" s="18" t="n">
        <f aca="false">F957/K957</f>
        <v>13.1435185185185</v>
      </c>
      <c r="O957" s="18" t="n">
        <f aca="false">G957/L957</f>
        <v>13.0063291139241</v>
      </c>
      <c r="P957" s="18" t="n">
        <f aca="false">M957/L957</f>
        <v>12.5290259112139</v>
      </c>
      <c r="Q957" s="19" t="n">
        <f aca="false">IF(N957=0,"n.a.",P957/N957-1)</f>
        <v>-0.0467525196117635</v>
      </c>
    </row>
    <row r="958" customFormat="false" ht="15" hidden="false" customHeight="false" outlineLevel="0" collapsed="false">
      <c r="A958" s="12" t="s">
        <v>2231</v>
      </c>
      <c r="B958" s="12" t="s">
        <v>1451</v>
      </c>
      <c r="C958" s="12" t="s">
        <v>1452</v>
      </c>
      <c r="D958" s="12" t="s">
        <v>2232</v>
      </c>
      <c r="E958" s="12" t="s">
        <v>2233</v>
      </c>
      <c r="F958" s="13" t="n">
        <v>23573</v>
      </c>
      <c r="G958" s="13" t="n">
        <v>44285</v>
      </c>
      <c r="H958" s="14" t="n">
        <v>1257</v>
      </c>
      <c r="I958" s="14" t="n">
        <v>1209</v>
      </c>
      <c r="J958" s="15" t="n">
        <f aca="false">I958/H958</f>
        <v>0.9618138424821</v>
      </c>
      <c r="K958" s="16" t="n">
        <f aca="false">ROUND(I958*J958^($F$8-1),0)</f>
        <v>1220</v>
      </c>
      <c r="L958" s="16" t="n">
        <f aca="false">ROUND(I958*J958^($F$9-1),0)</f>
        <v>1211</v>
      </c>
      <c r="M958" s="17" t="n">
        <f aca="false">G958*$F$7</f>
        <v>42659.8394995334</v>
      </c>
      <c r="N958" s="18" t="n">
        <f aca="false">F958/K958</f>
        <v>19.322131147541</v>
      </c>
      <c r="O958" s="18" t="n">
        <f aca="false">G958/L958</f>
        <v>36.5689512799339</v>
      </c>
      <c r="P958" s="18" t="n">
        <f aca="false">M958/L958</f>
        <v>35.2269525181943</v>
      </c>
      <c r="Q958" s="19" t="n">
        <f aca="false">IF(N958=0,"n.a.",P958/N958-1)</f>
        <v>0.823140120994235</v>
      </c>
    </row>
    <row r="959" customFormat="false" ht="15" hidden="false" customHeight="false" outlineLevel="0" collapsed="false">
      <c r="A959" s="12" t="s">
        <v>2234</v>
      </c>
      <c r="B959" s="12" t="s">
        <v>1451</v>
      </c>
      <c r="C959" s="12" t="s">
        <v>1452</v>
      </c>
      <c r="D959" s="12" t="s">
        <v>2235</v>
      </c>
      <c r="E959" s="12" t="s">
        <v>2236</v>
      </c>
      <c r="F959" s="13" t="n">
        <v>27782624</v>
      </c>
      <c r="G959" s="13" t="n">
        <v>37529231</v>
      </c>
      <c r="H959" s="14" t="n">
        <v>49737</v>
      </c>
      <c r="I959" s="14" t="n">
        <v>57844</v>
      </c>
      <c r="J959" s="15" t="n">
        <f aca="false">I959/H959</f>
        <v>1.16299736614593</v>
      </c>
      <c r="K959" s="16" t="n">
        <f aca="false">ROUND(I959*J959^($F$8-1),0)</f>
        <v>55862</v>
      </c>
      <c r="L959" s="16" t="n">
        <f aca="false">ROUND(I959*J959^($F$9-1),0)</f>
        <v>57392</v>
      </c>
      <c r="M959" s="17" t="n">
        <f aca="false">G959*$F$7</f>
        <v>36151992.1192483</v>
      </c>
      <c r="N959" s="18" t="n">
        <f aca="false">F959/K959</f>
        <v>497.343883140596</v>
      </c>
      <c r="O959" s="18" t="n">
        <f aca="false">G959/L959</f>
        <v>653.910492751603</v>
      </c>
      <c r="P959" s="18" t="n">
        <f aca="false">M959/L959</f>
        <v>629.913439490666</v>
      </c>
      <c r="Q959" s="19" t="n">
        <f aca="false">IF(N959=0,"n.a.",P959/N959-1)</f>
        <v>0.266555115774075</v>
      </c>
    </row>
    <row r="960" customFormat="false" ht="15" hidden="false" customHeight="false" outlineLevel="0" collapsed="false">
      <c r="A960" s="12" t="s">
        <v>2237</v>
      </c>
      <c r="B960" s="12" t="s">
        <v>1451</v>
      </c>
      <c r="C960" s="12" t="s">
        <v>1452</v>
      </c>
      <c r="D960" s="12" t="s">
        <v>2238</v>
      </c>
      <c r="E960" s="12" t="s">
        <v>2236</v>
      </c>
      <c r="F960" s="13" t="n">
        <v>0</v>
      </c>
      <c r="G960" s="13" t="n">
        <v>0</v>
      </c>
      <c r="H960" s="14" t="n">
        <v>972</v>
      </c>
      <c r="I960" s="14" t="n">
        <v>806</v>
      </c>
      <c r="J960" s="15" t="n">
        <f aca="false">I960/H960</f>
        <v>0.829218106995885</v>
      </c>
      <c r="K960" s="16" t="n">
        <f aca="false">ROUND(I960*J960^($F$8-1),0)</f>
        <v>842</v>
      </c>
      <c r="L960" s="16" t="n">
        <f aca="false">ROUND(I960*J960^($F$9-1),0)</f>
        <v>814</v>
      </c>
      <c r="M960" s="17" t="n">
        <f aca="false">G960*$F$7</f>
        <v>0</v>
      </c>
      <c r="N960" s="18" t="n">
        <f aca="false">F960/K960</f>
        <v>0</v>
      </c>
      <c r="O960" s="18" t="n">
        <f aca="false">G960/L960</f>
        <v>0</v>
      </c>
      <c r="P960" s="18" t="n">
        <f aca="false">M960/L960</f>
        <v>0</v>
      </c>
      <c r="Q960" s="19" t="str">
        <f aca="false">IF(N960=0,"n.a.",P960/N960-1)</f>
        <v>n.a.</v>
      </c>
    </row>
    <row r="961" customFormat="false" ht="15" hidden="false" customHeight="false" outlineLevel="0" collapsed="false">
      <c r="A961" s="12" t="s">
        <v>2239</v>
      </c>
      <c r="B961" s="12" t="s">
        <v>1451</v>
      </c>
      <c r="C961" s="12" t="s">
        <v>1452</v>
      </c>
      <c r="D961" s="12" t="s">
        <v>2240</v>
      </c>
      <c r="E961" s="12" t="s">
        <v>2241</v>
      </c>
      <c r="F961" s="13" t="n">
        <v>0</v>
      </c>
      <c r="G961" s="13" t="n">
        <v>0</v>
      </c>
      <c r="H961" s="14" t="n">
        <v>706</v>
      </c>
      <c r="I961" s="14" t="n">
        <v>636</v>
      </c>
      <c r="J961" s="15" t="n">
        <f aca="false">I961/H961</f>
        <v>0.900849858356941</v>
      </c>
      <c r="K961" s="16" t="n">
        <f aca="false">ROUND(I961*J961^($F$8-1),0)</f>
        <v>652</v>
      </c>
      <c r="L961" s="16" t="n">
        <f aca="false">ROUND(I961*J961^($F$9-1),0)</f>
        <v>639</v>
      </c>
      <c r="M961" s="17" t="n">
        <f aca="false">G961*$F$7</f>
        <v>0</v>
      </c>
      <c r="N961" s="18" t="n">
        <f aca="false">F961/K961</f>
        <v>0</v>
      </c>
      <c r="O961" s="18" t="n">
        <f aca="false">G961/L961</f>
        <v>0</v>
      </c>
      <c r="P961" s="18" t="n">
        <f aca="false">M961/L961</f>
        <v>0</v>
      </c>
      <c r="Q961" s="19" t="str">
        <f aca="false">IF(N961=0,"n.a.",P961/N961-1)</f>
        <v>n.a.</v>
      </c>
    </row>
    <row r="962" customFormat="false" ht="15" hidden="false" customHeight="false" outlineLevel="0" collapsed="false">
      <c r="A962" s="12" t="s">
        <v>2242</v>
      </c>
      <c r="B962" s="12" t="s">
        <v>1451</v>
      </c>
      <c r="C962" s="12" t="s">
        <v>1452</v>
      </c>
      <c r="D962" s="12" t="s">
        <v>2243</v>
      </c>
      <c r="E962" s="12" t="s">
        <v>2244</v>
      </c>
      <c r="F962" s="13" t="n">
        <v>2750</v>
      </c>
      <c r="G962" s="13" t="n">
        <v>625</v>
      </c>
      <c r="H962" s="14" t="n">
        <v>751</v>
      </c>
      <c r="I962" s="14" t="n">
        <v>619</v>
      </c>
      <c r="J962" s="15" t="n">
        <f aca="false">I962/H962</f>
        <v>0.824234354194408</v>
      </c>
      <c r="K962" s="16" t="n">
        <f aca="false">ROUND(I962*J962^($F$8-1),0)</f>
        <v>647</v>
      </c>
      <c r="L962" s="16" t="n">
        <f aca="false">ROUND(I962*J962^($F$9-1),0)</f>
        <v>625</v>
      </c>
      <c r="M962" s="17" t="n">
        <f aca="false">G962*$F$7</f>
        <v>602.063897193369</v>
      </c>
      <c r="N962" s="18" t="n">
        <f aca="false">F962/K962</f>
        <v>4.25038639876352</v>
      </c>
      <c r="O962" s="18" t="n">
        <f aca="false">G962/L962</f>
        <v>1</v>
      </c>
      <c r="P962" s="18" t="n">
        <f aca="false">M962/L962</f>
        <v>0.96330223550939</v>
      </c>
      <c r="Q962" s="19" t="n">
        <f aca="false">IF(N962=0,"n.a.",P962/N962-1)</f>
        <v>-0.773361255863791</v>
      </c>
    </row>
    <row r="963" customFormat="false" ht="15" hidden="false" customHeight="false" outlineLevel="0" collapsed="false">
      <c r="A963" s="12" t="s">
        <v>2245</v>
      </c>
      <c r="B963" s="12" t="s">
        <v>1451</v>
      </c>
      <c r="C963" s="12" t="s">
        <v>1452</v>
      </c>
      <c r="D963" s="12" t="s">
        <v>2246</v>
      </c>
      <c r="E963" s="12" t="s">
        <v>2247</v>
      </c>
      <c r="F963" s="13" t="n">
        <v>0</v>
      </c>
      <c r="G963" s="13" t="n">
        <v>16253</v>
      </c>
      <c r="H963" s="14" t="n">
        <v>786</v>
      </c>
      <c r="I963" s="14" t="n">
        <v>740</v>
      </c>
      <c r="J963" s="15" t="n">
        <f aca="false">I963/H963</f>
        <v>0.94147582697201</v>
      </c>
      <c r="K963" s="16" t="n">
        <f aca="false">ROUND(I963*J963^($F$8-1),0)</f>
        <v>750</v>
      </c>
      <c r="L963" s="16" t="n">
        <f aca="false">ROUND(I963*J963^($F$9-1),0)</f>
        <v>742</v>
      </c>
      <c r="M963" s="17" t="n">
        <f aca="false">G963*$F$7</f>
        <v>15656.5512337341</v>
      </c>
      <c r="N963" s="18" t="n">
        <f aca="false">F963/K963</f>
        <v>0</v>
      </c>
      <c r="O963" s="18" t="n">
        <f aca="false">G963/L963</f>
        <v>21.9043126684636</v>
      </c>
      <c r="P963" s="18" t="n">
        <f aca="false">M963/L963</f>
        <v>21.1004733608277</v>
      </c>
      <c r="Q963" s="19" t="str">
        <f aca="false">IF(N963=0,"n.a.",P963/N963-1)</f>
        <v>n.a.</v>
      </c>
    </row>
    <row r="964" customFormat="false" ht="15" hidden="false" customHeight="false" outlineLevel="0" collapsed="false">
      <c r="A964" s="12" t="s">
        <v>2248</v>
      </c>
      <c r="B964" s="12" t="s">
        <v>1451</v>
      </c>
      <c r="C964" s="12" t="s">
        <v>1452</v>
      </c>
      <c r="D964" s="12" t="s">
        <v>2249</v>
      </c>
      <c r="E964" s="12" t="s">
        <v>2250</v>
      </c>
      <c r="F964" s="13" t="n">
        <v>0</v>
      </c>
      <c r="G964" s="13" t="n">
        <v>0</v>
      </c>
      <c r="H964" s="14" t="n">
        <v>2404</v>
      </c>
      <c r="I964" s="14" t="n">
        <v>1691</v>
      </c>
      <c r="J964" s="15" t="n">
        <f aca="false">I964/H964</f>
        <v>0.703410981697171</v>
      </c>
      <c r="K964" s="16" t="n">
        <f aca="false">ROUND(I964*J964^($F$8-1),0)</f>
        <v>1834</v>
      </c>
      <c r="L964" s="16" t="n">
        <f aca="false">ROUND(I964*J964^($F$9-1),0)</f>
        <v>1722</v>
      </c>
      <c r="M964" s="17" t="n">
        <f aca="false">G964*$F$7</f>
        <v>0</v>
      </c>
      <c r="N964" s="18" t="n">
        <f aca="false">F964/K964</f>
        <v>0</v>
      </c>
      <c r="O964" s="18" t="n">
        <f aca="false">G964/L964</f>
        <v>0</v>
      </c>
      <c r="P964" s="18" t="n">
        <f aca="false">M964/L964</f>
        <v>0</v>
      </c>
      <c r="Q964" s="19" t="str">
        <f aca="false">IF(N964=0,"n.a.",P964/N964-1)</f>
        <v>n.a.</v>
      </c>
    </row>
    <row r="965" customFormat="false" ht="15" hidden="false" customHeight="false" outlineLevel="0" collapsed="false">
      <c r="A965" s="12" t="s">
        <v>2251</v>
      </c>
      <c r="B965" s="12" t="s">
        <v>1451</v>
      </c>
      <c r="C965" s="12" t="s">
        <v>1452</v>
      </c>
      <c r="D965" s="12" t="s">
        <v>2252</v>
      </c>
      <c r="E965" s="12" t="s">
        <v>2253</v>
      </c>
      <c r="F965" s="13" t="n">
        <v>1846819</v>
      </c>
      <c r="G965" s="13" t="n">
        <v>2091204</v>
      </c>
      <c r="H965" s="14" t="n">
        <v>48153</v>
      </c>
      <c r="I965" s="14" t="n">
        <v>51725</v>
      </c>
      <c r="J965" s="15" t="n">
        <f aca="false">I965/H965</f>
        <v>1.07418021722426</v>
      </c>
      <c r="K965" s="16" t="n">
        <f aca="false">ROUND(I965*J965^($F$8-1),0)</f>
        <v>50877</v>
      </c>
      <c r="L965" s="16" t="n">
        <f aca="false">ROUND(I965*J965^($F$9-1),0)</f>
        <v>51533</v>
      </c>
      <c r="M965" s="17" t="n">
        <f aca="false">G965*$F$7</f>
        <v>2014461.48810618</v>
      </c>
      <c r="N965" s="18" t="n">
        <f aca="false">F965/K965</f>
        <v>36.2996835505238</v>
      </c>
      <c r="O965" s="18" t="n">
        <f aca="false">G965/L965</f>
        <v>40.5799002580871</v>
      </c>
      <c r="P965" s="18" t="n">
        <f aca="false">M965/L965</f>
        <v>39.0907086353633</v>
      </c>
      <c r="Q965" s="19" t="n">
        <f aca="false">IF(N965=0,"n.a.",P965/N965-1)</f>
        <v>0.0768884136677071</v>
      </c>
    </row>
    <row r="966" customFormat="false" ht="15" hidden="false" customHeight="false" outlineLevel="0" collapsed="false">
      <c r="A966" s="12" t="s">
        <v>2254</v>
      </c>
      <c r="B966" s="12" t="s">
        <v>1451</v>
      </c>
      <c r="C966" s="12" t="s">
        <v>1452</v>
      </c>
      <c r="D966" s="12" t="s">
        <v>2255</v>
      </c>
      <c r="E966" s="12" t="s">
        <v>2256</v>
      </c>
      <c r="F966" s="13" t="n">
        <v>0</v>
      </c>
      <c r="G966" s="13" t="n">
        <v>0</v>
      </c>
      <c r="H966" s="14" t="n">
        <v>11930</v>
      </c>
      <c r="I966" s="14" t="n">
        <v>12388</v>
      </c>
      <c r="J966" s="15" t="n">
        <f aca="false">I966/H966</f>
        <v>1.03839061190277</v>
      </c>
      <c r="K966" s="16" t="n">
        <f aca="false">ROUND(I966*J966^($F$8-1),0)</f>
        <v>12281</v>
      </c>
      <c r="L966" s="16" t="n">
        <f aca="false">ROUND(I966*J966^($F$9-1),0)</f>
        <v>12364</v>
      </c>
      <c r="M966" s="17" t="n">
        <f aca="false">G966*$F$7</f>
        <v>0</v>
      </c>
      <c r="N966" s="18" t="n">
        <f aca="false">F966/K966</f>
        <v>0</v>
      </c>
      <c r="O966" s="18" t="n">
        <f aca="false">G966/L966</f>
        <v>0</v>
      </c>
      <c r="P966" s="18" t="n">
        <f aca="false">M966/L966</f>
        <v>0</v>
      </c>
      <c r="Q966" s="19" t="str">
        <f aca="false">IF(N966=0,"n.a.",P966/N966-1)</f>
        <v>n.a.</v>
      </c>
    </row>
    <row r="967" customFormat="false" ht="15" hidden="false" customHeight="false" outlineLevel="0" collapsed="false">
      <c r="A967" s="12" t="s">
        <v>2257</v>
      </c>
      <c r="B967" s="12" t="s">
        <v>1451</v>
      </c>
      <c r="C967" s="12" t="s">
        <v>1452</v>
      </c>
      <c r="D967" s="12" t="s">
        <v>2258</v>
      </c>
      <c r="E967" s="12" t="s">
        <v>2259</v>
      </c>
      <c r="F967" s="13" t="n">
        <v>644300</v>
      </c>
      <c r="G967" s="13" t="n">
        <v>1923858</v>
      </c>
      <c r="H967" s="14" t="n">
        <v>15464</v>
      </c>
      <c r="I967" s="14" t="n">
        <v>15670</v>
      </c>
      <c r="J967" s="15" t="n">
        <f aca="false">I967/H967</f>
        <v>1.0133212622866</v>
      </c>
      <c r="K967" s="16" t="n">
        <f aca="false">ROUND(I967*J967^($F$8-1),0)</f>
        <v>15622</v>
      </c>
      <c r="L967" s="16" t="n">
        <f aca="false">ROUND(I967*J967^($F$9-1),0)</f>
        <v>15659</v>
      </c>
      <c r="M967" s="17" t="n">
        <f aca="false">G967*$F$7</f>
        <v>1853256.71220262</v>
      </c>
      <c r="N967" s="18" t="n">
        <f aca="false">F967/K967</f>
        <v>41.2431186787863</v>
      </c>
      <c r="O967" s="18" t="n">
        <f aca="false">G967/L967</f>
        <v>122.859569576601</v>
      </c>
      <c r="P967" s="18" t="n">
        <f aca="false">M967/L967</f>
        <v>118.350898026862</v>
      </c>
      <c r="Q967" s="19" t="n">
        <f aca="false">IF(N967=0,"n.a.",P967/N967-1)</f>
        <v>1.86959138441042</v>
      </c>
    </row>
    <row r="968" customFormat="false" ht="15" hidden="false" customHeight="false" outlineLevel="0" collapsed="false">
      <c r="A968" s="12" t="s">
        <v>2260</v>
      </c>
      <c r="B968" s="12" t="s">
        <v>1451</v>
      </c>
      <c r="C968" s="12" t="s">
        <v>1452</v>
      </c>
      <c r="D968" s="12" t="s">
        <v>2261</v>
      </c>
      <c r="E968" s="12" t="s">
        <v>2262</v>
      </c>
      <c r="F968" s="13" t="n">
        <v>0</v>
      </c>
      <c r="G968" s="13" t="n">
        <v>0</v>
      </c>
      <c r="H968" s="14" t="n">
        <v>1441</v>
      </c>
      <c r="I968" s="14" t="n">
        <v>1453</v>
      </c>
      <c r="J968" s="15" t="n">
        <f aca="false">I968/H968</f>
        <v>1.00832755031228</v>
      </c>
      <c r="K968" s="16" t="n">
        <f aca="false">ROUND(I968*J968^($F$8-1),0)</f>
        <v>1450</v>
      </c>
      <c r="L968" s="16" t="n">
        <f aca="false">ROUND(I968*J968^($F$9-1),0)</f>
        <v>1452</v>
      </c>
      <c r="M968" s="17" t="n">
        <f aca="false">G968*$F$7</f>
        <v>0</v>
      </c>
      <c r="N968" s="18" t="n">
        <f aca="false">F968/K968</f>
        <v>0</v>
      </c>
      <c r="O968" s="18" t="n">
        <f aca="false">G968/L968</f>
        <v>0</v>
      </c>
      <c r="P968" s="18" t="n">
        <f aca="false">M968/L968</f>
        <v>0</v>
      </c>
      <c r="Q968" s="19" t="str">
        <f aca="false">IF(N968=0,"n.a.",P968/N968-1)</f>
        <v>n.a.</v>
      </c>
    </row>
    <row r="969" customFormat="false" ht="15" hidden="false" customHeight="false" outlineLevel="0" collapsed="false">
      <c r="A969" s="12" t="s">
        <v>2263</v>
      </c>
      <c r="B969" s="12" t="s">
        <v>1451</v>
      </c>
      <c r="C969" s="12" t="s">
        <v>1452</v>
      </c>
      <c r="D969" s="12" t="s">
        <v>2264</v>
      </c>
      <c r="E969" s="12" t="s">
        <v>2265</v>
      </c>
      <c r="F969" s="13" t="n">
        <v>0</v>
      </c>
      <c r="G969" s="13" t="n">
        <v>0</v>
      </c>
      <c r="H969" s="14" t="n">
        <v>1140</v>
      </c>
      <c r="I969" s="14" t="n">
        <v>1250</v>
      </c>
      <c r="J969" s="15" t="n">
        <f aca="false">I969/H969</f>
        <v>1.09649122807018</v>
      </c>
      <c r="K969" s="16" t="n">
        <f aca="false">ROUND(I969*J969^($F$8-1),0)</f>
        <v>1224</v>
      </c>
      <c r="L969" s="16" t="n">
        <f aca="false">ROUND(I969*J969^($F$9-1),0)</f>
        <v>1244</v>
      </c>
      <c r="M969" s="17" t="n">
        <f aca="false">G969*$F$7</f>
        <v>0</v>
      </c>
      <c r="N969" s="18" t="n">
        <f aca="false">F969/K969</f>
        <v>0</v>
      </c>
      <c r="O969" s="18" t="n">
        <f aca="false">G969/L969</f>
        <v>0</v>
      </c>
      <c r="P969" s="18" t="n">
        <f aca="false">M969/L969</f>
        <v>0</v>
      </c>
      <c r="Q969" s="19" t="str">
        <f aca="false">IF(N969=0,"n.a.",P969/N969-1)</f>
        <v>n.a.</v>
      </c>
    </row>
    <row r="970" customFormat="false" ht="15" hidden="false" customHeight="false" outlineLevel="0" collapsed="false">
      <c r="A970" s="12" t="s">
        <v>2266</v>
      </c>
      <c r="B970" s="12" t="s">
        <v>1451</v>
      </c>
      <c r="C970" s="12" t="s">
        <v>1452</v>
      </c>
      <c r="D970" s="12" t="s">
        <v>2267</v>
      </c>
      <c r="E970" s="12" t="s">
        <v>2268</v>
      </c>
      <c r="F970" s="13" t="n">
        <v>0</v>
      </c>
      <c r="G970" s="13" t="n">
        <v>0</v>
      </c>
      <c r="H970" s="14" t="n">
        <v>4296</v>
      </c>
      <c r="I970" s="14" t="n">
        <v>4125</v>
      </c>
      <c r="J970" s="15" t="n">
        <f aca="false">I970/H970</f>
        <v>0.960195530726257</v>
      </c>
      <c r="K970" s="16" t="n">
        <f aca="false">ROUND(I970*J970^($F$8-1),0)</f>
        <v>4164</v>
      </c>
      <c r="L970" s="16" t="n">
        <f aca="false">ROUND(I970*J970^($F$9-1),0)</f>
        <v>4134</v>
      </c>
      <c r="M970" s="17" t="n">
        <f aca="false">G970*$F$7</f>
        <v>0</v>
      </c>
      <c r="N970" s="18" t="n">
        <f aca="false">F970/K970</f>
        <v>0</v>
      </c>
      <c r="O970" s="18" t="n">
        <f aca="false">G970/L970</f>
        <v>0</v>
      </c>
      <c r="P970" s="18" t="n">
        <f aca="false">M970/L970</f>
        <v>0</v>
      </c>
      <c r="Q970" s="19" t="str">
        <f aca="false">IF(N970=0,"n.a.",P970/N970-1)</f>
        <v>n.a.</v>
      </c>
    </row>
    <row r="971" customFormat="false" ht="15" hidden="false" customHeight="false" outlineLevel="0" collapsed="false">
      <c r="A971" s="12" t="s">
        <v>2269</v>
      </c>
      <c r="B971" s="12" t="s">
        <v>1451</v>
      </c>
      <c r="C971" s="12" t="s">
        <v>1452</v>
      </c>
      <c r="D971" s="12" t="s">
        <v>2270</v>
      </c>
      <c r="E971" s="12" t="s">
        <v>2271</v>
      </c>
      <c r="F971" s="13" t="n">
        <v>594</v>
      </c>
      <c r="G971" s="13" t="n">
        <v>8218</v>
      </c>
      <c r="H971" s="14" t="n">
        <v>940</v>
      </c>
      <c r="I971" s="14" t="n">
        <v>909</v>
      </c>
      <c r="J971" s="15" t="n">
        <f aca="false">I971/H971</f>
        <v>0.967021276595745</v>
      </c>
      <c r="K971" s="16" t="n">
        <f aca="false">ROUND(I971*J971^($F$8-1),0)</f>
        <v>916</v>
      </c>
      <c r="L971" s="16" t="n">
        <f aca="false">ROUND(I971*J971^($F$9-1),0)</f>
        <v>911</v>
      </c>
      <c r="M971" s="17" t="n">
        <f aca="false">G971*$F$7</f>
        <v>7916.41777141617</v>
      </c>
      <c r="N971" s="18" t="n">
        <f aca="false">F971/K971</f>
        <v>0.648471615720524</v>
      </c>
      <c r="O971" s="18" t="n">
        <f aca="false">G971/L971</f>
        <v>9.02085620197585</v>
      </c>
      <c r="P971" s="18" t="n">
        <f aca="false">M971/L971</f>
        <v>8.68981094557209</v>
      </c>
      <c r="Q971" s="19" t="n">
        <f aca="false">IF(N971=0,"n.a.",P971/N971-1)</f>
        <v>12.4004492022627</v>
      </c>
    </row>
    <row r="972" customFormat="false" ht="15" hidden="false" customHeight="false" outlineLevel="0" collapsed="false">
      <c r="A972" s="12" t="s">
        <v>2272</v>
      </c>
      <c r="B972" s="12" t="s">
        <v>1451</v>
      </c>
      <c r="C972" s="12" t="s">
        <v>1452</v>
      </c>
      <c r="D972" s="12" t="s">
        <v>2273</v>
      </c>
      <c r="E972" s="12" t="s">
        <v>2274</v>
      </c>
      <c r="F972" s="13" t="n">
        <v>11580</v>
      </c>
      <c r="G972" s="13" t="n">
        <v>13680</v>
      </c>
      <c r="H972" s="14" t="n">
        <v>373</v>
      </c>
      <c r="I972" s="14" t="n">
        <v>322</v>
      </c>
      <c r="J972" s="15" t="n">
        <f aca="false">I972/H972</f>
        <v>0.863270777479893</v>
      </c>
      <c r="K972" s="16" t="n">
        <f aca="false">ROUND(I972*J972^($F$8-1),0)</f>
        <v>333</v>
      </c>
      <c r="L972" s="16" t="n">
        <f aca="false">ROUND(I972*J972^($F$9-1),0)</f>
        <v>324</v>
      </c>
      <c r="M972" s="17" t="n">
        <f aca="false">G972*$F$7</f>
        <v>13177.9745817685</v>
      </c>
      <c r="N972" s="18" t="n">
        <f aca="false">F972/K972</f>
        <v>34.7747747747748</v>
      </c>
      <c r="O972" s="18" t="n">
        <f aca="false">G972/L972</f>
        <v>42.2222222222222</v>
      </c>
      <c r="P972" s="18" t="n">
        <f aca="false">M972/L972</f>
        <v>40.6727610548409</v>
      </c>
      <c r="Q972" s="19" t="n">
        <f aca="false">IF(N972=0,"n.a.",P972/N972-1)</f>
        <v>0.169605304944907</v>
      </c>
    </row>
    <row r="973" customFormat="false" ht="15" hidden="false" customHeight="false" outlineLevel="0" collapsed="false">
      <c r="A973" s="12" t="s">
        <v>2275</v>
      </c>
      <c r="B973" s="12" t="s">
        <v>1451</v>
      </c>
      <c r="C973" s="12" t="s">
        <v>1452</v>
      </c>
      <c r="D973" s="12" t="s">
        <v>2276</v>
      </c>
      <c r="E973" s="12" t="s">
        <v>2277</v>
      </c>
      <c r="F973" s="13" t="n">
        <v>3102</v>
      </c>
      <c r="G973" s="13" t="n">
        <v>3586</v>
      </c>
      <c r="H973" s="14" t="n">
        <v>3212</v>
      </c>
      <c r="I973" s="14" t="n">
        <v>3276</v>
      </c>
      <c r="J973" s="15" t="n">
        <f aca="false">I973/H973</f>
        <v>1.01992528019925</v>
      </c>
      <c r="K973" s="16" t="n">
        <f aca="false">ROUND(I973*J973^($F$8-1),0)</f>
        <v>3261</v>
      </c>
      <c r="L973" s="16" t="n">
        <f aca="false">ROUND(I973*J973^($F$9-1),0)</f>
        <v>3273</v>
      </c>
      <c r="M973" s="17" t="n">
        <f aca="false">G973*$F$7</f>
        <v>3454.40181653667</v>
      </c>
      <c r="N973" s="18" t="n">
        <f aca="false">F973/K973</f>
        <v>0.951241950321987</v>
      </c>
      <c r="O973" s="18" t="n">
        <f aca="false">G973/L973</f>
        <v>1.09563091964559</v>
      </c>
      <c r="P973" s="18" t="n">
        <f aca="false">M973/L973</f>
        <v>1.0554237141878</v>
      </c>
      <c r="Q973" s="19" t="n">
        <f aca="false">IF(N973=0,"n.a.",P973/N973-1)</f>
        <v>0.109521834934371</v>
      </c>
    </row>
    <row r="974" customFormat="false" ht="15" hidden="false" customHeight="false" outlineLevel="0" collapsed="false">
      <c r="A974" s="12" t="s">
        <v>2278</v>
      </c>
      <c r="B974" s="12" t="s">
        <v>1451</v>
      </c>
      <c r="C974" s="12" t="s">
        <v>1452</v>
      </c>
      <c r="D974" s="12" t="s">
        <v>2279</v>
      </c>
      <c r="E974" s="12" t="s">
        <v>2280</v>
      </c>
      <c r="F974" s="13" t="n">
        <v>0</v>
      </c>
      <c r="G974" s="13" t="n">
        <v>0</v>
      </c>
      <c r="H974" s="14" t="n">
        <v>867</v>
      </c>
      <c r="I974" s="14" t="n">
        <v>846</v>
      </c>
      <c r="J974" s="15" t="n">
        <f aca="false">I974/H974</f>
        <v>0.975778546712803</v>
      </c>
      <c r="K974" s="16" t="n">
        <f aca="false">ROUND(I974*J974^($F$8-1),0)</f>
        <v>851</v>
      </c>
      <c r="L974" s="16" t="n">
        <f aca="false">ROUND(I974*J974^($F$9-1),0)</f>
        <v>847</v>
      </c>
      <c r="M974" s="17" t="n">
        <f aca="false">G974*$F$7</f>
        <v>0</v>
      </c>
      <c r="N974" s="18" t="n">
        <f aca="false">F974/K974</f>
        <v>0</v>
      </c>
      <c r="O974" s="18" t="n">
        <f aca="false">G974/L974</f>
        <v>0</v>
      </c>
      <c r="P974" s="18" t="n">
        <f aca="false">M974/L974</f>
        <v>0</v>
      </c>
      <c r="Q974" s="19" t="str">
        <f aca="false">IF(N974=0,"n.a.",P974/N974-1)</f>
        <v>n.a.</v>
      </c>
    </row>
    <row r="975" customFormat="false" ht="15" hidden="false" customHeight="false" outlineLevel="0" collapsed="false">
      <c r="A975" s="12" t="s">
        <v>2281</v>
      </c>
      <c r="B975" s="12" t="s">
        <v>1451</v>
      </c>
      <c r="C975" s="12" t="s">
        <v>1452</v>
      </c>
      <c r="D975" s="12" t="s">
        <v>2282</v>
      </c>
      <c r="E975" s="12" t="s">
        <v>2283</v>
      </c>
      <c r="F975" s="13" t="n">
        <v>22404</v>
      </c>
      <c r="G975" s="13" t="n">
        <v>29799</v>
      </c>
      <c r="H975" s="14" t="n">
        <v>1678</v>
      </c>
      <c r="I975" s="14" t="n">
        <v>1580</v>
      </c>
      <c r="J975" s="15" t="n">
        <f aca="false">I975/H975</f>
        <v>0.941597139451728</v>
      </c>
      <c r="K975" s="16" t="n">
        <f aca="false">ROUND(I975*J975^($F$8-1),0)</f>
        <v>1602</v>
      </c>
      <c r="L975" s="16" t="n">
        <f aca="false">ROUND(I975*J975^($F$9-1),0)</f>
        <v>1585</v>
      </c>
      <c r="M975" s="17" t="n">
        <f aca="false">G975*$F$7</f>
        <v>28705.4433159443</v>
      </c>
      <c r="N975" s="18" t="n">
        <f aca="false">F975/K975</f>
        <v>13.9850187265918</v>
      </c>
      <c r="O975" s="18" t="n">
        <f aca="false">G975/L975</f>
        <v>18.8006309148265</v>
      </c>
      <c r="P975" s="18" t="n">
        <f aca="false">M975/L975</f>
        <v>18.1106897892393</v>
      </c>
      <c r="Q975" s="19" t="n">
        <f aca="false">IF(N975=0,"n.a.",P975/N975-1)</f>
        <v>0.295006473949357</v>
      </c>
    </row>
    <row r="976" customFormat="false" ht="15" hidden="false" customHeight="false" outlineLevel="0" collapsed="false">
      <c r="A976" s="12" t="s">
        <v>2284</v>
      </c>
      <c r="B976" s="12" t="s">
        <v>1451</v>
      </c>
      <c r="C976" s="12" t="s">
        <v>1452</v>
      </c>
      <c r="D976" s="12" t="s">
        <v>2285</v>
      </c>
      <c r="E976" s="12" t="s">
        <v>2286</v>
      </c>
      <c r="F976" s="13" t="n">
        <v>0</v>
      </c>
      <c r="G976" s="13" t="n">
        <v>0</v>
      </c>
      <c r="H976" s="14" t="n">
        <v>5425</v>
      </c>
      <c r="I976" s="14" t="n">
        <v>4849</v>
      </c>
      <c r="J976" s="15" t="n">
        <f aca="false">I976/H976</f>
        <v>0.893824884792627</v>
      </c>
      <c r="K976" s="16" t="n">
        <f aca="false">ROUND(I976*J976^($F$8-1),0)</f>
        <v>4976</v>
      </c>
      <c r="L976" s="16" t="n">
        <f aca="false">ROUND(I976*J976^($F$9-1),0)</f>
        <v>4877</v>
      </c>
      <c r="M976" s="17" t="n">
        <f aca="false">G976*$F$7</f>
        <v>0</v>
      </c>
      <c r="N976" s="18" t="n">
        <f aca="false">F976/K976</f>
        <v>0</v>
      </c>
      <c r="O976" s="18" t="n">
        <f aca="false">G976/L976</f>
        <v>0</v>
      </c>
      <c r="P976" s="18" t="n">
        <f aca="false">M976/L976</f>
        <v>0</v>
      </c>
      <c r="Q976" s="19" t="str">
        <f aca="false">IF(N976=0,"n.a.",P976/N976-1)</f>
        <v>n.a.</v>
      </c>
    </row>
    <row r="977" customFormat="false" ht="15" hidden="false" customHeight="false" outlineLevel="0" collapsed="false">
      <c r="A977" s="12" t="s">
        <v>2287</v>
      </c>
      <c r="B977" s="12" t="s">
        <v>1451</v>
      </c>
      <c r="C977" s="12" t="s">
        <v>1452</v>
      </c>
      <c r="D977" s="12" t="s">
        <v>2288</v>
      </c>
      <c r="E977" s="12" t="s">
        <v>2289</v>
      </c>
      <c r="F977" s="13" t="n">
        <v>1725214</v>
      </c>
      <c r="G977" s="13" t="n">
        <v>1564515</v>
      </c>
      <c r="H977" s="14" t="n">
        <v>10094</v>
      </c>
      <c r="I977" s="14" t="n">
        <v>10644</v>
      </c>
      <c r="J977" s="15" t="n">
        <f aca="false">I977/H977</f>
        <v>1.05448781454329</v>
      </c>
      <c r="K977" s="16" t="n">
        <f aca="false">ROUND(I977*J977^($F$8-1),0)</f>
        <v>10514</v>
      </c>
      <c r="L977" s="16" t="n">
        <f aca="false">ROUND(I977*J977^($F$9-1),0)</f>
        <v>10615</v>
      </c>
      <c r="M977" s="17" t="n">
        <f aca="false">G977*$F$7</f>
        <v>1507100.79698797</v>
      </c>
      <c r="N977" s="18" t="n">
        <f aca="false">F977/K977</f>
        <v>164.087312155222</v>
      </c>
      <c r="O977" s="18" t="n">
        <f aca="false">G977/L977</f>
        <v>147.387187941592</v>
      </c>
      <c r="P977" s="18" t="n">
        <f aca="false">M977/L977</f>
        <v>141.978407629578</v>
      </c>
      <c r="Q977" s="19" t="n">
        <f aca="false">IF(N977=0,"n.a.",P977/N977-1)</f>
        <v>-0.134738659773578</v>
      </c>
    </row>
    <row r="978" customFormat="false" ht="15" hidden="false" customHeight="false" outlineLevel="0" collapsed="false">
      <c r="A978" s="12" t="s">
        <v>2290</v>
      </c>
      <c r="B978" s="12" t="s">
        <v>1451</v>
      </c>
      <c r="C978" s="12" t="s">
        <v>1452</v>
      </c>
      <c r="D978" s="12" t="s">
        <v>2291</v>
      </c>
      <c r="E978" s="12" t="s">
        <v>2292</v>
      </c>
      <c r="F978" s="13" t="n">
        <v>146371</v>
      </c>
      <c r="G978" s="13" t="n">
        <v>142008</v>
      </c>
      <c r="H978" s="14" t="n">
        <v>4334</v>
      </c>
      <c r="I978" s="14" t="n">
        <v>4490</v>
      </c>
      <c r="J978" s="15" t="n">
        <f aca="false">I978/H978</f>
        <v>1.0359944623904</v>
      </c>
      <c r="K978" s="16" t="n">
        <f aca="false">ROUND(I978*J978^($F$8-1),0)</f>
        <v>4453</v>
      </c>
      <c r="L978" s="16" t="n">
        <f aca="false">ROUND(I978*J978^($F$9-1),0)</f>
        <v>4482</v>
      </c>
      <c r="M978" s="17" t="n">
        <f aca="false">G978*$F$7</f>
        <v>136796.623860217</v>
      </c>
      <c r="N978" s="18" t="n">
        <f aca="false">F978/K978</f>
        <v>32.8701998652594</v>
      </c>
      <c r="O978" s="18" t="n">
        <f aca="false">G978/L978</f>
        <v>31.6840696117805</v>
      </c>
      <c r="P978" s="18" t="n">
        <f aca="false">M978/L978</f>
        <v>30.5213350870633</v>
      </c>
      <c r="Q978" s="19" t="n">
        <f aca="false">IF(N978=0,"n.a.",P978/N978-1)</f>
        <v>-0.0714587920920629</v>
      </c>
    </row>
    <row r="979" customFormat="false" ht="15" hidden="false" customHeight="false" outlineLevel="0" collapsed="false">
      <c r="A979" s="12" t="s">
        <v>2293</v>
      </c>
      <c r="B979" s="12" t="s">
        <v>1451</v>
      </c>
      <c r="C979" s="12" t="s">
        <v>1452</v>
      </c>
      <c r="D979" s="12" t="s">
        <v>2294</v>
      </c>
      <c r="E979" s="12" t="s">
        <v>2295</v>
      </c>
      <c r="F979" s="13" t="n">
        <v>0</v>
      </c>
      <c r="G979" s="13" t="n">
        <v>0</v>
      </c>
      <c r="H979" s="14" t="n">
        <v>1747</v>
      </c>
      <c r="I979" s="14" t="n">
        <v>1513</v>
      </c>
      <c r="J979" s="15" t="n">
        <f aca="false">I979/H979</f>
        <v>0.866056096164854</v>
      </c>
      <c r="K979" s="16" t="n">
        <f aca="false">ROUND(I979*J979^($F$8-1),0)</f>
        <v>1564</v>
      </c>
      <c r="L979" s="16" t="n">
        <f aca="false">ROUND(I979*J979^($F$9-1),0)</f>
        <v>1524</v>
      </c>
      <c r="M979" s="17" t="n">
        <f aca="false">G979*$F$7</f>
        <v>0</v>
      </c>
      <c r="N979" s="18" t="n">
        <f aca="false">F979/K979</f>
        <v>0</v>
      </c>
      <c r="O979" s="18" t="n">
        <f aca="false">G979/L979</f>
        <v>0</v>
      </c>
      <c r="P979" s="18" t="n">
        <f aca="false">M979/L979</f>
        <v>0</v>
      </c>
      <c r="Q979" s="19" t="str">
        <f aca="false">IF(N979=0,"n.a.",P979/N979-1)</f>
        <v>n.a.</v>
      </c>
    </row>
    <row r="980" customFormat="false" ht="15" hidden="false" customHeight="false" outlineLevel="0" collapsed="false">
      <c r="A980" s="12" t="s">
        <v>2296</v>
      </c>
      <c r="B980" s="12" t="s">
        <v>1451</v>
      </c>
      <c r="C980" s="12" t="s">
        <v>1452</v>
      </c>
      <c r="D980" s="12" t="s">
        <v>2297</v>
      </c>
      <c r="E980" s="12" t="s">
        <v>2298</v>
      </c>
      <c r="F980" s="13" t="n">
        <v>10480</v>
      </c>
      <c r="G980" s="13" t="n">
        <v>10670</v>
      </c>
      <c r="H980" s="14" t="n">
        <v>241</v>
      </c>
      <c r="I980" s="14" t="n">
        <v>246</v>
      </c>
      <c r="J980" s="15" t="n">
        <f aca="false">I980/H980</f>
        <v>1.02074688796681</v>
      </c>
      <c r="K980" s="16" t="n">
        <f aca="false">ROUND(I980*J980^($F$8-1),0)</f>
        <v>245</v>
      </c>
      <c r="L980" s="16" t="n">
        <f aca="false">ROUND(I980*J980^($F$9-1),0)</f>
        <v>246</v>
      </c>
      <c r="M980" s="17" t="n">
        <f aca="false">G980*$F$7</f>
        <v>10278.4348528852</v>
      </c>
      <c r="N980" s="18" t="n">
        <f aca="false">F980/K980</f>
        <v>42.7755102040816</v>
      </c>
      <c r="O980" s="18" t="n">
        <f aca="false">G980/L980</f>
        <v>43.3739837398374</v>
      </c>
      <c r="P980" s="18" t="n">
        <f aca="false">M980/L980</f>
        <v>41.7822554995333</v>
      </c>
      <c r="Q980" s="19" t="n">
        <f aca="false">IF(N980=0,"n.a.",P980/N980-1)</f>
        <v>-0.023220172005185</v>
      </c>
    </row>
    <row r="981" customFormat="false" ht="15" hidden="false" customHeight="false" outlineLevel="0" collapsed="false">
      <c r="A981" s="12" t="s">
        <v>2299</v>
      </c>
      <c r="B981" s="12" t="s">
        <v>1451</v>
      </c>
      <c r="C981" s="12" t="s">
        <v>1452</v>
      </c>
      <c r="D981" s="12" t="s">
        <v>2300</v>
      </c>
      <c r="E981" s="12" t="s">
        <v>2301</v>
      </c>
      <c r="F981" s="13" t="n">
        <v>1454764</v>
      </c>
      <c r="G981" s="13" t="n">
        <v>1649560</v>
      </c>
      <c r="H981" s="14" t="n">
        <v>4105</v>
      </c>
      <c r="I981" s="14" t="n">
        <v>4923</v>
      </c>
      <c r="J981" s="15" t="n">
        <f aca="false">I981/H981</f>
        <v>1.19926918392205</v>
      </c>
      <c r="K981" s="16" t="n">
        <f aca="false">ROUND(I981*J981^($F$8-1),0)</f>
        <v>4721</v>
      </c>
      <c r="L981" s="16" t="n">
        <f aca="false">ROUND(I981*J981^($F$9-1),0)</f>
        <v>4877</v>
      </c>
      <c r="M981" s="17" t="n">
        <f aca="false">G981*$F$7</f>
        <v>1589024.83560687</v>
      </c>
      <c r="N981" s="18" t="n">
        <f aca="false">F981/K981</f>
        <v>308.147426392713</v>
      </c>
      <c r="O981" s="18" t="n">
        <f aca="false">G981/L981</f>
        <v>338.232519991798</v>
      </c>
      <c r="P981" s="18" t="n">
        <f aca="false">M981/L981</f>
        <v>325.820142630074</v>
      </c>
      <c r="Q981" s="19" t="n">
        <f aca="false">IF(N981=0,"n.a.",P981/N981-1)</f>
        <v>0.0573514971202052</v>
      </c>
    </row>
    <row r="982" customFormat="false" ht="15" hidden="false" customHeight="false" outlineLevel="0" collapsed="false">
      <c r="A982" s="12" t="s">
        <v>2302</v>
      </c>
      <c r="B982" s="12" t="s">
        <v>1451</v>
      </c>
      <c r="C982" s="12" t="s">
        <v>1452</v>
      </c>
      <c r="D982" s="12" t="s">
        <v>2303</v>
      </c>
      <c r="E982" s="12" t="s">
        <v>2304</v>
      </c>
      <c r="F982" s="13" t="n">
        <v>260344</v>
      </c>
      <c r="G982" s="13" t="n">
        <v>282112</v>
      </c>
      <c r="H982" s="14" t="n">
        <v>1999</v>
      </c>
      <c r="I982" s="14" t="n">
        <v>1949</v>
      </c>
      <c r="J982" s="15" t="n">
        <f aca="false">I982/H982</f>
        <v>0.974987493746873</v>
      </c>
      <c r="K982" s="16" t="n">
        <f aca="false">ROUND(I982*J982^($F$8-1),0)</f>
        <v>1960</v>
      </c>
      <c r="L982" s="16" t="n">
        <f aca="false">ROUND(I982*J982^($F$9-1),0)</f>
        <v>1952</v>
      </c>
      <c r="M982" s="17" t="n">
        <f aca="false">G982*$F$7</f>
        <v>271759.120264025</v>
      </c>
      <c r="N982" s="18" t="n">
        <f aca="false">F982/K982</f>
        <v>132.828571428571</v>
      </c>
      <c r="O982" s="18" t="n">
        <f aca="false">G982/L982</f>
        <v>144.524590163934</v>
      </c>
      <c r="P982" s="18" t="n">
        <f aca="false">M982/L982</f>
        <v>139.220860790996</v>
      </c>
      <c r="Q982" s="19" t="n">
        <f aca="false">IF(N982=0,"n.a.",P982/N982-1)</f>
        <v>0.0481243552774526</v>
      </c>
    </row>
    <row r="983" customFormat="false" ht="15" hidden="false" customHeight="false" outlineLevel="0" collapsed="false">
      <c r="A983" s="12" t="s">
        <v>2305</v>
      </c>
      <c r="B983" s="12" t="s">
        <v>1451</v>
      </c>
      <c r="C983" s="12" t="s">
        <v>1452</v>
      </c>
      <c r="D983" s="12" t="s">
        <v>2306</v>
      </c>
      <c r="E983" s="12" t="s">
        <v>2307</v>
      </c>
      <c r="F983" s="13" t="n">
        <v>6325</v>
      </c>
      <c r="G983" s="13" t="n">
        <v>1754</v>
      </c>
      <c r="H983" s="14" t="n">
        <v>2809</v>
      </c>
      <c r="I983" s="14" t="n">
        <v>3020</v>
      </c>
      <c r="J983" s="15" t="n">
        <f aca="false">I983/H983</f>
        <v>1.0751156995372</v>
      </c>
      <c r="K983" s="16" t="n">
        <f aca="false">ROUND(I983*J983^($F$8-1),0)</f>
        <v>2970</v>
      </c>
      <c r="L983" s="16" t="n">
        <f aca="false">ROUND(I983*J983^($F$9-1),0)</f>
        <v>3009</v>
      </c>
      <c r="M983" s="17" t="n">
        <f aca="false">G983*$F$7</f>
        <v>1689.63212108347</v>
      </c>
      <c r="N983" s="18" t="n">
        <f aca="false">F983/K983</f>
        <v>2.12962962962963</v>
      </c>
      <c r="O983" s="18" t="n">
        <f aca="false">G983/L983</f>
        <v>0.582917912927883</v>
      </c>
      <c r="P983" s="18" t="n">
        <f aca="false">M983/L983</f>
        <v>0.561526128641898</v>
      </c>
      <c r="Q983" s="19" t="n">
        <f aca="false">IF(N983=0,"n.a.",P983/N983-1)</f>
        <v>-0.73632686133337</v>
      </c>
    </row>
    <row r="984" customFormat="false" ht="15" hidden="false" customHeight="false" outlineLevel="0" collapsed="false">
      <c r="A984" s="12" t="s">
        <v>2308</v>
      </c>
      <c r="B984" s="12" t="s">
        <v>1451</v>
      </c>
      <c r="C984" s="12" t="s">
        <v>1452</v>
      </c>
      <c r="D984" s="12" t="s">
        <v>2309</v>
      </c>
      <c r="E984" s="12" t="s">
        <v>2310</v>
      </c>
      <c r="F984" s="13" t="n">
        <v>9686</v>
      </c>
      <c r="G984" s="13" t="n">
        <v>12581</v>
      </c>
      <c r="H984" s="14" t="n">
        <v>4188</v>
      </c>
      <c r="I984" s="14" t="n">
        <v>3865</v>
      </c>
      <c r="J984" s="15" t="n">
        <f aca="false">I984/H984</f>
        <v>0.92287488061127</v>
      </c>
      <c r="K984" s="16" t="n">
        <f aca="false">ROUND(I984*J984^($F$8-1),0)</f>
        <v>3937</v>
      </c>
      <c r="L984" s="16" t="n">
        <f aca="false">ROUND(I984*J984^($F$9-1),0)</f>
        <v>3881</v>
      </c>
      <c r="M984" s="17" t="n">
        <f aca="false">G984*$F$7</f>
        <v>12119.3054249436</v>
      </c>
      <c r="N984" s="18" t="n">
        <f aca="false">F984/K984</f>
        <v>2.46024892049784</v>
      </c>
      <c r="O984" s="18" t="n">
        <f aca="false">G984/L984</f>
        <v>3.24169028600876</v>
      </c>
      <c r="P984" s="18" t="n">
        <f aca="false">M984/L984</f>
        <v>3.12272749934131</v>
      </c>
      <c r="Q984" s="19" t="n">
        <f aca="false">IF(N984=0,"n.a.",P984/N984-1)</f>
        <v>0.26927298832405</v>
      </c>
    </row>
    <row r="985" customFormat="false" ht="15" hidden="false" customHeight="false" outlineLevel="0" collapsed="false">
      <c r="A985" s="12" t="s">
        <v>2311</v>
      </c>
      <c r="B985" s="12" t="s">
        <v>1451</v>
      </c>
      <c r="C985" s="12" t="s">
        <v>1452</v>
      </c>
      <c r="D985" s="12" t="s">
        <v>2312</v>
      </c>
      <c r="E985" s="12" t="s">
        <v>2313</v>
      </c>
      <c r="F985" s="13" t="n">
        <v>168000</v>
      </c>
      <c r="G985" s="13" t="n">
        <v>0</v>
      </c>
      <c r="H985" s="14" t="n">
        <v>1542</v>
      </c>
      <c r="I985" s="14" t="n">
        <v>1486</v>
      </c>
      <c r="J985" s="15" t="n">
        <f aca="false">I985/H985</f>
        <v>0.963683527885863</v>
      </c>
      <c r="K985" s="16" t="n">
        <f aca="false">ROUND(I985*J985^($F$8-1),0)</f>
        <v>1499</v>
      </c>
      <c r="L985" s="16" t="n">
        <f aca="false">ROUND(I985*J985^($F$9-1),0)</f>
        <v>1489</v>
      </c>
      <c r="M985" s="17" t="n">
        <f aca="false">G985*$F$7</f>
        <v>0</v>
      </c>
      <c r="N985" s="18" t="n">
        <f aca="false">F985/K985</f>
        <v>112.074716477652</v>
      </c>
      <c r="O985" s="18" t="n">
        <f aca="false">G985/L985</f>
        <v>0</v>
      </c>
      <c r="P985" s="18" t="n">
        <f aca="false">M985/L985</f>
        <v>0</v>
      </c>
      <c r="Q985" s="19" t="n">
        <f aca="false">IF(N985=0,"n.a.",P985/N985-1)</f>
        <v>-1</v>
      </c>
    </row>
    <row r="986" customFormat="false" ht="15" hidden="false" customHeight="false" outlineLevel="0" collapsed="false">
      <c r="A986" s="12" t="s">
        <v>2314</v>
      </c>
      <c r="B986" s="12" t="s">
        <v>1451</v>
      </c>
      <c r="C986" s="12" t="s">
        <v>1452</v>
      </c>
      <c r="D986" s="12" t="s">
        <v>2315</v>
      </c>
      <c r="E986" s="12" t="s">
        <v>2316</v>
      </c>
      <c r="F986" s="13" t="n">
        <v>41856</v>
      </c>
      <c r="G986" s="13" t="n">
        <v>65341</v>
      </c>
      <c r="H986" s="14" t="n">
        <v>4202</v>
      </c>
      <c r="I986" s="14" t="n">
        <v>4164</v>
      </c>
      <c r="J986" s="15" t="n">
        <f aca="false">I986/H986</f>
        <v>0.990956687291766</v>
      </c>
      <c r="K986" s="16" t="n">
        <f aca="false">ROUND(I986*J986^($F$8-1),0)</f>
        <v>4173</v>
      </c>
      <c r="L986" s="16" t="n">
        <f aca="false">ROUND(I986*J986^($F$9-1),0)</f>
        <v>4166</v>
      </c>
      <c r="M986" s="17" t="n">
        <f aca="false">G986*$F$7</f>
        <v>62943.1313704191</v>
      </c>
      <c r="N986" s="18" t="n">
        <f aca="false">F986/K986</f>
        <v>10.0301941049605</v>
      </c>
      <c r="O986" s="18" t="n">
        <f aca="false">G986/L986</f>
        <v>15.6843494959193</v>
      </c>
      <c r="P986" s="18" t="n">
        <f aca="false">M986/L986</f>
        <v>15.1087689319297</v>
      </c>
      <c r="Q986" s="19" t="n">
        <f aca="false">IF(N986=0,"n.a.",P986/N986-1)</f>
        <v>0.506328668600501</v>
      </c>
    </row>
    <row r="987" customFormat="false" ht="15" hidden="false" customHeight="false" outlineLevel="0" collapsed="false">
      <c r="A987" s="12" t="s">
        <v>2317</v>
      </c>
      <c r="B987" s="12" t="s">
        <v>1451</v>
      </c>
      <c r="C987" s="12" t="s">
        <v>1452</v>
      </c>
      <c r="D987" s="12" t="s">
        <v>2318</v>
      </c>
      <c r="E987" s="12" t="s">
        <v>2319</v>
      </c>
      <c r="F987" s="13" t="n">
        <v>674028</v>
      </c>
      <c r="G987" s="13" t="n">
        <v>616430</v>
      </c>
      <c r="H987" s="14" t="n">
        <v>8192</v>
      </c>
      <c r="I987" s="14" t="n">
        <v>8947</v>
      </c>
      <c r="J987" s="15" t="n">
        <f aca="false">I987/H987</f>
        <v>1.0921630859375</v>
      </c>
      <c r="K987" s="16" t="n">
        <f aca="false">ROUND(I987*J987^($F$8-1),0)</f>
        <v>8767</v>
      </c>
      <c r="L987" s="16" t="n">
        <f aca="false">ROUND(I987*J987^($F$9-1),0)</f>
        <v>8906</v>
      </c>
      <c r="M987" s="17" t="n">
        <f aca="false">G987*$F$7</f>
        <v>593808.397035054</v>
      </c>
      <c r="N987" s="18" t="n">
        <f aca="false">F987/K987</f>
        <v>76.8823999087487</v>
      </c>
      <c r="O987" s="18" t="n">
        <f aca="false">G987/L987</f>
        <v>69.2151358634628</v>
      </c>
      <c r="P987" s="18" t="n">
        <f aca="false">M987/L987</f>
        <v>66.6750951083599</v>
      </c>
      <c r="Q987" s="19" t="n">
        <f aca="false">IF(N987=0,"n.a.",P987/N987-1)</f>
        <v>-0.132765168783802</v>
      </c>
    </row>
    <row r="988" customFormat="false" ht="15" hidden="false" customHeight="false" outlineLevel="0" collapsed="false">
      <c r="A988" s="12" t="s">
        <v>2320</v>
      </c>
      <c r="B988" s="12" t="s">
        <v>1451</v>
      </c>
      <c r="C988" s="12" t="s">
        <v>1452</v>
      </c>
      <c r="D988" s="12" t="s">
        <v>2321</v>
      </c>
      <c r="E988" s="12" t="s">
        <v>2322</v>
      </c>
      <c r="F988" s="13" t="n">
        <v>19540</v>
      </c>
      <c r="G988" s="13" t="n">
        <v>8595</v>
      </c>
      <c r="H988" s="14" t="n">
        <v>2189</v>
      </c>
      <c r="I988" s="14" t="n">
        <v>2244</v>
      </c>
      <c r="J988" s="15" t="n">
        <f aca="false">I988/H988</f>
        <v>1.0251256281407</v>
      </c>
      <c r="K988" s="16" t="n">
        <f aca="false">ROUND(I988*J988^($F$8-1),0)</f>
        <v>2231</v>
      </c>
      <c r="L988" s="16" t="n">
        <f aca="false">ROUND(I988*J988^($F$9-1),0)</f>
        <v>2241</v>
      </c>
      <c r="M988" s="17" t="n">
        <f aca="false">G988*$F$7</f>
        <v>8279.58271420321</v>
      </c>
      <c r="N988" s="18" t="n">
        <f aca="false">F988/K988</f>
        <v>8.75840430300314</v>
      </c>
      <c r="O988" s="18" t="n">
        <f aca="false">G988/L988</f>
        <v>3.83534136546185</v>
      </c>
      <c r="P988" s="18" t="n">
        <f aca="false">M988/L988</f>
        <v>3.69459291129104</v>
      </c>
      <c r="Q988" s="19" t="n">
        <f aca="false">IF(N988=0,"n.a.",P988/N988-1)</f>
        <v>-0.578165978245123</v>
      </c>
    </row>
    <row r="989" customFormat="false" ht="15" hidden="false" customHeight="false" outlineLevel="0" collapsed="false">
      <c r="A989" s="12" t="s">
        <v>2323</v>
      </c>
      <c r="B989" s="12" t="s">
        <v>1451</v>
      </c>
      <c r="C989" s="12" t="s">
        <v>1452</v>
      </c>
      <c r="D989" s="12" t="s">
        <v>2324</v>
      </c>
      <c r="E989" s="12" t="s">
        <v>2325</v>
      </c>
      <c r="F989" s="13" t="n">
        <v>5558739</v>
      </c>
      <c r="G989" s="13" t="n">
        <v>5478096</v>
      </c>
      <c r="H989" s="14" t="n">
        <v>16878</v>
      </c>
      <c r="I989" s="14" t="n">
        <v>17818</v>
      </c>
      <c r="J989" s="15" t="n">
        <f aca="false">I989/H989</f>
        <v>1.05569380258324</v>
      </c>
      <c r="K989" s="16" t="n">
        <f aca="false">ROUND(I989*J989^($F$8-1),0)</f>
        <v>17596</v>
      </c>
      <c r="L989" s="16" t="n">
        <f aca="false">ROUND(I989*J989^($F$9-1),0)</f>
        <v>17768</v>
      </c>
      <c r="M989" s="17" t="n">
        <f aca="false">G989*$F$7</f>
        <v>5277062.12313505</v>
      </c>
      <c r="N989" s="18" t="n">
        <f aca="false">F989/K989</f>
        <v>315.909240736531</v>
      </c>
      <c r="O989" s="18" t="n">
        <f aca="false">G989/L989</f>
        <v>308.312471859523</v>
      </c>
      <c r="P989" s="18" t="n">
        <f aca="false">M989/L989</f>
        <v>296.998093377704</v>
      </c>
      <c r="Q989" s="19" t="n">
        <f aca="false">IF(N989=0,"n.a.",P989/N989-1)</f>
        <v>-0.0598625963417092</v>
      </c>
    </row>
    <row r="990" customFormat="false" ht="15" hidden="false" customHeight="false" outlineLevel="0" collapsed="false">
      <c r="A990" s="12" t="s">
        <v>2326</v>
      </c>
      <c r="B990" s="12" t="s">
        <v>1451</v>
      </c>
      <c r="C990" s="12" t="s">
        <v>1452</v>
      </c>
      <c r="D990" s="12" t="s">
        <v>2327</v>
      </c>
      <c r="E990" s="12" t="s">
        <v>2328</v>
      </c>
      <c r="F990" s="13" t="n">
        <v>36285</v>
      </c>
      <c r="G990" s="13" t="n">
        <v>44149</v>
      </c>
      <c r="H990" s="14" t="n">
        <v>2799</v>
      </c>
      <c r="I990" s="14" t="n">
        <v>2679</v>
      </c>
      <c r="J990" s="15" t="n">
        <f aca="false">I990/H990</f>
        <v>0.957127545551983</v>
      </c>
      <c r="K990" s="16" t="n">
        <f aca="false">ROUND(I990*J990^($F$8-1),0)</f>
        <v>2706</v>
      </c>
      <c r="L990" s="16" t="n">
        <f aca="false">ROUND(I990*J990^($F$9-1),0)</f>
        <v>2685</v>
      </c>
      <c r="M990" s="17" t="n">
        <f aca="false">G990*$F$7</f>
        <v>42528.8303955041</v>
      </c>
      <c r="N990" s="18" t="n">
        <f aca="false">F990/K990</f>
        <v>13.4090909090909</v>
      </c>
      <c r="O990" s="18" t="n">
        <f aca="false">G990/L990</f>
        <v>16.4428305400372</v>
      </c>
      <c r="P990" s="18" t="n">
        <f aca="false">M990/L990</f>
        <v>15.83941541732</v>
      </c>
      <c r="Q990" s="19" t="n">
        <f aca="false">IF(N990=0,"n.a.",P990/N990-1)</f>
        <v>0.181244539596742</v>
      </c>
    </row>
    <row r="991" customFormat="false" ht="15" hidden="false" customHeight="false" outlineLevel="0" collapsed="false">
      <c r="A991" s="12" t="s">
        <v>2329</v>
      </c>
      <c r="B991" s="12" t="s">
        <v>1451</v>
      </c>
      <c r="C991" s="12" t="s">
        <v>1452</v>
      </c>
      <c r="D991" s="12" t="s">
        <v>2330</v>
      </c>
      <c r="E991" s="12" t="s">
        <v>2331</v>
      </c>
      <c r="F991" s="13" t="n">
        <v>0</v>
      </c>
      <c r="G991" s="13" t="n">
        <v>0</v>
      </c>
      <c r="H991" s="14" t="n">
        <v>4940</v>
      </c>
      <c r="I991" s="14" t="n">
        <v>3718</v>
      </c>
      <c r="J991" s="15" t="n">
        <f aca="false">I991/H991</f>
        <v>0.752631578947368</v>
      </c>
      <c r="K991" s="16" t="n">
        <f aca="false">ROUND(I991*J991^($F$8-1),0)</f>
        <v>3970</v>
      </c>
      <c r="L991" s="16" t="n">
        <f aca="false">ROUND(I991*J991^($F$9-1),0)</f>
        <v>3773</v>
      </c>
      <c r="M991" s="17" t="n">
        <f aca="false">G991*$F$7</f>
        <v>0</v>
      </c>
      <c r="N991" s="18" t="n">
        <f aca="false">F991/K991</f>
        <v>0</v>
      </c>
      <c r="O991" s="18" t="n">
        <f aca="false">G991/L991</f>
        <v>0</v>
      </c>
      <c r="P991" s="18" t="n">
        <f aca="false">M991/L991</f>
        <v>0</v>
      </c>
      <c r="Q991" s="19" t="str">
        <f aca="false">IF(N991=0,"n.a.",P991/N991-1)</f>
        <v>n.a.</v>
      </c>
    </row>
    <row r="992" customFormat="false" ht="15" hidden="false" customHeight="false" outlineLevel="0" collapsed="false">
      <c r="A992" s="12" t="s">
        <v>2332</v>
      </c>
      <c r="B992" s="12" t="s">
        <v>1451</v>
      </c>
      <c r="C992" s="12" t="s">
        <v>1452</v>
      </c>
      <c r="D992" s="12" t="s">
        <v>2333</v>
      </c>
      <c r="E992" s="12" t="s">
        <v>2334</v>
      </c>
      <c r="F992" s="13" t="n">
        <v>5959</v>
      </c>
      <c r="G992" s="13" t="n">
        <v>8018</v>
      </c>
      <c r="H992" s="14" t="n">
        <v>477</v>
      </c>
      <c r="I992" s="14" t="n">
        <v>419</v>
      </c>
      <c r="J992" s="15" t="n">
        <f aca="false">I992/H992</f>
        <v>0.878406708595388</v>
      </c>
      <c r="K992" s="16" t="n">
        <f aca="false">ROUND(I992*J992^($F$8-1),0)</f>
        <v>432</v>
      </c>
      <c r="L992" s="16" t="n">
        <f aca="false">ROUND(I992*J992^($F$9-1),0)</f>
        <v>422</v>
      </c>
      <c r="M992" s="17" t="n">
        <f aca="false">G992*$F$7</f>
        <v>7723.75732431429</v>
      </c>
      <c r="N992" s="18" t="n">
        <f aca="false">F992/K992</f>
        <v>13.7939814814815</v>
      </c>
      <c r="O992" s="18" t="n">
        <f aca="false">G992/L992</f>
        <v>19</v>
      </c>
      <c r="P992" s="18" t="n">
        <f aca="false">M992/L992</f>
        <v>18.3027424746784</v>
      </c>
      <c r="Q992" s="19" t="n">
        <f aca="false">IF(N992=0,"n.a.",P992/N992-1)</f>
        <v>0.326864364668749</v>
      </c>
    </row>
    <row r="993" customFormat="false" ht="15" hidden="false" customHeight="false" outlineLevel="0" collapsed="false">
      <c r="A993" s="12" t="s">
        <v>2335</v>
      </c>
      <c r="B993" s="12" t="s">
        <v>1451</v>
      </c>
      <c r="C993" s="12" t="s">
        <v>1452</v>
      </c>
      <c r="D993" s="12" t="s">
        <v>2336</v>
      </c>
      <c r="E993" s="12" t="s">
        <v>2337</v>
      </c>
      <c r="F993" s="13" t="n">
        <v>0</v>
      </c>
      <c r="G993" s="13" t="n">
        <v>0</v>
      </c>
      <c r="H993" s="14" t="n">
        <v>681</v>
      </c>
      <c r="I993" s="14" t="n">
        <v>574</v>
      </c>
      <c r="J993" s="15" t="n">
        <f aca="false">I993/H993</f>
        <v>0.84287812041116</v>
      </c>
      <c r="K993" s="16" t="n">
        <f aca="false">ROUND(I993*J993^($F$8-1),0)</f>
        <v>597</v>
      </c>
      <c r="L993" s="16" t="n">
        <f aca="false">ROUND(I993*J993^($F$9-1),0)</f>
        <v>579</v>
      </c>
      <c r="M993" s="17" t="n">
        <f aca="false">G993*$F$7</f>
        <v>0</v>
      </c>
      <c r="N993" s="18" t="n">
        <f aca="false">F993/K993</f>
        <v>0</v>
      </c>
      <c r="O993" s="18" t="n">
        <f aca="false">G993/L993</f>
        <v>0</v>
      </c>
      <c r="P993" s="18" t="n">
        <f aca="false">M993/L993</f>
        <v>0</v>
      </c>
      <c r="Q993" s="19" t="str">
        <f aca="false">IF(N993=0,"n.a.",P993/N993-1)</f>
        <v>n.a.</v>
      </c>
    </row>
    <row r="994" customFormat="false" ht="15" hidden="false" customHeight="false" outlineLevel="0" collapsed="false">
      <c r="A994" s="12" t="s">
        <v>2338</v>
      </c>
      <c r="B994" s="12" t="s">
        <v>1451</v>
      </c>
      <c r="C994" s="12" t="s">
        <v>1452</v>
      </c>
      <c r="D994" s="12" t="s">
        <v>2339</v>
      </c>
      <c r="E994" s="12" t="s">
        <v>2340</v>
      </c>
      <c r="F994" s="13" t="n">
        <v>91984</v>
      </c>
      <c r="G994" s="13" t="n">
        <v>23212</v>
      </c>
      <c r="H994" s="14" t="n">
        <v>2167</v>
      </c>
      <c r="I994" s="14" t="n">
        <v>2011</v>
      </c>
      <c r="J994" s="15" t="n">
        <f aca="false">I994/H994</f>
        <v>0.928011075219197</v>
      </c>
      <c r="K994" s="16" t="n">
        <f aca="false">ROUND(I994*J994^($F$8-1),0)</f>
        <v>2046</v>
      </c>
      <c r="L994" s="16" t="n">
        <f aca="false">ROUND(I994*J994^($F$9-1),0)</f>
        <v>2019</v>
      </c>
      <c r="M994" s="17" t="n">
        <f aca="false">G994*$F$7</f>
        <v>22360.171490644</v>
      </c>
      <c r="N994" s="18" t="n">
        <f aca="false">F994/K994</f>
        <v>44.9579667644184</v>
      </c>
      <c r="O994" s="18" t="n">
        <f aca="false">G994/L994</f>
        <v>11.4967805844477</v>
      </c>
      <c r="P994" s="18" t="n">
        <f aca="false">M994/L994</f>
        <v>11.0748744381595</v>
      </c>
      <c r="Q994" s="19" t="n">
        <f aca="false">IF(N994=0,"n.a.",P994/N994-1)</f>
        <v>-0.75366158135682</v>
      </c>
    </row>
    <row r="995" customFormat="false" ht="15" hidden="false" customHeight="false" outlineLevel="0" collapsed="false">
      <c r="A995" s="12" t="s">
        <v>2341</v>
      </c>
      <c r="B995" s="12" t="s">
        <v>1451</v>
      </c>
      <c r="C995" s="12" t="s">
        <v>1452</v>
      </c>
      <c r="D995" s="12" t="s">
        <v>2342</v>
      </c>
      <c r="E995" s="12" t="s">
        <v>2343</v>
      </c>
      <c r="F995" s="13" t="n">
        <v>9149</v>
      </c>
      <c r="G995" s="13" t="n">
        <v>12439</v>
      </c>
      <c r="H995" s="14" t="n">
        <v>848</v>
      </c>
      <c r="I995" s="14" t="n">
        <v>701</v>
      </c>
      <c r="J995" s="15" t="n">
        <f aca="false">I995/H995</f>
        <v>0.826650943396227</v>
      </c>
      <c r="K995" s="16" t="n">
        <f aca="false">ROUND(I995*J995^($F$8-1),0)</f>
        <v>732</v>
      </c>
      <c r="L995" s="16" t="n">
        <f aca="false">ROUND(I995*J995^($F$9-1),0)</f>
        <v>708</v>
      </c>
      <c r="M995" s="17" t="n">
        <f aca="false">G995*$F$7</f>
        <v>11982.5165075013</v>
      </c>
      <c r="N995" s="18" t="n">
        <f aca="false">F995/K995</f>
        <v>12.4986338797814</v>
      </c>
      <c r="O995" s="18" t="n">
        <f aca="false">G995/L995</f>
        <v>17.569209039548</v>
      </c>
      <c r="P995" s="18" t="n">
        <f aca="false">M995/L995</f>
        <v>16.9244583439284</v>
      </c>
      <c r="Q995" s="19" t="n">
        <f aca="false">IF(N995=0,"n.a.",P995/N995-1)</f>
        <v>0.354104657094282</v>
      </c>
    </row>
    <row r="996" customFormat="false" ht="15" hidden="false" customHeight="false" outlineLevel="0" collapsed="false">
      <c r="A996" s="12" t="s">
        <v>2344</v>
      </c>
      <c r="B996" s="12" t="s">
        <v>1451</v>
      </c>
      <c r="C996" s="12" t="s">
        <v>1452</v>
      </c>
      <c r="D996" s="12" t="s">
        <v>2345</v>
      </c>
      <c r="E996" s="12" t="s">
        <v>2346</v>
      </c>
      <c r="F996" s="13" t="n">
        <v>150958</v>
      </c>
      <c r="G996" s="13" t="n">
        <v>202517</v>
      </c>
      <c r="H996" s="14" t="n">
        <v>1958</v>
      </c>
      <c r="I996" s="14" t="n">
        <v>1899</v>
      </c>
      <c r="J996" s="15" t="n">
        <f aca="false">I996/H996</f>
        <v>0.969867211440245</v>
      </c>
      <c r="K996" s="16" t="n">
        <f aca="false">ROUND(I996*J996^($F$8-1),0)</f>
        <v>1912</v>
      </c>
      <c r="L996" s="16" t="n">
        <f aca="false">ROUND(I996*J996^($F$9-1),0)</f>
        <v>1902</v>
      </c>
      <c r="M996" s="17" t="n">
        <f aca="false">G996*$F$7</f>
        <v>195085.078828655</v>
      </c>
      <c r="N996" s="18" t="n">
        <f aca="false">F996/K996</f>
        <v>78.9529288702929</v>
      </c>
      <c r="O996" s="18" t="n">
        <f aca="false">G996/L996</f>
        <v>106.475814931651</v>
      </c>
      <c r="P996" s="18" t="n">
        <f aca="false">M996/L996</f>
        <v>102.568390551343</v>
      </c>
      <c r="Q996" s="19" t="n">
        <f aca="false">IF(N996=0,"n.a.",P996/N996-1)</f>
        <v>0.299108114403799</v>
      </c>
    </row>
    <row r="997" customFormat="false" ht="15" hidden="false" customHeight="false" outlineLevel="0" collapsed="false">
      <c r="A997" s="12" t="s">
        <v>2347</v>
      </c>
      <c r="B997" s="12" t="s">
        <v>1451</v>
      </c>
      <c r="C997" s="12" t="s">
        <v>1452</v>
      </c>
      <c r="D997" s="12" t="s">
        <v>2348</v>
      </c>
      <c r="E997" s="12" t="s">
        <v>2349</v>
      </c>
      <c r="F997" s="13" t="n">
        <v>42211</v>
      </c>
      <c r="G997" s="13" t="n">
        <v>40114</v>
      </c>
      <c r="H997" s="14" t="n">
        <v>637</v>
      </c>
      <c r="I997" s="14" t="n">
        <v>520</v>
      </c>
      <c r="J997" s="15" t="n">
        <f aca="false">I997/H997</f>
        <v>0.816326530612245</v>
      </c>
      <c r="K997" s="16" t="n">
        <f aca="false">ROUND(I997*J997^($F$8-1),0)</f>
        <v>545</v>
      </c>
      <c r="L997" s="16" t="n">
        <f aca="false">ROUND(I997*J997^($F$9-1),0)</f>
        <v>526</v>
      </c>
      <c r="M997" s="17" t="n">
        <f aca="false">G997*$F$7</f>
        <v>38641.9058752237</v>
      </c>
      <c r="N997" s="18" t="n">
        <f aca="false">F997/K997</f>
        <v>77.451376146789</v>
      </c>
      <c r="O997" s="18" t="n">
        <f aca="false">G997/L997</f>
        <v>76.2623574144487</v>
      </c>
      <c r="P997" s="18" t="n">
        <f aca="false">M997/L997</f>
        <v>73.4636993825545</v>
      </c>
      <c r="Q997" s="19" t="n">
        <f aca="false">IF(N997=0,"n.a.",P997/N997-1)</f>
        <v>-0.0514861964063345</v>
      </c>
    </row>
    <row r="998" customFormat="false" ht="15" hidden="false" customHeight="false" outlineLevel="0" collapsed="false">
      <c r="A998" s="12" t="s">
        <v>2350</v>
      </c>
      <c r="B998" s="12" t="s">
        <v>1451</v>
      </c>
      <c r="C998" s="12" t="s">
        <v>1452</v>
      </c>
      <c r="D998" s="12" t="s">
        <v>2351</v>
      </c>
      <c r="E998" s="12" t="s">
        <v>2352</v>
      </c>
      <c r="F998" s="13" t="n">
        <v>40846</v>
      </c>
      <c r="G998" s="13" t="n">
        <v>19748</v>
      </c>
      <c r="H998" s="14" t="n">
        <v>3981</v>
      </c>
      <c r="I998" s="14" t="n">
        <v>3882</v>
      </c>
      <c r="J998" s="15" t="n">
        <f aca="false">I998/H998</f>
        <v>0.975131876412962</v>
      </c>
      <c r="K998" s="16" t="n">
        <f aca="false">ROUND(I998*J998^($F$8-1),0)</f>
        <v>3905</v>
      </c>
      <c r="L998" s="16" t="n">
        <f aca="false">ROUND(I998*J998^($F$9-1),0)</f>
        <v>3887</v>
      </c>
      <c r="M998" s="17" t="n">
        <f aca="false">G998*$F$7</f>
        <v>19023.2925468394</v>
      </c>
      <c r="N998" s="18" t="n">
        <f aca="false">F998/K998</f>
        <v>10.4599231754161</v>
      </c>
      <c r="O998" s="18" t="n">
        <f aca="false">G998/L998</f>
        <v>5.08052482634423</v>
      </c>
      <c r="P998" s="18" t="n">
        <f aca="false">M998/L998</f>
        <v>4.89408092277835</v>
      </c>
      <c r="Q998" s="19" t="n">
        <f aca="false">IF(N998=0,"n.a.",P998/N998-1)</f>
        <v>-0.532111198074488</v>
      </c>
    </row>
    <row r="999" customFormat="false" ht="15" hidden="false" customHeight="false" outlineLevel="0" collapsed="false">
      <c r="A999" s="12" t="s">
        <v>2353</v>
      </c>
      <c r="B999" s="12" t="s">
        <v>1451</v>
      </c>
      <c r="C999" s="12" t="s">
        <v>1452</v>
      </c>
      <c r="D999" s="12" t="s">
        <v>2354</v>
      </c>
      <c r="E999" s="12" t="s">
        <v>2355</v>
      </c>
      <c r="F999" s="13" t="n">
        <v>0</v>
      </c>
      <c r="G999" s="13" t="n">
        <v>0</v>
      </c>
      <c r="H999" s="14" t="n">
        <v>825</v>
      </c>
      <c r="I999" s="14" t="n">
        <v>729</v>
      </c>
      <c r="J999" s="15" t="n">
        <f aca="false">I999/H999</f>
        <v>0.883636363636364</v>
      </c>
      <c r="K999" s="16" t="n">
        <f aca="false">ROUND(I999*J999^($F$8-1),0)</f>
        <v>750</v>
      </c>
      <c r="L999" s="16" t="n">
        <f aca="false">ROUND(I999*J999^($F$9-1),0)</f>
        <v>734</v>
      </c>
      <c r="M999" s="17" t="n">
        <f aca="false">G999*$F$7</f>
        <v>0</v>
      </c>
      <c r="N999" s="18" t="n">
        <f aca="false">F999/K999</f>
        <v>0</v>
      </c>
      <c r="O999" s="18" t="n">
        <f aca="false">G999/L999</f>
        <v>0</v>
      </c>
      <c r="P999" s="18" t="n">
        <f aca="false">M999/L999</f>
        <v>0</v>
      </c>
      <c r="Q999" s="19" t="str">
        <f aca="false">IF(N999=0,"n.a.",P999/N999-1)</f>
        <v>n.a.</v>
      </c>
    </row>
    <row r="1000" customFormat="false" ht="15" hidden="false" customHeight="false" outlineLevel="0" collapsed="false">
      <c r="A1000" s="12" t="s">
        <v>2356</v>
      </c>
      <c r="B1000" s="12" t="s">
        <v>1451</v>
      </c>
      <c r="C1000" s="12" t="s">
        <v>1452</v>
      </c>
      <c r="D1000" s="12" t="s">
        <v>2357</v>
      </c>
      <c r="E1000" s="12" t="s">
        <v>2358</v>
      </c>
      <c r="F1000" s="13" t="n">
        <v>85744</v>
      </c>
      <c r="G1000" s="13" t="n">
        <v>83710</v>
      </c>
      <c r="H1000" s="14" t="n">
        <v>1495</v>
      </c>
      <c r="I1000" s="14" t="n">
        <v>1466</v>
      </c>
      <c r="J1000" s="15" t="n">
        <f aca="false">I1000/H1000</f>
        <v>0.980602006688963</v>
      </c>
      <c r="K1000" s="16" t="n">
        <f aca="false">ROUND(I1000*J1000^($F$8-1),0)</f>
        <v>1473</v>
      </c>
      <c r="L1000" s="16" t="n">
        <f aca="false">ROUND(I1000*J1000^($F$9-1),0)</f>
        <v>1467</v>
      </c>
      <c r="M1000" s="17" t="n">
        <f aca="false">G1000*$F$7</f>
        <v>80638.0301344911</v>
      </c>
      <c r="N1000" s="18" t="n">
        <f aca="false">F1000/K1000</f>
        <v>58.2104548540394</v>
      </c>
      <c r="O1000" s="18" t="n">
        <f aca="false">G1000/L1000</f>
        <v>57.0620313565099</v>
      </c>
      <c r="P1000" s="18" t="n">
        <f aca="false">M1000/L1000</f>
        <v>54.9679823684329</v>
      </c>
      <c r="Q1000" s="19" t="n">
        <f aca="false">IF(N1000=0,"n.a.",P1000/N1000-1)</f>
        <v>-0.0557025794376088</v>
      </c>
    </row>
    <row r="1001" customFormat="false" ht="15" hidden="false" customHeight="false" outlineLevel="0" collapsed="false">
      <c r="A1001" s="12" t="s">
        <v>2359</v>
      </c>
      <c r="B1001" s="12" t="s">
        <v>1451</v>
      </c>
      <c r="C1001" s="12" t="s">
        <v>1452</v>
      </c>
      <c r="D1001" s="12" t="s">
        <v>2360</v>
      </c>
      <c r="E1001" s="12" t="s">
        <v>2361</v>
      </c>
      <c r="F1001" s="13" t="n">
        <v>0</v>
      </c>
      <c r="G1001" s="13" t="n">
        <v>0</v>
      </c>
      <c r="H1001" s="14" t="n">
        <v>2675</v>
      </c>
      <c r="I1001" s="14" t="n">
        <v>2730</v>
      </c>
      <c r="J1001" s="15" t="n">
        <f aca="false">I1001/H1001</f>
        <v>1.02056074766355</v>
      </c>
      <c r="K1001" s="16" t="n">
        <f aca="false">ROUND(I1001*J1001^($F$8-1),0)</f>
        <v>2717</v>
      </c>
      <c r="L1001" s="16" t="n">
        <f aca="false">ROUND(I1001*J1001^($F$9-1),0)</f>
        <v>2727</v>
      </c>
      <c r="M1001" s="17" t="n">
        <f aca="false">G1001*$F$7</f>
        <v>0</v>
      </c>
      <c r="N1001" s="18" t="n">
        <f aca="false">F1001/K1001</f>
        <v>0</v>
      </c>
      <c r="O1001" s="18" t="n">
        <f aca="false">G1001/L1001</f>
        <v>0</v>
      </c>
      <c r="P1001" s="18" t="n">
        <f aca="false">M1001/L1001</f>
        <v>0</v>
      </c>
      <c r="Q1001" s="19" t="str">
        <f aca="false">IF(N1001=0,"n.a.",P1001/N1001-1)</f>
        <v>n.a.</v>
      </c>
    </row>
    <row r="1002" customFormat="false" ht="15" hidden="false" customHeight="false" outlineLevel="0" collapsed="false">
      <c r="A1002" s="12" t="s">
        <v>2362</v>
      </c>
      <c r="B1002" s="12" t="s">
        <v>1451</v>
      </c>
      <c r="C1002" s="12" t="s">
        <v>1452</v>
      </c>
      <c r="D1002" s="12" t="s">
        <v>2363</v>
      </c>
      <c r="E1002" s="12" t="s">
        <v>2364</v>
      </c>
      <c r="F1002" s="13" t="n">
        <v>106254</v>
      </c>
      <c r="G1002" s="13" t="n">
        <v>754738</v>
      </c>
      <c r="H1002" s="14" t="n">
        <v>18472</v>
      </c>
      <c r="I1002" s="14" t="n">
        <v>18530</v>
      </c>
      <c r="J1002" s="15" t="n">
        <f aca="false">I1002/H1002</f>
        <v>1.00313988739714</v>
      </c>
      <c r="K1002" s="16" t="n">
        <f aca="false">ROUND(I1002*J1002^($F$8-1),0)</f>
        <v>18517</v>
      </c>
      <c r="L1002" s="16" t="n">
        <f aca="false">ROUND(I1002*J1002^($F$9-1),0)</f>
        <v>18527</v>
      </c>
      <c r="M1002" s="17" t="n">
        <f aca="false">G1002*$F$7</f>
        <v>727040.802623886</v>
      </c>
      <c r="N1002" s="18" t="n">
        <f aca="false">F1002/K1002</f>
        <v>5.73818653129557</v>
      </c>
      <c r="O1002" s="18" t="n">
        <f aca="false">G1002/L1002</f>
        <v>40.7371943649808</v>
      </c>
      <c r="P1002" s="18" t="n">
        <f aca="false">M1002/L1002</f>
        <v>39.2422304001666</v>
      </c>
      <c r="Q1002" s="19" t="n">
        <f aca="false">IF(N1002=0,"n.a.",P1002/N1002-1)</f>
        <v>5.83878611929795</v>
      </c>
    </row>
    <row r="1003" customFormat="false" ht="15" hidden="false" customHeight="false" outlineLevel="0" collapsed="false">
      <c r="A1003" s="12" t="s">
        <v>2365</v>
      </c>
      <c r="B1003" s="12" t="s">
        <v>1451</v>
      </c>
      <c r="C1003" s="12" t="s">
        <v>1452</v>
      </c>
      <c r="D1003" s="12" t="s">
        <v>2366</v>
      </c>
      <c r="E1003" s="12" t="s">
        <v>2367</v>
      </c>
      <c r="F1003" s="13" t="n">
        <v>91724</v>
      </c>
      <c r="G1003" s="13" t="n">
        <v>93354</v>
      </c>
      <c r="H1003" s="14" t="n">
        <v>1059</v>
      </c>
      <c r="I1003" s="14" t="n">
        <v>1090</v>
      </c>
      <c r="J1003" s="15" t="n">
        <f aca="false">I1003/H1003</f>
        <v>1.02927289896128</v>
      </c>
      <c r="K1003" s="16" t="n">
        <f aca="false">ROUND(I1003*J1003^($F$8-1),0)</f>
        <v>1083</v>
      </c>
      <c r="L1003" s="16" t="n">
        <f aca="false">ROUND(I1003*J1003^($F$9-1),0)</f>
        <v>1088</v>
      </c>
      <c r="M1003" s="17" t="n">
        <f aca="false">G1003*$F$7</f>
        <v>89928.1168937436</v>
      </c>
      <c r="N1003" s="18" t="n">
        <f aca="false">F1003/K1003</f>
        <v>84.6943674976916</v>
      </c>
      <c r="O1003" s="18" t="n">
        <f aca="false">G1003/L1003</f>
        <v>85.8033088235294</v>
      </c>
      <c r="P1003" s="18" t="n">
        <f aca="false">M1003/L1003</f>
        <v>82.6545192038085</v>
      </c>
      <c r="Q1003" s="19" t="n">
        <f aca="false">IF(N1003=0,"n.a.",P1003/N1003-1)</f>
        <v>-0.0240848164305461</v>
      </c>
    </row>
    <row r="1004" customFormat="false" ht="15" hidden="false" customHeight="false" outlineLevel="0" collapsed="false">
      <c r="A1004" s="12" t="s">
        <v>2368</v>
      </c>
      <c r="B1004" s="12" t="s">
        <v>1451</v>
      </c>
      <c r="C1004" s="12" t="s">
        <v>1452</v>
      </c>
      <c r="D1004" s="12" t="s">
        <v>2369</v>
      </c>
      <c r="E1004" s="12" t="s">
        <v>2370</v>
      </c>
      <c r="F1004" s="13" t="n">
        <v>0</v>
      </c>
      <c r="G1004" s="13" t="n">
        <v>0</v>
      </c>
      <c r="H1004" s="14" t="n">
        <v>3664</v>
      </c>
      <c r="I1004" s="14" t="n">
        <v>3312</v>
      </c>
      <c r="J1004" s="15" t="n">
        <f aca="false">I1004/H1004</f>
        <v>0.903930131004367</v>
      </c>
      <c r="K1004" s="16" t="n">
        <f aca="false">ROUND(I1004*J1004^($F$8-1),0)</f>
        <v>3390</v>
      </c>
      <c r="L1004" s="16" t="n">
        <f aca="false">ROUND(I1004*J1004^($F$9-1),0)</f>
        <v>3329</v>
      </c>
      <c r="M1004" s="17" t="n">
        <f aca="false">G1004*$F$7</f>
        <v>0</v>
      </c>
      <c r="N1004" s="18" t="n">
        <f aca="false">F1004/K1004</f>
        <v>0</v>
      </c>
      <c r="O1004" s="18" t="n">
        <f aca="false">G1004/L1004</f>
        <v>0</v>
      </c>
      <c r="P1004" s="18" t="n">
        <f aca="false">M1004/L1004</f>
        <v>0</v>
      </c>
      <c r="Q1004" s="19" t="str">
        <f aca="false">IF(N1004=0,"n.a.",P1004/N1004-1)</f>
        <v>n.a.</v>
      </c>
    </row>
    <row r="1005" customFormat="false" ht="15" hidden="false" customHeight="false" outlineLevel="0" collapsed="false">
      <c r="A1005" s="12" t="s">
        <v>2371</v>
      </c>
      <c r="B1005" s="12" t="s">
        <v>1451</v>
      </c>
      <c r="C1005" s="12" t="s">
        <v>1452</v>
      </c>
      <c r="D1005" s="12" t="s">
        <v>2372</v>
      </c>
      <c r="E1005" s="12" t="s">
        <v>2373</v>
      </c>
      <c r="F1005" s="13" t="n">
        <v>217</v>
      </c>
      <c r="G1005" s="13" t="n">
        <v>0</v>
      </c>
      <c r="H1005" s="14" t="n">
        <v>4582</v>
      </c>
      <c r="I1005" s="14" t="n">
        <v>4705</v>
      </c>
      <c r="J1005" s="15" t="n">
        <f aca="false">I1005/H1005</f>
        <v>1.02684417285028</v>
      </c>
      <c r="K1005" s="16" t="n">
        <f aca="false">ROUND(I1005*J1005^($F$8-1),0)</f>
        <v>4676</v>
      </c>
      <c r="L1005" s="16" t="n">
        <f aca="false">ROUND(I1005*J1005^($F$9-1),0)</f>
        <v>4699</v>
      </c>
      <c r="M1005" s="17" t="n">
        <f aca="false">G1005*$F$7</f>
        <v>0</v>
      </c>
      <c r="N1005" s="18" t="n">
        <f aca="false">F1005/K1005</f>
        <v>0.0464071856287425</v>
      </c>
      <c r="O1005" s="18" t="n">
        <f aca="false">G1005/L1005</f>
        <v>0</v>
      </c>
      <c r="P1005" s="18" t="n">
        <f aca="false">M1005/L1005</f>
        <v>0</v>
      </c>
      <c r="Q1005" s="19" t="n">
        <f aca="false">IF(N1005=0,"n.a.",P1005/N1005-1)</f>
        <v>-1</v>
      </c>
    </row>
    <row r="1006" customFormat="false" ht="15" hidden="false" customHeight="false" outlineLevel="0" collapsed="false">
      <c r="A1006" s="12" t="s">
        <v>2374</v>
      </c>
      <c r="B1006" s="12" t="s">
        <v>1451</v>
      </c>
      <c r="C1006" s="12" t="s">
        <v>1452</v>
      </c>
      <c r="D1006" s="12" t="s">
        <v>2375</v>
      </c>
      <c r="E1006" s="12" t="s">
        <v>2376</v>
      </c>
      <c r="F1006" s="13" t="n">
        <v>42068</v>
      </c>
      <c r="G1006" s="13" t="n">
        <v>54539</v>
      </c>
      <c r="H1006" s="14" t="n">
        <v>2067</v>
      </c>
      <c r="I1006" s="14" t="n">
        <v>2114</v>
      </c>
      <c r="J1006" s="15" t="n">
        <f aca="false">I1006/H1006</f>
        <v>1.02273826802129</v>
      </c>
      <c r="K1006" s="16" t="n">
        <f aca="false">ROUND(I1006*J1006^($F$8-1),0)</f>
        <v>2103</v>
      </c>
      <c r="L1006" s="16" t="n">
        <f aca="false">ROUND(I1006*J1006^($F$9-1),0)</f>
        <v>2112</v>
      </c>
      <c r="M1006" s="17" t="n">
        <f aca="false">G1006*$F$7</f>
        <v>52537.5406224466</v>
      </c>
      <c r="N1006" s="18" t="n">
        <f aca="false">F1006/K1006</f>
        <v>20.0038040893961</v>
      </c>
      <c r="O1006" s="18" t="n">
        <f aca="false">G1006/L1006</f>
        <v>25.8233901515152</v>
      </c>
      <c r="P1006" s="18" t="n">
        <f aca="false">M1006/L1006</f>
        <v>24.8757294613857</v>
      </c>
      <c r="Q1006" s="19" t="n">
        <f aca="false">IF(N1006=0,"n.a.",P1006/N1006-1)</f>
        <v>0.243549944311452</v>
      </c>
    </row>
    <row r="1007" customFormat="false" ht="15" hidden="false" customHeight="false" outlineLevel="0" collapsed="false">
      <c r="A1007" s="12" t="s">
        <v>2377</v>
      </c>
      <c r="B1007" s="12" t="s">
        <v>1451</v>
      </c>
      <c r="C1007" s="12" t="s">
        <v>1452</v>
      </c>
      <c r="D1007" s="12" t="s">
        <v>2378</v>
      </c>
      <c r="E1007" s="12" t="s">
        <v>2379</v>
      </c>
      <c r="F1007" s="13" t="n">
        <v>39568</v>
      </c>
      <c r="G1007" s="13" t="n">
        <v>75471</v>
      </c>
      <c r="H1007" s="14" t="n">
        <v>2193</v>
      </c>
      <c r="I1007" s="14" t="n">
        <v>2103</v>
      </c>
      <c r="J1007" s="15" t="n">
        <f aca="false">I1007/H1007</f>
        <v>0.958960328317373</v>
      </c>
      <c r="K1007" s="16" t="n">
        <f aca="false">ROUND(I1007*J1007^($F$8-1),0)</f>
        <v>2123</v>
      </c>
      <c r="L1007" s="16" t="n">
        <f aca="false">ROUND(I1007*J1007^($F$9-1),0)</f>
        <v>2108</v>
      </c>
      <c r="M1007" s="17" t="n">
        <f aca="false">G1007*$F$7</f>
        <v>72701.3830161292</v>
      </c>
      <c r="N1007" s="18" t="n">
        <f aca="false">F1007/K1007</f>
        <v>18.637776731041</v>
      </c>
      <c r="O1007" s="18" t="n">
        <f aca="false">G1007/L1007</f>
        <v>35.8021821631879</v>
      </c>
      <c r="P1007" s="18" t="n">
        <f aca="false">M1007/L1007</f>
        <v>34.4883221139133</v>
      </c>
      <c r="Q1007" s="19" t="n">
        <f aca="false">IF(N1007=0,"n.a.",P1007/N1007-1)</f>
        <v>0.850452584104274</v>
      </c>
    </row>
    <row r="1008" customFormat="false" ht="15" hidden="false" customHeight="false" outlineLevel="0" collapsed="false">
      <c r="A1008" s="12" t="s">
        <v>2380</v>
      </c>
      <c r="B1008" s="12" t="s">
        <v>1451</v>
      </c>
      <c r="C1008" s="12" t="s">
        <v>1452</v>
      </c>
      <c r="D1008" s="12" t="s">
        <v>2381</v>
      </c>
      <c r="E1008" s="12" t="s">
        <v>2382</v>
      </c>
      <c r="F1008" s="13" t="n">
        <v>22384</v>
      </c>
      <c r="G1008" s="13" t="n">
        <v>27798</v>
      </c>
      <c r="H1008" s="14" t="n">
        <v>662</v>
      </c>
      <c r="I1008" s="14" t="n">
        <v>687</v>
      </c>
      <c r="J1008" s="15" t="n">
        <f aca="false">I1008/H1008</f>
        <v>1.03776435045317</v>
      </c>
      <c r="K1008" s="16" t="n">
        <f aca="false">ROUND(I1008*J1008^($F$8-1),0)</f>
        <v>681</v>
      </c>
      <c r="L1008" s="16" t="n">
        <f aca="false">ROUND(I1008*J1008^($F$9-1),0)</f>
        <v>686</v>
      </c>
      <c r="M1008" s="17" t="n">
        <f aca="false">G1008*$F$7</f>
        <v>26777.87554269</v>
      </c>
      <c r="N1008" s="18" t="n">
        <f aca="false">F1008/K1008</f>
        <v>32.8693098384728</v>
      </c>
      <c r="O1008" s="18" t="n">
        <f aca="false">G1008/L1008</f>
        <v>40.5218658892128</v>
      </c>
      <c r="P1008" s="18" t="n">
        <f aca="false">M1008/L1008</f>
        <v>39.0348039980904</v>
      </c>
      <c r="Q1008" s="19" t="n">
        <f aca="false">IF(N1008=0,"n.a.",P1008/N1008-1)</f>
        <v>0.187576015131325</v>
      </c>
    </row>
    <row r="1009" customFormat="false" ht="15" hidden="false" customHeight="false" outlineLevel="0" collapsed="false">
      <c r="A1009" s="12" t="s">
        <v>2383</v>
      </c>
      <c r="B1009" s="12" t="s">
        <v>1451</v>
      </c>
      <c r="C1009" s="12" t="s">
        <v>1452</v>
      </c>
      <c r="D1009" s="12" t="s">
        <v>2384</v>
      </c>
      <c r="E1009" s="12" t="s">
        <v>2385</v>
      </c>
      <c r="F1009" s="13" t="n">
        <v>102457</v>
      </c>
      <c r="G1009" s="13" t="n">
        <v>84112</v>
      </c>
      <c r="H1009" s="14" t="n">
        <v>970</v>
      </c>
      <c r="I1009" s="14" t="n">
        <v>984</v>
      </c>
      <c r="J1009" s="15" t="n">
        <f aca="false">I1009/H1009</f>
        <v>1.01443298969072</v>
      </c>
      <c r="K1009" s="16" t="n">
        <f aca="false">ROUND(I1009*J1009^($F$8-1),0)</f>
        <v>981</v>
      </c>
      <c r="L1009" s="16" t="n">
        <f aca="false">ROUND(I1009*J1009^($F$9-1),0)</f>
        <v>983</v>
      </c>
      <c r="M1009" s="17" t="n">
        <f aca="false">G1009*$F$7</f>
        <v>81025.2776331658</v>
      </c>
      <c r="N1009" s="18" t="n">
        <f aca="false">F1009/K1009</f>
        <v>104.441386340469</v>
      </c>
      <c r="O1009" s="18" t="n">
        <f aca="false">G1009/L1009</f>
        <v>85.5666327568667</v>
      </c>
      <c r="P1009" s="18" t="n">
        <f aca="false">M1009/L1009</f>
        <v>82.4265286197008</v>
      </c>
      <c r="Q1009" s="19" t="n">
        <f aca="false">IF(N1009=0,"n.a.",P1009/N1009-1)</f>
        <v>-0.210786724421695</v>
      </c>
    </row>
    <row r="1010" customFormat="false" ht="15" hidden="false" customHeight="false" outlineLevel="0" collapsed="false">
      <c r="A1010" s="12" t="s">
        <v>2386</v>
      </c>
      <c r="B1010" s="12" t="s">
        <v>1451</v>
      </c>
      <c r="C1010" s="12" t="s">
        <v>1452</v>
      </c>
      <c r="D1010" s="12" t="s">
        <v>2387</v>
      </c>
      <c r="E1010" s="12" t="s">
        <v>2388</v>
      </c>
      <c r="F1010" s="13" t="n">
        <v>0</v>
      </c>
      <c r="G1010" s="13" t="n">
        <v>0</v>
      </c>
      <c r="H1010" s="14" t="n">
        <v>1252</v>
      </c>
      <c r="I1010" s="14" t="n">
        <v>1063</v>
      </c>
      <c r="J1010" s="15" t="n">
        <f aca="false">I1010/H1010</f>
        <v>0.849041533546326</v>
      </c>
      <c r="K1010" s="16" t="n">
        <f aca="false">ROUND(I1010*J1010^($F$8-1),0)</f>
        <v>1104</v>
      </c>
      <c r="L1010" s="16" t="n">
        <f aca="false">ROUND(I1010*J1010^($F$9-1),0)</f>
        <v>1072</v>
      </c>
      <c r="M1010" s="17" t="n">
        <f aca="false">G1010*$F$7</f>
        <v>0</v>
      </c>
      <c r="N1010" s="18" t="n">
        <f aca="false">F1010/K1010</f>
        <v>0</v>
      </c>
      <c r="O1010" s="18" t="n">
        <f aca="false">G1010/L1010</f>
        <v>0</v>
      </c>
      <c r="P1010" s="18" t="n">
        <f aca="false">M1010/L1010</f>
        <v>0</v>
      </c>
      <c r="Q1010" s="19" t="str">
        <f aca="false">IF(N1010=0,"n.a.",P1010/N1010-1)</f>
        <v>n.a.</v>
      </c>
    </row>
    <row r="1011" customFormat="false" ht="15" hidden="false" customHeight="false" outlineLevel="0" collapsed="false">
      <c r="A1011" s="12" t="s">
        <v>2389</v>
      </c>
      <c r="B1011" s="12" t="s">
        <v>1451</v>
      </c>
      <c r="C1011" s="12" t="s">
        <v>1452</v>
      </c>
      <c r="D1011" s="12" t="s">
        <v>2390</v>
      </c>
      <c r="E1011" s="12" t="s">
        <v>2391</v>
      </c>
      <c r="F1011" s="13" t="n">
        <v>0</v>
      </c>
      <c r="G1011" s="13" t="n">
        <v>0</v>
      </c>
      <c r="H1011" s="14" t="n">
        <v>403</v>
      </c>
      <c r="I1011" s="14" t="n">
        <v>359</v>
      </c>
      <c r="J1011" s="15" t="n">
        <f aca="false">I1011/H1011</f>
        <v>0.890818858560794</v>
      </c>
      <c r="K1011" s="16" t="n">
        <f aca="false">ROUND(I1011*J1011^($F$8-1),0)</f>
        <v>369</v>
      </c>
      <c r="L1011" s="16" t="n">
        <f aca="false">ROUND(I1011*J1011^($F$9-1),0)</f>
        <v>361</v>
      </c>
      <c r="M1011" s="17" t="n">
        <f aca="false">G1011*$F$7</f>
        <v>0</v>
      </c>
      <c r="N1011" s="18" t="n">
        <f aca="false">F1011/K1011</f>
        <v>0</v>
      </c>
      <c r="O1011" s="18" t="n">
        <f aca="false">G1011/L1011</f>
        <v>0</v>
      </c>
      <c r="P1011" s="18" t="n">
        <f aca="false">M1011/L1011</f>
        <v>0</v>
      </c>
      <c r="Q1011" s="19" t="str">
        <f aca="false">IF(N1011=0,"n.a.",P1011/N1011-1)</f>
        <v>n.a.</v>
      </c>
    </row>
    <row r="1012" customFormat="false" ht="15" hidden="false" customHeight="false" outlineLevel="0" collapsed="false">
      <c r="A1012" s="12" t="s">
        <v>2392</v>
      </c>
      <c r="B1012" s="12" t="s">
        <v>1451</v>
      </c>
      <c r="C1012" s="12" t="s">
        <v>1452</v>
      </c>
      <c r="D1012" s="12" t="s">
        <v>2393</v>
      </c>
      <c r="E1012" s="12" t="s">
        <v>2394</v>
      </c>
      <c r="F1012" s="13" t="n">
        <v>0</v>
      </c>
      <c r="G1012" s="13" t="n">
        <v>0</v>
      </c>
      <c r="H1012" s="14" t="n">
        <v>1645</v>
      </c>
      <c r="I1012" s="14" t="n">
        <v>1572</v>
      </c>
      <c r="J1012" s="15" t="n">
        <f aca="false">I1012/H1012</f>
        <v>0.955623100303951</v>
      </c>
      <c r="K1012" s="16" t="n">
        <f aca="false">ROUND(I1012*J1012^($F$8-1),0)</f>
        <v>1589</v>
      </c>
      <c r="L1012" s="16" t="n">
        <f aca="false">ROUND(I1012*J1012^($F$9-1),0)</f>
        <v>1576</v>
      </c>
      <c r="M1012" s="17" t="n">
        <f aca="false">G1012*$F$7</f>
        <v>0</v>
      </c>
      <c r="N1012" s="18" t="n">
        <f aca="false">F1012/K1012</f>
        <v>0</v>
      </c>
      <c r="O1012" s="18" t="n">
        <f aca="false">G1012/L1012</f>
        <v>0</v>
      </c>
      <c r="P1012" s="18" t="n">
        <f aca="false">M1012/L1012</f>
        <v>0</v>
      </c>
      <c r="Q1012" s="19" t="str">
        <f aca="false">IF(N1012=0,"n.a.",P1012/N1012-1)</f>
        <v>n.a.</v>
      </c>
    </row>
    <row r="1013" customFormat="false" ht="15" hidden="false" customHeight="false" outlineLevel="0" collapsed="false">
      <c r="A1013" s="12" t="s">
        <v>2395</v>
      </c>
      <c r="B1013" s="12" t="s">
        <v>1451</v>
      </c>
      <c r="C1013" s="12" t="s">
        <v>1452</v>
      </c>
      <c r="D1013" s="12" t="s">
        <v>2396</v>
      </c>
      <c r="E1013" s="12" t="s">
        <v>2397</v>
      </c>
      <c r="F1013" s="13" t="n">
        <v>1543850</v>
      </c>
      <c r="G1013" s="13" t="n">
        <v>1171215</v>
      </c>
      <c r="H1013" s="14" t="n">
        <v>13169</v>
      </c>
      <c r="I1013" s="14" t="n">
        <v>14300</v>
      </c>
      <c r="J1013" s="15" t="n">
        <f aca="false">I1013/H1013</f>
        <v>1.08588351431392</v>
      </c>
      <c r="K1013" s="16" t="n">
        <f aca="false">ROUND(I1013*J1013^($F$8-1),0)</f>
        <v>14031</v>
      </c>
      <c r="L1013" s="16" t="n">
        <f aca="false">ROUND(I1013*J1013^($F$9-1),0)</f>
        <v>14239</v>
      </c>
      <c r="M1013" s="17" t="n">
        <f aca="false">G1013*$F$7</f>
        <v>1128234.02776213</v>
      </c>
      <c r="N1013" s="18" t="n">
        <f aca="false">F1013/K1013</f>
        <v>110.031359133348</v>
      </c>
      <c r="O1013" s="18" t="n">
        <f aca="false">G1013/L1013</f>
        <v>82.2540206475174</v>
      </c>
      <c r="P1013" s="18" t="n">
        <f aca="false">M1013/L1013</f>
        <v>79.235481969389</v>
      </c>
      <c r="Q1013" s="19" t="n">
        <f aca="false">IF(N1013=0,"n.a.",P1013/N1013-1)</f>
        <v>-0.279882729855558</v>
      </c>
    </row>
    <row r="1014" customFormat="false" ht="15" hidden="false" customHeight="false" outlineLevel="0" collapsed="false">
      <c r="A1014" s="12" t="s">
        <v>2398</v>
      </c>
      <c r="B1014" s="12" t="s">
        <v>1451</v>
      </c>
      <c r="C1014" s="12" t="s">
        <v>1452</v>
      </c>
      <c r="D1014" s="12" t="s">
        <v>2399</v>
      </c>
      <c r="E1014" s="12" t="s">
        <v>2400</v>
      </c>
      <c r="F1014" s="13" t="n">
        <v>6165</v>
      </c>
      <c r="G1014" s="13" t="n">
        <v>9850</v>
      </c>
      <c r="H1014" s="14" t="n">
        <v>365</v>
      </c>
      <c r="I1014" s="14" t="n">
        <v>284</v>
      </c>
      <c r="J1014" s="15" t="n">
        <f aca="false">I1014/H1014</f>
        <v>0.778082191780822</v>
      </c>
      <c r="K1014" s="16" t="n">
        <f aca="false">ROUND(I1014*J1014^($F$8-1),0)</f>
        <v>301</v>
      </c>
      <c r="L1014" s="16" t="n">
        <f aca="false">ROUND(I1014*J1014^($F$9-1),0)</f>
        <v>288</v>
      </c>
      <c r="M1014" s="17" t="n">
        <f aca="false">G1014*$F$7</f>
        <v>9488.52701976749</v>
      </c>
      <c r="N1014" s="18" t="n">
        <f aca="false">F1014/K1014</f>
        <v>20.4817275747508</v>
      </c>
      <c r="O1014" s="18" t="n">
        <f aca="false">G1014/L1014</f>
        <v>34.2013888888889</v>
      </c>
      <c r="P1014" s="18" t="n">
        <f aca="false">M1014/L1014</f>
        <v>32.9462743741927</v>
      </c>
      <c r="Q1014" s="19" t="n">
        <f aca="false">IF(N1014=0,"n.a.",P1014/N1014-1)</f>
        <v>0.608569113808921</v>
      </c>
    </row>
    <row r="1015" customFormat="false" ht="15" hidden="false" customHeight="false" outlineLevel="0" collapsed="false">
      <c r="A1015" s="12" t="s">
        <v>2401</v>
      </c>
      <c r="B1015" s="12" t="s">
        <v>1451</v>
      </c>
      <c r="C1015" s="12" t="s">
        <v>1452</v>
      </c>
      <c r="D1015" s="12" t="s">
        <v>2402</v>
      </c>
      <c r="E1015" s="12" t="s">
        <v>2403</v>
      </c>
      <c r="F1015" s="13" t="n">
        <v>0</v>
      </c>
      <c r="G1015" s="13" t="n">
        <v>9000</v>
      </c>
      <c r="H1015" s="14" t="n">
        <v>10848</v>
      </c>
      <c r="I1015" s="14" t="n">
        <v>10012</v>
      </c>
      <c r="J1015" s="15" t="n">
        <f aca="false">I1015/H1015</f>
        <v>0.922935103244838</v>
      </c>
      <c r="K1015" s="16" t="n">
        <f aca="false">ROUND(I1015*J1015^($F$8-1),0)</f>
        <v>10199</v>
      </c>
      <c r="L1015" s="16" t="n">
        <f aca="false">ROUND(I1015*J1015^($F$9-1),0)</f>
        <v>10054</v>
      </c>
      <c r="M1015" s="17" t="n">
        <f aca="false">G1015*$F$7</f>
        <v>8669.72011958451</v>
      </c>
      <c r="N1015" s="18" t="n">
        <f aca="false">F1015/K1015</f>
        <v>0</v>
      </c>
      <c r="O1015" s="18" t="n">
        <f aca="false">G1015/L1015</f>
        <v>0.895166103043565</v>
      </c>
      <c r="P1015" s="18" t="n">
        <f aca="false">M1015/L1015</f>
        <v>0.862315508214095</v>
      </c>
      <c r="Q1015" s="19" t="str">
        <f aca="false">IF(N1015=0,"n.a.",P1015/N1015-1)</f>
        <v>n.a.</v>
      </c>
    </row>
    <row r="1016" customFormat="false" ht="15" hidden="false" customHeight="false" outlineLevel="0" collapsed="false">
      <c r="A1016" s="12" t="s">
        <v>2404</v>
      </c>
      <c r="B1016" s="12" t="s">
        <v>1451</v>
      </c>
      <c r="C1016" s="12" t="s">
        <v>1452</v>
      </c>
      <c r="D1016" s="12" t="s">
        <v>2405</v>
      </c>
      <c r="E1016" s="12" t="s">
        <v>2406</v>
      </c>
      <c r="F1016" s="13" t="n">
        <v>0</v>
      </c>
      <c r="G1016" s="13" t="n">
        <v>0</v>
      </c>
      <c r="H1016" s="14" t="n">
        <v>3720</v>
      </c>
      <c r="I1016" s="14" t="n">
        <v>3599</v>
      </c>
      <c r="J1016" s="15" t="n">
        <f aca="false">I1016/H1016</f>
        <v>0.96747311827957</v>
      </c>
      <c r="K1016" s="16" t="n">
        <f aca="false">ROUND(I1016*J1016^($F$8-1),0)</f>
        <v>3627</v>
      </c>
      <c r="L1016" s="16" t="n">
        <f aca="false">ROUND(I1016*J1016^($F$9-1),0)</f>
        <v>3605</v>
      </c>
      <c r="M1016" s="17" t="n">
        <f aca="false">G1016*$F$7</f>
        <v>0</v>
      </c>
      <c r="N1016" s="18" t="n">
        <f aca="false">F1016/K1016</f>
        <v>0</v>
      </c>
      <c r="O1016" s="18" t="n">
        <f aca="false">G1016/L1016</f>
        <v>0</v>
      </c>
      <c r="P1016" s="18" t="n">
        <f aca="false">M1016/L1016</f>
        <v>0</v>
      </c>
      <c r="Q1016" s="19" t="str">
        <f aca="false">IF(N1016=0,"n.a.",P1016/N1016-1)</f>
        <v>n.a.</v>
      </c>
    </row>
    <row r="1017" customFormat="false" ht="15" hidden="false" customHeight="false" outlineLevel="0" collapsed="false">
      <c r="A1017" s="12" t="s">
        <v>2407</v>
      </c>
      <c r="B1017" s="12" t="s">
        <v>1451</v>
      </c>
      <c r="C1017" s="12" t="s">
        <v>1452</v>
      </c>
      <c r="D1017" s="12" t="s">
        <v>2408</v>
      </c>
      <c r="E1017" s="12" t="s">
        <v>2409</v>
      </c>
      <c r="F1017" s="13" t="n">
        <v>0</v>
      </c>
      <c r="G1017" s="13" t="n">
        <v>0</v>
      </c>
      <c r="H1017" s="14" t="n">
        <v>2916</v>
      </c>
      <c r="I1017" s="14" t="n">
        <v>2647</v>
      </c>
      <c r="J1017" s="15" t="n">
        <f aca="false">I1017/H1017</f>
        <v>0.907750342935528</v>
      </c>
      <c r="K1017" s="16" t="n">
        <f aca="false">ROUND(I1017*J1017^($F$8-1),0)</f>
        <v>2707</v>
      </c>
      <c r="L1017" s="16" t="n">
        <f aca="false">ROUND(I1017*J1017^($F$9-1),0)</f>
        <v>2660</v>
      </c>
      <c r="M1017" s="17" t="n">
        <f aca="false">G1017*$F$7</f>
        <v>0</v>
      </c>
      <c r="N1017" s="18" t="n">
        <f aca="false">F1017/K1017</f>
        <v>0</v>
      </c>
      <c r="O1017" s="18" t="n">
        <f aca="false">G1017/L1017</f>
        <v>0</v>
      </c>
      <c r="P1017" s="18" t="n">
        <f aca="false">M1017/L1017</f>
        <v>0</v>
      </c>
      <c r="Q1017" s="19" t="str">
        <f aca="false">IF(N1017=0,"n.a.",P1017/N1017-1)</f>
        <v>n.a.</v>
      </c>
    </row>
    <row r="1018" customFormat="false" ht="15" hidden="false" customHeight="false" outlineLevel="0" collapsed="false">
      <c r="A1018" s="12" t="s">
        <v>2410</v>
      </c>
      <c r="B1018" s="12" t="s">
        <v>1451</v>
      </c>
      <c r="C1018" s="12" t="s">
        <v>1452</v>
      </c>
      <c r="D1018" s="12" t="s">
        <v>2411</v>
      </c>
      <c r="E1018" s="12" t="s">
        <v>2412</v>
      </c>
      <c r="F1018" s="13" t="n">
        <v>0</v>
      </c>
      <c r="G1018" s="13" t="n">
        <v>0</v>
      </c>
      <c r="H1018" s="14" t="n">
        <v>2242</v>
      </c>
      <c r="I1018" s="14" t="n">
        <v>2187</v>
      </c>
      <c r="J1018" s="15" t="n">
        <f aca="false">I1018/H1018</f>
        <v>0.975468331846566</v>
      </c>
      <c r="K1018" s="16" t="n">
        <f aca="false">ROUND(I1018*J1018^($F$8-1),0)</f>
        <v>2200</v>
      </c>
      <c r="L1018" s="16" t="n">
        <f aca="false">ROUND(I1018*J1018^($F$9-1),0)</f>
        <v>2190</v>
      </c>
      <c r="M1018" s="17" t="n">
        <f aca="false">G1018*$F$7</f>
        <v>0</v>
      </c>
      <c r="N1018" s="18" t="n">
        <f aca="false">F1018/K1018</f>
        <v>0</v>
      </c>
      <c r="O1018" s="18" t="n">
        <f aca="false">G1018/L1018</f>
        <v>0</v>
      </c>
      <c r="P1018" s="18" t="n">
        <f aca="false">M1018/L1018</f>
        <v>0</v>
      </c>
      <c r="Q1018" s="19" t="str">
        <f aca="false">IF(N1018=0,"n.a.",P1018/N1018-1)</f>
        <v>n.a.</v>
      </c>
    </row>
    <row r="1019" customFormat="false" ht="15" hidden="false" customHeight="false" outlineLevel="0" collapsed="false">
      <c r="A1019" s="12" t="s">
        <v>2413</v>
      </c>
      <c r="B1019" s="12" t="s">
        <v>1451</v>
      </c>
      <c r="C1019" s="12" t="s">
        <v>1452</v>
      </c>
      <c r="D1019" s="12" t="s">
        <v>2414</v>
      </c>
      <c r="E1019" s="12" t="s">
        <v>2415</v>
      </c>
      <c r="F1019" s="13" t="n">
        <v>90358</v>
      </c>
      <c r="G1019" s="13" t="n">
        <v>31216</v>
      </c>
      <c r="H1019" s="14" t="n">
        <v>2940</v>
      </c>
      <c r="I1019" s="14" t="n">
        <v>2762</v>
      </c>
      <c r="J1019" s="15" t="n">
        <f aca="false">I1019/H1019</f>
        <v>0.939455782312925</v>
      </c>
      <c r="K1019" s="16" t="n">
        <f aca="false">ROUND(I1019*J1019^($F$8-1),0)</f>
        <v>2802</v>
      </c>
      <c r="L1019" s="16" t="n">
        <f aca="false">ROUND(I1019*J1019^($F$9-1),0)</f>
        <v>2771</v>
      </c>
      <c r="M1019" s="17" t="n">
        <f aca="false">G1019*$F$7</f>
        <v>30070.4425836611</v>
      </c>
      <c r="N1019" s="18" t="n">
        <f aca="false">F1019/K1019</f>
        <v>32.2476802284083</v>
      </c>
      <c r="O1019" s="18" t="n">
        <f aca="false">G1019/L1019</f>
        <v>11.2652472031757</v>
      </c>
      <c r="P1019" s="18" t="n">
        <f aca="false">M1019/L1019</f>
        <v>10.8518378143851</v>
      </c>
      <c r="Q1019" s="19" t="n">
        <f aca="false">IF(N1019=0,"n.a.",P1019/N1019-1)</f>
        <v>-0.663484699131155</v>
      </c>
    </row>
    <row r="1020" customFormat="false" ht="15" hidden="false" customHeight="false" outlineLevel="0" collapsed="false">
      <c r="A1020" s="12" t="s">
        <v>2416</v>
      </c>
      <c r="B1020" s="12" t="s">
        <v>1451</v>
      </c>
      <c r="C1020" s="12" t="s">
        <v>1452</v>
      </c>
      <c r="D1020" s="12" t="s">
        <v>2417</v>
      </c>
      <c r="E1020" s="12" t="s">
        <v>2418</v>
      </c>
      <c r="F1020" s="13" t="n">
        <v>600</v>
      </c>
      <c r="G1020" s="13" t="n">
        <v>400</v>
      </c>
      <c r="H1020" s="14" t="n">
        <v>1170</v>
      </c>
      <c r="I1020" s="14" t="n">
        <v>1081</v>
      </c>
      <c r="J1020" s="15" t="n">
        <f aca="false">I1020/H1020</f>
        <v>0.923931623931624</v>
      </c>
      <c r="K1020" s="16" t="n">
        <f aca="false">ROUND(I1020*J1020^($F$8-1),0)</f>
        <v>1101</v>
      </c>
      <c r="L1020" s="16" t="n">
        <f aca="false">ROUND(I1020*J1020^($F$9-1),0)</f>
        <v>1085</v>
      </c>
      <c r="M1020" s="17" t="n">
        <f aca="false">G1020*$F$7</f>
        <v>385.320894203756</v>
      </c>
      <c r="N1020" s="18" t="n">
        <f aca="false">F1020/K1020</f>
        <v>0.544959128065395</v>
      </c>
      <c r="O1020" s="18" t="n">
        <f aca="false">G1020/L1020</f>
        <v>0.368663594470046</v>
      </c>
      <c r="P1020" s="18" t="n">
        <f aca="false">M1020/L1020</f>
        <v>0.355134464703923</v>
      </c>
      <c r="Q1020" s="19" t="n">
        <f aca="false">IF(N1020=0,"n.a.",P1020/N1020-1)</f>
        <v>-0.348328257268302</v>
      </c>
    </row>
    <row r="1021" customFormat="false" ht="15" hidden="false" customHeight="false" outlineLevel="0" collapsed="false">
      <c r="A1021" s="12" t="s">
        <v>2419</v>
      </c>
      <c r="B1021" s="12" t="s">
        <v>1451</v>
      </c>
      <c r="C1021" s="12" t="s">
        <v>1452</v>
      </c>
      <c r="D1021" s="12" t="s">
        <v>2420</v>
      </c>
      <c r="E1021" s="12" t="s">
        <v>2421</v>
      </c>
      <c r="F1021" s="13" t="n">
        <v>31313</v>
      </c>
      <c r="G1021" s="13" t="n">
        <v>16401</v>
      </c>
      <c r="H1021" s="14" t="n">
        <v>595</v>
      </c>
      <c r="I1021" s="14" t="n">
        <v>554</v>
      </c>
      <c r="J1021" s="15" t="n">
        <f aca="false">I1021/H1021</f>
        <v>0.93109243697479</v>
      </c>
      <c r="K1021" s="16" t="n">
        <f aca="false">ROUND(I1021*J1021^($F$8-1),0)</f>
        <v>563</v>
      </c>
      <c r="L1021" s="16" t="n">
        <f aca="false">ROUND(I1021*J1021^($F$9-1),0)</f>
        <v>556</v>
      </c>
      <c r="M1021" s="17" t="n">
        <f aca="false">G1021*$F$7</f>
        <v>15799.1199645895</v>
      </c>
      <c r="N1021" s="18" t="n">
        <f aca="false">F1021/K1021</f>
        <v>55.6181172291297</v>
      </c>
      <c r="O1021" s="18" t="n">
        <f aca="false">G1021/L1021</f>
        <v>29.4982014388489</v>
      </c>
      <c r="P1021" s="18" t="n">
        <f aca="false">M1021/L1021</f>
        <v>28.4156833895495</v>
      </c>
      <c r="Q1021" s="19" t="n">
        <f aca="false">IF(N1021=0,"n.a.",P1021/N1021-1)</f>
        <v>-0.489093036492308</v>
      </c>
    </row>
    <row r="1022" customFormat="false" ht="15" hidden="false" customHeight="false" outlineLevel="0" collapsed="false">
      <c r="A1022" s="12" t="s">
        <v>2422</v>
      </c>
      <c r="B1022" s="12" t="s">
        <v>1451</v>
      </c>
      <c r="C1022" s="12" t="s">
        <v>1452</v>
      </c>
      <c r="D1022" s="12" t="s">
        <v>2423</v>
      </c>
      <c r="E1022" s="12" t="s">
        <v>2424</v>
      </c>
      <c r="F1022" s="13" t="n">
        <v>0</v>
      </c>
      <c r="G1022" s="13" t="n">
        <v>0</v>
      </c>
      <c r="H1022" s="14" t="n">
        <v>4794</v>
      </c>
      <c r="I1022" s="14" t="n">
        <v>4614</v>
      </c>
      <c r="J1022" s="15" t="n">
        <f aca="false">I1022/H1022</f>
        <v>0.962453066332916</v>
      </c>
      <c r="K1022" s="16" t="n">
        <f aca="false">ROUND(I1022*J1022^($F$8-1),0)</f>
        <v>4655</v>
      </c>
      <c r="L1022" s="16" t="n">
        <f aca="false">ROUND(I1022*J1022^($F$9-1),0)</f>
        <v>4623</v>
      </c>
      <c r="M1022" s="17" t="n">
        <f aca="false">G1022*$F$7</f>
        <v>0</v>
      </c>
      <c r="N1022" s="18" t="n">
        <f aca="false">F1022/K1022</f>
        <v>0</v>
      </c>
      <c r="O1022" s="18" t="n">
        <f aca="false">G1022/L1022</f>
        <v>0</v>
      </c>
      <c r="P1022" s="18" t="n">
        <f aca="false">M1022/L1022</f>
        <v>0</v>
      </c>
      <c r="Q1022" s="19" t="str">
        <f aca="false">IF(N1022=0,"n.a.",P1022/N1022-1)</f>
        <v>n.a.</v>
      </c>
    </row>
    <row r="1023" customFormat="false" ht="15" hidden="false" customHeight="false" outlineLevel="0" collapsed="false">
      <c r="A1023" s="12" t="s">
        <v>2425</v>
      </c>
      <c r="B1023" s="12" t="s">
        <v>1451</v>
      </c>
      <c r="C1023" s="12" t="s">
        <v>1452</v>
      </c>
      <c r="D1023" s="12" t="s">
        <v>2426</v>
      </c>
      <c r="E1023" s="12" t="s">
        <v>2427</v>
      </c>
      <c r="F1023" s="13" t="n">
        <v>41327508</v>
      </c>
      <c r="G1023" s="13" t="n">
        <v>64482514</v>
      </c>
      <c r="H1023" s="14" t="n">
        <v>100338</v>
      </c>
      <c r="I1023" s="14" t="n">
        <v>114483</v>
      </c>
      <c r="J1023" s="15" t="n">
        <f aca="false">I1023/H1023</f>
        <v>1.14097350953776</v>
      </c>
      <c r="K1023" s="16" t="n">
        <f aca="false">ROUND(I1023*J1023^($F$8-1),0)</f>
        <v>111050</v>
      </c>
      <c r="L1023" s="16" t="n">
        <f aca="false">ROUND(I1023*J1023^($F$9-1),0)</f>
        <v>113701</v>
      </c>
      <c r="M1023" s="17" t="n">
        <f aca="false">G1023*$F$7</f>
        <v>62116149.8874656</v>
      </c>
      <c r="N1023" s="18" t="n">
        <f aca="false">F1023/K1023</f>
        <v>372.152255740657</v>
      </c>
      <c r="O1023" s="18" t="n">
        <f aca="false">G1023/L1023</f>
        <v>567.123543328555</v>
      </c>
      <c r="P1023" s="18" t="n">
        <f aca="false">M1023/L1023</f>
        <v>546.311377098403</v>
      </c>
      <c r="Q1023" s="19" t="n">
        <f aca="false">IF(N1023=0,"n.a.",P1023/N1023-1)</f>
        <v>0.467978142470572</v>
      </c>
    </row>
    <row r="1024" customFormat="false" ht="15" hidden="false" customHeight="false" outlineLevel="0" collapsed="false">
      <c r="A1024" s="12" t="s">
        <v>2428</v>
      </c>
      <c r="B1024" s="12" t="s">
        <v>1451</v>
      </c>
      <c r="C1024" s="12" t="s">
        <v>1452</v>
      </c>
      <c r="D1024" s="12" t="s">
        <v>2429</v>
      </c>
      <c r="E1024" s="12" t="s">
        <v>2430</v>
      </c>
      <c r="F1024" s="13" t="n">
        <v>396</v>
      </c>
      <c r="G1024" s="13" t="n">
        <v>33</v>
      </c>
      <c r="H1024" s="14" t="n">
        <v>18985</v>
      </c>
      <c r="I1024" s="14" t="n">
        <v>17490</v>
      </c>
      <c r="J1024" s="15" t="n">
        <f aca="false">I1024/H1024</f>
        <v>0.921253621279958</v>
      </c>
      <c r="K1024" s="16" t="n">
        <f aca="false">ROUND(I1024*J1024^($F$8-1),0)</f>
        <v>17824</v>
      </c>
      <c r="L1024" s="16" t="n">
        <f aca="false">ROUND(I1024*J1024^($F$9-1),0)</f>
        <v>17565</v>
      </c>
      <c r="M1024" s="17" t="n">
        <f aca="false">G1024*$F$7</f>
        <v>31.7889737718099</v>
      </c>
      <c r="N1024" s="18" t="n">
        <f aca="false">F1024/K1024</f>
        <v>0.0222172351885099</v>
      </c>
      <c r="O1024" s="18" t="n">
        <f aca="false">G1024/L1024</f>
        <v>0.00187873612297182</v>
      </c>
      <c r="P1024" s="18" t="n">
        <f aca="false">M1024/L1024</f>
        <v>0.001809790707191</v>
      </c>
      <c r="Q1024" s="19" t="n">
        <f aca="false">IF(N1024=0,"n.a.",P1024/N1024-1)</f>
        <v>-0.918541137462191</v>
      </c>
    </row>
    <row r="1025" customFormat="false" ht="15" hidden="false" customHeight="false" outlineLevel="0" collapsed="false">
      <c r="A1025" s="12" t="s">
        <v>2431</v>
      </c>
      <c r="B1025" s="12" t="s">
        <v>1451</v>
      </c>
      <c r="C1025" s="12" t="s">
        <v>1452</v>
      </c>
      <c r="D1025" s="12" t="s">
        <v>2432</v>
      </c>
      <c r="E1025" s="12" t="s">
        <v>2433</v>
      </c>
      <c r="F1025" s="13" t="n">
        <v>98033</v>
      </c>
      <c r="G1025" s="13" t="n">
        <v>123400</v>
      </c>
      <c r="H1025" s="14" t="n">
        <v>2891</v>
      </c>
      <c r="I1025" s="14" t="n">
        <v>2607</v>
      </c>
      <c r="J1025" s="15" t="n">
        <f aca="false">I1025/H1025</f>
        <v>0.901764095468696</v>
      </c>
      <c r="K1025" s="16" t="n">
        <f aca="false">ROUND(I1025*J1025^($F$8-1),0)</f>
        <v>2670</v>
      </c>
      <c r="L1025" s="16" t="n">
        <f aca="false">ROUND(I1025*J1025^($F$9-1),0)</f>
        <v>2621</v>
      </c>
      <c r="M1025" s="17" t="n">
        <f aca="false">G1025*$F$7</f>
        <v>118871.495861859</v>
      </c>
      <c r="N1025" s="18" t="n">
        <f aca="false">F1025/K1025</f>
        <v>36.7164794007491</v>
      </c>
      <c r="O1025" s="18" t="n">
        <f aca="false">G1025/L1025</f>
        <v>47.0812666921023</v>
      </c>
      <c r="P1025" s="18" t="n">
        <f aca="false">M1025/L1025</f>
        <v>45.3534894551159</v>
      </c>
      <c r="Q1025" s="19" t="n">
        <f aca="false">IF(N1025=0,"n.a.",P1025/N1025-1)</f>
        <v>0.235235245735206</v>
      </c>
    </row>
    <row r="1026" customFormat="false" ht="15" hidden="false" customHeight="false" outlineLevel="0" collapsed="false">
      <c r="A1026" s="12" t="s">
        <v>2434</v>
      </c>
      <c r="B1026" s="12" t="s">
        <v>1451</v>
      </c>
      <c r="C1026" s="12" t="s">
        <v>1452</v>
      </c>
      <c r="D1026" s="12" t="s">
        <v>2435</v>
      </c>
      <c r="E1026" s="12" t="s">
        <v>2436</v>
      </c>
      <c r="F1026" s="13" t="n">
        <v>0</v>
      </c>
      <c r="G1026" s="13" t="n">
        <v>0</v>
      </c>
      <c r="H1026" s="14" t="n">
        <v>2809</v>
      </c>
      <c r="I1026" s="14" t="n">
        <v>2738</v>
      </c>
      <c r="J1026" s="15" t="n">
        <f aca="false">I1026/H1026</f>
        <v>0.974724101103596</v>
      </c>
      <c r="K1026" s="16" t="n">
        <f aca="false">ROUND(I1026*J1026^($F$8-1),0)</f>
        <v>2754</v>
      </c>
      <c r="L1026" s="16" t="n">
        <f aca="false">ROUND(I1026*J1026^($F$9-1),0)</f>
        <v>2742</v>
      </c>
      <c r="M1026" s="17" t="n">
        <f aca="false">G1026*$F$7</f>
        <v>0</v>
      </c>
      <c r="N1026" s="18" t="n">
        <f aca="false">F1026/K1026</f>
        <v>0</v>
      </c>
      <c r="O1026" s="18" t="n">
        <f aca="false">G1026/L1026</f>
        <v>0</v>
      </c>
      <c r="P1026" s="18" t="n">
        <f aca="false">M1026/L1026</f>
        <v>0</v>
      </c>
      <c r="Q1026" s="19" t="str">
        <f aca="false">IF(N1026=0,"n.a.",P1026/N1026-1)</f>
        <v>n.a.</v>
      </c>
    </row>
    <row r="1027" customFormat="false" ht="15" hidden="false" customHeight="false" outlineLevel="0" collapsed="false">
      <c r="A1027" s="12" t="s">
        <v>2437</v>
      </c>
      <c r="B1027" s="12" t="s">
        <v>1451</v>
      </c>
      <c r="C1027" s="12" t="s">
        <v>1452</v>
      </c>
      <c r="D1027" s="12" t="s">
        <v>2438</v>
      </c>
      <c r="E1027" s="12" t="s">
        <v>2439</v>
      </c>
      <c r="F1027" s="13" t="n">
        <v>46522</v>
      </c>
      <c r="G1027" s="13" t="n">
        <v>18801</v>
      </c>
      <c r="H1027" s="14" t="n">
        <v>908</v>
      </c>
      <c r="I1027" s="14" t="n">
        <v>822</v>
      </c>
      <c r="J1027" s="15" t="n">
        <f aca="false">I1027/H1027</f>
        <v>0.905286343612335</v>
      </c>
      <c r="K1027" s="16" t="n">
        <f aca="false">ROUND(I1027*J1027^($F$8-1),0)</f>
        <v>841</v>
      </c>
      <c r="L1027" s="16" t="n">
        <f aca="false">ROUND(I1027*J1027^($F$9-1),0)</f>
        <v>826</v>
      </c>
      <c r="M1027" s="17" t="n">
        <f aca="false">G1027*$F$7</f>
        <v>18111.0453298121</v>
      </c>
      <c r="N1027" s="18" t="n">
        <f aca="false">F1027/K1027</f>
        <v>55.3174791914388</v>
      </c>
      <c r="O1027" s="18" t="n">
        <f aca="false">G1027/L1027</f>
        <v>22.7615012106538</v>
      </c>
      <c r="P1027" s="18" t="n">
        <f aca="false">M1027/L1027</f>
        <v>21.9262049997725</v>
      </c>
      <c r="Q1027" s="19" t="n">
        <f aca="false">IF(N1027=0,"n.a.",P1027/N1027-1)</f>
        <v>-0.603629714870198</v>
      </c>
    </row>
    <row r="1028" customFormat="false" ht="15" hidden="false" customHeight="false" outlineLevel="0" collapsed="false">
      <c r="A1028" s="12" t="s">
        <v>2440</v>
      </c>
      <c r="B1028" s="12" t="s">
        <v>1451</v>
      </c>
      <c r="C1028" s="12" t="s">
        <v>1452</v>
      </c>
      <c r="D1028" s="12" t="s">
        <v>2441</v>
      </c>
      <c r="E1028" s="12" t="s">
        <v>2442</v>
      </c>
      <c r="F1028" s="13" t="n">
        <v>12815512</v>
      </c>
      <c r="G1028" s="13" t="n">
        <v>14539067</v>
      </c>
      <c r="H1028" s="14" t="n">
        <v>49295</v>
      </c>
      <c r="I1028" s="14" t="n">
        <v>45229</v>
      </c>
      <c r="J1028" s="15" t="n">
        <f aca="false">I1028/H1028</f>
        <v>0.917516989552693</v>
      </c>
      <c r="K1028" s="16" t="n">
        <f aca="false">ROUND(I1028*J1028^($F$8-1),0)</f>
        <v>46137</v>
      </c>
      <c r="L1028" s="16" t="n">
        <f aca="false">ROUND(I1028*J1028^($F$9-1),0)</f>
        <v>45432</v>
      </c>
      <c r="M1028" s="17" t="n">
        <f aca="false">G1028*$F$7</f>
        <v>14005515.7433208</v>
      </c>
      <c r="N1028" s="18" t="n">
        <f aca="false">F1028/K1028</f>
        <v>277.770813013417</v>
      </c>
      <c r="O1028" s="18" t="n">
        <f aca="false">G1028/L1028</f>
        <v>320.018203028702</v>
      </c>
      <c r="P1028" s="18" t="n">
        <f aca="false">M1028/L1028</f>
        <v>308.274250381247</v>
      </c>
      <c r="Q1028" s="19" t="n">
        <f aca="false">IF(N1028=0,"n.a.",P1028/N1028-1)</f>
        <v>0.109815127935551</v>
      </c>
    </row>
    <row r="1029" customFormat="false" ht="15" hidden="false" customHeight="false" outlineLevel="0" collapsed="false">
      <c r="A1029" s="12" t="s">
        <v>2443</v>
      </c>
      <c r="B1029" s="12" t="s">
        <v>1451</v>
      </c>
      <c r="C1029" s="12" t="s">
        <v>1452</v>
      </c>
      <c r="D1029" s="12" t="s">
        <v>2444</v>
      </c>
      <c r="E1029" s="12" t="s">
        <v>2445</v>
      </c>
      <c r="F1029" s="13" t="n">
        <v>2500</v>
      </c>
      <c r="G1029" s="13" t="n">
        <v>0</v>
      </c>
      <c r="H1029" s="14" t="n">
        <v>3368</v>
      </c>
      <c r="I1029" s="14" t="n">
        <v>3054</v>
      </c>
      <c r="J1029" s="15" t="n">
        <f aca="false">I1029/H1029</f>
        <v>0.906769596199525</v>
      </c>
      <c r="K1029" s="16" t="n">
        <f aca="false">ROUND(I1029*J1029^($F$8-1),0)</f>
        <v>3124</v>
      </c>
      <c r="L1029" s="16" t="n">
        <f aca="false">ROUND(I1029*J1029^($F$9-1),0)</f>
        <v>3070</v>
      </c>
      <c r="M1029" s="17" t="n">
        <f aca="false">G1029*$F$7</f>
        <v>0</v>
      </c>
      <c r="N1029" s="18" t="n">
        <f aca="false">F1029/K1029</f>
        <v>0.800256081946223</v>
      </c>
      <c r="O1029" s="18" t="n">
        <f aca="false">G1029/L1029</f>
        <v>0</v>
      </c>
      <c r="P1029" s="18" t="n">
        <f aca="false">M1029/L1029</f>
        <v>0</v>
      </c>
      <c r="Q1029" s="19" t="n">
        <f aca="false">IF(N1029=0,"n.a.",P1029/N1029-1)</f>
        <v>-1</v>
      </c>
    </row>
    <row r="1030" customFormat="false" ht="15" hidden="false" customHeight="false" outlineLevel="0" collapsed="false">
      <c r="A1030" s="12" t="s">
        <v>2446</v>
      </c>
      <c r="B1030" s="12" t="s">
        <v>1451</v>
      </c>
      <c r="C1030" s="12" t="s">
        <v>1452</v>
      </c>
      <c r="D1030" s="12" t="s">
        <v>2447</v>
      </c>
      <c r="E1030" s="12" t="s">
        <v>2448</v>
      </c>
      <c r="F1030" s="13" t="n">
        <v>17065</v>
      </c>
      <c r="G1030" s="13" t="n">
        <v>9450</v>
      </c>
      <c r="H1030" s="14" t="n">
        <v>6419</v>
      </c>
      <c r="I1030" s="14" t="n">
        <v>4538</v>
      </c>
      <c r="J1030" s="15" t="n">
        <f aca="false">I1030/H1030</f>
        <v>0.706963701511139</v>
      </c>
      <c r="K1030" s="16" t="n">
        <f aca="false">ROUND(I1030*J1030^($F$8-1),0)</f>
        <v>4916</v>
      </c>
      <c r="L1030" s="16" t="n">
        <f aca="false">ROUND(I1030*J1030^($F$9-1),0)</f>
        <v>4621</v>
      </c>
      <c r="M1030" s="17" t="n">
        <f aca="false">G1030*$F$7</f>
        <v>9103.20612556374</v>
      </c>
      <c r="N1030" s="18" t="n">
        <f aca="false">F1030/K1030</f>
        <v>3.4713181448332</v>
      </c>
      <c r="O1030" s="18" t="n">
        <f aca="false">G1030/L1030</f>
        <v>2.04501190218567</v>
      </c>
      <c r="P1030" s="18" t="n">
        <f aca="false">M1030/L1030</f>
        <v>1.96996453701877</v>
      </c>
      <c r="Q1030" s="19" t="n">
        <f aca="false">IF(N1030=0,"n.a.",P1030/N1030-1)</f>
        <v>-0.432502451568457</v>
      </c>
    </row>
    <row r="1031" customFormat="false" ht="15" hidden="false" customHeight="false" outlineLevel="0" collapsed="false">
      <c r="A1031" s="12" t="s">
        <v>2449</v>
      </c>
      <c r="B1031" s="12" t="s">
        <v>1451</v>
      </c>
      <c r="C1031" s="12" t="s">
        <v>1452</v>
      </c>
      <c r="D1031" s="12" t="s">
        <v>2450</v>
      </c>
      <c r="E1031" s="12" t="s">
        <v>2451</v>
      </c>
      <c r="F1031" s="13" t="n">
        <v>29537</v>
      </c>
      <c r="G1031" s="13" t="n">
        <v>32649</v>
      </c>
      <c r="H1031" s="14" t="n">
        <v>4173</v>
      </c>
      <c r="I1031" s="14" t="n">
        <v>4234</v>
      </c>
      <c r="J1031" s="15" t="n">
        <f aca="false">I1031/H1031</f>
        <v>1.01461778097292</v>
      </c>
      <c r="K1031" s="16" t="n">
        <f aca="false">ROUND(I1031*J1031^($F$8-1),0)</f>
        <v>4220</v>
      </c>
      <c r="L1031" s="16" t="n">
        <f aca="false">ROUND(I1031*J1031^($F$9-1),0)</f>
        <v>4231</v>
      </c>
      <c r="M1031" s="17" t="n">
        <f aca="false">G1031*$F$7</f>
        <v>31450.8546871461</v>
      </c>
      <c r="N1031" s="18" t="n">
        <f aca="false">F1031/K1031</f>
        <v>6.99928909952607</v>
      </c>
      <c r="O1031" s="18" t="n">
        <f aca="false">G1031/L1031</f>
        <v>7.71661545733869</v>
      </c>
      <c r="P1031" s="18" t="n">
        <f aca="false">M1031/L1031</f>
        <v>7.43343292062068</v>
      </c>
      <c r="Q1031" s="19" t="n">
        <f aca="false">IF(N1031=0,"n.a.",P1031/N1031-1)</f>
        <v>0.0620268451440316</v>
      </c>
    </row>
    <row r="1032" customFormat="false" ht="15" hidden="false" customHeight="false" outlineLevel="0" collapsed="false">
      <c r="A1032" s="12" t="s">
        <v>2452</v>
      </c>
      <c r="B1032" s="12" t="s">
        <v>1451</v>
      </c>
      <c r="C1032" s="12" t="s">
        <v>1452</v>
      </c>
      <c r="D1032" s="12" t="s">
        <v>2453</v>
      </c>
      <c r="E1032" s="12" t="s">
        <v>2454</v>
      </c>
      <c r="F1032" s="13" t="n">
        <v>0</v>
      </c>
      <c r="G1032" s="13" t="n">
        <v>0</v>
      </c>
      <c r="H1032" s="14" t="n">
        <v>1574</v>
      </c>
      <c r="I1032" s="14" t="n">
        <v>1323</v>
      </c>
      <c r="J1032" s="15" t="n">
        <f aca="false">I1032/H1032</f>
        <v>0.840533672172808</v>
      </c>
      <c r="K1032" s="16" t="n">
        <f aca="false">ROUND(I1032*J1032^($F$8-1),0)</f>
        <v>1377</v>
      </c>
      <c r="L1032" s="16" t="n">
        <f aca="false">ROUND(I1032*J1032^($F$9-1),0)</f>
        <v>1335</v>
      </c>
      <c r="M1032" s="17" t="n">
        <f aca="false">G1032*$F$7</f>
        <v>0</v>
      </c>
      <c r="N1032" s="18" t="n">
        <f aca="false">F1032/K1032</f>
        <v>0</v>
      </c>
      <c r="O1032" s="18" t="n">
        <f aca="false">G1032/L1032</f>
        <v>0</v>
      </c>
      <c r="P1032" s="18" t="n">
        <f aca="false">M1032/L1032</f>
        <v>0</v>
      </c>
      <c r="Q1032" s="19" t="str">
        <f aca="false">IF(N1032=0,"n.a.",P1032/N1032-1)</f>
        <v>n.a.</v>
      </c>
    </row>
    <row r="1033" customFormat="false" ht="15" hidden="false" customHeight="false" outlineLevel="0" collapsed="false">
      <c r="A1033" s="12" t="s">
        <v>2455</v>
      </c>
      <c r="B1033" s="12" t="s">
        <v>1451</v>
      </c>
      <c r="C1033" s="12" t="s">
        <v>1452</v>
      </c>
      <c r="D1033" s="12" t="s">
        <v>2456</v>
      </c>
      <c r="E1033" s="12" t="s">
        <v>2457</v>
      </c>
      <c r="F1033" s="13" t="n">
        <v>0</v>
      </c>
      <c r="G1033" s="13" t="n">
        <v>0</v>
      </c>
      <c r="H1033" s="14" t="n">
        <v>3239</v>
      </c>
      <c r="I1033" s="14" t="n">
        <v>2901</v>
      </c>
      <c r="J1033" s="15" t="n">
        <f aca="false">I1033/H1033</f>
        <v>0.895646804569312</v>
      </c>
      <c r="K1033" s="16" t="n">
        <f aca="false">ROUND(I1033*J1033^($F$8-1),0)</f>
        <v>2976</v>
      </c>
      <c r="L1033" s="16" t="n">
        <f aca="false">ROUND(I1033*J1033^($F$9-1),0)</f>
        <v>2918</v>
      </c>
      <c r="M1033" s="17" t="n">
        <f aca="false">G1033*$F$7</f>
        <v>0</v>
      </c>
      <c r="N1033" s="18" t="n">
        <f aca="false">F1033/K1033</f>
        <v>0</v>
      </c>
      <c r="O1033" s="18" t="n">
        <f aca="false">G1033/L1033</f>
        <v>0</v>
      </c>
      <c r="P1033" s="18" t="n">
        <f aca="false">M1033/L1033</f>
        <v>0</v>
      </c>
      <c r="Q1033" s="19" t="str">
        <f aca="false">IF(N1033=0,"n.a.",P1033/N1033-1)</f>
        <v>n.a.</v>
      </c>
    </row>
    <row r="1034" customFormat="false" ht="15" hidden="false" customHeight="false" outlineLevel="0" collapsed="false">
      <c r="A1034" s="12" t="s">
        <v>2458</v>
      </c>
      <c r="B1034" s="12" t="s">
        <v>1451</v>
      </c>
      <c r="C1034" s="12" t="s">
        <v>1452</v>
      </c>
      <c r="D1034" s="12" t="s">
        <v>2459</v>
      </c>
      <c r="E1034" s="12" t="s">
        <v>2460</v>
      </c>
      <c r="F1034" s="13" t="n">
        <v>8826653</v>
      </c>
      <c r="G1034" s="13" t="n">
        <v>8482963</v>
      </c>
      <c r="H1034" s="14" t="n">
        <v>39994</v>
      </c>
      <c r="I1034" s="14" t="n">
        <v>42823</v>
      </c>
      <c r="J1034" s="15" t="n">
        <f aca="false">I1034/H1034</f>
        <v>1.07073561034155</v>
      </c>
      <c r="K1034" s="16" t="n">
        <f aca="false">ROUND(I1034*J1034^($F$8-1),0)</f>
        <v>42153</v>
      </c>
      <c r="L1034" s="16" t="n">
        <f aca="false">ROUND(I1034*J1034^($F$9-1),0)</f>
        <v>42671</v>
      </c>
      <c r="M1034" s="17" t="n">
        <f aca="false">G1034*$F$7</f>
        <v>8171657.22164344</v>
      </c>
      <c r="N1034" s="18" t="n">
        <f aca="false">F1034/K1034</f>
        <v>209.395606481152</v>
      </c>
      <c r="O1034" s="18" t="n">
        <f aca="false">G1034/L1034</f>
        <v>198.799254763188</v>
      </c>
      <c r="P1034" s="18" t="n">
        <f aca="false">M1034/L1034</f>
        <v>191.50376653098</v>
      </c>
      <c r="Q1034" s="19" t="n">
        <f aca="false">IF(N1034=0,"n.a.",P1034/N1034-1)</f>
        <v>-0.0854451545132229</v>
      </c>
    </row>
    <row r="1035" customFormat="false" ht="15" hidden="false" customHeight="false" outlineLevel="0" collapsed="false">
      <c r="A1035" s="12" t="s">
        <v>2461</v>
      </c>
      <c r="B1035" s="12" t="s">
        <v>1451</v>
      </c>
      <c r="C1035" s="12" t="s">
        <v>1452</v>
      </c>
      <c r="D1035" s="12" t="s">
        <v>2462</v>
      </c>
      <c r="E1035" s="12" t="s">
        <v>2463</v>
      </c>
      <c r="F1035" s="13" t="n">
        <v>206949</v>
      </c>
      <c r="G1035" s="13" t="n">
        <v>313935</v>
      </c>
      <c r="H1035" s="14" t="n">
        <v>4874</v>
      </c>
      <c r="I1035" s="14" t="n">
        <v>4955</v>
      </c>
      <c r="J1035" s="15" t="n">
        <f aca="false">I1035/H1035</f>
        <v>1.01661879359869</v>
      </c>
      <c r="K1035" s="16" t="n">
        <f aca="false">ROUND(I1035*J1035^($F$8-1),0)</f>
        <v>4936</v>
      </c>
      <c r="L1035" s="16" t="n">
        <f aca="false">ROUND(I1035*J1035^($F$9-1),0)</f>
        <v>4951</v>
      </c>
      <c r="M1035" s="17" t="n">
        <f aca="false">G1035*$F$7</f>
        <v>302414.28730464</v>
      </c>
      <c r="N1035" s="18" t="n">
        <f aca="false">F1035/K1035</f>
        <v>41.9264586709887</v>
      </c>
      <c r="O1035" s="18" t="n">
        <f aca="false">G1035/L1035</f>
        <v>63.408402342961</v>
      </c>
      <c r="P1035" s="18" t="n">
        <f aca="false">M1035/L1035</f>
        <v>61.0814557270532</v>
      </c>
      <c r="Q1035" s="19" t="n">
        <f aca="false">IF(N1035=0,"n.a.",P1035/N1035-1)</f>
        <v>0.456871332882665</v>
      </c>
    </row>
    <row r="1036" customFormat="false" ht="15" hidden="false" customHeight="false" outlineLevel="0" collapsed="false">
      <c r="A1036" s="12" t="s">
        <v>2464</v>
      </c>
      <c r="B1036" s="12" t="s">
        <v>1451</v>
      </c>
      <c r="C1036" s="12" t="s">
        <v>1452</v>
      </c>
      <c r="D1036" s="12" t="s">
        <v>2465</v>
      </c>
      <c r="E1036" s="12" t="s">
        <v>2466</v>
      </c>
      <c r="F1036" s="13" t="n">
        <v>12562734</v>
      </c>
      <c r="G1036" s="13" t="n">
        <v>10333540</v>
      </c>
      <c r="H1036" s="14" t="n">
        <v>41900</v>
      </c>
      <c r="I1036" s="14" t="n">
        <v>45291</v>
      </c>
      <c r="J1036" s="15" t="n">
        <f aca="false">I1036/H1036</f>
        <v>1.0809307875895</v>
      </c>
      <c r="K1036" s="16" t="n">
        <f aca="false">ROUND(I1036*J1036^($F$8-1),0)</f>
        <v>44484</v>
      </c>
      <c r="L1036" s="16" t="n">
        <f aca="false">ROUND(I1036*J1036^($F$9-1),0)</f>
        <v>45108</v>
      </c>
      <c r="M1036" s="17" t="n">
        <f aca="false">G1036*$F$7</f>
        <v>9954322.18272571</v>
      </c>
      <c r="N1036" s="18" t="n">
        <f aca="false">F1036/K1036</f>
        <v>282.410169948746</v>
      </c>
      <c r="O1036" s="18" t="n">
        <f aca="false">G1036/L1036</f>
        <v>229.084419615146</v>
      </c>
      <c r="P1036" s="18" t="n">
        <f aca="false">M1036/L1036</f>
        <v>220.677533535641</v>
      </c>
      <c r="Q1036" s="19" t="n">
        <f aca="false">IF(N1036=0,"n.a.",P1036/N1036-1)</f>
        <v>-0.218592115235468</v>
      </c>
    </row>
    <row r="1037" customFormat="false" ht="15" hidden="false" customHeight="false" outlineLevel="0" collapsed="false">
      <c r="A1037" s="12" t="s">
        <v>2467</v>
      </c>
      <c r="B1037" s="12" t="s">
        <v>1451</v>
      </c>
      <c r="C1037" s="12" t="s">
        <v>1452</v>
      </c>
      <c r="D1037" s="12" t="s">
        <v>2468</v>
      </c>
      <c r="E1037" s="12" t="s">
        <v>2469</v>
      </c>
      <c r="F1037" s="13" t="n">
        <v>10718</v>
      </c>
      <c r="G1037" s="13" t="n">
        <v>11718</v>
      </c>
      <c r="H1037" s="14" t="n">
        <v>1713</v>
      </c>
      <c r="I1037" s="14" t="n">
        <v>1621</v>
      </c>
      <c r="J1037" s="15" t="n">
        <f aca="false">I1037/H1037</f>
        <v>0.946293053123176</v>
      </c>
      <c r="K1037" s="16" t="n">
        <f aca="false">ROUND(I1037*J1037^($F$8-1),0)</f>
        <v>1642</v>
      </c>
      <c r="L1037" s="16" t="n">
        <f aca="false">ROUND(I1037*J1037^($F$9-1),0)</f>
        <v>1626</v>
      </c>
      <c r="M1037" s="17" t="n">
        <f aca="false">G1037*$F$7</f>
        <v>11287.975595699</v>
      </c>
      <c r="N1037" s="18" t="n">
        <f aca="false">F1037/K1037</f>
        <v>6.52740560292326</v>
      </c>
      <c r="O1037" s="18" t="n">
        <f aca="false">G1037/L1037</f>
        <v>7.20664206642066</v>
      </c>
      <c r="P1037" s="18" t="n">
        <f aca="false">M1037/L1037</f>
        <v>6.94217441309904</v>
      </c>
      <c r="Q1037" s="19" t="n">
        <f aca="false">IF(N1037=0,"n.a.",P1037/N1037-1)</f>
        <v>0.063542674594945</v>
      </c>
    </row>
    <row r="1038" customFormat="false" ht="15" hidden="false" customHeight="false" outlineLevel="0" collapsed="false">
      <c r="A1038" s="12" t="s">
        <v>2470</v>
      </c>
      <c r="B1038" s="12" t="s">
        <v>1451</v>
      </c>
      <c r="C1038" s="12" t="s">
        <v>1452</v>
      </c>
      <c r="D1038" s="12" t="s">
        <v>2471</v>
      </c>
      <c r="E1038" s="12" t="s">
        <v>2472</v>
      </c>
      <c r="F1038" s="13" t="n">
        <v>12945796</v>
      </c>
      <c r="G1038" s="13" t="n">
        <v>13197168</v>
      </c>
      <c r="H1038" s="14" t="n">
        <v>27012</v>
      </c>
      <c r="I1038" s="14" t="n">
        <v>31627</v>
      </c>
      <c r="J1038" s="15" t="n">
        <f aca="false">I1038/H1038</f>
        <v>1.17084999259588</v>
      </c>
      <c r="K1038" s="16" t="n">
        <f aca="false">ROUND(I1038*J1038^($F$8-1),0)</f>
        <v>30496</v>
      </c>
      <c r="L1038" s="16" t="n">
        <f aca="false">ROUND(I1038*J1038^($F$9-1),0)</f>
        <v>31369</v>
      </c>
      <c r="M1038" s="17" t="n">
        <f aca="false">G1038*$F$7</f>
        <v>12712861.436793</v>
      </c>
      <c r="N1038" s="18" t="n">
        <f aca="false">F1038/K1038</f>
        <v>424.508001049318</v>
      </c>
      <c r="O1038" s="18" t="n">
        <f aca="false">G1038/L1038</f>
        <v>420.70732251586</v>
      </c>
      <c r="P1038" s="18" t="n">
        <f aca="false">M1038/L1038</f>
        <v>405.268304274698</v>
      </c>
      <c r="Q1038" s="19" t="n">
        <f aca="false">IF(N1038=0,"n.a.",P1038/N1038-1)</f>
        <v>-0.0453223419277441</v>
      </c>
    </row>
    <row r="1039" customFormat="false" ht="15" hidden="false" customHeight="false" outlineLevel="0" collapsed="false">
      <c r="A1039" s="12" t="s">
        <v>2473</v>
      </c>
      <c r="B1039" s="12" t="s">
        <v>1451</v>
      </c>
      <c r="C1039" s="12" t="s">
        <v>1452</v>
      </c>
      <c r="D1039" s="12" t="s">
        <v>2474</v>
      </c>
      <c r="E1039" s="12" t="s">
        <v>2475</v>
      </c>
      <c r="F1039" s="13" t="n">
        <v>385154</v>
      </c>
      <c r="G1039" s="13" t="n">
        <v>935922</v>
      </c>
      <c r="H1039" s="14" t="n">
        <v>3751</v>
      </c>
      <c r="I1039" s="14" t="n">
        <v>3810</v>
      </c>
      <c r="J1039" s="15" t="n">
        <f aca="false">I1039/H1039</f>
        <v>1.01572913889629</v>
      </c>
      <c r="K1039" s="16" t="n">
        <f aca="false">ROUND(I1039*J1039^($F$8-1),0)</f>
        <v>3796</v>
      </c>
      <c r="L1039" s="16" t="n">
        <f aca="false">ROUND(I1039*J1039^($F$9-1),0)</f>
        <v>3807</v>
      </c>
      <c r="M1039" s="17" t="n">
        <f aca="false">G1039*$F$7</f>
        <v>901575.75486242</v>
      </c>
      <c r="N1039" s="18" t="n">
        <f aca="false">F1039/K1039</f>
        <v>101.463119072708</v>
      </c>
      <c r="O1039" s="18" t="n">
        <f aca="false">G1039/L1039</f>
        <v>245.842395587076</v>
      </c>
      <c r="P1039" s="18" t="n">
        <f aca="false">M1039/L1039</f>
        <v>236.820529252015</v>
      </c>
      <c r="Q1039" s="19" t="n">
        <f aca="false">IF(N1039=0,"n.a.",P1039/N1039-1)</f>
        <v>1.33405528448529</v>
      </c>
    </row>
    <row r="1040" customFormat="false" ht="15" hidden="false" customHeight="false" outlineLevel="0" collapsed="false">
      <c r="A1040" s="12" t="s">
        <v>2476</v>
      </c>
      <c r="B1040" s="12" t="s">
        <v>1451</v>
      </c>
      <c r="C1040" s="12" t="s">
        <v>1452</v>
      </c>
      <c r="D1040" s="12" t="s">
        <v>2477</v>
      </c>
      <c r="E1040" s="12" t="s">
        <v>2478</v>
      </c>
      <c r="F1040" s="13" t="n">
        <v>14202</v>
      </c>
      <c r="G1040" s="13" t="n">
        <v>6846</v>
      </c>
      <c r="H1040" s="14" t="n">
        <v>761</v>
      </c>
      <c r="I1040" s="14" t="n">
        <v>740</v>
      </c>
      <c r="J1040" s="15" t="n">
        <f aca="false">I1040/H1040</f>
        <v>0.972404730617609</v>
      </c>
      <c r="K1040" s="16" t="n">
        <f aca="false">ROUND(I1040*J1040^($F$8-1),0)</f>
        <v>745</v>
      </c>
      <c r="L1040" s="16" t="n">
        <f aca="false">ROUND(I1040*J1040^($F$9-1),0)</f>
        <v>741</v>
      </c>
      <c r="M1040" s="17" t="n">
        <f aca="false">G1040*$F$7</f>
        <v>6594.76710429729</v>
      </c>
      <c r="N1040" s="18" t="n">
        <f aca="false">F1040/K1040</f>
        <v>19.0630872483221</v>
      </c>
      <c r="O1040" s="18" t="n">
        <f aca="false">G1040/L1040</f>
        <v>9.23886639676113</v>
      </c>
      <c r="P1040" s="18" t="n">
        <f aca="false">M1040/L1040</f>
        <v>8.89982065357259</v>
      </c>
      <c r="Q1040" s="19" t="n">
        <f aca="false">IF(N1040=0,"n.a.",P1040/N1040-1)</f>
        <v>-0.533138544788651</v>
      </c>
    </row>
    <row r="1041" customFormat="false" ht="15" hidden="false" customHeight="false" outlineLevel="0" collapsed="false">
      <c r="A1041" s="12" t="s">
        <v>2479</v>
      </c>
      <c r="B1041" s="12" t="s">
        <v>1451</v>
      </c>
      <c r="C1041" s="12" t="s">
        <v>1452</v>
      </c>
      <c r="D1041" s="12" t="s">
        <v>2480</v>
      </c>
      <c r="E1041" s="12" t="s">
        <v>2481</v>
      </c>
      <c r="F1041" s="13" t="n">
        <v>202083</v>
      </c>
      <c r="G1041" s="13" t="n">
        <v>156114</v>
      </c>
      <c r="H1041" s="14" t="n">
        <v>1815</v>
      </c>
      <c r="I1041" s="14" t="n">
        <v>1700</v>
      </c>
      <c r="J1041" s="15" t="n">
        <f aca="false">I1041/H1041</f>
        <v>0.9366391184573</v>
      </c>
      <c r="K1041" s="16" t="n">
        <f aca="false">ROUND(I1041*J1041^($F$8-1),0)</f>
        <v>1726</v>
      </c>
      <c r="L1041" s="16" t="n">
        <f aca="false">ROUND(I1041*J1041^($F$9-1),0)</f>
        <v>1706</v>
      </c>
      <c r="M1041" s="17" t="n">
        <f aca="false">G1041*$F$7</f>
        <v>150384.965194313</v>
      </c>
      <c r="N1041" s="18" t="n">
        <f aca="false">F1041/K1041</f>
        <v>117.081691772885</v>
      </c>
      <c r="O1041" s="18" t="n">
        <f aca="false">G1041/L1041</f>
        <v>91.5087924970692</v>
      </c>
      <c r="P1041" s="18" t="n">
        <f aca="false">M1041/L1041</f>
        <v>88.1506243811917</v>
      </c>
      <c r="Q1041" s="19" t="n">
        <f aca="false">IF(N1041=0,"n.a.",P1041/N1041-1)</f>
        <v>-0.247101548957919</v>
      </c>
    </row>
    <row r="1042" customFormat="false" ht="15" hidden="false" customHeight="false" outlineLevel="0" collapsed="false">
      <c r="A1042" s="12" t="s">
        <v>2482</v>
      </c>
      <c r="B1042" s="12" t="s">
        <v>1451</v>
      </c>
      <c r="C1042" s="12" t="s">
        <v>1452</v>
      </c>
      <c r="D1042" s="12" t="s">
        <v>2483</v>
      </c>
      <c r="E1042" s="12" t="s">
        <v>2484</v>
      </c>
      <c r="F1042" s="13" t="n">
        <v>0</v>
      </c>
      <c r="G1042" s="13" t="n">
        <v>0</v>
      </c>
      <c r="H1042" s="14" t="n">
        <v>21366</v>
      </c>
      <c r="I1042" s="14" t="n">
        <v>20359</v>
      </c>
      <c r="J1042" s="15" t="n">
        <f aca="false">I1042/H1042</f>
        <v>0.952869044275952</v>
      </c>
      <c r="K1042" s="16" t="n">
        <f aca="false">ROUND(I1042*J1042^($F$8-1),0)</f>
        <v>20587</v>
      </c>
      <c r="L1042" s="16" t="n">
        <f aca="false">ROUND(I1042*J1042^($F$9-1),0)</f>
        <v>20410</v>
      </c>
      <c r="M1042" s="17" t="n">
        <f aca="false">G1042*$F$7</f>
        <v>0</v>
      </c>
      <c r="N1042" s="18" t="n">
        <f aca="false">F1042/K1042</f>
        <v>0</v>
      </c>
      <c r="O1042" s="18" t="n">
        <f aca="false">G1042/L1042</f>
        <v>0</v>
      </c>
      <c r="P1042" s="18" t="n">
        <f aca="false">M1042/L1042</f>
        <v>0</v>
      </c>
      <c r="Q1042" s="19" t="str">
        <f aca="false">IF(N1042=0,"n.a.",P1042/N1042-1)</f>
        <v>n.a.</v>
      </c>
    </row>
    <row r="1043" customFormat="false" ht="15" hidden="false" customHeight="false" outlineLevel="0" collapsed="false">
      <c r="A1043" s="12" t="s">
        <v>2485</v>
      </c>
      <c r="B1043" s="12" t="s">
        <v>1451</v>
      </c>
      <c r="C1043" s="12" t="s">
        <v>1452</v>
      </c>
      <c r="D1043" s="12" t="s">
        <v>2486</v>
      </c>
      <c r="E1043" s="12" t="s">
        <v>2487</v>
      </c>
      <c r="F1043" s="13" t="n">
        <v>0</v>
      </c>
      <c r="G1043" s="13" t="n">
        <v>0</v>
      </c>
      <c r="H1043" s="14" t="n">
        <v>9578</v>
      </c>
      <c r="I1043" s="14" t="n">
        <v>10108</v>
      </c>
      <c r="J1043" s="15" t="n">
        <f aca="false">I1043/H1043</f>
        <v>1.05533514303612</v>
      </c>
      <c r="K1043" s="16" t="n">
        <f aca="false">ROUND(I1043*J1043^($F$8-1),0)</f>
        <v>9983</v>
      </c>
      <c r="L1043" s="16" t="n">
        <f aca="false">ROUND(I1043*J1043^($F$9-1),0)</f>
        <v>10080</v>
      </c>
      <c r="M1043" s="17" t="n">
        <f aca="false">G1043*$F$7</f>
        <v>0</v>
      </c>
      <c r="N1043" s="18" t="n">
        <f aca="false">F1043/K1043</f>
        <v>0</v>
      </c>
      <c r="O1043" s="18" t="n">
        <f aca="false">G1043/L1043</f>
        <v>0</v>
      </c>
      <c r="P1043" s="18" t="n">
        <f aca="false">M1043/L1043</f>
        <v>0</v>
      </c>
      <c r="Q1043" s="19" t="str">
        <f aca="false">IF(N1043=0,"n.a.",P1043/N1043-1)</f>
        <v>n.a.</v>
      </c>
    </row>
    <row r="1044" customFormat="false" ht="15" hidden="false" customHeight="false" outlineLevel="0" collapsed="false">
      <c r="A1044" s="12" t="s">
        <v>2488</v>
      </c>
      <c r="B1044" s="12" t="s">
        <v>1451</v>
      </c>
      <c r="C1044" s="12" t="s">
        <v>1452</v>
      </c>
      <c r="D1044" s="12" t="s">
        <v>2489</v>
      </c>
      <c r="E1044" s="12" t="s">
        <v>2490</v>
      </c>
      <c r="F1044" s="13" t="n">
        <v>35427</v>
      </c>
      <c r="G1044" s="13" t="n">
        <v>37590</v>
      </c>
      <c r="H1044" s="14" t="n">
        <v>499</v>
      </c>
      <c r="I1044" s="14" t="n">
        <v>495</v>
      </c>
      <c r="J1044" s="15" t="n">
        <f aca="false">I1044/H1044</f>
        <v>0.991983967935872</v>
      </c>
      <c r="K1044" s="16" t="n">
        <f aca="false">ROUND(I1044*J1044^($F$8-1),0)</f>
        <v>496</v>
      </c>
      <c r="L1044" s="16" t="n">
        <f aca="false">ROUND(I1044*J1044^($F$9-1),0)</f>
        <v>495</v>
      </c>
      <c r="M1044" s="17" t="n">
        <f aca="false">G1044*$F$7</f>
        <v>36210.531032798</v>
      </c>
      <c r="N1044" s="18" t="n">
        <f aca="false">F1044/K1044</f>
        <v>71.4254032258065</v>
      </c>
      <c r="O1044" s="18" t="n">
        <f aca="false">G1044/L1044</f>
        <v>75.9393939393939</v>
      </c>
      <c r="P1044" s="18" t="n">
        <f aca="false">M1044/L1044</f>
        <v>73.1525879450464</v>
      </c>
      <c r="Q1044" s="19" t="n">
        <f aca="false">IF(N1044=0,"n.a.",P1044/N1044-1)</f>
        <v>0.0241816586429287</v>
      </c>
    </row>
    <row r="1045" customFormat="false" ht="15" hidden="false" customHeight="false" outlineLevel="0" collapsed="false">
      <c r="A1045" s="12" t="s">
        <v>2491</v>
      </c>
      <c r="B1045" s="12" t="s">
        <v>1451</v>
      </c>
      <c r="C1045" s="12" t="s">
        <v>1452</v>
      </c>
      <c r="D1045" s="12" t="s">
        <v>2492</v>
      </c>
      <c r="E1045" s="12" t="s">
        <v>2493</v>
      </c>
      <c r="F1045" s="13" t="n">
        <v>2707303</v>
      </c>
      <c r="G1045" s="13" t="n">
        <v>3110517</v>
      </c>
      <c r="H1045" s="14" t="n">
        <v>8931</v>
      </c>
      <c r="I1045" s="14" t="n">
        <v>8677</v>
      </c>
      <c r="J1045" s="15" t="n">
        <f aca="false">I1045/H1045</f>
        <v>0.971559735751876</v>
      </c>
      <c r="K1045" s="16" t="n">
        <f aca="false">ROUND(I1045*J1045^($F$8-1),0)</f>
        <v>8735</v>
      </c>
      <c r="L1045" s="16" t="n">
        <f aca="false">ROUND(I1045*J1045^($F$9-1),0)</f>
        <v>8690</v>
      </c>
      <c r="M1045" s="17" t="n">
        <f aca="false">G1045*$F$7</f>
        <v>2996367.97968996</v>
      </c>
      <c r="N1045" s="18" t="n">
        <f aca="false">F1045/K1045</f>
        <v>309.937378362908</v>
      </c>
      <c r="O1045" s="18" t="n">
        <f aca="false">G1045/L1045</f>
        <v>357.942117376295</v>
      </c>
      <c r="P1045" s="18" t="n">
        <f aca="false">M1045/L1045</f>
        <v>344.806441851549</v>
      </c>
      <c r="Q1045" s="19" t="n">
        <f aca="false">IF(N1045=0,"n.a.",P1045/N1045-1)</f>
        <v>0.112503576279892</v>
      </c>
    </row>
    <row r="1046" customFormat="false" ht="15" hidden="false" customHeight="false" outlineLevel="0" collapsed="false">
      <c r="A1046" s="12" t="s">
        <v>2494</v>
      </c>
      <c r="B1046" s="12" t="s">
        <v>1451</v>
      </c>
      <c r="C1046" s="12" t="s">
        <v>1452</v>
      </c>
      <c r="D1046" s="12" t="s">
        <v>2495</v>
      </c>
      <c r="E1046" s="12" t="s">
        <v>2496</v>
      </c>
      <c r="F1046" s="13" t="n">
        <v>1230</v>
      </c>
      <c r="G1046" s="13" t="n">
        <v>2075</v>
      </c>
      <c r="H1046" s="14" t="n">
        <v>3350</v>
      </c>
      <c r="I1046" s="14" t="n">
        <v>3452</v>
      </c>
      <c r="J1046" s="15" t="n">
        <f aca="false">I1046/H1046</f>
        <v>1.03044776119403</v>
      </c>
      <c r="K1046" s="16" t="n">
        <f aca="false">ROUND(I1046*J1046^($F$8-1),0)</f>
        <v>3428</v>
      </c>
      <c r="L1046" s="16" t="n">
        <f aca="false">ROUND(I1046*J1046^($F$9-1),0)</f>
        <v>3447</v>
      </c>
      <c r="M1046" s="17" t="n">
        <f aca="false">G1046*$F$7</f>
        <v>1998.85213868198</v>
      </c>
      <c r="N1046" s="18" t="n">
        <f aca="false">F1046/K1046</f>
        <v>0.358809801633606</v>
      </c>
      <c r="O1046" s="18" t="n">
        <f aca="false">G1046/L1046</f>
        <v>0.601972729910067</v>
      </c>
      <c r="P1046" s="18" t="n">
        <f aca="false">M1046/L1046</f>
        <v>0.579881676438058</v>
      </c>
      <c r="Q1046" s="19" t="n">
        <f aca="false">IF(N1046=0,"n.a.",P1046/N1046-1)</f>
        <v>0.616125517747693</v>
      </c>
    </row>
    <row r="1047" customFormat="false" ht="15" hidden="false" customHeight="false" outlineLevel="0" collapsed="false">
      <c r="A1047" s="12" t="s">
        <v>2497</v>
      </c>
      <c r="B1047" s="12" t="s">
        <v>1451</v>
      </c>
      <c r="C1047" s="12" t="s">
        <v>1452</v>
      </c>
      <c r="D1047" s="12" t="s">
        <v>2498</v>
      </c>
      <c r="E1047" s="12" t="s">
        <v>2499</v>
      </c>
      <c r="F1047" s="13" t="n">
        <v>27038</v>
      </c>
      <c r="G1047" s="13" t="n">
        <v>29208</v>
      </c>
      <c r="H1047" s="14" t="n">
        <v>908</v>
      </c>
      <c r="I1047" s="14" t="n">
        <v>848</v>
      </c>
      <c r="J1047" s="15" t="n">
        <f aca="false">I1047/H1047</f>
        <v>0.933920704845815</v>
      </c>
      <c r="K1047" s="16" t="n">
        <f aca="false">ROUND(I1047*J1047^($F$8-1),0)</f>
        <v>861</v>
      </c>
      <c r="L1047" s="16" t="n">
        <f aca="false">ROUND(I1047*J1047^($F$9-1),0)</f>
        <v>851</v>
      </c>
      <c r="M1047" s="17" t="n">
        <f aca="false">G1047*$F$7</f>
        <v>28136.1316947583</v>
      </c>
      <c r="N1047" s="18" t="n">
        <f aca="false">F1047/K1047</f>
        <v>31.4030197444832</v>
      </c>
      <c r="O1047" s="18" t="n">
        <f aca="false">G1047/L1047</f>
        <v>34.3219741480611</v>
      </c>
      <c r="P1047" s="18" t="n">
        <f aca="false">M1047/L1047</f>
        <v>33.0624344239228</v>
      </c>
      <c r="Q1047" s="19" t="n">
        <f aca="false">IF(N1047=0,"n.a.",P1047/N1047-1)</f>
        <v>0.052842519380039</v>
      </c>
    </row>
    <row r="1048" customFormat="false" ht="15" hidden="false" customHeight="false" outlineLevel="0" collapsed="false">
      <c r="A1048" s="12" t="s">
        <v>2500</v>
      </c>
      <c r="B1048" s="12" t="s">
        <v>1451</v>
      </c>
      <c r="C1048" s="12" t="s">
        <v>1452</v>
      </c>
      <c r="D1048" s="12" t="s">
        <v>2501</v>
      </c>
      <c r="E1048" s="12" t="s">
        <v>2502</v>
      </c>
      <c r="F1048" s="13" t="n">
        <v>0</v>
      </c>
      <c r="G1048" s="13" t="n">
        <v>0</v>
      </c>
      <c r="H1048" s="14" t="n">
        <v>3162</v>
      </c>
      <c r="I1048" s="14" t="n">
        <v>3242</v>
      </c>
      <c r="J1048" s="15" t="n">
        <f aca="false">I1048/H1048</f>
        <v>1.02530044275775</v>
      </c>
      <c r="K1048" s="16" t="n">
        <f aca="false">ROUND(I1048*J1048^($F$8-1),0)</f>
        <v>3223</v>
      </c>
      <c r="L1048" s="16" t="n">
        <f aca="false">ROUND(I1048*J1048^($F$9-1),0)</f>
        <v>3238</v>
      </c>
      <c r="M1048" s="17" t="n">
        <f aca="false">G1048*$F$7</f>
        <v>0</v>
      </c>
      <c r="N1048" s="18" t="n">
        <f aca="false">F1048/K1048</f>
        <v>0</v>
      </c>
      <c r="O1048" s="18" t="n">
        <f aca="false">G1048/L1048</f>
        <v>0</v>
      </c>
      <c r="P1048" s="18" t="n">
        <f aca="false">M1048/L1048</f>
        <v>0</v>
      </c>
      <c r="Q1048" s="19" t="str">
        <f aca="false">IF(N1048=0,"n.a.",P1048/N1048-1)</f>
        <v>n.a.</v>
      </c>
    </row>
    <row r="1049" customFormat="false" ht="15" hidden="false" customHeight="false" outlineLevel="0" collapsed="false">
      <c r="A1049" s="12" t="s">
        <v>2503</v>
      </c>
      <c r="B1049" s="12" t="s">
        <v>1451</v>
      </c>
      <c r="C1049" s="12" t="s">
        <v>1452</v>
      </c>
      <c r="D1049" s="12" t="s">
        <v>2504</v>
      </c>
      <c r="E1049" s="12" t="s">
        <v>2505</v>
      </c>
      <c r="F1049" s="13" t="n">
        <v>81612482</v>
      </c>
      <c r="G1049" s="13" t="n">
        <v>138033893</v>
      </c>
      <c r="H1049" s="14" t="n">
        <v>50618</v>
      </c>
      <c r="I1049" s="14" t="n">
        <v>62575</v>
      </c>
      <c r="J1049" s="15" t="n">
        <f aca="false">I1049/H1049</f>
        <v>1.23622031688332</v>
      </c>
      <c r="K1049" s="16" t="n">
        <f aca="false">ROUND(I1049*J1049^($F$8-1),0)</f>
        <v>59585</v>
      </c>
      <c r="L1049" s="16" t="n">
        <f aca="false">ROUND(I1049*J1049^($F$9-1),0)</f>
        <v>61889</v>
      </c>
      <c r="M1049" s="17" t="n">
        <f aca="false">G1049*$F$7</f>
        <v>132968357.702964</v>
      </c>
      <c r="N1049" s="18" t="n">
        <f aca="false">F1049/K1049</f>
        <v>1369.68166484854</v>
      </c>
      <c r="O1049" s="18" t="n">
        <f aca="false">G1049/L1049</f>
        <v>2230.34615198177</v>
      </c>
      <c r="P1049" s="18" t="n">
        <f aca="false">M1049/L1049</f>
        <v>2148.49743416381</v>
      </c>
      <c r="Q1049" s="19" t="n">
        <f aca="false">IF(N1049=0,"n.a.",P1049/N1049-1)</f>
        <v>0.568610786946175</v>
      </c>
    </row>
    <row r="1050" customFormat="false" ht="15" hidden="false" customHeight="false" outlineLevel="0" collapsed="false">
      <c r="A1050" s="12" t="s">
        <v>2506</v>
      </c>
      <c r="B1050" s="12" t="s">
        <v>1451</v>
      </c>
      <c r="C1050" s="12" t="s">
        <v>1452</v>
      </c>
      <c r="D1050" s="12" t="s">
        <v>2507</v>
      </c>
      <c r="E1050" s="12" t="s">
        <v>2508</v>
      </c>
      <c r="F1050" s="13" t="n">
        <v>976</v>
      </c>
      <c r="G1050" s="13" t="n">
        <v>3247</v>
      </c>
      <c r="H1050" s="14" t="n">
        <v>11995</v>
      </c>
      <c r="I1050" s="14" t="n">
        <v>11301</v>
      </c>
      <c r="J1050" s="15" t="n">
        <f aca="false">I1050/H1050</f>
        <v>0.94214255939975</v>
      </c>
      <c r="K1050" s="16" t="n">
        <f aca="false">ROUND(I1050*J1050^($F$8-1),0)</f>
        <v>11458</v>
      </c>
      <c r="L1050" s="16" t="n">
        <f aca="false">ROUND(I1050*J1050^($F$9-1),0)</f>
        <v>11336</v>
      </c>
      <c r="M1050" s="17" t="n">
        <f aca="false">G1050*$F$7</f>
        <v>3127.84235869899</v>
      </c>
      <c r="N1050" s="18" t="n">
        <f aca="false">F1050/K1050</f>
        <v>0.0851806598010124</v>
      </c>
      <c r="O1050" s="18" t="n">
        <f aca="false">G1050/L1050</f>
        <v>0.286432604093155</v>
      </c>
      <c r="P1050" s="18" t="n">
        <f aca="false">M1050/L1050</f>
        <v>0.275921167845712</v>
      </c>
      <c r="Q1050" s="19" t="n">
        <f aca="false">IF(N1050=0,"n.a.",P1050/N1050-1)</f>
        <v>2.23924666104116</v>
      </c>
    </row>
    <row r="1051" customFormat="false" ht="15" hidden="false" customHeight="false" outlineLevel="0" collapsed="false">
      <c r="A1051" s="12" t="s">
        <v>2509</v>
      </c>
      <c r="B1051" s="12" t="s">
        <v>1451</v>
      </c>
      <c r="C1051" s="12" t="s">
        <v>1452</v>
      </c>
      <c r="D1051" s="12" t="s">
        <v>2510</v>
      </c>
      <c r="E1051" s="12" t="s">
        <v>2511</v>
      </c>
      <c r="F1051" s="13" t="n">
        <v>0</v>
      </c>
      <c r="G1051" s="13" t="n">
        <v>0</v>
      </c>
      <c r="H1051" s="14" t="n">
        <v>4878</v>
      </c>
      <c r="I1051" s="14" t="n">
        <v>4478</v>
      </c>
      <c r="J1051" s="15" t="n">
        <f aca="false">I1051/H1051</f>
        <v>0.9179991799918</v>
      </c>
      <c r="K1051" s="16" t="n">
        <f aca="false">ROUND(I1051*J1051^($F$8-1),0)</f>
        <v>4567</v>
      </c>
      <c r="L1051" s="16" t="n">
        <f aca="false">ROUND(I1051*J1051^($F$9-1),0)</f>
        <v>4498</v>
      </c>
      <c r="M1051" s="17" t="n">
        <f aca="false">G1051*$F$7</f>
        <v>0</v>
      </c>
      <c r="N1051" s="18" t="n">
        <f aca="false">F1051/K1051</f>
        <v>0</v>
      </c>
      <c r="O1051" s="18" t="n">
        <f aca="false">G1051/L1051</f>
        <v>0</v>
      </c>
      <c r="P1051" s="18" t="n">
        <f aca="false">M1051/L1051</f>
        <v>0</v>
      </c>
      <c r="Q1051" s="19" t="str">
        <f aca="false">IF(N1051=0,"n.a.",P1051/N1051-1)</f>
        <v>n.a.</v>
      </c>
    </row>
    <row r="1052" customFormat="false" ht="15" hidden="false" customHeight="false" outlineLevel="0" collapsed="false">
      <c r="A1052" s="12" t="s">
        <v>2512</v>
      </c>
      <c r="B1052" s="12" t="s">
        <v>1451</v>
      </c>
      <c r="C1052" s="12" t="s">
        <v>1452</v>
      </c>
      <c r="D1052" s="12" t="s">
        <v>2513</v>
      </c>
      <c r="E1052" s="12" t="s">
        <v>2514</v>
      </c>
      <c r="F1052" s="13" t="n">
        <v>0</v>
      </c>
      <c r="G1052" s="13" t="n">
        <v>2130</v>
      </c>
      <c r="H1052" s="14" t="n">
        <v>461</v>
      </c>
      <c r="I1052" s="14" t="n">
        <v>473</v>
      </c>
      <c r="J1052" s="15" t="n">
        <f aca="false">I1052/H1052</f>
        <v>1.02603036876356</v>
      </c>
      <c r="K1052" s="16" t="n">
        <f aca="false">ROUND(I1052*J1052^($F$8-1),0)</f>
        <v>470</v>
      </c>
      <c r="L1052" s="16" t="n">
        <f aca="false">ROUND(I1052*J1052^($F$9-1),0)</f>
        <v>472</v>
      </c>
      <c r="M1052" s="17" t="n">
        <f aca="false">G1052*$F$7</f>
        <v>2051.833761635</v>
      </c>
      <c r="N1052" s="18" t="n">
        <f aca="false">F1052/K1052</f>
        <v>0</v>
      </c>
      <c r="O1052" s="18" t="n">
        <f aca="false">G1052/L1052</f>
        <v>4.51271186440678</v>
      </c>
      <c r="P1052" s="18" t="n">
        <f aca="false">M1052/L1052</f>
        <v>4.3471054271928</v>
      </c>
      <c r="Q1052" s="19" t="str">
        <f aca="false">IF(N1052=0,"n.a.",P1052/N1052-1)</f>
        <v>n.a.</v>
      </c>
    </row>
    <row r="1053" customFormat="false" ht="15" hidden="false" customHeight="false" outlineLevel="0" collapsed="false">
      <c r="A1053" s="12" t="s">
        <v>2515</v>
      </c>
      <c r="B1053" s="12" t="s">
        <v>1451</v>
      </c>
      <c r="C1053" s="12" t="s">
        <v>1452</v>
      </c>
      <c r="D1053" s="12" t="s">
        <v>2516</v>
      </c>
      <c r="E1053" s="12" t="s">
        <v>2517</v>
      </c>
      <c r="F1053" s="13" t="n">
        <v>172225</v>
      </c>
      <c r="G1053" s="13" t="n">
        <v>468397</v>
      </c>
      <c r="H1053" s="14" t="n">
        <v>9682</v>
      </c>
      <c r="I1053" s="14" t="n">
        <v>9739</v>
      </c>
      <c r="J1053" s="15" t="n">
        <f aca="false">I1053/H1053</f>
        <v>1.00588721338566</v>
      </c>
      <c r="K1053" s="16" t="n">
        <f aca="false">ROUND(I1053*J1053^($F$8-1),0)</f>
        <v>9726</v>
      </c>
      <c r="L1053" s="16" t="n">
        <f aca="false">ROUND(I1053*J1053^($F$9-1),0)</f>
        <v>9736</v>
      </c>
      <c r="M1053" s="17" t="n">
        <f aca="false">G1053*$F$7</f>
        <v>451207.877205892</v>
      </c>
      <c r="N1053" s="18" t="n">
        <f aca="false">F1053/K1053</f>
        <v>17.7076907258894</v>
      </c>
      <c r="O1053" s="18" t="n">
        <f aca="false">G1053/L1053</f>
        <v>48.1097986852917</v>
      </c>
      <c r="P1053" s="18" t="n">
        <f aca="false">M1053/L1053</f>
        <v>46.3442766234482</v>
      </c>
      <c r="Q1053" s="19" t="n">
        <f aca="false">IF(N1053=0,"n.a.",P1053/N1053-1)</f>
        <v>1.61718353572163</v>
      </c>
    </row>
    <row r="1054" customFormat="false" ht="15" hidden="false" customHeight="false" outlineLevel="0" collapsed="false">
      <c r="A1054" s="12" t="s">
        <v>2518</v>
      </c>
      <c r="B1054" s="12" t="s">
        <v>1451</v>
      </c>
      <c r="C1054" s="12" t="s">
        <v>1452</v>
      </c>
      <c r="D1054" s="12" t="s">
        <v>2519</v>
      </c>
      <c r="E1054" s="12" t="s">
        <v>2520</v>
      </c>
      <c r="F1054" s="13" t="n">
        <v>30502</v>
      </c>
      <c r="G1054" s="13" t="n">
        <v>0</v>
      </c>
      <c r="H1054" s="14" t="n">
        <v>11731</v>
      </c>
      <c r="I1054" s="14" t="n">
        <v>11582</v>
      </c>
      <c r="J1054" s="15" t="n">
        <f aca="false">I1054/H1054</f>
        <v>0.987298610519137</v>
      </c>
      <c r="K1054" s="16" t="n">
        <f aca="false">ROUND(I1054*J1054^($F$8-1),0)</f>
        <v>11616</v>
      </c>
      <c r="L1054" s="16" t="n">
        <f aca="false">ROUND(I1054*J1054^($F$9-1),0)</f>
        <v>11590</v>
      </c>
      <c r="M1054" s="17" t="n">
        <f aca="false">G1054*$F$7</f>
        <v>0</v>
      </c>
      <c r="N1054" s="18" t="n">
        <f aca="false">F1054/K1054</f>
        <v>2.6258608815427</v>
      </c>
      <c r="O1054" s="18" t="n">
        <f aca="false">G1054/L1054</f>
        <v>0</v>
      </c>
      <c r="P1054" s="18" t="n">
        <f aca="false">M1054/L1054</f>
        <v>0</v>
      </c>
      <c r="Q1054" s="19" t="n">
        <f aca="false">IF(N1054=0,"n.a.",P1054/N1054-1)</f>
        <v>-1</v>
      </c>
    </row>
    <row r="1055" customFormat="false" ht="15" hidden="false" customHeight="false" outlineLevel="0" collapsed="false">
      <c r="A1055" s="12" t="s">
        <v>2521</v>
      </c>
      <c r="B1055" s="12" t="s">
        <v>1451</v>
      </c>
      <c r="C1055" s="12" t="s">
        <v>1452</v>
      </c>
      <c r="D1055" s="12" t="s">
        <v>2522</v>
      </c>
      <c r="E1055" s="12" t="s">
        <v>2523</v>
      </c>
      <c r="F1055" s="13" t="n">
        <v>65280</v>
      </c>
      <c r="G1055" s="13" t="n">
        <v>94640</v>
      </c>
      <c r="H1055" s="14" t="n">
        <v>592</v>
      </c>
      <c r="I1055" s="14" t="n">
        <v>626</v>
      </c>
      <c r="J1055" s="15" t="n">
        <f aca="false">I1055/H1055</f>
        <v>1.05743243243243</v>
      </c>
      <c r="K1055" s="16" t="n">
        <f aca="false">ROUND(I1055*J1055^($F$8-1),0)</f>
        <v>618</v>
      </c>
      <c r="L1055" s="16" t="n">
        <f aca="false">ROUND(I1055*J1055^($F$9-1),0)</f>
        <v>624</v>
      </c>
      <c r="M1055" s="17" t="n">
        <f aca="false">G1055*$F$7</f>
        <v>91166.9235686087</v>
      </c>
      <c r="N1055" s="18" t="n">
        <f aca="false">F1055/K1055</f>
        <v>105.631067961165</v>
      </c>
      <c r="O1055" s="18" t="n">
        <f aca="false">G1055/L1055</f>
        <v>151.666666666667</v>
      </c>
      <c r="P1055" s="18" t="n">
        <f aca="false">M1055/L1055</f>
        <v>146.100839052258</v>
      </c>
      <c r="Q1055" s="19" t="n">
        <f aca="false">IF(N1055=0,"n.a.",P1055/N1055-1)</f>
        <v>0.383123752057218</v>
      </c>
    </row>
    <row r="1056" customFormat="false" ht="15" hidden="false" customHeight="false" outlineLevel="0" collapsed="false">
      <c r="A1056" s="12" t="s">
        <v>2524</v>
      </c>
      <c r="B1056" s="12" t="s">
        <v>1451</v>
      </c>
      <c r="C1056" s="12" t="s">
        <v>1452</v>
      </c>
      <c r="D1056" s="12" t="s">
        <v>2525</v>
      </c>
      <c r="E1056" s="12" t="s">
        <v>2526</v>
      </c>
      <c r="F1056" s="13" t="n">
        <v>0</v>
      </c>
      <c r="G1056" s="13" t="n">
        <v>0</v>
      </c>
      <c r="H1056" s="14" t="n">
        <v>1648</v>
      </c>
      <c r="I1056" s="14" t="n">
        <v>1692</v>
      </c>
      <c r="J1056" s="15" t="n">
        <f aca="false">I1056/H1056</f>
        <v>1.02669902912621</v>
      </c>
      <c r="K1056" s="16" t="n">
        <f aca="false">ROUND(I1056*J1056^($F$8-1),0)</f>
        <v>1682</v>
      </c>
      <c r="L1056" s="16" t="n">
        <f aca="false">ROUND(I1056*J1056^($F$9-1),0)</f>
        <v>1690</v>
      </c>
      <c r="M1056" s="17" t="n">
        <f aca="false">G1056*$F$7</f>
        <v>0</v>
      </c>
      <c r="N1056" s="18" t="n">
        <f aca="false">F1056/K1056</f>
        <v>0</v>
      </c>
      <c r="O1056" s="18" t="n">
        <f aca="false">G1056/L1056</f>
        <v>0</v>
      </c>
      <c r="P1056" s="18" t="n">
        <f aca="false">M1056/L1056</f>
        <v>0</v>
      </c>
      <c r="Q1056" s="19" t="str">
        <f aca="false">IF(N1056=0,"n.a.",P1056/N1056-1)</f>
        <v>n.a.</v>
      </c>
    </row>
    <row r="1057" customFormat="false" ht="15" hidden="false" customHeight="false" outlineLevel="0" collapsed="false">
      <c r="A1057" s="12" t="s">
        <v>2527</v>
      </c>
      <c r="B1057" s="12" t="s">
        <v>1451</v>
      </c>
      <c r="C1057" s="12" t="s">
        <v>1452</v>
      </c>
      <c r="D1057" s="12" t="s">
        <v>2528</v>
      </c>
      <c r="E1057" s="12" t="s">
        <v>2529</v>
      </c>
      <c r="F1057" s="13" t="n">
        <v>2752</v>
      </c>
      <c r="G1057" s="13" t="n">
        <v>23344</v>
      </c>
      <c r="H1057" s="14" t="n">
        <v>4690</v>
      </c>
      <c r="I1057" s="14" t="n">
        <v>4843</v>
      </c>
      <c r="J1057" s="15" t="n">
        <f aca="false">I1057/H1057</f>
        <v>1.03262260127932</v>
      </c>
      <c r="K1057" s="16" t="n">
        <f aca="false">ROUND(I1057*J1057^($F$8-1),0)</f>
        <v>4807</v>
      </c>
      <c r="L1057" s="16" t="n">
        <f aca="false">ROUND(I1057*J1057^($F$9-1),0)</f>
        <v>4835</v>
      </c>
      <c r="M1057" s="17" t="n">
        <f aca="false">G1057*$F$7</f>
        <v>22487.3273857312</v>
      </c>
      <c r="N1057" s="18" t="n">
        <f aca="false">F1057/K1057</f>
        <v>0.572498439775328</v>
      </c>
      <c r="O1057" s="18" t="n">
        <f aca="false">G1057/L1057</f>
        <v>4.82812823164426</v>
      </c>
      <c r="P1057" s="18" t="n">
        <f aca="false">M1057/L1057</f>
        <v>4.65094671886892</v>
      </c>
      <c r="Q1057" s="19" t="n">
        <f aca="false">IF(N1057=0,"n.a.",P1057/N1057-1)</f>
        <v>7.12394653982663</v>
      </c>
    </row>
    <row r="1058" customFormat="false" ht="15" hidden="false" customHeight="false" outlineLevel="0" collapsed="false">
      <c r="A1058" s="12" t="s">
        <v>2530</v>
      </c>
      <c r="B1058" s="12" t="s">
        <v>1451</v>
      </c>
      <c r="C1058" s="12" t="s">
        <v>1452</v>
      </c>
      <c r="D1058" s="12" t="s">
        <v>2531</v>
      </c>
      <c r="E1058" s="12" t="s">
        <v>2532</v>
      </c>
      <c r="F1058" s="13" t="n">
        <v>29541</v>
      </c>
      <c r="G1058" s="13" t="n">
        <v>37901</v>
      </c>
      <c r="H1058" s="14" t="n">
        <v>593</v>
      </c>
      <c r="I1058" s="14" t="n">
        <v>529</v>
      </c>
      <c r="J1058" s="15" t="n">
        <f aca="false">I1058/H1058</f>
        <v>0.892074198988196</v>
      </c>
      <c r="K1058" s="16" t="n">
        <f aca="false">ROUND(I1058*J1058^($F$8-1),0)</f>
        <v>543</v>
      </c>
      <c r="L1058" s="16" t="n">
        <f aca="false">ROUND(I1058*J1058^($F$9-1),0)</f>
        <v>532</v>
      </c>
      <c r="M1058" s="17" t="n">
        <f aca="false">G1058*$F$7</f>
        <v>36510.1180280414</v>
      </c>
      <c r="N1058" s="18" t="n">
        <f aca="false">F1058/K1058</f>
        <v>54.4033149171271</v>
      </c>
      <c r="O1058" s="18" t="n">
        <f aca="false">G1058/L1058</f>
        <v>71.2424812030075</v>
      </c>
      <c r="P1058" s="18" t="n">
        <f aca="false">M1058/L1058</f>
        <v>68.6280414060929</v>
      </c>
      <c r="Q1058" s="19" t="n">
        <f aca="false">IF(N1058=0,"n.a.",P1058/N1058-1)</f>
        <v>0.261468010003332</v>
      </c>
    </row>
    <row r="1059" customFormat="false" ht="15" hidden="false" customHeight="false" outlineLevel="0" collapsed="false">
      <c r="A1059" s="12" t="s">
        <v>2533</v>
      </c>
      <c r="B1059" s="12" t="s">
        <v>1451</v>
      </c>
      <c r="C1059" s="12" t="s">
        <v>1452</v>
      </c>
      <c r="D1059" s="12" t="s">
        <v>2534</v>
      </c>
      <c r="E1059" s="12" t="s">
        <v>2535</v>
      </c>
      <c r="F1059" s="13" t="n">
        <v>0</v>
      </c>
      <c r="G1059" s="13" t="n">
        <v>0</v>
      </c>
      <c r="H1059" s="14" t="n">
        <v>451</v>
      </c>
      <c r="I1059" s="14" t="n">
        <v>403</v>
      </c>
      <c r="J1059" s="15" t="n">
        <f aca="false">I1059/H1059</f>
        <v>0.893569844789357</v>
      </c>
      <c r="K1059" s="16" t="n">
        <f aca="false">ROUND(I1059*J1059^($F$8-1),0)</f>
        <v>414</v>
      </c>
      <c r="L1059" s="16" t="n">
        <f aca="false">ROUND(I1059*J1059^($F$9-1),0)</f>
        <v>405</v>
      </c>
      <c r="M1059" s="17" t="n">
        <f aca="false">G1059*$F$7</f>
        <v>0</v>
      </c>
      <c r="N1059" s="18" t="n">
        <f aca="false">F1059/K1059</f>
        <v>0</v>
      </c>
      <c r="O1059" s="18" t="n">
        <f aca="false">G1059/L1059</f>
        <v>0</v>
      </c>
      <c r="P1059" s="18" t="n">
        <f aca="false">M1059/L1059</f>
        <v>0</v>
      </c>
      <c r="Q1059" s="19" t="str">
        <f aca="false">IF(N1059=0,"n.a.",P1059/N1059-1)</f>
        <v>n.a.</v>
      </c>
    </row>
    <row r="1060" customFormat="false" ht="15" hidden="false" customHeight="false" outlineLevel="0" collapsed="false">
      <c r="A1060" s="12" t="s">
        <v>2536</v>
      </c>
      <c r="B1060" s="12" t="s">
        <v>1451</v>
      </c>
      <c r="C1060" s="12" t="s">
        <v>1452</v>
      </c>
      <c r="D1060" s="12" t="s">
        <v>2537</v>
      </c>
      <c r="E1060" s="12" t="s">
        <v>2538</v>
      </c>
      <c r="F1060" s="13" t="n">
        <v>55003</v>
      </c>
      <c r="G1060" s="13" t="n">
        <v>34247</v>
      </c>
      <c r="H1060" s="14" t="n">
        <v>3789</v>
      </c>
      <c r="I1060" s="14" t="n">
        <v>3365</v>
      </c>
      <c r="J1060" s="15" t="n">
        <f aca="false">I1060/H1060</f>
        <v>0.888097123251518</v>
      </c>
      <c r="K1060" s="16" t="n">
        <f aca="false">ROUND(I1060*J1060^($F$8-1),0)</f>
        <v>3458</v>
      </c>
      <c r="L1060" s="16" t="n">
        <f aca="false">ROUND(I1060*J1060^($F$9-1),0)</f>
        <v>3386</v>
      </c>
      <c r="M1060" s="17" t="n">
        <f aca="false">G1060*$F$7</f>
        <v>32990.2116594901</v>
      </c>
      <c r="N1060" s="18" t="n">
        <f aca="false">F1060/K1060</f>
        <v>15.906015037594</v>
      </c>
      <c r="O1060" s="18" t="n">
        <f aca="false">G1060/L1060</f>
        <v>10.1142941523922</v>
      </c>
      <c r="P1060" s="18" t="n">
        <f aca="false">M1060/L1060</f>
        <v>9.74312216759896</v>
      </c>
      <c r="Q1060" s="19" t="n">
        <f aca="false">IF(N1060=0,"n.a.",P1060/N1060-1)</f>
        <v>-0.387456748621762</v>
      </c>
    </row>
    <row r="1061" customFormat="false" ht="15" hidden="false" customHeight="false" outlineLevel="0" collapsed="false">
      <c r="A1061" s="12" t="s">
        <v>2539</v>
      </c>
      <c r="B1061" s="12" t="s">
        <v>1451</v>
      </c>
      <c r="C1061" s="12" t="s">
        <v>1452</v>
      </c>
      <c r="D1061" s="12" t="s">
        <v>2540</v>
      </c>
      <c r="E1061" s="12" t="s">
        <v>2541</v>
      </c>
      <c r="F1061" s="13" t="n">
        <v>4678</v>
      </c>
      <c r="G1061" s="13" t="n">
        <v>17701</v>
      </c>
      <c r="H1061" s="14" t="n">
        <v>2058</v>
      </c>
      <c r="I1061" s="14" t="n">
        <v>2015</v>
      </c>
      <c r="J1061" s="15" t="n">
        <f aca="false">I1061/H1061</f>
        <v>0.97910592808552</v>
      </c>
      <c r="K1061" s="16" t="n">
        <f aca="false">ROUND(I1061*J1061^($F$8-1),0)</f>
        <v>2025</v>
      </c>
      <c r="L1061" s="16" t="n">
        <f aca="false">ROUND(I1061*J1061^($F$9-1),0)</f>
        <v>2017</v>
      </c>
      <c r="M1061" s="17" t="n">
        <f aca="false">G1061*$F$7</f>
        <v>17051.4128707517</v>
      </c>
      <c r="N1061" s="18" t="n">
        <f aca="false">F1061/K1061</f>
        <v>2.31012345679012</v>
      </c>
      <c r="O1061" s="18" t="n">
        <f aca="false">G1061/L1061</f>
        <v>8.77590480912246</v>
      </c>
      <c r="P1061" s="18" t="n">
        <f aca="false">M1061/L1061</f>
        <v>8.45384872124527</v>
      </c>
      <c r="Q1061" s="19" t="n">
        <f aca="false">IF(N1061=0,"n.a.",P1061/N1061-1)</f>
        <v>2.65947919207389</v>
      </c>
    </row>
    <row r="1062" customFormat="false" ht="15" hidden="false" customHeight="false" outlineLevel="0" collapsed="false">
      <c r="A1062" s="12" t="s">
        <v>2542</v>
      </c>
      <c r="B1062" s="12" t="s">
        <v>1451</v>
      </c>
      <c r="C1062" s="12" t="s">
        <v>1452</v>
      </c>
      <c r="D1062" s="12" t="s">
        <v>2543</v>
      </c>
      <c r="E1062" s="12" t="s">
        <v>2544</v>
      </c>
      <c r="F1062" s="13" t="n">
        <v>2721</v>
      </c>
      <c r="G1062" s="13" t="n">
        <v>0</v>
      </c>
      <c r="H1062" s="14" t="n">
        <v>8850</v>
      </c>
      <c r="I1062" s="14" t="n">
        <v>7995</v>
      </c>
      <c r="J1062" s="15" t="n">
        <f aca="false">I1062/H1062</f>
        <v>0.903389830508475</v>
      </c>
      <c r="K1062" s="16" t="n">
        <f aca="false">ROUND(I1062*J1062^($F$8-1),0)</f>
        <v>8185</v>
      </c>
      <c r="L1062" s="16" t="n">
        <f aca="false">ROUND(I1062*J1062^($F$9-1),0)</f>
        <v>8037</v>
      </c>
      <c r="M1062" s="17" t="n">
        <f aca="false">G1062*$F$7</f>
        <v>0</v>
      </c>
      <c r="N1062" s="18" t="n">
        <f aca="false">F1062/K1062</f>
        <v>0.33243738546121</v>
      </c>
      <c r="O1062" s="18" t="n">
        <f aca="false">G1062/L1062</f>
        <v>0</v>
      </c>
      <c r="P1062" s="18" t="n">
        <f aca="false">M1062/L1062</f>
        <v>0</v>
      </c>
      <c r="Q1062" s="19" t="n">
        <f aca="false">IF(N1062=0,"n.a.",P1062/N1062-1)</f>
        <v>-1</v>
      </c>
    </row>
    <row r="1063" customFormat="false" ht="15" hidden="false" customHeight="false" outlineLevel="0" collapsed="false">
      <c r="A1063" s="12" t="s">
        <v>2545</v>
      </c>
      <c r="B1063" s="12" t="s">
        <v>1451</v>
      </c>
      <c r="C1063" s="12" t="s">
        <v>1452</v>
      </c>
      <c r="D1063" s="12" t="s">
        <v>2546</v>
      </c>
      <c r="E1063" s="12" t="s">
        <v>2547</v>
      </c>
      <c r="F1063" s="13" t="n">
        <v>16069</v>
      </c>
      <c r="G1063" s="13" t="n">
        <v>37780</v>
      </c>
      <c r="H1063" s="14" t="n">
        <v>1516</v>
      </c>
      <c r="I1063" s="14" t="n">
        <v>1467</v>
      </c>
      <c r="J1063" s="15" t="n">
        <f aca="false">I1063/H1063</f>
        <v>0.967678100263852</v>
      </c>
      <c r="K1063" s="16" t="n">
        <f aca="false">ROUND(I1063*J1063^($F$8-1),0)</f>
        <v>1478</v>
      </c>
      <c r="L1063" s="16" t="n">
        <f aca="false">ROUND(I1063*J1063^($F$9-1),0)</f>
        <v>1470</v>
      </c>
      <c r="M1063" s="17" t="n">
        <f aca="false">G1063*$F$7</f>
        <v>36393.5584575448</v>
      </c>
      <c r="N1063" s="18" t="n">
        <f aca="false">F1063/K1063</f>
        <v>10.8721244925575</v>
      </c>
      <c r="O1063" s="18" t="n">
        <f aca="false">G1063/L1063</f>
        <v>25.7006802721088</v>
      </c>
      <c r="P1063" s="18" t="n">
        <f aca="false">M1063/L1063</f>
        <v>24.7575227602345</v>
      </c>
      <c r="Q1063" s="19" t="n">
        <f aca="false">IF(N1063=0,"n.a.",P1063/N1063-1)</f>
        <v>1.27715593002842</v>
      </c>
    </row>
    <row r="1064" customFormat="false" ht="15" hidden="false" customHeight="false" outlineLevel="0" collapsed="false">
      <c r="A1064" s="12" t="s">
        <v>2548</v>
      </c>
      <c r="B1064" s="12" t="s">
        <v>1451</v>
      </c>
      <c r="C1064" s="12" t="s">
        <v>1452</v>
      </c>
      <c r="D1064" s="12" t="s">
        <v>2549</v>
      </c>
      <c r="E1064" s="12" t="s">
        <v>2550</v>
      </c>
      <c r="F1064" s="13" t="n">
        <v>2800</v>
      </c>
      <c r="G1064" s="13" t="n">
        <v>0</v>
      </c>
      <c r="H1064" s="14" t="n">
        <v>317</v>
      </c>
      <c r="I1064" s="14" t="n">
        <v>244</v>
      </c>
      <c r="J1064" s="15" t="n">
        <f aca="false">I1064/H1064</f>
        <v>0.769716088328076</v>
      </c>
      <c r="K1064" s="16" t="n">
        <f aca="false">ROUND(I1064*J1064^($F$8-1),0)</f>
        <v>259</v>
      </c>
      <c r="L1064" s="16" t="n">
        <f aca="false">ROUND(I1064*J1064^($F$9-1),0)</f>
        <v>247</v>
      </c>
      <c r="M1064" s="17" t="n">
        <f aca="false">G1064*$F$7</f>
        <v>0</v>
      </c>
      <c r="N1064" s="18" t="n">
        <f aca="false">F1064/K1064</f>
        <v>10.8108108108108</v>
      </c>
      <c r="O1064" s="18" t="n">
        <f aca="false">G1064/L1064</f>
        <v>0</v>
      </c>
      <c r="P1064" s="18" t="n">
        <f aca="false">M1064/L1064</f>
        <v>0</v>
      </c>
      <c r="Q1064" s="19" t="n">
        <f aca="false">IF(N1064=0,"n.a.",P1064/N1064-1)</f>
        <v>-1</v>
      </c>
    </row>
    <row r="1065" customFormat="false" ht="15" hidden="false" customHeight="false" outlineLevel="0" collapsed="false">
      <c r="A1065" s="12" t="s">
        <v>2551</v>
      </c>
      <c r="B1065" s="12" t="s">
        <v>1451</v>
      </c>
      <c r="C1065" s="12" t="s">
        <v>1452</v>
      </c>
      <c r="D1065" s="12" t="s">
        <v>2552</v>
      </c>
      <c r="E1065" s="12" t="s">
        <v>2553</v>
      </c>
      <c r="F1065" s="13" t="n">
        <v>360</v>
      </c>
      <c r="G1065" s="13" t="n">
        <v>1802</v>
      </c>
      <c r="H1065" s="14" t="n">
        <v>1830</v>
      </c>
      <c r="I1065" s="14" t="n">
        <v>1750</v>
      </c>
      <c r="J1065" s="15" t="n">
        <f aca="false">I1065/H1065</f>
        <v>0.956284153005464</v>
      </c>
      <c r="K1065" s="16" t="n">
        <f aca="false">ROUND(I1065*J1065^($F$8-1),0)</f>
        <v>1768</v>
      </c>
      <c r="L1065" s="16" t="n">
        <f aca="false">ROUND(I1065*J1065^($F$9-1),0)</f>
        <v>1754</v>
      </c>
      <c r="M1065" s="17" t="n">
        <f aca="false">G1065*$F$7</f>
        <v>1735.87062838792</v>
      </c>
      <c r="N1065" s="18" t="n">
        <f aca="false">F1065/K1065</f>
        <v>0.203619909502262</v>
      </c>
      <c r="O1065" s="18" t="n">
        <f aca="false">G1065/L1065</f>
        <v>1.02736602052452</v>
      </c>
      <c r="P1065" s="18" t="n">
        <f aca="false">M1065/L1065</f>
        <v>0.989663984257652</v>
      </c>
      <c r="Q1065" s="19" t="n">
        <f aca="false">IF(N1065=0,"n.a.",P1065/N1065-1)</f>
        <v>3.86034978935425</v>
      </c>
    </row>
    <row r="1066" customFormat="false" ht="15" hidden="false" customHeight="false" outlineLevel="0" collapsed="false">
      <c r="A1066" s="12" t="s">
        <v>2554</v>
      </c>
      <c r="B1066" s="12" t="s">
        <v>1451</v>
      </c>
      <c r="C1066" s="12" t="s">
        <v>1452</v>
      </c>
      <c r="D1066" s="12" t="s">
        <v>2555</v>
      </c>
      <c r="E1066" s="12" t="s">
        <v>2556</v>
      </c>
      <c r="F1066" s="13" t="n">
        <v>0</v>
      </c>
      <c r="G1066" s="13" t="n">
        <v>0</v>
      </c>
      <c r="H1066" s="14" t="n">
        <v>903</v>
      </c>
      <c r="I1066" s="14" t="n">
        <v>873</v>
      </c>
      <c r="J1066" s="15" t="n">
        <f aca="false">I1066/H1066</f>
        <v>0.966777408637874</v>
      </c>
      <c r="K1066" s="16" t="n">
        <f aca="false">ROUND(I1066*J1066^($F$8-1),0)</f>
        <v>880</v>
      </c>
      <c r="L1066" s="16" t="n">
        <f aca="false">ROUND(I1066*J1066^($F$9-1),0)</f>
        <v>875</v>
      </c>
      <c r="M1066" s="17" t="n">
        <f aca="false">G1066*$F$7</f>
        <v>0</v>
      </c>
      <c r="N1066" s="18" t="n">
        <f aca="false">F1066/K1066</f>
        <v>0</v>
      </c>
      <c r="O1066" s="18" t="n">
        <f aca="false">G1066/L1066</f>
        <v>0</v>
      </c>
      <c r="P1066" s="18" t="n">
        <f aca="false">M1066/L1066</f>
        <v>0</v>
      </c>
      <c r="Q1066" s="19" t="str">
        <f aca="false">IF(N1066=0,"n.a.",P1066/N1066-1)</f>
        <v>n.a.</v>
      </c>
    </row>
    <row r="1067" customFormat="false" ht="15" hidden="false" customHeight="false" outlineLevel="0" collapsed="false">
      <c r="A1067" s="12" t="s">
        <v>2557</v>
      </c>
      <c r="B1067" s="12" t="s">
        <v>1451</v>
      </c>
      <c r="C1067" s="12" t="s">
        <v>1452</v>
      </c>
      <c r="D1067" s="12" t="s">
        <v>2558</v>
      </c>
      <c r="E1067" s="12" t="s">
        <v>2559</v>
      </c>
      <c r="F1067" s="13" t="n">
        <v>0</v>
      </c>
      <c r="G1067" s="13" t="n">
        <v>0</v>
      </c>
      <c r="H1067" s="14" t="n">
        <v>2694</v>
      </c>
      <c r="I1067" s="14" t="n">
        <v>2566</v>
      </c>
      <c r="J1067" s="15" t="n">
        <f aca="false">I1067/H1067</f>
        <v>0.952487008166296</v>
      </c>
      <c r="K1067" s="16" t="n">
        <f aca="false">ROUND(I1067*J1067^($F$8-1),0)</f>
        <v>2595</v>
      </c>
      <c r="L1067" s="16" t="n">
        <f aca="false">ROUND(I1067*J1067^($F$9-1),0)</f>
        <v>2572</v>
      </c>
      <c r="M1067" s="17" t="n">
        <f aca="false">G1067*$F$7</f>
        <v>0</v>
      </c>
      <c r="N1067" s="18" t="n">
        <f aca="false">F1067/K1067</f>
        <v>0</v>
      </c>
      <c r="O1067" s="18" t="n">
        <f aca="false">G1067/L1067</f>
        <v>0</v>
      </c>
      <c r="P1067" s="18" t="n">
        <f aca="false">M1067/L1067</f>
        <v>0</v>
      </c>
      <c r="Q1067" s="19" t="str">
        <f aca="false">IF(N1067=0,"n.a.",P1067/N1067-1)</f>
        <v>n.a.</v>
      </c>
    </row>
    <row r="1068" customFormat="false" ht="15" hidden="false" customHeight="false" outlineLevel="0" collapsed="false">
      <c r="A1068" s="12" t="s">
        <v>2560</v>
      </c>
      <c r="B1068" s="12" t="s">
        <v>1451</v>
      </c>
      <c r="C1068" s="12" t="s">
        <v>1452</v>
      </c>
      <c r="D1068" s="12" t="s">
        <v>2561</v>
      </c>
      <c r="E1068" s="12" t="s">
        <v>2562</v>
      </c>
      <c r="F1068" s="13" t="n">
        <v>0</v>
      </c>
      <c r="G1068" s="13" t="n">
        <v>0</v>
      </c>
      <c r="H1068" s="14" t="n">
        <v>3985</v>
      </c>
      <c r="I1068" s="14" t="n">
        <v>3875</v>
      </c>
      <c r="J1068" s="15" t="n">
        <f aca="false">I1068/H1068</f>
        <v>0.972396486825596</v>
      </c>
      <c r="K1068" s="16" t="n">
        <f aca="false">ROUND(I1068*J1068^($F$8-1),0)</f>
        <v>3900</v>
      </c>
      <c r="L1068" s="16" t="n">
        <f aca="false">ROUND(I1068*J1068^($F$9-1),0)</f>
        <v>3881</v>
      </c>
      <c r="M1068" s="17" t="n">
        <f aca="false">G1068*$F$7</f>
        <v>0</v>
      </c>
      <c r="N1068" s="18" t="n">
        <f aca="false">F1068/K1068</f>
        <v>0</v>
      </c>
      <c r="O1068" s="18" t="n">
        <f aca="false">G1068/L1068</f>
        <v>0</v>
      </c>
      <c r="P1068" s="18" t="n">
        <f aca="false">M1068/L1068</f>
        <v>0</v>
      </c>
      <c r="Q1068" s="19" t="str">
        <f aca="false">IF(N1068=0,"n.a.",P1068/N1068-1)</f>
        <v>n.a.</v>
      </c>
    </row>
    <row r="1069" customFormat="false" ht="15" hidden="false" customHeight="false" outlineLevel="0" collapsed="false">
      <c r="A1069" s="12" t="s">
        <v>2563</v>
      </c>
      <c r="B1069" s="12" t="s">
        <v>1451</v>
      </c>
      <c r="C1069" s="12" t="s">
        <v>1452</v>
      </c>
      <c r="D1069" s="12" t="s">
        <v>2564</v>
      </c>
      <c r="E1069" s="12" t="s">
        <v>2565</v>
      </c>
      <c r="F1069" s="13" t="n">
        <v>0</v>
      </c>
      <c r="G1069" s="13" t="n">
        <v>0</v>
      </c>
      <c r="H1069" s="14" t="n">
        <v>3511</v>
      </c>
      <c r="I1069" s="14" t="n">
        <v>3436</v>
      </c>
      <c r="J1069" s="15" t="n">
        <f aca="false">I1069/H1069</f>
        <v>0.978638564511535</v>
      </c>
      <c r="K1069" s="16" t="n">
        <f aca="false">ROUND(I1069*J1069^($F$8-1),0)</f>
        <v>3453</v>
      </c>
      <c r="L1069" s="16" t="n">
        <f aca="false">ROUND(I1069*J1069^($F$9-1),0)</f>
        <v>3440</v>
      </c>
      <c r="M1069" s="17" t="n">
        <f aca="false">G1069*$F$7</f>
        <v>0</v>
      </c>
      <c r="N1069" s="18" t="n">
        <f aca="false">F1069/K1069</f>
        <v>0</v>
      </c>
      <c r="O1069" s="18" t="n">
        <f aca="false">G1069/L1069</f>
        <v>0</v>
      </c>
      <c r="P1069" s="18" t="n">
        <f aca="false">M1069/L1069</f>
        <v>0</v>
      </c>
      <c r="Q1069" s="19" t="str">
        <f aca="false">IF(N1069=0,"n.a.",P1069/N1069-1)</f>
        <v>n.a.</v>
      </c>
    </row>
    <row r="1070" customFormat="false" ht="15" hidden="false" customHeight="false" outlineLevel="0" collapsed="false">
      <c r="A1070" s="12" t="s">
        <v>2566</v>
      </c>
      <c r="B1070" s="12" t="s">
        <v>1451</v>
      </c>
      <c r="C1070" s="12" t="s">
        <v>1452</v>
      </c>
      <c r="D1070" s="12" t="s">
        <v>2567</v>
      </c>
      <c r="E1070" s="12" t="s">
        <v>2568</v>
      </c>
      <c r="F1070" s="13" t="n">
        <v>0</v>
      </c>
      <c r="G1070" s="13" t="n">
        <v>0</v>
      </c>
      <c r="H1070" s="14" t="n">
        <v>896</v>
      </c>
      <c r="I1070" s="14" t="n">
        <v>863</v>
      </c>
      <c r="J1070" s="15" t="n">
        <f aca="false">I1070/H1070</f>
        <v>0.963169642857143</v>
      </c>
      <c r="K1070" s="16" t="n">
        <f aca="false">ROUND(I1070*J1070^($F$8-1),0)</f>
        <v>871</v>
      </c>
      <c r="L1070" s="16" t="n">
        <f aca="false">ROUND(I1070*J1070^($F$9-1),0)</f>
        <v>865</v>
      </c>
      <c r="M1070" s="17" t="n">
        <f aca="false">G1070*$F$7</f>
        <v>0</v>
      </c>
      <c r="N1070" s="18" t="n">
        <f aca="false">F1070/K1070</f>
        <v>0</v>
      </c>
      <c r="O1070" s="18" t="n">
        <f aca="false">G1070/L1070</f>
        <v>0</v>
      </c>
      <c r="P1070" s="18" t="n">
        <f aca="false">M1070/L1070</f>
        <v>0</v>
      </c>
      <c r="Q1070" s="19" t="str">
        <f aca="false">IF(N1070=0,"n.a.",P1070/N1070-1)</f>
        <v>n.a.</v>
      </c>
    </row>
    <row r="1071" customFormat="false" ht="15" hidden="false" customHeight="false" outlineLevel="0" collapsed="false">
      <c r="A1071" s="12" t="s">
        <v>2569</v>
      </c>
      <c r="B1071" s="12" t="s">
        <v>1451</v>
      </c>
      <c r="C1071" s="12" t="s">
        <v>1452</v>
      </c>
      <c r="D1071" s="12" t="s">
        <v>2570</v>
      </c>
      <c r="E1071" s="12" t="s">
        <v>2571</v>
      </c>
      <c r="F1071" s="13" t="n">
        <v>0</v>
      </c>
      <c r="G1071" s="13" t="n">
        <v>0</v>
      </c>
      <c r="H1071" s="14" t="n">
        <v>9488</v>
      </c>
      <c r="I1071" s="14" t="n">
        <v>9579</v>
      </c>
      <c r="J1071" s="15" t="n">
        <f aca="false">I1071/H1071</f>
        <v>1.0095910623946</v>
      </c>
      <c r="K1071" s="16" t="n">
        <f aca="false">ROUND(I1071*J1071^($F$8-1),0)</f>
        <v>9558</v>
      </c>
      <c r="L1071" s="16" t="n">
        <f aca="false">ROUND(I1071*J1071^($F$9-1),0)</f>
        <v>9574</v>
      </c>
      <c r="M1071" s="17" t="n">
        <f aca="false">G1071*$F$7</f>
        <v>0</v>
      </c>
      <c r="N1071" s="18" t="n">
        <f aca="false">F1071/K1071</f>
        <v>0</v>
      </c>
      <c r="O1071" s="18" t="n">
        <f aca="false">G1071/L1071</f>
        <v>0</v>
      </c>
      <c r="P1071" s="18" t="n">
        <f aca="false">M1071/L1071</f>
        <v>0</v>
      </c>
      <c r="Q1071" s="19" t="str">
        <f aca="false">IF(N1071=0,"n.a.",P1071/N1071-1)</f>
        <v>n.a.</v>
      </c>
    </row>
    <row r="1072" customFormat="false" ht="15" hidden="false" customHeight="false" outlineLevel="0" collapsed="false">
      <c r="A1072" s="12" t="s">
        <v>2572</v>
      </c>
      <c r="B1072" s="12" t="s">
        <v>1451</v>
      </c>
      <c r="C1072" s="12" t="s">
        <v>1452</v>
      </c>
      <c r="D1072" s="12" t="s">
        <v>2573</v>
      </c>
      <c r="E1072" s="12" t="s">
        <v>2574</v>
      </c>
      <c r="F1072" s="13" t="n">
        <v>0</v>
      </c>
      <c r="G1072" s="13" t="n">
        <v>0</v>
      </c>
      <c r="H1072" s="14" t="n">
        <v>1777</v>
      </c>
      <c r="I1072" s="14" t="n">
        <v>1705</v>
      </c>
      <c r="J1072" s="15" t="n">
        <f aca="false">I1072/H1072</f>
        <v>0.959482273494654</v>
      </c>
      <c r="K1072" s="16" t="n">
        <f aca="false">ROUND(I1072*J1072^($F$8-1),0)</f>
        <v>1721</v>
      </c>
      <c r="L1072" s="16" t="n">
        <f aca="false">ROUND(I1072*J1072^($F$9-1),0)</f>
        <v>1709</v>
      </c>
      <c r="M1072" s="17" t="n">
        <f aca="false">G1072*$F$7</f>
        <v>0</v>
      </c>
      <c r="N1072" s="18" t="n">
        <f aca="false">F1072/K1072</f>
        <v>0</v>
      </c>
      <c r="O1072" s="18" t="n">
        <f aca="false">G1072/L1072</f>
        <v>0</v>
      </c>
      <c r="P1072" s="18" t="n">
        <f aca="false">M1072/L1072</f>
        <v>0</v>
      </c>
      <c r="Q1072" s="19" t="str">
        <f aca="false">IF(N1072=0,"n.a.",P1072/N1072-1)</f>
        <v>n.a.</v>
      </c>
    </row>
    <row r="1073" customFormat="false" ht="15" hidden="false" customHeight="false" outlineLevel="0" collapsed="false">
      <c r="A1073" s="12" t="s">
        <v>2575</v>
      </c>
      <c r="B1073" s="12" t="s">
        <v>1451</v>
      </c>
      <c r="C1073" s="12" t="s">
        <v>1452</v>
      </c>
      <c r="D1073" s="12" t="s">
        <v>2576</v>
      </c>
      <c r="E1073" s="12" t="s">
        <v>2577</v>
      </c>
      <c r="F1073" s="13" t="n">
        <v>1368270</v>
      </c>
      <c r="G1073" s="13" t="n">
        <v>1733104</v>
      </c>
      <c r="H1073" s="14" t="n">
        <v>25335</v>
      </c>
      <c r="I1073" s="14" t="n">
        <v>28551</v>
      </c>
      <c r="J1073" s="15" t="n">
        <f aca="false">I1073/H1073</f>
        <v>1.12693901716992</v>
      </c>
      <c r="K1073" s="16" t="n">
        <f aca="false">ROUND(I1073*J1073^($F$8-1),0)</f>
        <v>27774</v>
      </c>
      <c r="L1073" s="16" t="n">
        <f aca="false">ROUND(I1073*J1073^($F$9-1),0)</f>
        <v>28374</v>
      </c>
      <c r="M1073" s="17" t="n">
        <f aca="false">G1073*$F$7</f>
        <v>1669502.95757027</v>
      </c>
      <c r="N1073" s="18" t="n">
        <f aca="false">F1073/K1073</f>
        <v>49.2644199611147</v>
      </c>
      <c r="O1073" s="18" t="n">
        <f aca="false">G1073/L1073</f>
        <v>61.0807076901389</v>
      </c>
      <c r="P1073" s="18" t="n">
        <f aca="false">M1073/L1073</f>
        <v>58.8391822644064</v>
      </c>
      <c r="Q1073" s="19" t="n">
        <f aca="false">IF(N1073=0,"n.a.",P1073/N1073-1)</f>
        <v>0.194354512056555</v>
      </c>
    </row>
    <row r="1074" customFormat="false" ht="15" hidden="false" customHeight="false" outlineLevel="0" collapsed="false">
      <c r="A1074" s="12" t="s">
        <v>2578</v>
      </c>
      <c r="B1074" s="12" t="s">
        <v>1451</v>
      </c>
      <c r="C1074" s="12" t="s">
        <v>1452</v>
      </c>
      <c r="D1074" s="12" t="s">
        <v>2579</v>
      </c>
      <c r="E1074" s="12" t="s">
        <v>2580</v>
      </c>
      <c r="F1074" s="13" t="n">
        <v>0</v>
      </c>
      <c r="G1074" s="13" t="n">
        <v>0</v>
      </c>
      <c r="H1074" s="14" t="n">
        <v>796</v>
      </c>
      <c r="I1074" s="14" t="n">
        <v>666</v>
      </c>
      <c r="J1074" s="15" t="n">
        <f aca="false">I1074/H1074</f>
        <v>0.836683417085427</v>
      </c>
      <c r="K1074" s="16" t="n">
        <f aca="false">ROUND(I1074*J1074^($F$8-1),0)</f>
        <v>694</v>
      </c>
      <c r="L1074" s="16" t="n">
        <f aca="false">ROUND(I1074*J1074^($F$9-1),0)</f>
        <v>672</v>
      </c>
      <c r="M1074" s="17" t="n">
        <f aca="false">G1074*$F$7</f>
        <v>0</v>
      </c>
      <c r="N1074" s="18" t="n">
        <f aca="false">F1074/K1074</f>
        <v>0</v>
      </c>
      <c r="O1074" s="18" t="n">
        <f aca="false">G1074/L1074</f>
        <v>0</v>
      </c>
      <c r="P1074" s="18" t="n">
        <f aca="false">M1074/L1074</f>
        <v>0</v>
      </c>
      <c r="Q1074" s="19" t="str">
        <f aca="false">IF(N1074=0,"n.a.",P1074/N1074-1)</f>
        <v>n.a.</v>
      </c>
    </row>
    <row r="1075" customFormat="false" ht="15" hidden="false" customHeight="false" outlineLevel="0" collapsed="false">
      <c r="A1075" s="12" t="s">
        <v>2581</v>
      </c>
      <c r="B1075" s="12" t="s">
        <v>1451</v>
      </c>
      <c r="C1075" s="12" t="s">
        <v>1452</v>
      </c>
      <c r="D1075" s="12" t="s">
        <v>2582</v>
      </c>
      <c r="E1075" s="12" t="s">
        <v>2583</v>
      </c>
      <c r="F1075" s="13" t="n">
        <v>29514</v>
      </c>
      <c r="G1075" s="13" t="n">
        <v>0</v>
      </c>
      <c r="H1075" s="14" t="n">
        <v>9234</v>
      </c>
      <c r="I1075" s="14" t="n">
        <v>9931</v>
      </c>
      <c r="J1075" s="15" t="n">
        <f aca="false">I1075/H1075</f>
        <v>1.0754819146632</v>
      </c>
      <c r="K1075" s="16" t="n">
        <f aca="false">ROUND(I1075*J1075^($F$8-1),0)</f>
        <v>9766</v>
      </c>
      <c r="L1075" s="16" t="n">
        <f aca="false">ROUND(I1075*J1075^($F$9-1),0)</f>
        <v>9894</v>
      </c>
      <c r="M1075" s="17" t="n">
        <f aca="false">G1075*$F$7</f>
        <v>0</v>
      </c>
      <c r="N1075" s="18" t="n">
        <f aca="false">F1075/K1075</f>
        <v>3.02211755068605</v>
      </c>
      <c r="O1075" s="18" t="n">
        <f aca="false">G1075/L1075</f>
        <v>0</v>
      </c>
      <c r="P1075" s="18" t="n">
        <f aca="false">M1075/L1075</f>
        <v>0</v>
      </c>
      <c r="Q1075" s="19" t="n">
        <f aca="false">IF(N1075=0,"n.a.",P1075/N1075-1)</f>
        <v>-1</v>
      </c>
    </row>
    <row r="1076" customFormat="false" ht="15" hidden="false" customHeight="false" outlineLevel="0" collapsed="false">
      <c r="A1076" s="12" t="s">
        <v>2584</v>
      </c>
      <c r="B1076" s="12" t="s">
        <v>1451</v>
      </c>
      <c r="C1076" s="12" t="s">
        <v>1452</v>
      </c>
      <c r="D1076" s="12" t="s">
        <v>2585</v>
      </c>
      <c r="E1076" s="12" t="s">
        <v>2586</v>
      </c>
      <c r="F1076" s="13" t="n">
        <v>7994</v>
      </c>
      <c r="G1076" s="13" t="n">
        <v>16236</v>
      </c>
      <c r="H1076" s="14" t="n">
        <v>250</v>
      </c>
      <c r="I1076" s="14" t="n">
        <v>235</v>
      </c>
      <c r="J1076" s="15" t="n">
        <f aca="false">I1076/H1076</f>
        <v>0.94</v>
      </c>
      <c r="K1076" s="16" t="n">
        <f aca="false">ROUND(I1076*J1076^($F$8-1),0)</f>
        <v>238</v>
      </c>
      <c r="L1076" s="16" t="n">
        <f aca="false">ROUND(I1076*J1076^($F$9-1),0)</f>
        <v>236</v>
      </c>
      <c r="M1076" s="17" t="n">
        <f aca="false">G1076*$F$7</f>
        <v>15640.1750957305</v>
      </c>
      <c r="N1076" s="18" t="n">
        <f aca="false">F1076/K1076</f>
        <v>33.5882352941176</v>
      </c>
      <c r="O1076" s="18" t="n">
        <f aca="false">G1076/L1076</f>
        <v>68.7966101694915</v>
      </c>
      <c r="P1076" s="18" t="n">
        <f aca="false">M1076/L1076</f>
        <v>66.2719283717392</v>
      </c>
      <c r="Q1076" s="19" t="n">
        <f aca="false">IF(N1076=0,"n.a.",P1076/N1076-1)</f>
        <v>0.973069671312727</v>
      </c>
    </row>
    <row r="1077" customFormat="false" ht="15" hidden="false" customHeight="false" outlineLevel="0" collapsed="false">
      <c r="A1077" s="12" t="s">
        <v>2587</v>
      </c>
      <c r="B1077" s="12" t="s">
        <v>1451</v>
      </c>
      <c r="C1077" s="12" t="s">
        <v>1452</v>
      </c>
      <c r="D1077" s="12" t="s">
        <v>2588</v>
      </c>
      <c r="E1077" s="12" t="s">
        <v>2589</v>
      </c>
      <c r="F1077" s="13" t="n">
        <v>16503</v>
      </c>
      <c r="G1077" s="13" t="n">
        <v>14707</v>
      </c>
      <c r="H1077" s="14" t="n">
        <v>434</v>
      </c>
      <c r="I1077" s="14" t="n">
        <v>417</v>
      </c>
      <c r="J1077" s="15" t="n">
        <f aca="false">I1077/H1077</f>
        <v>0.960829493087558</v>
      </c>
      <c r="K1077" s="16" t="n">
        <f aca="false">ROUND(I1077*J1077^($F$8-1),0)</f>
        <v>421</v>
      </c>
      <c r="L1077" s="16" t="n">
        <f aca="false">ROUND(I1077*J1077^($F$9-1),0)</f>
        <v>418</v>
      </c>
      <c r="M1077" s="17" t="n">
        <f aca="false">G1077*$F$7</f>
        <v>14167.2859776366</v>
      </c>
      <c r="N1077" s="18" t="n">
        <f aca="false">F1077/K1077</f>
        <v>39.1995249406176</v>
      </c>
      <c r="O1077" s="18" t="n">
        <f aca="false">G1077/L1077</f>
        <v>35.1842105263158</v>
      </c>
      <c r="P1077" s="18" t="n">
        <f aca="false">M1077/L1077</f>
        <v>33.893028654633</v>
      </c>
      <c r="Q1077" s="19" t="n">
        <f aca="false">IF(N1077=0,"n.a.",P1077/N1077-1)</f>
        <v>-0.13537144376171</v>
      </c>
    </row>
    <row r="1078" customFormat="false" ht="15" hidden="false" customHeight="false" outlineLevel="0" collapsed="false">
      <c r="A1078" s="12" t="s">
        <v>2590</v>
      </c>
      <c r="B1078" s="12" t="s">
        <v>1451</v>
      </c>
      <c r="C1078" s="12" t="s">
        <v>1452</v>
      </c>
      <c r="D1078" s="12" t="s">
        <v>2591</v>
      </c>
      <c r="E1078" s="12" t="s">
        <v>2592</v>
      </c>
      <c r="F1078" s="13" t="n">
        <v>0</v>
      </c>
      <c r="G1078" s="13" t="n">
        <v>0</v>
      </c>
      <c r="H1078" s="14" t="n">
        <v>481</v>
      </c>
      <c r="I1078" s="14" t="n">
        <v>479</v>
      </c>
      <c r="J1078" s="15" t="n">
        <f aca="false">I1078/H1078</f>
        <v>0.995841995841996</v>
      </c>
      <c r="K1078" s="16" t="n">
        <f aca="false">ROUND(I1078*J1078^($F$8-1),0)</f>
        <v>479</v>
      </c>
      <c r="L1078" s="16" t="n">
        <f aca="false">ROUND(I1078*J1078^($F$9-1),0)</f>
        <v>479</v>
      </c>
      <c r="M1078" s="17" t="n">
        <f aca="false">G1078*$F$7</f>
        <v>0</v>
      </c>
      <c r="N1078" s="18" t="n">
        <f aca="false">F1078/K1078</f>
        <v>0</v>
      </c>
      <c r="O1078" s="18" t="n">
        <f aca="false">G1078/L1078</f>
        <v>0</v>
      </c>
      <c r="P1078" s="18" t="n">
        <f aca="false">M1078/L1078</f>
        <v>0</v>
      </c>
      <c r="Q1078" s="19" t="str">
        <f aca="false">IF(N1078=0,"n.a.",P1078/N1078-1)</f>
        <v>n.a.</v>
      </c>
    </row>
    <row r="1079" customFormat="false" ht="15" hidden="false" customHeight="false" outlineLevel="0" collapsed="false">
      <c r="A1079" s="12" t="s">
        <v>2593</v>
      </c>
      <c r="B1079" s="12" t="s">
        <v>1451</v>
      </c>
      <c r="C1079" s="12" t="s">
        <v>1452</v>
      </c>
      <c r="D1079" s="12" t="s">
        <v>2594</v>
      </c>
      <c r="E1079" s="12" t="s">
        <v>2595</v>
      </c>
      <c r="F1079" s="13" t="n">
        <v>0</v>
      </c>
      <c r="G1079" s="13" t="n">
        <v>0</v>
      </c>
      <c r="H1079" s="14" t="n">
        <v>1679</v>
      </c>
      <c r="I1079" s="14" t="n">
        <v>1880</v>
      </c>
      <c r="J1079" s="15" t="n">
        <f aca="false">I1079/H1079</f>
        <v>1.11971411554497</v>
      </c>
      <c r="K1079" s="16" t="n">
        <f aca="false">ROUND(I1079*J1079^($F$8-1),0)</f>
        <v>1832</v>
      </c>
      <c r="L1079" s="16" t="n">
        <f aca="false">ROUND(I1079*J1079^($F$9-1),0)</f>
        <v>1869</v>
      </c>
      <c r="M1079" s="17" t="n">
        <f aca="false">G1079*$F$7</f>
        <v>0</v>
      </c>
      <c r="N1079" s="18" t="n">
        <f aca="false">F1079/K1079</f>
        <v>0</v>
      </c>
      <c r="O1079" s="18" t="n">
        <f aca="false">G1079/L1079</f>
        <v>0</v>
      </c>
      <c r="P1079" s="18" t="n">
        <f aca="false">M1079/L1079</f>
        <v>0</v>
      </c>
      <c r="Q1079" s="19" t="str">
        <f aca="false">IF(N1079=0,"n.a.",P1079/N1079-1)</f>
        <v>n.a.</v>
      </c>
    </row>
    <row r="1080" customFormat="false" ht="15" hidden="false" customHeight="false" outlineLevel="0" collapsed="false">
      <c r="A1080" s="12" t="s">
        <v>2596</v>
      </c>
      <c r="B1080" s="12" t="s">
        <v>1451</v>
      </c>
      <c r="C1080" s="12" t="s">
        <v>1452</v>
      </c>
      <c r="D1080" s="12" t="s">
        <v>2597</v>
      </c>
      <c r="E1080" s="12" t="s">
        <v>2598</v>
      </c>
      <c r="F1080" s="13" t="n">
        <v>154000</v>
      </c>
      <c r="G1080" s="13" t="n">
        <v>146206</v>
      </c>
      <c r="H1080" s="14" t="n">
        <v>5940</v>
      </c>
      <c r="I1080" s="14" t="n">
        <v>5998</v>
      </c>
      <c r="J1080" s="15" t="n">
        <f aca="false">I1080/H1080</f>
        <v>1.00976430976431</v>
      </c>
      <c r="K1080" s="16" t="n">
        <f aca="false">ROUND(I1080*J1080^($F$8-1),0)</f>
        <v>5985</v>
      </c>
      <c r="L1080" s="16" t="n">
        <f aca="false">ROUND(I1080*J1080^($F$9-1),0)</f>
        <v>5995</v>
      </c>
      <c r="M1080" s="17" t="n">
        <f aca="false">G1080*$F$7</f>
        <v>140840.566644886</v>
      </c>
      <c r="N1080" s="18" t="n">
        <f aca="false">F1080/K1080</f>
        <v>25.7309941520468</v>
      </c>
      <c r="O1080" s="18" t="n">
        <f aca="false">G1080/L1080</f>
        <v>24.3879899916597</v>
      </c>
      <c r="P1080" s="18" t="n">
        <f aca="false">M1080/L1080</f>
        <v>23.4930052785464</v>
      </c>
      <c r="Q1080" s="19" t="n">
        <f aca="false">IF(N1080=0,"n.a.",P1080/N1080-1)</f>
        <v>-0.0869763857655813</v>
      </c>
    </row>
    <row r="1081" customFormat="false" ht="15" hidden="false" customHeight="false" outlineLevel="0" collapsed="false">
      <c r="A1081" s="12" t="s">
        <v>2599</v>
      </c>
      <c r="B1081" s="12" t="s">
        <v>1451</v>
      </c>
      <c r="C1081" s="12" t="s">
        <v>1452</v>
      </c>
      <c r="D1081" s="12" t="s">
        <v>2600</v>
      </c>
      <c r="E1081" s="12" t="s">
        <v>2601</v>
      </c>
      <c r="F1081" s="13" t="n">
        <v>3700</v>
      </c>
      <c r="G1081" s="13" t="n">
        <v>11900</v>
      </c>
      <c r="H1081" s="14" t="n">
        <v>17100</v>
      </c>
      <c r="I1081" s="14" t="n">
        <v>14805</v>
      </c>
      <c r="J1081" s="15" t="n">
        <f aca="false">I1081/H1081</f>
        <v>0.865789473684211</v>
      </c>
      <c r="K1081" s="16" t="n">
        <f aca="false">ROUND(I1081*J1081^($F$8-1),0)</f>
        <v>15306</v>
      </c>
      <c r="L1081" s="16" t="n">
        <f aca="false">ROUND(I1081*J1081^($F$9-1),0)</f>
        <v>14916</v>
      </c>
      <c r="M1081" s="17" t="n">
        <f aca="false">G1081*$F$7</f>
        <v>11463.2966025617</v>
      </c>
      <c r="N1081" s="18" t="n">
        <f aca="false">F1081/K1081</f>
        <v>0.241735267215471</v>
      </c>
      <c r="O1081" s="18" t="n">
        <f aca="false">G1081/L1081</f>
        <v>0.797801019039957</v>
      </c>
      <c r="P1081" s="18" t="n">
        <f aca="false">M1081/L1081</f>
        <v>0.76852350513286</v>
      </c>
      <c r="Q1081" s="19" t="n">
        <f aca="false">IF(N1081=0,"n.a.",P1081/N1081-1)</f>
        <v>2.17919480258475</v>
      </c>
    </row>
    <row r="1082" customFormat="false" ht="15" hidden="false" customHeight="false" outlineLevel="0" collapsed="false">
      <c r="A1082" s="12" t="s">
        <v>2602</v>
      </c>
      <c r="B1082" s="12" t="s">
        <v>1451</v>
      </c>
      <c r="C1082" s="12" t="s">
        <v>1452</v>
      </c>
      <c r="D1082" s="12" t="s">
        <v>2603</v>
      </c>
      <c r="E1082" s="12" t="s">
        <v>2604</v>
      </c>
      <c r="F1082" s="13" t="n">
        <v>0</v>
      </c>
      <c r="G1082" s="13" t="n">
        <v>0</v>
      </c>
      <c r="H1082" s="14" t="n">
        <v>2469</v>
      </c>
      <c r="I1082" s="14" t="n">
        <v>2582</v>
      </c>
      <c r="J1082" s="15" t="n">
        <f aca="false">I1082/H1082</f>
        <v>1.04576751721345</v>
      </c>
      <c r="K1082" s="16" t="n">
        <f aca="false">ROUND(I1082*J1082^($F$8-1),0)</f>
        <v>2555</v>
      </c>
      <c r="L1082" s="16" t="n">
        <f aca="false">ROUND(I1082*J1082^($F$9-1),0)</f>
        <v>2576</v>
      </c>
      <c r="M1082" s="17" t="n">
        <f aca="false">G1082*$F$7</f>
        <v>0</v>
      </c>
      <c r="N1082" s="18" t="n">
        <f aca="false">F1082/K1082</f>
        <v>0</v>
      </c>
      <c r="O1082" s="18" t="n">
        <f aca="false">G1082/L1082</f>
        <v>0</v>
      </c>
      <c r="P1082" s="18" t="n">
        <f aca="false">M1082/L1082</f>
        <v>0</v>
      </c>
      <c r="Q1082" s="19" t="str">
        <f aca="false">IF(N1082=0,"n.a.",P1082/N1082-1)</f>
        <v>n.a.</v>
      </c>
    </row>
    <row r="1083" customFormat="false" ht="15" hidden="false" customHeight="false" outlineLevel="0" collapsed="false">
      <c r="A1083" s="12" t="s">
        <v>2605</v>
      </c>
      <c r="B1083" s="12" t="s">
        <v>1451</v>
      </c>
      <c r="C1083" s="12" t="s">
        <v>1452</v>
      </c>
      <c r="D1083" s="12" t="s">
        <v>2606</v>
      </c>
      <c r="E1083" s="12" t="s">
        <v>2607</v>
      </c>
      <c r="F1083" s="13" t="n">
        <v>0</v>
      </c>
      <c r="G1083" s="13" t="n">
        <v>0</v>
      </c>
      <c r="H1083" s="14" t="n">
        <v>3294</v>
      </c>
      <c r="I1083" s="14" t="n">
        <v>3210</v>
      </c>
      <c r="J1083" s="15" t="n">
        <f aca="false">I1083/H1083</f>
        <v>0.974499089253188</v>
      </c>
      <c r="K1083" s="16" t="n">
        <f aca="false">ROUND(I1083*J1083^($F$8-1),0)</f>
        <v>3229</v>
      </c>
      <c r="L1083" s="16" t="n">
        <f aca="false">ROUND(I1083*J1083^($F$9-1),0)</f>
        <v>3214</v>
      </c>
      <c r="M1083" s="17" t="n">
        <f aca="false">G1083*$F$7</f>
        <v>0</v>
      </c>
      <c r="N1083" s="18" t="n">
        <f aca="false">F1083/K1083</f>
        <v>0</v>
      </c>
      <c r="O1083" s="18" t="n">
        <f aca="false">G1083/L1083</f>
        <v>0</v>
      </c>
      <c r="P1083" s="18" t="n">
        <f aca="false">M1083/L1083</f>
        <v>0</v>
      </c>
      <c r="Q1083" s="19" t="str">
        <f aca="false">IF(N1083=0,"n.a.",P1083/N1083-1)</f>
        <v>n.a.</v>
      </c>
    </row>
    <row r="1084" customFormat="false" ht="15" hidden="false" customHeight="false" outlineLevel="0" collapsed="false">
      <c r="A1084" s="12" t="s">
        <v>2608</v>
      </c>
      <c r="B1084" s="12" t="s">
        <v>1451</v>
      </c>
      <c r="C1084" s="12" t="s">
        <v>1452</v>
      </c>
      <c r="D1084" s="12" t="s">
        <v>2609</v>
      </c>
      <c r="E1084" s="12" t="s">
        <v>2610</v>
      </c>
      <c r="F1084" s="13" t="n">
        <v>0</v>
      </c>
      <c r="G1084" s="13" t="n">
        <v>0</v>
      </c>
      <c r="H1084" s="14" t="n">
        <v>13755</v>
      </c>
      <c r="I1084" s="14" t="n">
        <v>12623</v>
      </c>
      <c r="J1084" s="15" t="n">
        <f aca="false">I1084/H1084</f>
        <v>0.917702653580516</v>
      </c>
      <c r="K1084" s="16" t="n">
        <f aca="false">ROUND(I1084*J1084^($F$8-1),0)</f>
        <v>12876</v>
      </c>
      <c r="L1084" s="16" t="n">
        <f aca="false">ROUND(I1084*J1084^($F$9-1),0)</f>
        <v>12679</v>
      </c>
      <c r="M1084" s="17" t="n">
        <f aca="false">G1084*$F$7</f>
        <v>0</v>
      </c>
      <c r="N1084" s="18" t="n">
        <f aca="false">F1084/K1084</f>
        <v>0</v>
      </c>
      <c r="O1084" s="18" t="n">
        <f aca="false">G1084/L1084</f>
        <v>0</v>
      </c>
      <c r="P1084" s="18" t="n">
        <f aca="false">M1084/L1084</f>
        <v>0</v>
      </c>
      <c r="Q1084" s="19" t="str">
        <f aca="false">IF(N1084=0,"n.a.",P1084/N1084-1)</f>
        <v>n.a.</v>
      </c>
    </row>
    <row r="1085" customFormat="false" ht="15" hidden="false" customHeight="false" outlineLevel="0" collapsed="false">
      <c r="A1085" s="12" t="s">
        <v>2611</v>
      </c>
      <c r="B1085" s="12" t="s">
        <v>1451</v>
      </c>
      <c r="C1085" s="12" t="s">
        <v>1452</v>
      </c>
      <c r="D1085" s="12" t="s">
        <v>2612</v>
      </c>
      <c r="E1085" s="12" t="s">
        <v>2613</v>
      </c>
      <c r="F1085" s="13" t="n">
        <v>300</v>
      </c>
      <c r="G1085" s="13" t="n">
        <v>0</v>
      </c>
      <c r="H1085" s="14" t="n">
        <v>958</v>
      </c>
      <c r="I1085" s="14" t="n">
        <v>915</v>
      </c>
      <c r="J1085" s="15" t="n">
        <f aca="false">I1085/H1085</f>
        <v>0.955114822546973</v>
      </c>
      <c r="K1085" s="16" t="n">
        <f aca="false">ROUND(I1085*J1085^($F$8-1),0)</f>
        <v>925</v>
      </c>
      <c r="L1085" s="16" t="n">
        <f aca="false">ROUND(I1085*J1085^($F$9-1),0)</f>
        <v>917</v>
      </c>
      <c r="M1085" s="17" t="n">
        <f aca="false">G1085*$F$7</f>
        <v>0</v>
      </c>
      <c r="N1085" s="18" t="n">
        <f aca="false">F1085/K1085</f>
        <v>0.324324324324324</v>
      </c>
      <c r="O1085" s="18" t="n">
        <f aca="false">G1085/L1085</f>
        <v>0</v>
      </c>
      <c r="P1085" s="18" t="n">
        <f aca="false">M1085/L1085</f>
        <v>0</v>
      </c>
      <c r="Q1085" s="19" t="n">
        <f aca="false">IF(N1085=0,"n.a.",P1085/N1085-1)</f>
        <v>-1</v>
      </c>
    </row>
    <row r="1086" customFormat="false" ht="15" hidden="false" customHeight="false" outlineLevel="0" collapsed="false">
      <c r="A1086" s="12" t="s">
        <v>2614</v>
      </c>
      <c r="B1086" s="12" t="s">
        <v>1451</v>
      </c>
      <c r="C1086" s="12" t="s">
        <v>1452</v>
      </c>
      <c r="D1086" s="12" t="s">
        <v>2615</v>
      </c>
      <c r="E1086" s="12" t="s">
        <v>2616</v>
      </c>
      <c r="F1086" s="13" t="n">
        <v>122109</v>
      </c>
      <c r="G1086" s="13" t="n">
        <v>54433</v>
      </c>
      <c r="H1086" s="14" t="n">
        <v>4421</v>
      </c>
      <c r="I1086" s="14" t="n">
        <v>4174</v>
      </c>
      <c r="J1086" s="15" t="n">
        <f aca="false">I1086/H1086</f>
        <v>0.944130287265325</v>
      </c>
      <c r="K1086" s="16" t="n">
        <f aca="false">ROUND(I1086*J1086^($F$8-1),0)</f>
        <v>4230</v>
      </c>
      <c r="L1086" s="16" t="n">
        <f aca="false">ROUND(I1086*J1086^($F$9-1),0)</f>
        <v>4186</v>
      </c>
      <c r="M1086" s="17" t="n">
        <f aca="false">G1086*$F$7</f>
        <v>52435.4305854826</v>
      </c>
      <c r="N1086" s="18" t="n">
        <f aca="false">F1086/K1086</f>
        <v>28.8673758865248</v>
      </c>
      <c r="O1086" s="18" t="n">
        <f aca="false">G1086/L1086</f>
        <v>13.0035833731486</v>
      </c>
      <c r="P1086" s="18" t="n">
        <f aca="false">M1086/L1086</f>
        <v>12.5263809329868</v>
      </c>
      <c r="Q1086" s="19" t="n">
        <f aca="false">IF(N1086=0,"n.a.",P1086/N1086-1)</f>
        <v>-0.566071367822732</v>
      </c>
    </row>
    <row r="1087" customFormat="false" ht="15" hidden="false" customHeight="false" outlineLevel="0" collapsed="false">
      <c r="A1087" s="12" t="s">
        <v>2617</v>
      </c>
      <c r="B1087" s="12" t="s">
        <v>1451</v>
      </c>
      <c r="C1087" s="12" t="s">
        <v>1452</v>
      </c>
      <c r="D1087" s="12" t="s">
        <v>2618</v>
      </c>
      <c r="E1087" s="12" t="s">
        <v>2619</v>
      </c>
      <c r="F1087" s="13" t="n">
        <v>4400</v>
      </c>
      <c r="G1087" s="13" t="n">
        <v>0</v>
      </c>
      <c r="H1087" s="14" t="n">
        <v>3916</v>
      </c>
      <c r="I1087" s="14" t="n">
        <v>3830</v>
      </c>
      <c r="J1087" s="15" t="n">
        <f aca="false">I1087/H1087</f>
        <v>0.978038815117467</v>
      </c>
      <c r="K1087" s="16" t="n">
        <f aca="false">ROUND(I1087*J1087^($F$8-1),0)</f>
        <v>3850</v>
      </c>
      <c r="L1087" s="16" t="n">
        <f aca="false">ROUND(I1087*J1087^($F$9-1),0)</f>
        <v>3834</v>
      </c>
      <c r="M1087" s="17" t="n">
        <f aca="false">G1087*$F$7</f>
        <v>0</v>
      </c>
      <c r="N1087" s="18" t="n">
        <f aca="false">F1087/K1087</f>
        <v>1.14285714285714</v>
      </c>
      <c r="O1087" s="18" t="n">
        <f aca="false">G1087/L1087</f>
        <v>0</v>
      </c>
      <c r="P1087" s="18" t="n">
        <f aca="false">M1087/L1087</f>
        <v>0</v>
      </c>
      <c r="Q1087" s="19" t="n">
        <f aca="false">IF(N1087=0,"n.a.",P1087/N1087-1)</f>
        <v>-1</v>
      </c>
    </row>
    <row r="1088" customFormat="false" ht="15" hidden="false" customHeight="false" outlineLevel="0" collapsed="false">
      <c r="A1088" s="12" t="s">
        <v>2620</v>
      </c>
      <c r="B1088" s="12" t="s">
        <v>1451</v>
      </c>
      <c r="C1088" s="12" t="s">
        <v>1452</v>
      </c>
      <c r="D1088" s="12" t="s">
        <v>2621</v>
      </c>
      <c r="E1088" s="12" t="s">
        <v>2622</v>
      </c>
      <c r="F1088" s="13" t="n">
        <v>0</v>
      </c>
      <c r="G1088" s="13" t="n">
        <v>0</v>
      </c>
      <c r="H1088" s="14" t="n">
        <v>3520</v>
      </c>
      <c r="I1088" s="14" t="n">
        <v>3183</v>
      </c>
      <c r="J1088" s="15" t="n">
        <f aca="false">I1088/H1088</f>
        <v>0.904261363636364</v>
      </c>
      <c r="K1088" s="16" t="n">
        <f aca="false">ROUND(I1088*J1088^($F$8-1),0)</f>
        <v>3258</v>
      </c>
      <c r="L1088" s="16" t="n">
        <f aca="false">ROUND(I1088*J1088^($F$9-1),0)</f>
        <v>3200</v>
      </c>
      <c r="M1088" s="17" t="n">
        <f aca="false">G1088*$F$7</f>
        <v>0</v>
      </c>
      <c r="N1088" s="18" t="n">
        <f aca="false">F1088/K1088</f>
        <v>0</v>
      </c>
      <c r="O1088" s="18" t="n">
        <f aca="false">G1088/L1088</f>
        <v>0</v>
      </c>
      <c r="P1088" s="18" t="n">
        <f aca="false">M1088/L1088</f>
        <v>0</v>
      </c>
      <c r="Q1088" s="19" t="str">
        <f aca="false">IF(N1088=0,"n.a.",P1088/N1088-1)</f>
        <v>n.a.</v>
      </c>
    </row>
    <row r="1089" customFormat="false" ht="15" hidden="false" customHeight="false" outlineLevel="0" collapsed="false">
      <c r="A1089" s="12" t="s">
        <v>2623</v>
      </c>
      <c r="B1089" s="12" t="s">
        <v>1451</v>
      </c>
      <c r="C1089" s="12" t="s">
        <v>1452</v>
      </c>
      <c r="D1089" s="12" t="s">
        <v>2624</v>
      </c>
      <c r="E1089" s="12" t="s">
        <v>2625</v>
      </c>
      <c r="F1089" s="13" t="n">
        <v>19811</v>
      </c>
      <c r="G1089" s="13" t="n">
        <v>43329</v>
      </c>
      <c r="H1089" s="14" t="n">
        <v>2900</v>
      </c>
      <c r="I1089" s="14" t="n">
        <v>2806</v>
      </c>
      <c r="J1089" s="15" t="n">
        <f aca="false">I1089/H1089</f>
        <v>0.967586206896552</v>
      </c>
      <c r="K1089" s="16" t="n">
        <f aca="false">ROUND(I1089*J1089^($F$8-1),0)</f>
        <v>2827</v>
      </c>
      <c r="L1089" s="16" t="n">
        <f aca="false">ROUND(I1089*J1089^($F$9-1),0)</f>
        <v>2811</v>
      </c>
      <c r="M1089" s="17" t="n">
        <f aca="false">G1089*$F$7</f>
        <v>41738.9225623864</v>
      </c>
      <c r="N1089" s="18" t="n">
        <f aca="false">F1089/K1089</f>
        <v>7.00778210116732</v>
      </c>
      <c r="O1089" s="18" t="n">
        <f aca="false">G1089/L1089</f>
        <v>15.4140875133404</v>
      </c>
      <c r="P1089" s="18" t="n">
        <f aca="false">M1089/L1089</f>
        <v>14.8484249599382</v>
      </c>
      <c r="Q1089" s="19" t="n">
        <f aca="false">IF(N1089=0,"n.a.",P1089/N1089-1)</f>
        <v>1.11884798151256</v>
      </c>
    </row>
    <row r="1090" customFormat="false" ht="15" hidden="false" customHeight="false" outlineLevel="0" collapsed="false">
      <c r="A1090" s="12" t="s">
        <v>2626</v>
      </c>
      <c r="B1090" s="12" t="s">
        <v>1451</v>
      </c>
      <c r="C1090" s="12" t="s">
        <v>1452</v>
      </c>
      <c r="D1090" s="12" t="s">
        <v>2627</v>
      </c>
      <c r="E1090" s="12" t="s">
        <v>2628</v>
      </c>
      <c r="F1090" s="13" t="n">
        <v>5250</v>
      </c>
      <c r="G1090" s="13" t="n">
        <v>16250</v>
      </c>
      <c r="H1090" s="14" t="n">
        <v>1667</v>
      </c>
      <c r="I1090" s="14" t="n">
        <v>1849</v>
      </c>
      <c r="J1090" s="15" t="n">
        <f aca="false">I1090/H1090</f>
        <v>1.10917816436713</v>
      </c>
      <c r="K1090" s="16" t="n">
        <f aca="false">ROUND(I1090*J1090^($F$8-1),0)</f>
        <v>1805</v>
      </c>
      <c r="L1090" s="16" t="n">
        <f aca="false">ROUND(I1090*J1090^($F$9-1),0)</f>
        <v>1839</v>
      </c>
      <c r="M1090" s="17" t="n">
        <f aca="false">G1090*$F$7</f>
        <v>15653.6613270276</v>
      </c>
      <c r="N1090" s="18" t="n">
        <f aca="false">F1090/K1090</f>
        <v>2.90858725761773</v>
      </c>
      <c r="O1090" s="18" t="n">
        <f aca="false">G1090/L1090</f>
        <v>8.8363240891789</v>
      </c>
      <c r="P1090" s="18" t="n">
        <f aca="false">M1090/L1090</f>
        <v>8.51205074879151</v>
      </c>
      <c r="Q1090" s="19" t="n">
        <f aca="false">IF(N1090=0,"n.a.",P1090/N1090-1)</f>
        <v>1.92652411458451</v>
      </c>
    </row>
    <row r="1091" customFormat="false" ht="15" hidden="false" customHeight="false" outlineLevel="0" collapsed="false">
      <c r="A1091" s="12" t="s">
        <v>2629</v>
      </c>
      <c r="B1091" s="12" t="s">
        <v>1451</v>
      </c>
      <c r="C1091" s="12" t="s">
        <v>1452</v>
      </c>
      <c r="D1091" s="12" t="s">
        <v>2630</v>
      </c>
      <c r="E1091" s="12" t="s">
        <v>2631</v>
      </c>
      <c r="F1091" s="13" t="n">
        <v>0</v>
      </c>
      <c r="G1091" s="13" t="n">
        <v>0</v>
      </c>
      <c r="H1091" s="14" t="n">
        <v>3340</v>
      </c>
      <c r="I1091" s="14" t="n">
        <v>2886</v>
      </c>
      <c r="J1091" s="15" t="n">
        <f aca="false">I1091/H1091</f>
        <v>0.864071856287425</v>
      </c>
      <c r="K1091" s="16" t="n">
        <f aca="false">ROUND(I1091*J1091^($F$8-1),0)</f>
        <v>2985</v>
      </c>
      <c r="L1091" s="16" t="n">
        <f aca="false">ROUND(I1091*J1091^($F$9-1),0)</f>
        <v>2908</v>
      </c>
      <c r="M1091" s="17" t="n">
        <f aca="false">G1091*$F$7</f>
        <v>0</v>
      </c>
      <c r="N1091" s="18" t="n">
        <f aca="false">F1091/K1091</f>
        <v>0</v>
      </c>
      <c r="O1091" s="18" t="n">
        <f aca="false">G1091/L1091</f>
        <v>0</v>
      </c>
      <c r="P1091" s="18" t="n">
        <f aca="false">M1091/L1091</f>
        <v>0</v>
      </c>
      <c r="Q1091" s="19" t="str">
        <f aca="false">IF(N1091=0,"n.a.",P1091/N1091-1)</f>
        <v>n.a.</v>
      </c>
    </row>
    <row r="1092" customFormat="false" ht="15" hidden="false" customHeight="false" outlineLevel="0" collapsed="false">
      <c r="A1092" s="12" t="s">
        <v>2632</v>
      </c>
      <c r="B1092" s="12" t="s">
        <v>1451</v>
      </c>
      <c r="C1092" s="12" t="s">
        <v>1452</v>
      </c>
      <c r="D1092" s="12" t="s">
        <v>2633</v>
      </c>
      <c r="E1092" s="12" t="s">
        <v>2634</v>
      </c>
      <c r="F1092" s="13" t="n">
        <v>75820</v>
      </c>
      <c r="G1092" s="13" t="n">
        <v>174920</v>
      </c>
      <c r="H1092" s="14" t="n">
        <v>1142</v>
      </c>
      <c r="I1092" s="14" t="n">
        <v>1042</v>
      </c>
      <c r="J1092" s="15" t="n">
        <f aca="false">I1092/H1092</f>
        <v>0.912434325744308</v>
      </c>
      <c r="K1092" s="16" t="n">
        <f aca="false">ROUND(I1092*J1092^($F$8-1),0)</f>
        <v>1064</v>
      </c>
      <c r="L1092" s="16" t="n">
        <f aca="false">ROUND(I1092*J1092^($F$9-1),0)</f>
        <v>1047</v>
      </c>
      <c r="M1092" s="17" t="n">
        <f aca="false">G1092*$F$7</f>
        <v>168500.827035303</v>
      </c>
      <c r="N1092" s="18" t="n">
        <f aca="false">F1092/K1092</f>
        <v>71.2593984962406</v>
      </c>
      <c r="O1092" s="18" t="n">
        <f aca="false">G1092/L1092</f>
        <v>167.067812798472</v>
      </c>
      <c r="P1092" s="18" t="n">
        <f aca="false">M1092/L1092</f>
        <v>160.936797550432</v>
      </c>
      <c r="Q1092" s="19" t="n">
        <f aca="false">IF(N1092=0,"n.a.",P1092/N1092-1)</f>
        <v>1.25846415976866</v>
      </c>
    </row>
    <row r="1093" customFormat="false" ht="15" hidden="false" customHeight="false" outlineLevel="0" collapsed="false">
      <c r="A1093" s="12" t="s">
        <v>2635</v>
      </c>
      <c r="B1093" s="12" t="s">
        <v>1451</v>
      </c>
      <c r="C1093" s="12" t="s">
        <v>1452</v>
      </c>
      <c r="D1093" s="12" t="s">
        <v>2636</v>
      </c>
      <c r="E1093" s="12" t="s">
        <v>2637</v>
      </c>
      <c r="F1093" s="13" t="n">
        <v>42358</v>
      </c>
      <c r="G1093" s="13" t="n">
        <v>66870</v>
      </c>
      <c r="H1093" s="14" t="n">
        <v>4824</v>
      </c>
      <c r="I1093" s="14" t="n">
        <v>4695</v>
      </c>
      <c r="J1093" s="15" t="n">
        <f aca="false">I1093/H1093</f>
        <v>0.973258706467662</v>
      </c>
      <c r="K1093" s="16" t="n">
        <f aca="false">ROUND(I1093*J1093^($F$8-1),0)</f>
        <v>4724</v>
      </c>
      <c r="L1093" s="16" t="n">
        <f aca="false">ROUND(I1093*J1093^($F$9-1),0)</f>
        <v>4702</v>
      </c>
      <c r="M1093" s="17" t="n">
        <f aca="false">G1093*$F$7</f>
        <v>64416.0204885129</v>
      </c>
      <c r="N1093" s="18" t="n">
        <f aca="false">F1093/K1093</f>
        <v>8.96655376799323</v>
      </c>
      <c r="O1093" s="18" t="n">
        <f aca="false">G1093/L1093</f>
        <v>14.2216078264568</v>
      </c>
      <c r="P1093" s="18" t="n">
        <f aca="false">M1093/L1093</f>
        <v>13.6997066117637</v>
      </c>
      <c r="Q1093" s="19" t="n">
        <f aca="false">IF(N1093=0,"n.a.",P1093/N1093-1)</f>
        <v>0.527867558288204</v>
      </c>
    </row>
    <row r="1094" customFormat="false" ht="15" hidden="false" customHeight="false" outlineLevel="0" collapsed="false">
      <c r="A1094" s="12" t="s">
        <v>2638</v>
      </c>
      <c r="B1094" s="12" t="s">
        <v>1451</v>
      </c>
      <c r="C1094" s="12" t="s">
        <v>1452</v>
      </c>
      <c r="D1094" s="12" t="s">
        <v>2639</v>
      </c>
      <c r="E1094" s="12" t="s">
        <v>2640</v>
      </c>
      <c r="F1094" s="13" t="n">
        <v>0</v>
      </c>
      <c r="G1094" s="13" t="n">
        <v>0</v>
      </c>
      <c r="H1094" s="14" t="n">
        <v>5192</v>
      </c>
      <c r="I1094" s="14" t="n">
        <v>5749</v>
      </c>
      <c r="J1094" s="15" t="n">
        <f aca="false">I1094/H1094</f>
        <v>1.10728043143297</v>
      </c>
      <c r="K1094" s="16" t="n">
        <f aca="false">ROUND(I1094*J1094^($F$8-1),0)</f>
        <v>5615</v>
      </c>
      <c r="L1094" s="16" t="n">
        <f aca="false">ROUND(I1094*J1094^($F$9-1),0)</f>
        <v>5719</v>
      </c>
      <c r="M1094" s="17" t="n">
        <f aca="false">G1094*$F$7</f>
        <v>0</v>
      </c>
      <c r="N1094" s="18" t="n">
        <f aca="false">F1094/K1094</f>
        <v>0</v>
      </c>
      <c r="O1094" s="18" t="n">
        <f aca="false">G1094/L1094</f>
        <v>0</v>
      </c>
      <c r="P1094" s="18" t="n">
        <f aca="false">M1094/L1094</f>
        <v>0</v>
      </c>
      <c r="Q1094" s="19" t="str">
        <f aca="false">IF(N1094=0,"n.a.",P1094/N1094-1)</f>
        <v>n.a.</v>
      </c>
    </row>
    <row r="1095" customFormat="false" ht="15" hidden="false" customHeight="false" outlineLevel="0" collapsed="false">
      <c r="A1095" s="12" t="s">
        <v>2641</v>
      </c>
      <c r="B1095" s="12" t="s">
        <v>1451</v>
      </c>
      <c r="C1095" s="12" t="s">
        <v>1452</v>
      </c>
      <c r="D1095" s="12" t="s">
        <v>2642</v>
      </c>
      <c r="E1095" s="12" t="s">
        <v>2643</v>
      </c>
      <c r="F1095" s="13" t="n">
        <v>6701</v>
      </c>
      <c r="G1095" s="13" t="n">
        <v>6420</v>
      </c>
      <c r="H1095" s="14" t="n">
        <v>527</v>
      </c>
      <c r="I1095" s="14" t="n">
        <v>600</v>
      </c>
      <c r="J1095" s="15" t="n">
        <f aca="false">I1095/H1095</f>
        <v>1.13851992409867</v>
      </c>
      <c r="K1095" s="16" t="n">
        <f aca="false">ROUND(I1095*J1095^($F$8-1),0)</f>
        <v>582</v>
      </c>
      <c r="L1095" s="16" t="n">
        <f aca="false">ROUND(I1095*J1095^($F$9-1),0)</f>
        <v>596</v>
      </c>
      <c r="M1095" s="17" t="n">
        <f aca="false">G1095*$F$7</f>
        <v>6184.40035197029</v>
      </c>
      <c r="N1095" s="18" t="n">
        <f aca="false">F1095/K1095</f>
        <v>11.5137457044674</v>
      </c>
      <c r="O1095" s="18" t="n">
        <f aca="false">G1095/L1095</f>
        <v>10.7718120805369</v>
      </c>
      <c r="P1095" s="18" t="n">
        <f aca="false">M1095/L1095</f>
        <v>10.3765106576683</v>
      </c>
      <c r="Q1095" s="19" t="n">
        <f aca="false">IF(N1095=0,"n.a.",P1095/N1095-1)</f>
        <v>-0.0987719440735816</v>
      </c>
    </row>
    <row r="1096" customFormat="false" ht="15" hidden="false" customHeight="false" outlineLevel="0" collapsed="false">
      <c r="A1096" s="12" t="s">
        <v>2644</v>
      </c>
      <c r="B1096" s="12" t="s">
        <v>1451</v>
      </c>
      <c r="C1096" s="12" t="s">
        <v>1452</v>
      </c>
      <c r="D1096" s="12" t="s">
        <v>2645</v>
      </c>
      <c r="E1096" s="12" t="s">
        <v>2646</v>
      </c>
      <c r="F1096" s="13" t="n">
        <v>364278</v>
      </c>
      <c r="G1096" s="13" t="n">
        <v>354556</v>
      </c>
      <c r="H1096" s="14" t="n">
        <v>4479</v>
      </c>
      <c r="I1096" s="14" t="n">
        <v>4297</v>
      </c>
      <c r="J1096" s="15" t="n">
        <f aca="false">I1096/H1096</f>
        <v>0.959365929895066</v>
      </c>
      <c r="K1096" s="16" t="n">
        <f aca="false">ROUND(I1096*J1096^($F$8-1),0)</f>
        <v>4338</v>
      </c>
      <c r="L1096" s="16" t="n">
        <f aca="false">ROUND(I1096*J1096^($F$9-1),0)</f>
        <v>4306</v>
      </c>
      <c r="M1096" s="17" t="n">
        <f aca="false">G1096*$F$7</f>
        <v>341544.587413267</v>
      </c>
      <c r="N1096" s="18" t="n">
        <f aca="false">F1096/K1096</f>
        <v>83.9737206085754</v>
      </c>
      <c r="O1096" s="18" t="n">
        <f aca="false">G1096/L1096</f>
        <v>82.3399907106363</v>
      </c>
      <c r="P1096" s="18" t="n">
        <f aca="false">M1096/L1096</f>
        <v>79.3182971233784</v>
      </c>
      <c r="Q1096" s="19" t="n">
        <f aca="false">IF(N1096=0,"n.a.",P1096/N1096-1)</f>
        <v>-0.0554390522589464</v>
      </c>
    </row>
    <row r="1097" customFormat="false" ht="15" hidden="false" customHeight="false" outlineLevel="0" collapsed="false">
      <c r="A1097" s="12" t="s">
        <v>2647</v>
      </c>
      <c r="B1097" s="12" t="s">
        <v>1451</v>
      </c>
      <c r="C1097" s="12" t="s">
        <v>1452</v>
      </c>
      <c r="D1097" s="12" t="s">
        <v>2648</v>
      </c>
      <c r="E1097" s="12" t="s">
        <v>2649</v>
      </c>
      <c r="F1097" s="13" t="n">
        <v>27713</v>
      </c>
      <c r="G1097" s="13" t="n">
        <v>22338</v>
      </c>
      <c r="H1097" s="14" t="n">
        <v>518</v>
      </c>
      <c r="I1097" s="14" t="n">
        <v>503</v>
      </c>
      <c r="J1097" s="15" t="n">
        <f aca="false">I1097/H1097</f>
        <v>0.971042471042471</v>
      </c>
      <c r="K1097" s="16" t="n">
        <f aca="false">ROUND(I1097*J1097^($F$8-1),0)</f>
        <v>506</v>
      </c>
      <c r="L1097" s="16" t="n">
        <f aca="false">ROUND(I1097*J1097^($F$9-1),0)</f>
        <v>504</v>
      </c>
      <c r="M1097" s="17" t="n">
        <f aca="false">G1097*$F$7</f>
        <v>21518.2453368088</v>
      </c>
      <c r="N1097" s="18" t="n">
        <f aca="false">F1097/K1097</f>
        <v>54.7687747035573</v>
      </c>
      <c r="O1097" s="18" t="n">
        <f aca="false">G1097/L1097</f>
        <v>44.3214285714286</v>
      </c>
      <c r="P1097" s="18" t="n">
        <f aca="false">M1097/L1097</f>
        <v>42.6949312238269</v>
      </c>
      <c r="Q1097" s="19" t="n">
        <f aca="false">IF(N1097=0,"n.a.",P1097/N1097-1)</f>
        <v>-0.220451225083664</v>
      </c>
    </row>
    <row r="1098" customFormat="false" ht="15" hidden="false" customHeight="false" outlineLevel="0" collapsed="false">
      <c r="A1098" s="12" t="s">
        <v>2650</v>
      </c>
      <c r="B1098" s="12" t="s">
        <v>1451</v>
      </c>
      <c r="C1098" s="12" t="s">
        <v>1452</v>
      </c>
      <c r="D1098" s="12" t="s">
        <v>2651</v>
      </c>
      <c r="E1098" s="12" t="s">
        <v>2652</v>
      </c>
      <c r="F1098" s="13" t="n">
        <v>6406</v>
      </c>
      <c r="G1098" s="13" t="n">
        <v>38110</v>
      </c>
      <c r="H1098" s="14" t="n">
        <v>326</v>
      </c>
      <c r="I1098" s="14" t="n">
        <v>410</v>
      </c>
      <c r="J1098" s="15" t="n">
        <f aca="false">I1098/H1098</f>
        <v>1.25766871165644</v>
      </c>
      <c r="K1098" s="16" t="n">
        <f aca="false">ROUND(I1098*J1098^($F$8-1),0)</f>
        <v>389</v>
      </c>
      <c r="L1098" s="16" t="n">
        <f aca="false">ROUND(I1098*J1098^($F$9-1),0)</f>
        <v>405</v>
      </c>
      <c r="M1098" s="17" t="n">
        <f aca="false">G1098*$F$7</f>
        <v>36711.4481952629</v>
      </c>
      <c r="N1098" s="18" t="n">
        <f aca="false">F1098/K1098</f>
        <v>16.4678663239075</v>
      </c>
      <c r="O1098" s="18" t="n">
        <f aca="false">G1098/L1098</f>
        <v>94.0987654320988</v>
      </c>
      <c r="P1098" s="18" t="n">
        <f aca="false">M1098/L1098</f>
        <v>90.6455510994145</v>
      </c>
      <c r="Q1098" s="19" t="n">
        <f aca="false">IF(N1098=0,"n.a.",P1098/N1098-1)</f>
        <v>4.50438953756981</v>
      </c>
    </row>
    <row r="1099" customFormat="false" ht="15" hidden="false" customHeight="false" outlineLevel="0" collapsed="false">
      <c r="A1099" s="12" t="s">
        <v>2653</v>
      </c>
      <c r="B1099" s="12" t="s">
        <v>1451</v>
      </c>
      <c r="C1099" s="12" t="s">
        <v>1452</v>
      </c>
      <c r="D1099" s="12" t="s">
        <v>2654</v>
      </c>
      <c r="E1099" s="12" t="s">
        <v>2655</v>
      </c>
      <c r="F1099" s="13" t="n">
        <v>0</v>
      </c>
      <c r="G1099" s="13" t="n">
        <v>0</v>
      </c>
      <c r="H1099" s="14" t="n">
        <v>1636</v>
      </c>
      <c r="I1099" s="14" t="n">
        <v>1535</v>
      </c>
      <c r="J1099" s="15" t="n">
        <f aca="false">I1099/H1099</f>
        <v>0.938264058679707</v>
      </c>
      <c r="K1099" s="16" t="n">
        <f aca="false">ROUND(I1099*J1099^($F$8-1),0)</f>
        <v>1558</v>
      </c>
      <c r="L1099" s="16" t="n">
        <f aca="false">ROUND(I1099*J1099^($F$9-1),0)</f>
        <v>1540</v>
      </c>
      <c r="M1099" s="17" t="n">
        <f aca="false">G1099*$F$7</f>
        <v>0</v>
      </c>
      <c r="N1099" s="18" t="n">
        <f aca="false">F1099/K1099</f>
        <v>0</v>
      </c>
      <c r="O1099" s="18" t="n">
        <f aca="false">G1099/L1099</f>
        <v>0</v>
      </c>
      <c r="P1099" s="18" t="n">
        <f aca="false">M1099/L1099</f>
        <v>0</v>
      </c>
      <c r="Q1099" s="19" t="str">
        <f aca="false">IF(N1099=0,"n.a.",P1099/N1099-1)</f>
        <v>n.a.</v>
      </c>
    </row>
    <row r="1100" customFormat="false" ht="15" hidden="false" customHeight="false" outlineLevel="0" collapsed="false">
      <c r="A1100" s="12" t="s">
        <v>2656</v>
      </c>
      <c r="B1100" s="12" t="s">
        <v>1451</v>
      </c>
      <c r="C1100" s="12" t="s">
        <v>1452</v>
      </c>
      <c r="D1100" s="12" t="s">
        <v>2657</v>
      </c>
      <c r="E1100" s="12" t="s">
        <v>2658</v>
      </c>
      <c r="F1100" s="13" t="n">
        <v>0</v>
      </c>
      <c r="G1100" s="13" t="n">
        <v>0</v>
      </c>
      <c r="H1100" s="14" t="n">
        <v>13864</v>
      </c>
      <c r="I1100" s="14" t="n">
        <v>13163</v>
      </c>
      <c r="J1100" s="15" t="n">
        <f aca="false">I1100/H1100</f>
        <v>0.949437391806117</v>
      </c>
      <c r="K1100" s="16" t="n">
        <f aca="false">ROUND(I1100*J1100^($F$8-1),0)</f>
        <v>13322</v>
      </c>
      <c r="L1100" s="16" t="n">
        <f aca="false">ROUND(I1100*J1100^($F$9-1),0)</f>
        <v>13199</v>
      </c>
      <c r="M1100" s="17" t="n">
        <f aca="false">G1100*$F$7</f>
        <v>0</v>
      </c>
      <c r="N1100" s="18" t="n">
        <f aca="false">F1100/K1100</f>
        <v>0</v>
      </c>
      <c r="O1100" s="18" t="n">
        <f aca="false">G1100/L1100</f>
        <v>0</v>
      </c>
      <c r="P1100" s="18" t="n">
        <f aca="false">M1100/L1100</f>
        <v>0</v>
      </c>
      <c r="Q1100" s="19" t="str">
        <f aca="false">IF(N1100=0,"n.a.",P1100/N1100-1)</f>
        <v>n.a.</v>
      </c>
    </row>
    <row r="1101" customFormat="false" ht="15" hidden="false" customHeight="false" outlineLevel="0" collapsed="false">
      <c r="A1101" s="12" t="s">
        <v>2659</v>
      </c>
      <c r="B1101" s="12" t="s">
        <v>1451</v>
      </c>
      <c r="C1101" s="12" t="s">
        <v>1452</v>
      </c>
      <c r="D1101" s="12" t="s">
        <v>2660</v>
      </c>
      <c r="E1101" s="12" t="s">
        <v>2661</v>
      </c>
      <c r="F1101" s="13" t="n">
        <v>15226</v>
      </c>
      <c r="G1101" s="13" t="n">
        <v>124084</v>
      </c>
      <c r="H1101" s="14" t="n">
        <v>19088</v>
      </c>
      <c r="I1101" s="14" t="n">
        <v>17227</v>
      </c>
      <c r="J1101" s="15" t="n">
        <f aca="false">I1101/H1101</f>
        <v>0.902504191114837</v>
      </c>
      <c r="K1101" s="16" t="n">
        <f aca="false">ROUND(I1101*J1101^($F$8-1),0)</f>
        <v>17640</v>
      </c>
      <c r="L1101" s="16" t="n">
        <f aca="false">ROUND(I1101*J1101^($F$9-1),0)</f>
        <v>17319</v>
      </c>
      <c r="M1101" s="17" t="n">
        <f aca="false">G1101*$F$7</f>
        <v>119530.394590947</v>
      </c>
      <c r="N1101" s="18" t="n">
        <f aca="false">F1101/K1101</f>
        <v>0.863151927437642</v>
      </c>
      <c r="O1101" s="18" t="n">
        <f aca="false">G1101/L1101</f>
        <v>7.16461689473988</v>
      </c>
      <c r="P1101" s="18" t="n">
        <f aca="false">M1101/L1101</f>
        <v>6.90169147127127</v>
      </c>
      <c r="Q1101" s="19" t="n">
        <f aca="false">IF(N1101=0,"n.a.",P1101/N1101-1)</f>
        <v>6.99591734882604</v>
      </c>
    </row>
    <row r="1102" customFormat="false" ht="15" hidden="false" customHeight="false" outlineLevel="0" collapsed="false">
      <c r="A1102" s="12" t="s">
        <v>2662</v>
      </c>
      <c r="B1102" s="12" t="s">
        <v>1451</v>
      </c>
      <c r="C1102" s="12" t="s">
        <v>1452</v>
      </c>
      <c r="D1102" s="12" t="s">
        <v>2663</v>
      </c>
      <c r="E1102" s="12" t="s">
        <v>2664</v>
      </c>
      <c r="F1102" s="13" t="n">
        <v>0</v>
      </c>
      <c r="G1102" s="13" t="n">
        <v>0</v>
      </c>
      <c r="H1102" s="14" t="n">
        <v>14014</v>
      </c>
      <c r="I1102" s="14" t="n">
        <v>14230</v>
      </c>
      <c r="J1102" s="15" t="n">
        <f aca="false">I1102/H1102</f>
        <v>1.0154131582703</v>
      </c>
      <c r="K1102" s="16" t="n">
        <f aca="false">ROUND(I1102*J1102^($F$8-1),0)</f>
        <v>14180</v>
      </c>
      <c r="L1102" s="16" t="n">
        <f aca="false">ROUND(I1102*J1102^($F$9-1),0)</f>
        <v>14219</v>
      </c>
      <c r="M1102" s="17" t="n">
        <f aca="false">G1102*$F$7</f>
        <v>0</v>
      </c>
      <c r="N1102" s="18" t="n">
        <f aca="false">F1102/K1102</f>
        <v>0</v>
      </c>
      <c r="O1102" s="18" t="n">
        <f aca="false">G1102/L1102</f>
        <v>0</v>
      </c>
      <c r="P1102" s="18" t="n">
        <f aca="false">M1102/L1102</f>
        <v>0</v>
      </c>
      <c r="Q1102" s="19" t="str">
        <f aca="false">IF(N1102=0,"n.a.",P1102/N1102-1)</f>
        <v>n.a.</v>
      </c>
    </row>
    <row r="1103" customFormat="false" ht="15" hidden="false" customHeight="false" outlineLevel="0" collapsed="false">
      <c r="A1103" s="12" t="s">
        <v>2665</v>
      </c>
      <c r="B1103" s="12" t="s">
        <v>1451</v>
      </c>
      <c r="C1103" s="12" t="s">
        <v>1452</v>
      </c>
      <c r="D1103" s="12" t="s">
        <v>2666</v>
      </c>
      <c r="E1103" s="12" t="s">
        <v>2667</v>
      </c>
      <c r="F1103" s="13" t="n">
        <v>1276532</v>
      </c>
      <c r="G1103" s="13" t="n">
        <v>1269312</v>
      </c>
      <c r="H1103" s="14" t="n">
        <v>34153</v>
      </c>
      <c r="I1103" s="14" t="n">
        <v>37910</v>
      </c>
      <c r="J1103" s="15" t="n">
        <f aca="false">I1103/H1103</f>
        <v>1.1100049776008</v>
      </c>
      <c r="K1103" s="16" t="n">
        <f aca="false">ROUND(I1103*J1103^($F$8-1),0)</f>
        <v>37007</v>
      </c>
      <c r="L1103" s="16" t="n">
        <f aca="false">ROUND(I1103*J1103^($F$9-1),0)</f>
        <v>37705</v>
      </c>
      <c r="M1103" s="17" t="n">
        <f aca="false">G1103*$F$7</f>
        <v>1222731.0871589</v>
      </c>
      <c r="N1103" s="18" t="n">
        <f aca="false">F1103/K1103</f>
        <v>34.4943389088551</v>
      </c>
      <c r="O1103" s="18" t="n">
        <f aca="false">G1103/L1103</f>
        <v>33.6642885558944</v>
      </c>
      <c r="P1103" s="18" t="n">
        <f aca="false">M1103/L1103</f>
        <v>32.4288844227263</v>
      </c>
      <c r="Q1103" s="19" t="n">
        <f aca="false">IF(N1103=0,"n.a.",P1103/N1103-1)</f>
        <v>-0.0598780713434272</v>
      </c>
    </row>
    <row r="1104" customFormat="false" ht="15" hidden="false" customHeight="false" outlineLevel="0" collapsed="false">
      <c r="A1104" s="12" t="s">
        <v>2668</v>
      </c>
      <c r="B1104" s="12" t="s">
        <v>1451</v>
      </c>
      <c r="C1104" s="12" t="s">
        <v>1452</v>
      </c>
      <c r="D1104" s="12" t="s">
        <v>2669</v>
      </c>
      <c r="E1104" s="12" t="s">
        <v>2670</v>
      </c>
      <c r="F1104" s="13" t="n">
        <v>5100</v>
      </c>
      <c r="G1104" s="13" t="n">
        <v>0</v>
      </c>
      <c r="H1104" s="14" t="n">
        <v>4353</v>
      </c>
      <c r="I1104" s="14" t="n">
        <v>4245</v>
      </c>
      <c r="J1104" s="15" t="n">
        <f aca="false">I1104/H1104</f>
        <v>0.975189524465886</v>
      </c>
      <c r="K1104" s="16" t="n">
        <f aca="false">ROUND(I1104*J1104^($F$8-1),0)</f>
        <v>4270</v>
      </c>
      <c r="L1104" s="16" t="n">
        <f aca="false">ROUND(I1104*J1104^($F$9-1),0)</f>
        <v>4251</v>
      </c>
      <c r="M1104" s="17" t="n">
        <f aca="false">G1104*$F$7</f>
        <v>0</v>
      </c>
      <c r="N1104" s="18" t="n">
        <f aca="false">F1104/K1104</f>
        <v>1.1943793911007</v>
      </c>
      <c r="O1104" s="18" t="n">
        <f aca="false">G1104/L1104</f>
        <v>0</v>
      </c>
      <c r="P1104" s="18" t="n">
        <f aca="false">M1104/L1104</f>
        <v>0</v>
      </c>
      <c r="Q1104" s="19" t="n">
        <f aca="false">IF(N1104=0,"n.a.",P1104/N1104-1)</f>
        <v>-1</v>
      </c>
    </row>
    <row r="1105" customFormat="false" ht="15" hidden="false" customHeight="false" outlineLevel="0" collapsed="false">
      <c r="A1105" s="12" t="s">
        <v>2671</v>
      </c>
      <c r="B1105" s="12" t="s">
        <v>1451</v>
      </c>
      <c r="C1105" s="12" t="s">
        <v>1452</v>
      </c>
      <c r="D1105" s="12" t="s">
        <v>2672</v>
      </c>
      <c r="E1105" s="12" t="s">
        <v>2673</v>
      </c>
      <c r="F1105" s="13" t="n">
        <v>20857</v>
      </c>
      <c r="G1105" s="13" t="n">
        <v>13469</v>
      </c>
      <c r="H1105" s="14" t="n">
        <v>409</v>
      </c>
      <c r="I1105" s="14" t="n">
        <v>401</v>
      </c>
      <c r="J1105" s="15" t="n">
        <f aca="false">I1105/H1105</f>
        <v>0.980440097799511</v>
      </c>
      <c r="K1105" s="16" t="n">
        <f aca="false">ROUND(I1105*J1105^($F$8-1),0)</f>
        <v>403</v>
      </c>
      <c r="L1105" s="16" t="n">
        <f aca="false">ROUND(I1105*J1105^($F$9-1),0)</f>
        <v>401</v>
      </c>
      <c r="M1105" s="17" t="n">
        <f aca="false">G1105*$F$7</f>
        <v>12974.717810076</v>
      </c>
      <c r="N1105" s="18" t="n">
        <f aca="false">F1105/K1105</f>
        <v>51.7543424317618</v>
      </c>
      <c r="O1105" s="18" t="n">
        <f aca="false">G1105/L1105</f>
        <v>33.5885286783042</v>
      </c>
      <c r="P1105" s="18" t="n">
        <f aca="false">M1105/L1105</f>
        <v>32.3559047632817</v>
      </c>
      <c r="Q1105" s="19" t="n">
        <f aca="false">IF(N1105=0,"n.a.",P1105/N1105-1)</f>
        <v>-0.37481758548197</v>
      </c>
    </row>
    <row r="1106" customFormat="false" ht="15" hidden="false" customHeight="false" outlineLevel="0" collapsed="false">
      <c r="A1106" s="12" t="s">
        <v>2674</v>
      </c>
      <c r="B1106" s="12" t="s">
        <v>1451</v>
      </c>
      <c r="C1106" s="12" t="s">
        <v>1452</v>
      </c>
      <c r="D1106" s="12" t="s">
        <v>2675</v>
      </c>
      <c r="E1106" s="12" t="s">
        <v>2676</v>
      </c>
      <c r="F1106" s="13" t="n">
        <v>20858</v>
      </c>
      <c r="G1106" s="13" t="n">
        <v>8567</v>
      </c>
      <c r="H1106" s="14" t="n">
        <v>3361</v>
      </c>
      <c r="I1106" s="14" t="n">
        <v>3083</v>
      </c>
      <c r="J1106" s="15" t="n">
        <f aca="false">I1106/H1106</f>
        <v>0.917286521868492</v>
      </c>
      <c r="K1106" s="16" t="n">
        <f aca="false">ROUND(I1106*J1106^($F$8-1),0)</f>
        <v>3145</v>
      </c>
      <c r="L1106" s="16" t="n">
        <f aca="false">ROUND(I1106*J1106^($F$9-1),0)</f>
        <v>3097</v>
      </c>
      <c r="M1106" s="17" t="n">
        <f aca="false">G1106*$F$7</f>
        <v>8252.61025160895</v>
      </c>
      <c r="N1106" s="18" t="n">
        <f aca="false">F1106/K1106</f>
        <v>6.63211446740859</v>
      </c>
      <c r="O1106" s="18" t="n">
        <f aca="false">G1106/L1106</f>
        <v>2.76622537939942</v>
      </c>
      <c r="P1106" s="18" t="n">
        <f aca="false">M1106/L1106</f>
        <v>2.66471109189827</v>
      </c>
      <c r="Q1106" s="19" t="n">
        <f aca="false">IF(N1106=0,"n.a.",P1106/N1106-1)</f>
        <v>-0.598210931823758</v>
      </c>
    </row>
    <row r="1107" customFormat="false" ht="15" hidden="false" customHeight="false" outlineLevel="0" collapsed="false">
      <c r="A1107" s="12" t="s">
        <v>2677</v>
      </c>
      <c r="B1107" s="12" t="s">
        <v>1451</v>
      </c>
      <c r="C1107" s="12" t="s">
        <v>1452</v>
      </c>
      <c r="D1107" s="12" t="s">
        <v>2678</v>
      </c>
      <c r="E1107" s="12" t="s">
        <v>2679</v>
      </c>
      <c r="F1107" s="13" t="n">
        <v>27330</v>
      </c>
      <c r="G1107" s="13" t="n">
        <v>27005</v>
      </c>
      <c r="H1107" s="14" t="n">
        <v>1291</v>
      </c>
      <c r="I1107" s="14" t="n">
        <v>1213</v>
      </c>
      <c r="J1107" s="15" t="n">
        <f aca="false">I1107/H1107</f>
        <v>0.939581719597212</v>
      </c>
      <c r="K1107" s="16" t="n">
        <f aca="false">ROUND(I1107*J1107^($F$8-1),0)</f>
        <v>1231</v>
      </c>
      <c r="L1107" s="16" t="n">
        <f aca="false">ROUND(I1107*J1107^($F$9-1),0)</f>
        <v>1217</v>
      </c>
      <c r="M1107" s="17" t="n">
        <f aca="false">G1107*$F$7</f>
        <v>26013.9768699311</v>
      </c>
      <c r="N1107" s="18" t="n">
        <f aca="false">F1107/K1107</f>
        <v>22.2014622258327</v>
      </c>
      <c r="O1107" s="18" t="n">
        <f aca="false">G1107/L1107</f>
        <v>22.189811010682</v>
      </c>
      <c r="P1107" s="18" t="n">
        <f aca="false">M1107/L1107</f>
        <v>21.3754945521209</v>
      </c>
      <c r="Q1107" s="19" t="n">
        <f aca="false">IF(N1107=0,"n.a.",P1107/N1107-1)</f>
        <v>-0.0372033006344392</v>
      </c>
    </row>
    <row r="1108" customFormat="false" ht="15" hidden="false" customHeight="false" outlineLevel="0" collapsed="false">
      <c r="A1108" s="12" t="s">
        <v>2680</v>
      </c>
      <c r="B1108" s="12" t="s">
        <v>1451</v>
      </c>
      <c r="C1108" s="12" t="s">
        <v>1452</v>
      </c>
      <c r="D1108" s="12" t="s">
        <v>2681</v>
      </c>
      <c r="E1108" s="12" t="s">
        <v>2682</v>
      </c>
      <c r="F1108" s="13" t="n">
        <v>25637</v>
      </c>
      <c r="G1108" s="13" t="n">
        <v>0</v>
      </c>
      <c r="H1108" s="14" t="n">
        <v>3440</v>
      </c>
      <c r="I1108" s="14" t="n">
        <v>3031</v>
      </c>
      <c r="J1108" s="15" t="n">
        <f aca="false">I1108/H1108</f>
        <v>0.881104651162791</v>
      </c>
      <c r="K1108" s="16" t="n">
        <f aca="false">ROUND(I1108*J1108^($F$8-1),0)</f>
        <v>3121</v>
      </c>
      <c r="L1108" s="16" t="n">
        <f aca="false">ROUND(I1108*J1108^($F$9-1),0)</f>
        <v>3051</v>
      </c>
      <c r="M1108" s="17" t="n">
        <f aca="false">G1108*$F$7</f>
        <v>0</v>
      </c>
      <c r="N1108" s="18" t="n">
        <f aca="false">F1108/K1108</f>
        <v>8.21435437359821</v>
      </c>
      <c r="O1108" s="18" t="n">
        <f aca="false">G1108/L1108</f>
        <v>0</v>
      </c>
      <c r="P1108" s="18" t="n">
        <f aca="false">M1108/L1108</f>
        <v>0</v>
      </c>
      <c r="Q1108" s="19" t="n">
        <f aca="false">IF(N1108=0,"n.a.",P1108/N1108-1)</f>
        <v>-1</v>
      </c>
    </row>
    <row r="1109" customFormat="false" ht="15" hidden="false" customHeight="false" outlineLevel="0" collapsed="false">
      <c r="A1109" s="12" t="s">
        <v>2683</v>
      </c>
      <c r="B1109" s="12" t="s">
        <v>1451</v>
      </c>
      <c r="C1109" s="12" t="s">
        <v>1452</v>
      </c>
      <c r="D1109" s="12" t="s">
        <v>2684</v>
      </c>
      <c r="E1109" s="12" t="s">
        <v>2685</v>
      </c>
      <c r="F1109" s="13" t="n">
        <v>491948</v>
      </c>
      <c r="G1109" s="13" t="n">
        <v>427373</v>
      </c>
      <c r="H1109" s="14" t="n">
        <v>10175</v>
      </c>
      <c r="I1109" s="14" t="n">
        <v>11524</v>
      </c>
      <c r="J1109" s="15" t="n">
        <f aca="false">I1109/H1109</f>
        <v>1.13257985257985</v>
      </c>
      <c r="K1109" s="16" t="n">
        <f aca="false">ROUND(I1109*J1109^($F$8-1),0)</f>
        <v>11197</v>
      </c>
      <c r="L1109" s="16" t="n">
        <f aca="false">ROUND(I1109*J1109^($F$9-1),0)</f>
        <v>11450</v>
      </c>
      <c r="M1109" s="17" t="n">
        <f aca="false">G1109*$F$7</f>
        <v>411689.366296355</v>
      </c>
      <c r="N1109" s="18" t="n">
        <f aca="false">F1109/K1109</f>
        <v>43.935697061713</v>
      </c>
      <c r="O1109" s="18" t="n">
        <f aca="false">G1109/L1109</f>
        <v>37.325152838428</v>
      </c>
      <c r="P1109" s="18" t="n">
        <f aca="false">M1109/L1109</f>
        <v>35.9554031699873</v>
      </c>
      <c r="Q1109" s="19" t="n">
        <f aca="false">IF(N1109=0,"n.a.",P1109/N1109-1)</f>
        <v>-0.181635763750746</v>
      </c>
    </row>
    <row r="1110" customFormat="false" ht="15" hidden="false" customHeight="false" outlineLevel="0" collapsed="false">
      <c r="A1110" s="12" t="s">
        <v>2686</v>
      </c>
      <c r="B1110" s="12" t="s">
        <v>1451</v>
      </c>
      <c r="C1110" s="12" t="s">
        <v>1452</v>
      </c>
      <c r="D1110" s="12" t="s">
        <v>2687</v>
      </c>
      <c r="E1110" s="12" t="s">
        <v>2688</v>
      </c>
      <c r="F1110" s="13" t="n">
        <v>22826</v>
      </c>
      <c r="G1110" s="13" t="n">
        <v>19151</v>
      </c>
      <c r="H1110" s="14" t="n">
        <v>421</v>
      </c>
      <c r="I1110" s="14" t="n">
        <v>406</v>
      </c>
      <c r="J1110" s="15" t="n">
        <f aca="false">I1110/H1110</f>
        <v>0.96437054631829</v>
      </c>
      <c r="K1110" s="16" t="n">
        <f aca="false">ROUND(I1110*J1110^($F$8-1),0)</f>
        <v>409</v>
      </c>
      <c r="L1110" s="16" t="n">
        <f aca="false">ROUND(I1110*J1110^($F$9-1),0)</f>
        <v>407</v>
      </c>
      <c r="M1110" s="17" t="n">
        <f aca="false">G1110*$F$7</f>
        <v>18448.2011122403</v>
      </c>
      <c r="N1110" s="18" t="n">
        <f aca="false">F1110/K1110</f>
        <v>55.8092909535452</v>
      </c>
      <c r="O1110" s="18" t="n">
        <f aca="false">G1110/L1110</f>
        <v>47.0540540540541</v>
      </c>
      <c r="P1110" s="18" t="n">
        <f aca="false">M1110/L1110</f>
        <v>45.32727546005</v>
      </c>
      <c r="Q1110" s="19" t="n">
        <f aca="false">IF(N1110=0,"n.a.",P1110/N1110-1)</f>
        <v>-0.187818467398562</v>
      </c>
    </row>
    <row r="1111" customFormat="false" ht="15" hidden="false" customHeight="false" outlineLevel="0" collapsed="false">
      <c r="A1111" s="12" t="s">
        <v>2689</v>
      </c>
      <c r="B1111" s="12" t="s">
        <v>1451</v>
      </c>
      <c r="C1111" s="12" t="s">
        <v>1452</v>
      </c>
      <c r="D1111" s="12" t="s">
        <v>2690</v>
      </c>
      <c r="E1111" s="12" t="s">
        <v>2691</v>
      </c>
      <c r="F1111" s="13" t="n">
        <v>0</v>
      </c>
      <c r="G1111" s="13" t="n">
        <v>0</v>
      </c>
      <c r="H1111" s="14" t="n">
        <v>1327</v>
      </c>
      <c r="I1111" s="14" t="n">
        <v>1321</v>
      </c>
      <c r="J1111" s="15" t="n">
        <f aca="false">I1111/H1111</f>
        <v>0.995478522984175</v>
      </c>
      <c r="K1111" s="16" t="n">
        <f aca="false">ROUND(I1111*J1111^($F$8-1),0)</f>
        <v>1322</v>
      </c>
      <c r="L1111" s="16" t="n">
        <f aca="false">ROUND(I1111*J1111^($F$9-1),0)</f>
        <v>1321</v>
      </c>
      <c r="M1111" s="17" t="n">
        <f aca="false">G1111*$F$7</f>
        <v>0</v>
      </c>
      <c r="N1111" s="18" t="n">
        <f aca="false">F1111/K1111</f>
        <v>0</v>
      </c>
      <c r="O1111" s="18" t="n">
        <f aca="false">G1111/L1111</f>
        <v>0</v>
      </c>
      <c r="P1111" s="18" t="n">
        <f aca="false">M1111/L1111</f>
        <v>0</v>
      </c>
      <c r="Q1111" s="19" t="str">
        <f aca="false">IF(N1111=0,"n.a.",P1111/N1111-1)</f>
        <v>n.a.</v>
      </c>
    </row>
    <row r="1112" customFormat="false" ht="15" hidden="false" customHeight="false" outlineLevel="0" collapsed="false">
      <c r="A1112" s="12" t="s">
        <v>2692</v>
      </c>
      <c r="B1112" s="12" t="s">
        <v>1451</v>
      </c>
      <c r="C1112" s="12" t="s">
        <v>1452</v>
      </c>
      <c r="D1112" s="12" t="s">
        <v>2693</v>
      </c>
      <c r="E1112" s="12" t="s">
        <v>2694</v>
      </c>
      <c r="F1112" s="13" t="n">
        <v>0</v>
      </c>
      <c r="G1112" s="13" t="n">
        <v>0</v>
      </c>
      <c r="H1112" s="14" t="n">
        <v>1555</v>
      </c>
      <c r="I1112" s="14" t="n">
        <v>1444</v>
      </c>
      <c r="J1112" s="15" t="n">
        <f aca="false">I1112/H1112</f>
        <v>0.928617363344051</v>
      </c>
      <c r="K1112" s="16" t="n">
        <f aca="false">ROUND(I1112*J1112^($F$8-1),0)</f>
        <v>1469</v>
      </c>
      <c r="L1112" s="16" t="n">
        <f aca="false">ROUND(I1112*J1112^($F$9-1),0)</f>
        <v>1450</v>
      </c>
      <c r="M1112" s="17" t="n">
        <f aca="false">G1112*$F$7</f>
        <v>0</v>
      </c>
      <c r="N1112" s="18" t="n">
        <f aca="false">F1112/K1112</f>
        <v>0</v>
      </c>
      <c r="O1112" s="18" t="n">
        <f aca="false">G1112/L1112</f>
        <v>0</v>
      </c>
      <c r="P1112" s="18" t="n">
        <f aca="false">M1112/L1112</f>
        <v>0</v>
      </c>
      <c r="Q1112" s="19" t="str">
        <f aca="false">IF(N1112=0,"n.a.",P1112/N1112-1)</f>
        <v>n.a.</v>
      </c>
    </row>
    <row r="1113" customFormat="false" ht="15" hidden="false" customHeight="false" outlineLevel="0" collapsed="false">
      <c r="A1113" s="12" t="s">
        <v>2695</v>
      </c>
      <c r="B1113" s="12" t="s">
        <v>1451</v>
      </c>
      <c r="C1113" s="12" t="s">
        <v>1452</v>
      </c>
      <c r="D1113" s="12" t="s">
        <v>2696</v>
      </c>
      <c r="E1113" s="12" t="s">
        <v>2697</v>
      </c>
      <c r="F1113" s="13" t="n">
        <v>0</v>
      </c>
      <c r="G1113" s="13" t="n">
        <v>0</v>
      </c>
      <c r="H1113" s="14" t="n">
        <v>174</v>
      </c>
      <c r="I1113" s="14" t="n">
        <v>157</v>
      </c>
      <c r="J1113" s="15" t="n">
        <f aca="false">I1113/H1113</f>
        <v>0.902298850574713</v>
      </c>
      <c r="K1113" s="16" t="n">
        <f aca="false">ROUND(I1113*J1113^($F$8-1),0)</f>
        <v>161</v>
      </c>
      <c r="L1113" s="16" t="n">
        <f aca="false">ROUND(I1113*J1113^($F$9-1),0)</f>
        <v>158</v>
      </c>
      <c r="M1113" s="17" t="n">
        <f aca="false">G1113*$F$7</f>
        <v>0</v>
      </c>
      <c r="N1113" s="18" t="n">
        <f aca="false">F1113/K1113</f>
        <v>0</v>
      </c>
      <c r="O1113" s="18" t="n">
        <f aca="false">G1113/L1113</f>
        <v>0</v>
      </c>
      <c r="P1113" s="18" t="n">
        <f aca="false">M1113/L1113</f>
        <v>0</v>
      </c>
      <c r="Q1113" s="19" t="str">
        <f aca="false">IF(N1113=0,"n.a.",P1113/N1113-1)</f>
        <v>n.a.</v>
      </c>
    </row>
    <row r="1114" customFormat="false" ht="15" hidden="false" customHeight="false" outlineLevel="0" collapsed="false">
      <c r="A1114" s="12" t="s">
        <v>2698</v>
      </c>
      <c r="B1114" s="12" t="s">
        <v>1451</v>
      </c>
      <c r="C1114" s="12" t="s">
        <v>1452</v>
      </c>
      <c r="D1114" s="12" t="s">
        <v>2699</v>
      </c>
      <c r="E1114" s="12" t="s">
        <v>2700</v>
      </c>
      <c r="F1114" s="13" t="n">
        <v>0</v>
      </c>
      <c r="G1114" s="13" t="n">
        <v>0</v>
      </c>
      <c r="H1114" s="14" t="n">
        <v>1333</v>
      </c>
      <c r="I1114" s="14" t="n">
        <v>921</v>
      </c>
      <c r="J1114" s="15" t="n">
        <f aca="false">I1114/H1114</f>
        <v>0.690922730682671</v>
      </c>
      <c r="K1114" s="16" t="n">
        <f aca="false">ROUND(I1114*J1114^($F$8-1),0)</f>
        <v>1003</v>
      </c>
      <c r="L1114" s="16" t="n">
        <f aca="false">ROUND(I1114*J1114^($F$9-1),0)</f>
        <v>939</v>
      </c>
      <c r="M1114" s="17" t="n">
        <f aca="false">G1114*$F$7</f>
        <v>0</v>
      </c>
      <c r="N1114" s="18" t="n">
        <f aca="false">F1114/K1114</f>
        <v>0</v>
      </c>
      <c r="O1114" s="18" t="n">
        <f aca="false">G1114/L1114</f>
        <v>0</v>
      </c>
      <c r="P1114" s="18" t="n">
        <f aca="false">M1114/L1114</f>
        <v>0</v>
      </c>
      <c r="Q1114" s="19" t="str">
        <f aca="false">IF(N1114=0,"n.a.",P1114/N1114-1)</f>
        <v>n.a.</v>
      </c>
    </row>
    <row r="1115" customFormat="false" ht="15" hidden="false" customHeight="false" outlineLevel="0" collapsed="false">
      <c r="A1115" s="12" t="s">
        <v>2701</v>
      </c>
      <c r="B1115" s="12" t="s">
        <v>1451</v>
      </c>
      <c r="C1115" s="12" t="s">
        <v>1452</v>
      </c>
      <c r="D1115" s="12" t="s">
        <v>2702</v>
      </c>
      <c r="E1115" s="12" t="s">
        <v>2703</v>
      </c>
      <c r="F1115" s="13" t="n">
        <v>0</v>
      </c>
      <c r="G1115" s="13" t="n">
        <v>0</v>
      </c>
      <c r="H1115" s="14" t="n">
        <v>1879</v>
      </c>
      <c r="I1115" s="14" t="n">
        <v>1644</v>
      </c>
      <c r="J1115" s="15" t="n">
        <f aca="false">I1115/H1115</f>
        <v>0.874933475252794</v>
      </c>
      <c r="K1115" s="16" t="n">
        <f aca="false">ROUND(I1115*J1115^($F$8-1),0)</f>
        <v>1696</v>
      </c>
      <c r="L1115" s="16" t="n">
        <f aca="false">ROUND(I1115*J1115^($F$9-1),0)</f>
        <v>1655</v>
      </c>
      <c r="M1115" s="17" t="n">
        <f aca="false">G1115*$F$7</f>
        <v>0</v>
      </c>
      <c r="N1115" s="18" t="n">
        <f aca="false">F1115/K1115</f>
        <v>0</v>
      </c>
      <c r="O1115" s="18" t="n">
        <f aca="false">G1115/L1115</f>
        <v>0</v>
      </c>
      <c r="P1115" s="18" t="n">
        <f aca="false">M1115/L1115</f>
        <v>0</v>
      </c>
      <c r="Q1115" s="19" t="str">
        <f aca="false">IF(N1115=0,"n.a.",P1115/N1115-1)</f>
        <v>n.a.</v>
      </c>
    </row>
    <row r="1116" customFormat="false" ht="15" hidden="false" customHeight="false" outlineLevel="0" collapsed="false">
      <c r="A1116" s="12" t="s">
        <v>2704</v>
      </c>
      <c r="B1116" s="12" t="s">
        <v>1451</v>
      </c>
      <c r="C1116" s="12" t="s">
        <v>1452</v>
      </c>
      <c r="D1116" s="12" t="s">
        <v>2705</v>
      </c>
      <c r="E1116" s="12" t="s">
        <v>2706</v>
      </c>
      <c r="F1116" s="13" t="n">
        <v>3350087</v>
      </c>
      <c r="G1116" s="13" t="n">
        <v>4597396</v>
      </c>
      <c r="H1116" s="14" t="n">
        <v>55710</v>
      </c>
      <c r="I1116" s="14" t="n">
        <v>54177</v>
      </c>
      <c r="J1116" s="15" t="n">
        <f aca="false">I1116/H1116</f>
        <v>0.972482498653743</v>
      </c>
      <c r="K1116" s="16" t="n">
        <f aca="false">ROUND(I1116*J1116^($F$8-1),0)</f>
        <v>54527</v>
      </c>
      <c r="L1116" s="16" t="n">
        <f aca="false">ROUND(I1116*J1116^($F$9-1),0)</f>
        <v>54256</v>
      </c>
      <c r="M1116" s="17" t="n">
        <f aca="false">G1116*$F$7</f>
        <v>4428681.84432193</v>
      </c>
      <c r="N1116" s="18" t="n">
        <f aca="false">F1116/K1116</f>
        <v>61.4390485447576</v>
      </c>
      <c r="O1116" s="18" t="n">
        <f aca="false">G1116/L1116</f>
        <v>84.735255086995</v>
      </c>
      <c r="P1116" s="18" t="n">
        <f aca="false">M1116/L1116</f>
        <v>81.6256606517607</v>
      </c>
      <c r="Q1116" s="19" t="n">
        <f aca="false">IF(N1116=0,"n.a.",P1116/N1116-1)</f>
        <v>0.32856322786798</v>
      </c>
    </row>
    <row r="1117" customFormat="false" ht="15" hidden="false" customHeight="false" outlineLevel="0" collapsed="false">
      <c r="A1117" s="12" t="s">
        <v>2707</v>
      </c>
      <c r="B1117" s="12" t="s">
        <v>1451</v>
      </c>
      <c r="C1117" s="12" t="s">
        <v>1452</v>
      </c>
      <c r="D1117" s="12" t="s">
        <v>2708</v>
      </c>
      <c r="E1117" s="12" t="s">
        <v>2709</v>
      </c>
      <c r="F1117" s="13" t="n">
        <v>38697</v>
      </c>
      <c r="G1117" s="13" t="n">
        <v>225731</v>
      </c>
      <c r="H1117" s="14" t="n">
        <v>10885</v>
      </c>
      <c r="I1117" s="14" t="n">
        <v>12443</v>
      </c>
      <c r="J1117" s="15" t="n">
        <f aca="false">I1117/H1117</f>
        <v>1.14313275149288</v>
      </c>
      <c r="K1117" s="16" t="n">
        <f aca="false">ROUND(I1117*J1117^($F$8-1),0)</f>
        <v>12065</v>
      </c>
      <c r="L1117" s="16" t="n">
        <f aca="false">ROUND(I1117*J1117^($F$9-1),0)</f>
        <v>12357</v>
      </c>
      <c r="M1117" s="17" t="n">
        <f aca="false">G1117*$F$7</f>
        <v>217447.17692377</v>
      </c>
      <c r="N1117" s="18" t="n">
        <f aca="false">F1117/K1117</f>
        <v>3.20737670949026</v>
      </c>
      <c r="O1117" s="18" t="n">
        <f aca="false">G1117/L1117</f>
        <v>18.267459739419</v>
      </c>
      <c r="P1117" s="18" t="n">
        <f aca="false">M1117/L1117</f>
        <v>17.5970848040601</v>
      </c>
      <c r="Q1117" s="19" t="n">
        <f aca="false">IF(N1117=0,"n.a.",P1117/N1117-1)</f>
        <v>4.4864415370955</v>
      </c>
    </row>
    <row r="1118" customFormat="false" ht="15" hidden="false" customHeight="false" outlineLevel="0" collapsed="false">
      <c r="A1118" s="12" t="s">
        <v>2710</v>
      </c>
      <c r="B1118" s="12" t="s">
        <v>1451</v>
      </c>
      <c r="C1118" s="12" t="s">
        <v>1452</v>
      </c>
      <c r="D1118" s="12" t="s">
        <v>2711</v>
      </c>
      <c r="E1118" s="12" t="s">
        <v>2712</v>
      </c>
      <c r="F1118" s="13" t="n">
        <v>101467</v>
      </c>
      <c r="G1118" s="13" t="n">
        <v>152357</v>
      </c>
      <c r="H1118" s="14" t="n">
        <v>4458</v>
      </c>
      <c r="I1118" s="14" t="n">
        <v>4189</v>
      </c>
      <c r="J1118" s="15" t="n">
        <f aca="false">I1118/H1118</f>
        <v>0.939659039928219</v>
      </c>
      <c r="K1118" s="16" t="n">
        <f aca="false">ROUND(I1118*J1118^($F$8-1),0)</f>
        <v>4250</v>
      </c>
      <c r="L1118" s="16" t="n">
        <f aca="false">ROUND(I1118*J1118^($F$9-1),0)</f>
        <v>4203</v>
      </c>
      <c r="M1118" s="17" t="n">
        <f aca="false">G1118*$F$7</f>
        <v>146765.838695504</v>
      </c>
      <c r="N1118" s="18" t="n">
        <f aca="false">F1118/K1118</f>
        <v>23.8745882352941</v>
      </c>
      <c r="O1118" s="18" t="n">
        <f aca="false">G1118/L1118</f>
        <v>36.24958363074</v>
      </c>
      <c r="P1118" s="18" t="n">
        <f aca="false">M1118/L1118</f>
        <v>34.9193049477764</v>
      </c>
      <c r="Q1118" s="19" t="n">
        <f aca="false">IF(N1118=0,"n.a.",P1118/N1118-1)</f>
        <v>0.462613914159773</v>
      </c>
    </row>
    <row r="1119" customFormat="false" ht="15" hidden="false" customHeight="false" outlineLevel="0" collapsed="false">
      <c r="A1119" s="12" t="s">
        <v>2713</v>
      </c>
      <c r="B1119" s="12" t="s">
        <v>1451</v>
      </c>
      <c r="C1119" s="12" t="s">
        <v>1452</v>
      </c>
      <c r="D1119" s="12" t="s">
        <v>2714</v>
      </c>
      <c r="E1119" s="12" t="s">
        <v>2715</v>
      </c>
      <c r="F1119" s="13" t="n">
        <v>1750</v>
      </c>
      <c r="G1119" s="13" t="n">
        <v>561</v>
      </c>
      <c r="H1119" s="14" t="n">
        <v>3134</v>
      </c>
      <c r="I1119" s="14" t="n">
        <v>2742</v>
      </c>
      <c r="J1119" s="15" t="n">
        <f aca="false">I1119/H1119</f>
        <v>0.874920229738354</v>
      </c>
      <c r="K1119" s="16" t="n">
        <f aca="false">ROUND(I1119*J1119^($F$8-1),0)</f>
        <v>2828</v>
      </c>
      <c r="L1119" s="16" t="n">
        <f aca="false">ROUND(I1119*J1119^($F$9-1),0)</f>
        <v>2761</v>
      </c>
      <c r="M1119" s="17" t="n">
        <f aca="false">G1119*$F$7</f>
        <v>540.412554120768</v>
      </c>
      <c r="N1119" s="18" t="n">
        <f aca="false">F1119/K1119</f>
        <v>0.618811881188119</v>
      </c>
      <c r="O1119" s="18" t="n">
        <f aca="false">G1119/L1119</f>
        <v>0.203187250996016</v>
      </c>
      <c r="P1119" s="18" t="n">
        <f aca="false">M1119/L1119</f>
        <v>0.19573073311147</v>
      </c>
      <c r="Q1119" s="19" t="n">
        <f aca="false">IF(N1119=0,"n.a.",P1119/N1119-1)</f>
        <v>-0.683699135291865</v>
      </c>
    </row>
    <row r="1120" customFormat="false" ht="15" hidden="false" customHeight="false" outlineLevel="0" collapsed="false">
      <c r="A1120" s="12" t="s">
        <v>2716</v>
      </c>
      <c r="B1120" s="12" t="s">
        <v>1451</v>
      </c>
      <c r="C1120" s="12" t="s">
        <v>1452</v>
      </c>
      <c r="D1120" s="12" t="s">
        <v>2717</v>
      </c>
      <c r="E1120" s="12" t="s">
        <v>2718</v>
      </c>
      <c r="F1120" s="13" t="n">
        <v>0</v>
      </c>
      <c r="G1120" s="13" t="n">
        <v>54886</v>
      </c>
      <c r="H1120" s="14" t="n">
        <v>2419</v>
      </c>
      <c r="I1120" s="14" t="n">
        <v>2486</v>
      </c>
      <c r="J1120" s="15" t="n">
        <f aca="false">I1120/H1120</f>
        <v>1.02769739561802</v>
      </c>
      <c r="K1120" s="16" t="n">
        <f aca="false">ROUND(I1120*J1120^($F$8-1),0)</f>
        <v>2470</v>
      </c>
      <c r="L1120" s="16" t="n">
        <f aca="false">ROUND(I1120*J1120^($F$9-1),0)</f>
        <v>2482</v>
      </c>
      <c r="M1120" s="17" t="n">
        <f aca="false">G1120*$F$7</f>
        <v>52871.8064981684</v>
      </c>
      <c r="N1120" s="18" t="n">
        <f aca="false">F1120/K1120</f>
        <v>0</v>
      </c>
      <c r="O1120" s="18" t="n">
        <f aca="false">G1120/L1120</f>
        <v>22.1136180499597</v>
      </c>
      <c r="P1120" s="18" t="n">
        <f aca="false">M1120/L1120</f>
        <v>21.302097702727</v>
      </c>
      <c r="Q1120" s="19" t="str">
        <f aca="false">IF(N1120=0,"n.a.",P1120/N1120-1)</f>
        <v>n.a.</v>
      </c>
    </row>
    <row r="1121" customFormat="false" ht="15" hidden="false" customHeight="false" outlineLevel="0" collapsed="false">
      <c r="A1121" s="12" t="s">
        <v>2719</v>
      </c>
      <c r="B1121" s="12" t="s">
        <v>1451</v>
      </c>
      <c r="C1121" s="12" t="s">
        <v>1452</v>
      </c>
      <c r="D1121" s="12" t="s">
        <v>2720</v>
      </c>
      <c r="E1121" s="12" t="s">
        <v>2721</v>
      </c>
      <c r="F1121" s="13" t="n">
        <v>83723</v>
      </c>
      <c r="G1121" s="13" t="n">
        <v>103608</v>
      </c>
      <c r="H1121" s="14" t="n">
        <v>1966</v>
      </c>
      <c r="I1121" s="14" t="n">
        <v>2015</v>
      </c>
      <c r="J1121" s="15" t="n">
        <f aca="false">I1121/H1121</f>
        <v>1.02492370295015</v>
      </c>
      <c r="K1121" s="16" t="n">
        <f aca="false">ROUND(I1121*J1121^($F$8-1),0)</f>
        <v>2004</v>
      </c>
      <c r="L1121" s="16" t="n">
        <f aca="false">ROUND(I1121*J1121^($F$9-1),0)</f>
        <v>2012</v>
      </c>
      <c r="M1121" s="17" t="n">
        <f aca="false">G1121*$F$7</f>
        <v>99805.8180166569</v>
      </c>
      <c r="N1121" s="18" t="n">
        <f aca="false">F1121/K1121</f>
        <v>41.7779441117765</v>
      </c>
      <c r="O1121" s="18" t="n">
        <f aca="false">G1121/L1121</f>
        <v>51.4950298210736</v>
      </c>
      <c r="P1121" s="18" t="n">
        <f aca="false">M1121/L1121</f>
        <v>49.6052773442629</v>
      </c>
      <c r="Q1121" s="19" t="n">
        <f aca="false">IF(N1121=0,"n.a.",P1121/N1121-1)</f>
        <v>0.187355634627316</v>
      </c>
    </row>
    <row r="1122" customFormat="false" ht="15" hidden="false" customHeight="false" outlineLevel="0" collapsed="false">
      <c r="A1122" s="12" t="s">
        <v>2722</v>
      </c>
      <c r="B1122" s="12" t="s">
        <v>1451</v>
      </c>
      <c r="C1122" s="12" t="s">
        <v>1452</v>
      </c>
      <c r="D1122" s="12" t="s">
        <v>2723</v>
      </c>
      <c r="E1122" s="12" t="s">
        <v>2724</v>
      </c>
      <c r="F1122" s="13" t="n">
        <v>22320</v>
      </c>
      <c r="G1122" s="13" t="n">
        <v>20520</v>
      </c>
      <c r="H1122" s="14" t="n">
        <v>130</v>
      </c>
      <c r="I1122" s="14" t="n">
        <v>130</v>
      </c>
      <c r="J1122" s="15" t="n">
        <f aca="false">I1122/H1122</f>
        <v>1</v>
      </c>
      <c r="K1122" s="16" t="n">
        <f aca="false">ROUND(I1122*J1122^($F$8-1),0)</f>
        <v>130</v>
      </c>
      <c r="L1122" s="16" t="n">
        <f aca="false">ROUND(I1122*J1122^($F$9-1),0)</f>
        <v>130</v>
      </c>
      <c r="M1122" s="17" t="n">
        <f aca="false">G1122*$F$7</f>
        <v>19766.9618726527</v>
      </c>
      <c r="N1122" s="18" t="n">
        <f aca="false">F1122/K1122</f>
        <v>171.692307692308</v>
      </c>
      <c r="O1122" s="18" t="n">
        <f aca="false">G1122/L1122</f>
        <v>157.846153846154</v>
      </c>
      <c r="P1122" s="18" t="n">
        <f aca="false">M1122/L1122</f>
        <v>152.053552866559</v>
      </c>
      <c r="Q1122" s="19" t="n">
        <f aca="false">IF(N1122=0,"n.a.",P1122/N1122-1)</f>
        <v>-0.114383428644593</v>
      </c>
    </row>
    <row r="1123" customFormat="false" ht="15" hidden="false" customHeight="false" outlineLevel="0" collapsed="false">
      <c r="A1123" s="12" t="s">
        <v>2725</v>
      </c>
      <c r="B1123" s="12" t="s">
        <v>1451</v>
      </c>
      <c r="C1123" s="12" t="s">
        <v>1452</v>
      </c>
      <c r="D1123" s="12" t="s">
        <v>2726</v>
      </c>
      <c r="E1123" s="12" t="s">
        <v>2727</v>
      </c>
      <c r="F1123" s="13" t="n">
        <v>0</v>
      </c>
      <c r="G1123" s="13" t="n">
        <v>0</v>
      </c>
      <c r="H1123" s="14" t="n">
        <v>4909</v>
      </c>
      <c r="I1123" s="14" t="n">
        <v>4719</v>
      </c>
      <c r="J1123" s="15" t="n">
        <f aca="false">I1123/H1123</f>
        <v>0.96129557954777</v>
      </c>
      <c r="K1123" s="16" t="n">
        <f aca="false">ROUND(I1123*J1123^($F$8-1),0)</f>
        <v>4762</v>
      </c>
      <c r="L1123" s="16" t="n">
        <f aca="false">ROUND(I1123*J1123^($F$9-1),0)</f>
        <v>4729</v>
      </c>
      <c r="M1123" s="17" t="n">
        <f aca="false">G1123*$F$7</f>
        <v>0</v>
      </c>
      <c r="N1123" s="18" t="n">
        <f aca="false">F1123/K1123</f>
        <v>0</v>
      </c>
      <c r="O1123" s="18" t="n">
        <f aca="false">G1123/L1123</f>
        <v>0</v>
      </c>
      <c r="P1123" s="18" t="n">
        <f aca="false">M1123/L1123</f>
        <v>0</v>
      </c>
      <c r="Q1123" s="19" t="str">
        <f aca="false">IF(N1123=0,"n.a.",P1123/N1123-1)</f>
        <v>n.a.</v>
      </c>
    </row>
    <row r="1124" customFormat="false" ht="15" hidden="false" customHeight="false" outlineLevel="0" collapsed="false">
      <c r="A1124" s="12" t="s">
        <v>2728</v>
      </c>
      <c r="B1124" s="12" t="s">
        <v>1451</v>
      </c>
      <c r="C1124" s="12" t="s">
        <v>1452</v>
      </c>
      <c r="D1124" s="12" t="s">
        <v>2729</v>
      </c>
      <c r="E1124" s="12" t="s">
        <v>2730</v>
      </c>
      <c r="F1124" s="13" t="n">
        <v>0</v>
      </c>
      <c r="G1124" s="13" t="n">
        <v>0</v>
      </c>
      <c r="H1124" s="14" t="n">
        <v>2974</v>
      </c>
      <c r="I1124" s="14" t="n">
        <v>2699</v>
      </c>
      <c r="J1124" s="15" t="n">
        <f aca="false">I1124/H1124</f>
        <v>0.907531943510424</v>
      </c>
      <c r="K1124" s="16" t="n">
        <f aca="false">ROUND(I1124*J1124^($F$8-1),0)</f>
        <v>2760</v>
      </c>
      <c r="L1124" s="16" t="n">
        <f aca="false">ROUND(I1124*J1124^($F$9-1),0)</f>
        <v>2713</v>
      </c>
      <c r="M1124" s="17" t="n">
        <f aca="false">G1124*$F$7</f>
        <v>0</v>
      </c>
      <c r="N1124" s="18" t="n">
        <f aca="false">F1124/K1124</f>
        <v>0</v>
      </c>
      <c r="O1124" s="18" t="n">
        <f aca="false">G1124/L1124</f>
        <v>0</v>
      </c>
      <c r="P1124" s="18" t="n">
        <f aca="false">M1124/L1124</f>
        <v>0</v>
      </c>
      <c r="Q1124" s="19" t="str">
        <f aca="false">IF(N1124=0,"n.a.",P1124/N1124-1)</f>
        <v>n.a.</v>
      </c>
    </row>
    <row r="1125" customFormat="false" ht="15" hidden="false" customHeight="false" outlineLevel="0" collapsed="false">
      <c r="A1125" s="12" t="s">
        <v>2731</v>
      </c>
      <c r="B1125" s="12" t="s">
        <v>1451</v>
      </c>
      <c r="C1125" s="12" t="s">
        <v>1452</v>
      </c>
      <c r="D1125" s="12" t="s">
        <v>2732</v>
      </c>
      <c r="E1125" s="12" t="s">
        <v>2733</v>
      </c>
      <c r="F1125" s="13" t="n">
        <v>0</v>
      </c>
      <c r="G1125" s="13" t="n">
        <v>0</v>
      </c>
      <c r="H1125" s="14" t="n">
        <v>4760</v>
      </c>
      <c r="I1125" s="14" t="n">
        <v>3368</v>
      </c>
      <c r="J1125" s="15" t="n">
        <f aca="false">I1125/H1125</f>
        <v>0.707563025210084</v>
      </c>
      <c r="K1125" s="16" t="n">
        <f aca="false">ROUND(I1125*J1125^($F$8-1),0)</f>
        <v>3648</v>
      </c>
      <c r="L1125" s="16" t="n">
        <f aca="false">ROUND(I1125*J1125^($F$9-1),0)</f>
        <v>3429</v>
      </c>
      <c r="M1125" s="17" t="n">
        <f aca="false">G1125*$F$7</f>
        <v>0</v>
      </c>
      <c r="N1125" s="18" t="n">
        <f aca="false">F1125/K1125</f>
        <v>0</v>
      </c>
      <c r="O1125" s="18" t="n">
        <f aca="false">G1125/L1125</f>
        <v>0</v>
      </c>
      <c r="P1125" s="18" t="n">
        <f aca="false">M1125/L1125</f>
        <v>0</v>
      </c>
      <c r="Q1125" s="19" t="str">
        <f aca="false">IF(N1125=0,"n.a.",P1125/N1125-1)</f>
        <v>n.a.</v>
      </c>
    </row>
    <row r="1126" customFormat="false" ht="15" hidden="false" customHeight="false" outlineLevel="0" collapsed="false">
      <c r="A1126" s="12" t="s">
        <v>2734</v>
      </c>
      <c r="B1126" s="12" t="s">
        <v>1451</v>
      </c>
      <c r="C1126" s="12" t="s">
        <v>1452</v>
      </c>
      <c r="D1126" s="12" t="s">
        <v>2735</v>
      </c>
      <c r="E1126" s="12" t="s">
        <v>2736</v>
      </c>
      <c r="F1126" s="13" t="n">
        <v>8056</v>
      </c>
      <c r="G1126" s="13" t="n">
        <v>6733</v>
      </c>
      <c r="H1126" s="14" t="n">
        <v>2698</v>
      </c>
      <c r="I1126" s="14" t="n">
        <v>2618</v>
      </c>
      <c r="J1126" s="15" t="n">
        <f aca="false">I1126/H1126</f>
        <v>0.970348406226835</v>
      </c>
      <c r="K1126" s="16" t="n">
        <f aca="false">ROUND(I1126*J1126^($F$8-1),0)</f>
        <v>2636</v>
      </c>
      <c r="L1126" s="16" t="n">
        <f aca="false">ROUND(I1126*J1126^($F$9-1),0)</f>
        <v>2622</v>
      </c>
      <c r="M1126" s="17" t="n">
        <f aca="false">G1126*$F$7</f>
        <v>6485.91395168473</v>
      </c>
      <c r="N1126" s="18" t="n">
        <f aca="false">F1126/K1126</f>
        <v>3.05614567526555</v>
      </c>
      <c r="O1126" s="18" t="n">
        <f aca="false">G1126/L1126</f>
        <v>2.56788710907704</v>
      </c>
      <c r="P1126" s="18" t="n">
        <f aca="false">M1126/L1126</f>
        <v>2.47365139270966</v>
      </c>
      <c r="Q1126" s="19" t="n">
        <f aca="false">IF(N1126=0,"n.a.",P1126/N1126-1)</f>
        <v>-0.190597682325886</v>
      </c>
    </row>
    <row r="1127" customFormat="false" ht="15" hidden="false" customHeight="false" outlineLevel="0" collapsed="false">
      <c r="A1127" s="12" t="s">
        <v>2737</v>
      </c>
      <c r="B1127" s="12" t="s">
        <v>1451</v>
      </c>
      <c r="C1127" s="12" t="s">
        <v>1452</v>
      </c>
      <c r="D1127" s="12" t="s">
        <v>2738</v>
      </c>
      <c r="E1127" s="12" t="s">
        <v>2739</v>
      </c>
      <c r="F1127" s="13" t="n">
        <v>30005</v>
      </c>
      <c r="G1127" s="13" t="n">
        <v>16997</v>
      </c>
      <c r="H1127" s="14" t="n">
        <v>545</v>
      </c>
      <c r="I1127" s="14" t="n">
        <v>513</v>
      </c>
      <c r="J1127" s="15" t="n">
        <f aca="false">I1127/H1127</f>
        <v>0.941284403669725</v>
      </c>
      <c r="K1127" s="16" t="n">
        <f aca="false">ROUND(I1127*J1127^($F$8-1),0)</f>
        <v>520</v>
      </c>
      <c r="L1127" s="16" t="n">
        <f aca="false">ROUND(I1127*J1127^($F$9-1),0)</f>
        <v>515</v>
      </c>
      <c r="M1127" s="17" t="n">
        <f aca="false">G1127*$F$7</f>
        <v>16373.2480969531</v>
      </c>
      <c r="N1127" s="18" t="n">
        <f aca="false">F1127/K1127</f>
        <v>57.7019230769231</v>
      </c>
      <c r="O1127" s="18" t="n">
        <f aca="false">G1127/L1127</f>
        <v>33.0038834951456</v>
      </c>
      <c r="P1127" s="18" t="n">
        <f aca="false">M1127/L1127</f>
        <v>31.7927147513653</v>
      </c>
      <c r="Q1127" s="19" t="n">
        <f aca="false">IF(N1127=0,"n.a.",P1127/N1127-1)</f>
        <v>-0.449018107958343</v>
      </c>
    </row>
    <row r="1128" customFormat="false" ht="15" hidden="false" customHeight="false" outlineLevel="0" collapsed="false">
      <c r="A1128" s="12" t="s">
        <v>2740</v>
      </c>
      <c r="B1128" s="12" t="s">
        <v>1451</v>
      </c>
      <c r="C1128" s="12" t="s">
        <v>1452</v>
      </c>
      <c r="D1128" s="12" t="s">
        <v>2741</v>
      </c>
      <c r="E1128" s="12" t="s">
        <v>2742</v>
      </c>
      <c r="F1128" s="13" t="n">
        <v>0</v>
      </c>
      <c r="G1128" s="13" t="n">
        <v>0</v>
      </c>
      <c r="H1128" s="14" t="n">
        <v>6196</v>
      </c>
      <c r="I1128" s="14" t="n">
        <v>5491</v>
      </c>
      <c r="J1128" s="15" t="n">
        <f aca="false">I1128/H1128</f>
        <v>0.886216914138154</v>
      </c>
      <c r="K1128" s="16" t="n">
        <f aca="false">ROUND(I1128*J1128^($F$8-1),0)</f>
        <v>5646</v>
      </c>
      <c r="L1128" s="16" t="n">
        <f aca="false">ROUND(I1128*J1128^($F$9-1),0)</f>
        <v>5526</v>
      </c>
      <c r="M1128" s="17" t="n">
        <f aca="false">G1128*$F$7</f>
        <v>0</v>
      </c>
      <c r="N1128" s="18" t="n">
        <f aca="false">F1128/K1128</f>
        <v>0</v>
      </c>
      <c r="O1128" s="18" t="n">
        <f aca="false">G1128/L1128</f>
        <v>0</v>
      </c>
      <c r="P1128" s="18" t="n">
        <f aca="false">M1128/L1128</f>
        <v>0</v>
      </c>
      <c r="Q1128" s="19" t="str">
        <f aca="false">IF(N1128=0,"n.a.",P1128/N1128-1)</f>
        <v>n.a.</v>
      </c>
    </row>
    <row r="1129" customFormat="false" ht="15" hidden="false" customHeight="false" outlineLevel="0" collapsed="false">
      <c r="A1129" s="12" t="s">
        <v>2743</v>
      </c>
      <c r="B1129" s="12" t="s">
        <v>1451</v>
      </c>
      <c r="C1129" s="12" t="s">
        <v>1452</v>
      </c>
      <c r="D1129" s="12" t="s">
        <v>2744</v>
      </c>
      <c r="E1129" s="12" t="s">
        <v>2745</v>
      </c>
      <c r="F1129" s="13" t="n">
        <v>0</v>
      </c>
      <c r="G1129" s="13" t="n">
        <v>7593</v>
      </c>
      <c r="H1129" s="14" t="n">
        <v>3029</v>
      </c>
      <c r="I1129" s="14" t="n">
        <v>2638</v>
      </c>
      <c r="J1129" s="15" t="n">
        <f aca="false">I1129/H1129</f>
        <v>0.87091449323209</v>
      </c>
      <c r="K1129" s="16" t="n">
        <f aca="false">ROUND(I1129*J1129^($F$8-1),0)</f>
        <v>2724</v>
      </c>
      <c r="L1129" s="16" t="n">
        <f aca="false">ROUND(I1129*J1129^($F$9-1),0)</f>
        <v>2657</v>
      </c>
      <c r="M1129" s="17" t="n">
        <f aca="false">G1129*$F$7</f>
        <v>7314.3538742228</v>
      </c>
      <c r="N1129" s="18" t="n">
        <f aca="false">F1129/K1129</f>
        <v>0</v>
      </c>
      <c r="O1129" s="18" t="n">
        <f aca="false">G1129/L1129</f>
        <v>2.85773428678961</v>
      </c>
      <c r="P1129" s="18" t="n">
        <f aca="false">M1129/L1129</f>
        <v>2.75286182695627</v>
      </c>
      <c r="Q1129" s="19" t="str">
        <f aca="false">IF(N1129=0,"n.a.",P1129/N1129-1)</f>
        <v>n.a.</v>
      </c>
    </row>
    <row r="1130" customFormat="false" ht="15" hidden="false" customHeight="false" outlineLevel="0" collapsed="false">
      <c r="A1130" s="12" t="s">
        <v>2746</v>
      </c>
      <c r="B1130" s="12" t="s">
        <v>1451</v>
      </c>
      <c r="C1130" s="12" t="s">
        <v>1452</v>
      </c>
      <c r="D1130" s="12" t="s">
        <v>2747</v>
      </c>
      <c r="E1130" s="12" t="s">
        <v>2748</v>
      </c>
      <c r="F1130" s="13" t="n">
        <v>0</v>
      </c>
      <c r="G1130" s="13" t="n">
        <v>1596</v>
      </c>
      <c r="H1130" s="14" t="n">
        <v>1841</v>
      </c>
      <c r="I1130" s="14" t="n">
        <v>1681</v>
      </c>
      <c r="J1130" s="15" t="n">
        <f aca="false">I1130/H1130</f>
        <v>0.913090711569799</v>
      </c>
      <c r="K1130" s="16" t="n">
        <f aca="false">ROUND(I1130*J1130^($F$8-1),0)</f>
        <v>1717</v>
      </c>
      <c r="L1130" s="16" t="n">
        <f aca="false">ROUND(I1130*J1130^($F$9-1),0)</f>
        <v>1689</v>
      </c>
      <c r="M1130" s="17" t="n">
        <f aca="false">G1130*$F$7</f>
        <v>1537.43036787299</v>
      </c>
      <c r="N1130" s="18" t="n">
        <f aca="false">F1130/K1130</f>
        <v>0</v>
      </c>
      <c r="O1130" s="18" t="n">
        <f aca="false">G1130/L1130</f>
        <v>0.9449378330373</v>
      </c>
      <c r="P1130" s="18" t="n">
        <f aca="false">M1130/L1130</f>
        <v>0.91026072698223</v>
      </c>
      <c r="Q1130" s="19" t="str">
        <f aca="false">IF(N1130=0,"n.a.",P1130/N1130-1)</f>
        <v>n.a.</v>
      </c>
    </row>
    <row r="1131" customFormat="false" ht="15" hidden="false" customHeight="false" outlineLevel="0" collapsed="false">
      <c r="A1131" s="12" t="s">
        <v>2749</v>
      </c>
      <c r="B1131" s="12" t="s">
        <v>1451</v>
      </c>
      <c r="C1131" s="12" t="s">
        <v>1452</v>
      </c>
      <c r="D1131" s="12" t="s">
        <v>2750</v>
      </c>
      <c r="E1131" s="12" t="s">
        <v>2751</v>
      </c>
      <c r="F1131" s="13" t="n">
        <v>0</v>
      </c>
      <c r="G1131" s="13" t="n">
        <v>0</v>
      </c>
      <c r="H1131" s="14" t="n">
        <v>4233</v>
      </c>
      <c r="I1131" s="14" t="n">
        <v>3968</v>
      </c>
      <c r="J1131" s="15" t="n">
        <f aca="false">I1131/H1131</f>
        <v>0.93739664540515</v>
      </c>
      <c r="K1131" s="16" t="n">
        <f aca="false">ROUND(I1131*J1131^($F$8-1),0)</f>
        <v>4028</v>
      </c>
      <c r="L1131" s="16" t="n">
        <f aca="false">ROUND(I1131*J1131^($F$9-1),0)</f>
        <v>3981</v>
      </c>
      <c r="M1131" s="17" t="n">
        <f aca="false">G1131*$F$7</f>
        <v>0</v>
      </c>
      <c r="N1131" s="18" t="n">
        <f aca="false">F1131/K1131</f>
        <v>0</v>
      </c>
      <c r="O1131" s="18" t="n">
        <f aca="false">G1131/L1131</f>
        <v>0</v>
      </c>
      <c r="P1131" s="18" t="n">
        <f aca="false">M1131/L1131</f>
        <v>0</v>
      </c>
      <c r="Q1131" s="19" t="str">
        <f aca="false">IF(N1131=0,"n.a.",P1131/N1131-1)</f>
        <v>n.a.</v>
      </c>
    </row>
    <row r="1132" customFormat="false" ht="15" hidden="false" customHeight="false" outlineLevel="0" collapsed="false">
      <c r="A1132" s="12" t="s">
        <v>2752</v>
      </c>
      <c r="B1132" s="12" t="s">
        <v>1451</v>
      </c>
      <c r="C1132" s="12" t="s">
        <v>1452</v>
      </c>
      <c r="D1132" s="12" t="s">
        <v>2753</v>
      </c>
      <c r="E1132" s="12" t="s">
        <v>2754</v>
      </c>
      <c r="F1132" s="13" t="n">
        <v>525228</v>
      </c>
      <c r="G1132" s="13" t="n">
        <v>504978</v>
      </c>
      <c r="H1132" s="14" t="n">
        <v>7557</v>
      </c>
      <c r="I1132" s="14" t="n">
        <v>8739</v>
      </c>
      <c r="J1132" s="15" t="n">
        <f aca="false">I1132/H1132</f>
        <v>1.1564112743152</v>
      </c>
      <c r="K1132" s="16" t="n">
        <f aca="false">ROUND(I1132*J1132^($F$8-1),0)</f>
        <v>8451</v>
      </c>
      <c r="L1132" s="16" t="n">
        <f aca="false">ROUND(I1132*J1132^($F$9-1),0)</f>
        <v>8673</v>
      </c>
      <c r="M1132" s="17" t="n">
        <f aca="false">G1132*$F$7</f>
        <v>486446.436283061</v>
      </c>
      <c r="N1132" s="18" t="n">
        <f aca="false">F1132/K1132</f>
        <v>62.1498047568335</v>
      </c>
      <c r="O1132" s="18" t="n">
        <f aca="false">G1132/L1132</f>
        <v>58.2241438948461</v>
      </c>
      <c r="P1132" s="18" t="n">
        <f aca="false">M1132/L1132</f>
        <v>56.0874479745256</v>
      </c>
      <c r="Q1132" s="19" t="n">
        <f aca="false">IF(N1132=0,"n.a.",P1132/N1132-1)</f>
        <v>-0.0975442610966739</v>
      </c>
    </row>
    <row r="1133" customFormat="false" ht="15" hidden="false" customHeight="false" outlineLevel="0" collapsed="false">
      <c r="A1133" s="12" t="s">
        <v>2755</v>
      </c>
      <c r="B1133" s="12" t="s">
        <v>1451</v>
      </c>
      <c r="C1133" s="12" t="s">
        <v>1452</v>
      </c>
      <c r="D1133" s="12" t="s">
        <v>2756</v>
      </c>
      <c r="E1133" s="12" t="s">
        <v>2757</v>
      </c>
      <c r="F1133" s="13" t="n">
        <v>447506</v>
      </c>
      <c r="G1133" s="13" t="n">
        <v>578010</v>
      </c>
      <c r="H1133" s="14" t="n">
        <v>1922</v>
      </c>
      <c r="I1133" s="14" t="n">
        <v>2151</v>
      </c>
      <c r="J1133" s="15" t="n">
        <f aca="false">I1133/H1133</f>
        <v>1.11914672216441</v>
      </c>
      <c r="K1133" s="16" t="n">
        <f aca="false">ROUND(I1133*J1133^($F$8-1),0)</f>
        <v>2096</v>
      </c>
      <c r="L1133" s="16" t="n">
        <f aca="false">ROUND(I1133*J1133^($F$9-1),0)</f>
        <v>2138</v>
      </c>
      <c r="M1133" s="17" t="n">
        <f aca="false">G1133*$F$7</f>
        <v>556798.325146783</v>
      </c>
      <c r="N1133" s="18" t="n">
        <f aca="false">F1133/K1133</f>
        <v>213.504770992366</v>
      </c>
      <c r="O1133" s="18" t="n">
        <f aca="false">G1133/L1133</f>
        <v>270.350795135641</v>
      </c>
      <c r="P1133" s="18" t="n">
        <f aca="false">M1133/L1133</f>
        <v>260.429525325904</v>
      </c>
      <c r="Q1133" s="19" t="n">
        <f aca="false">IF(N1133=0,"n.a.",P1133/N1133-1)</f>
        <v>0.219783165104143</v>
      </c>
    </row>
    <row r="1134" customFormat="false" ht="15" hidden="false" customHeight="false" outlineLevel="0" collapsed="false">
      <c r="A1134" s="12" t="s">
        <v>2758</v>
      </c>
      <c r="B1134" s="12" t="s">
        <v>1451</v>
      </c>
      <c r="C1134" s="12" t="s">
        <v>1452</v>
      </c>
      <c r="D1134" s="12" t="s">
        <v>2759</v>
      </c>
      <c r="E1134" s="12" t="s">
        <v>2760</v>
      </c>
      <c r="F1134" s="13" t="n">
        <v>19770</v>
      </c>
      <c r="G1134" s="13" t="n">
        <v>20086</v>
      </c>
      <c r="H1134" s="14" t="n">
        <v>7920</v>
      </c>
      <c r="I1134" s="14" t="n">
        <v>6888</v>
      </c>
      <c r="J1134" s="15" t="n">
        <f aca="false">I1134/H1134</f>
        <v>0.86969696969697</v>
      </c>
      <c r="K1134" s="16" t="n">
        <f aca="false">ROUND(I1134*J1134^($F$8-1),0)</f>
        <v>7114</v>
      </c>
      <c r="L1134" s="16" t="n">
        <f aca="false">ROUND(I1134*J1134^($F$9-1),0)</f>
        <v>6938</v>
      </c>
      <c r="M1134" s="17" t="n">
        <f aca="false">G1134*$F$7</f>
        <v>19348.8887024416</v>
      </c>
      <c r="N1134" s="18" t="n">
        <f aca="false">F1134/K1134</f>
        <v>2.77902727017149</v>
      </c>
      <c r="O1134" s="18" t="n">
        <f aca="false">G1134/L1134</f>
        <v>2.8950706255405</v>
      </c>
      <c r="P1134" s="18" t="n">
        <f aca="false">M1134/L1134</f>
        <v>2.78882800554073</v>
      </c>
      <c r="Q1134" s="19" t="n">
        <f aca="false">IF(N1134=0,"n.a.",P1134/N1134-1)</f>
        <v>0.0035266783721184</v>
      </c>
    </row>
    <row r="1135" customFormat="false" ht="15" hidden="false" customHeight="false" outlineLevel="0" collapsed="false">
      <c r="A1135" s="12" t="s">
        <v>2761</v>
      </c>
      <c r="B1135" s="12" t="s">
        <v>1451</v>
      </c>
      <c r="C1135" s="12" t="s">
        <v>1452</v>
      </c>
      <c r="D1135" s="12" t="s">
        <v>2762</v>
      </c>
      <c r="E1135" s="12" t="s">
        <v>2763</v>
      </c>
      <c r="F1135" s="13" t="n">
        <v>5376</v>
      </c>
      <c r="G1135" s="13" t="n">
        <v>10736</v>
      </c>
      <c r="H1135" s="14" t="n">
        <v>998</v>
      </c>
      <c r="I1135" s="14" t="n">
        <v>939</v>
      </c>
      <c r="J1135" s="15" t="n">
        <f aca="false">I1135/H1135</f>
        <v>0.940881763527054</v>
      </c>
      <c r="K1135" s="16" t="n">
        <f aca="false">ROUND(I1135*J1135^($F$8-1),0)</f>
        <v>952</v>
      </c>
      <c r="L1135" s="16" t="n">
        <f aca="false">ROUND(I1135*J1135^($F$9-1),0)</f>
        <v>942</v>
      </c>
      <c r="M1135" s="17" t="n">
        <f aca="false">G1135*$F$7</f>
        <v>10342.0128004288</v>
      </c>
      <c r="N1135" s="18" t="n">
        <f aca="false">F1135/K1135</f>
        <v>5.64705882352941</v>
      </c>
      <c r="O1135" s="18" t="n">
        <f aca="false">G1135/L1135</f>
        <v>11.3970276008493</v>
      </c>
      <c r="P1135" s="18" t="n">
        <f aca="false">M1135/L1135</f>
        <v>10.9787821660603</v>
      </c>
      <c r="Q1135" s="19" t="n">
        <f aca="false">IF(N1135=0,"n.a.",P1135/N1135-1)</f>
        <v>0.944159341906514</v>
      </c>
    </row>
    <row r="1136" customFormat="false" ht="15" hidden="false" customHeight="false" outlineLevel="0" collapsed="false">
      <c r="A1136" s="12" t="s">
        <v>2764</v>
      </c>
      <c r="B1136" s="12" t="s">
        <v>1451</v>
      </c>
      <c r="C1136" s="12" t="s">
        <v>1452</v>
      </c>
      <c r="D1136" s="12" t="s">
        <v>2765</v>
      </c>
      <c r="E1136" s="12" t="s">
        <v>2766</v>
      </c>
      <c r="F1136" s="13" t="n">
        <v>0</v>
      </c>
      <c r="G1136" s="13" t="n">
        <v>0</v>
      </c>
      <c r="H1136" s="14" t="n">
        <v>5059</v>
      </c>
      <c r="I1136" s="14" t="n">
        <v>5217</v>
      </c>
      <c r="J1136" s="15" t="n">
        <f aca="false">I1136/H1136</f>
        <v>1.0312314686697</v>
      </c>
      <c r="K1136" s="16" t="n">
        <f aca="false">ROUND(I1136*J1136^($F$8-1),0)</f>
        <v>5180</v>
      </c>
      <c r="L1136" s="16" t="n">
        <f aca="false">ROUND(I1136*J1136^($F$9-1),0)</f>
        <v>5209</v>
      </c>
      <c r="M1136" s="17" t="n">
        <f aca="false">G1136*$F$7</f>
        <v>0</v>
      </c>
      <c r="N1136" s="18" t="n">
        <f aca="false">F1136/K1136</f>
        <v>0</v>
      </c>
      <c r="O1136" s="18" t="n">
        <f aca="false">G1136/L1136</f>
        <v>0</v>
      </c>
      <c r="P1136" s="18" t="n">
        <f aca="false">M1136/L1136</f>
        <v>0</v>
      </c>
      <c r="Q1136" s="19" t="str">
        <f aca="false">IF(N1136=0,"n.a.",P1136/N1136-1)</f>
        <v>n.a.</v>
      </c>
    </row>
    <row r="1137" customFormat="false" ht="15" hidden="false" customHeight="false" outlineLevel="0" collapsed="false">
      <c r="A1137" s="12" t="s">
        <v>2767</v>
      </c>
      <c r="B1137" s="12" t="s">
        <v>1451</v>
      </c>
      <c r="C1137" s="12" t="s">
        <v>1452</v>
      </c>
      <c r="D1137" s="12" t="s">
        <v>2768</v>
      </c>
      <c r="E1137" s="12" t="s">
        <v>2769</v>
      </c>
      <c r="F1137" s="13" t="n">
        <v>10598</v>
      </c>
      <c r="G1137" s="13" t="n">
        <v>15072</v>
      </c>
      <c r="H1137" s="14" t="n">
        <v>425</v>
      </c>
      <c r="I1137" s="14" t="n">
        <v>381</v>
      </c>
      <c r="J1137" s="15" t="n">
        <f aca="false">I1137/H1137</f>
        <v>0.896470588235294</v>
      </c>
      <c r="K1137" s="16" t="n">
        <f aca="false">ROUND(I1137*J1137^($F$8-1),0)</f>
        <v>391</v>
      </c>
      <c r="L1137" s="16" t="n">
        <f aca="false">ROUND(I1137*J1137^($F$9-1),0)</f>
        <v>383</v>
      </c>
      <c r="M1137" s="17" t="n">
        <f aca="false">G1137*$F$7</f>
        <v>14518.8912935975</v>
      </c>
      <c r="N1137" s="18" t="n">
        <f aca="false">F1137/K1137</f>
        <v>27.1048593350384</v>
      </c>
      <c r="O1137" s="18" t="n">
        <f aca="false">G1137/L1137</f>
        <v>39.3524804177546</v>
      </c>
      <c r="P1137" s="18" t="n">
        <f aca="false">M1137/L1137</f>
        <v>37.9083323592625</v>
      </c>
      <c r="Q1137" s="19" t="n">
        <f aca="false">IF(N1137=0,"n.a.",P1137/N1137-1)</f>
        <v>0.398580671114515</v>
      </c>
    </row>
    <row r="1138" customFormat="false" ht="15" hidden="false" customHeight="false" outlineLevel="0" collapsed="false">
      <c r="A1138" s="12" t="s">
        <v>2770</v>
      </c>
      <c r="B1138" s="12" t="s">
        <v>1451</v>
      </c>
      <c r="C1138" s="12" t="s">
        <v>1452</v>
      </c>
      <c r="D1138" s="12" t="s">
        <v>2771</v>
      </c>
      <c r="E1138" s="12" t="s">
        <v>2772</v>
      </c>
      <c r="F1138" s="13" t="n">
        <v>135453</v>
      </c>
      <c r="G1138" s="13" t="n">
        <v>143002</v>
      </c>
      <c r="H1138" s="14" t="n">
        <v>1590</v>
      </c>
      <c r="I1138" s="14" t="n">
        <v>1478</v>
      </c>
      <c r="J1138" s="15" t="n">
        <f aca="false">I1138/H1138</f>
        <v>0.929559748427673</v>
      </c>
      <c r="K1138" s="16" t="n">
        <f aca="false">ROUND(I1138*J1138^($F$8-1),0)</f>
        <v>1503</v>
      </c>
      <c r="L1138" s="16" t="n">
        <f aca="false">ROUND(I1138*J1138^($F$9-1),0)</f>
        <v>1484</v>
      </c>
      <c r="M1138" s="17" t="n">
        <f aca="false">G1138*$F$7</f>
        <v>137754.146282314</v>
      </c>
      <c r="N1138" s="18" t="n">
        <f aca="false">F1138/K1138</f>
        <v>90.121756487026</v>
      </c>
      <c r="O1138" s="18" t="n">
        <f aca="false">G1138/L1138</f>
        <v>96.3625336927224</v>
      </c>
      <c r="P1138" s="18" t="n">
        <f aca="false">M1138/L1138</f>
        <v>92.8262441255484</v>
      </c>
      <c r="Q1138" s="19" t="n">
        <f aca="false">IF(N1138=0,"n.a.",P1138/N1138-1)</f>
        <v>0.0300092646209331</v>
      </c>
    </row>
    <row r="1139" customFormat="false" ht="15" hidden="false" customHeight="false" outlineLevel="0" collapsed="false">
      <c r="A1139" s="12" t="s">
        <v>2773</v>
      </c>
      <c r="B1139" s="12" t="s">
        <v>1451</v>
      </c>
      <c r="C1139" s="12" t="s">
        <v>1452</v>
      </c>
      <c r="D1139" s="12" t="s">
        <v>2774</v>
      </c>
      <c r="E1139" s="12" t="s">
        <v>2775</v>
      </c>
      <c r="F1139" s="13" t="n">
        <v>4809</v>
      </c>
      <c r="G1139" s="13" t="n">
        <v>23522</v>
      </c>
      <c r="H1139" s="14" t="n">
        <v>7674</v>
      </c>
      <c r="I1139" s="14" t="n">
        <v>7598</v>
      </c>
      <c r="J1139" s="15" t="n">
        <f aca="false">I1139/H1139</f>
        <v>0.990096429502215</v>
      </c>
      <c r="K1139" s="16" t="n">
        <f aca="false">ROUND(I1139*J1139^($F$8-1),0)</f>
        <v>7615</v>
      </c>
      <c r="L1139" s="16" t="n">
        <f aca="false">ROUND(I1139*J1139^($F$9-1),0)</f>
        <v>7602</v>
      </c>
      <c r="M1139" s="17" t="n">
        <f aca="false">G1139*$F$7</f>
        <v>22658.7951836519</v>
      </c>
      <c r="N1139" s="18" t="n">
        <f aca="false">F1139/K1139</f>
        <v>0.631516743269862</v>
      </c>
      <c r="O1139" s="18" t="n">
        <f aca="false">G1139/L1139</f>
        <v>3.09418574059458</v>
      </c>
      <c r="P1139" s="18" t="n">
        <f aca="false">M1139/L1139</f>
        <v>2.98063604099604</v>
      </c>
      <c r="Q1139" s="19" t="n">
        <f aca="false">IF(N1139=0,"n.a.",P1139/N1139-1)</f>
        <v>3.71980525102617</v>
      </c>
    </row>
    <row r="1140" customFormat="false" ht="15" hidden="false" customHeight="false" outlineLevel="0" collapsed="false">
      <c r="A1140" s="12" t="s">
        <v>2776</v>
      </c>
      <c r="B1140" s="12" t="s">
        <v>1451</v>
      </c>
      <c r="C1140" s="12" t="s">
        <v>1452</v>
      </c>
      <c r="D1140" s="12" t="s">
        <v>2777</v>
      </c>
      <c r="E1140" s="12" t="s">
        <v>2778</v>
      </c>
      <c r="F1140" s="13" t="n">
        <v>4125</v>
      </c>
      <c r="G1140" s="13" t="n">
        <v>0</v>
      </c>
      <c r="H1140" s="14" t="n">
        <v>798</v>
      </c>
      <c r="I1140" s="14" t="n">
        <v>781</v>
      </c>
      <c r="J1140" s="15" t="n">
        <f aca="false">I1140/H1140</f>
        <v>0.978696741854637</v>
      </c>
      <c r="K1140" s="16" t="n">
        <f aca="false">ROUND(I1140*J1140^($F$8-1),0)</f>
        <v>785</v>
      </c>
      <c r="L1140" s="16" t="n">
        <f aca="false">ROUND(I1140*J1140^($F$9-1),0)</f>
        <v>782</v>
      </c>
      <c r="M1140" s="17" t="n">
        <f aca="false">G1140*$F$7</f>
        <v>0</v>
      </c>
      <c r="N1140" s="18" t="n">
        <f aca="false">F1140/K1140</f>
        <v>5.25477707006369</v>
      </c>
      <c r="O1140" s="18" t="n">
        <f aca="false">G1140/L1140</f>
        <v>0</v>
      </c>
      <c r="P1140" s="18" t="n">
        <f aca="false">M1140/L1140</f>
        <v>0</v>
      </c>
      <c r="Q1140" s="19" t="n">
        <f aca="false">IF(N1140=0,"n.a.",P1140/N1140-1)</f>
        <v>-1</v>
      </c>
    </row>
    <row r="1141" customFormat="false" ht="15" hidden="false" customHeight="false" outlineLevel="0" collapsed="false">
      <c r="A1141" s="12" t="s">
        <v>2779</v>
      </c>
      <c r="B1141" s="12" t="s">
        <v>1451</v>
      </c>
      <c r="C1141" s="12" t="s">
        <v>1452</v>
      </c>
      <c r="D1141" s="12" t="s">
        <v>2780</v>
      </c>
      <c r="E1141" s="12" t="s">
        <v>2781</v>
      </c>
      <c r="F1141" s="13" t="n">
        <v>0</v>
      </c>
      <c r="G1141" s="13" t="n">
        <v>0</v>
      </c>
      <c r="H1141" s="14" t="n">
        <v>3155</v>
      </c>
      <c r="I1141" s="14" t="n">
        <v>2868</v>
      </c>
      <c r="J1141" s="15" t="n">
        <f aca="false">I1141/H1141</f>
        <v>0.909033280507132</v>
      </c>
      <c r="K1141" s="16" t="n">
        <f aca="false">ROUND(I1141*J1141^($F$8-1),0)</f>
        <v>2932</v>
      </c>
      <c r="L1141" s="16" t="n">
        <f aca="false">ROUND(I1141*J1141^($F$9-1),0)</f>
        <v>2882</v>
      </c>
      <c r="M1141" s="17" t="n">
        <f aca="false">G1141*$F$7</f>
        <v>0</v>
      </c>
      <c r="N1141" s="18" t="n">
        <f aca="false">F1141/K1141</f>
        <v>0</v>
      </c>
      <c r="O1141" s="18" t="n">
        <f aca="false">G1141/L1141</f>
        <v>0</v>
      </c>
      <c r="P1141" s="18" t="n">
        <f aca="false">M1141/L1141</f>
        <v>0</v>
      </c>
      <c r="Q1141" s="19" t="str">
        <f aca="false">IF(N1141=0,"n.a.",P1141/N1141-1)</f>
        <v>n.a.</v>
      </c>
    </row>
    <row r="1142" customFormat="false" ht="15" hidden="false" customHeight="false" outlineLevel="0" collapsed="false">
      <c r="A1142" s="12" t="s">
        <v>2782</v>
      </c>
      <c r="B1142" s="12" t="s">
        <v>1451</v>
      </c>
      <c r="C1142" s="12" t="s">
        <v>1452</v>
      </c>
      <c r="D1142" s="12" t="s">
        <v>2783</v>
      </c>
      <c r="E1142" s="12" t="s">
        <v>2784</v>
      </c>
      <c r="F1142" s="13" t="n">
        <v>6665</v>
      </c>
      <c r="G1142" s="13" t="n">
        <v>8728</v>
      </c>
      <c r="H1142" s="14" t="n">
        <v>1618</v>
      </c>
      <c r="I1142" s="14" t="n">
        <v>1588</v>
      </c>
      <c r="J1142" s="15" t="n">
        <f aca="false">I1142/H1142</f>
        <v>0.981458590852905</v>
      </c>
      <c r="K1142" s="16" t="n">
        <f aca="false">ROUND(I1142*J1142^($F$8-1),0)</f>
        <v>1595</v>
      </c>
      <c r="L1142" s="16" t="n">
        <f aca="false">ROUND(I1142*J1142^($F$9-1),0)</f>
        <v>1590</v>
      </c>
      <c r="M1142" s="17" t="n">
        <f aca="false">G1142*$F$7</f>
        <v>8407.70191152596</v>
      </c>
      <c r="N1142" s="18" t="n">
        <f aca="false">F1142/K1142</f>
        <v>4.17868338557994</v>
      </c>
      <c r="O1142" s="18" t="n">
        <f aca="false">G1142/L1142</f>
        <v>5.48930817610063</v>
      </c>
      <c r="P1142" s="18" t="n">
        <f aca="false">M1142/L1142</f>
        <v>5.28786283743771</v>
      </c>
      <c r="Q1142" s="19" t="n">
        <f aca="false">IF(N1142=0,"n.a.",P1142/N1142-1)</f>
        <v>0.265437543242783</v>
      </c>
    </row>
    <row r="1143" customFormat="false" ht="15" hidden="false" customHeight="false" outlineLevel="0" collapsed="false">
      <c r="A1143" s="12" t="s">
        <v>2785</v>
      </c>
      <c r="B1143" s="12" t="s">
        <v>1451</v>
      </c>
      <c r="C1143" s="12" t="s">
        <v>1452</v>
      </c>
      <c r="D1143" s="12" t="s">
        <v>2786</v>
      </c>
      <c r="E1143" s="12" t="s">
        <v>2787</v>
      </c>
      <c r="F1143" s="13" t="n">
        <v>0</v>
      </c>
      <c r="G1143" s="13" t="n">
        <v>0</v>
      </c>
      <c r="H1143" s="14" t="n">
        <v>11344</v>
      </c>
      <c r="I1143" s="14" t="n">
        <v>11288</v>
      </c>
      <c r="J1143" s="15" t="n">
        <f aca="false">I1143/H1143</f>
        <v>0.995063469675599</v>
      </c>
      <c r="K1143" s="16" t="n">
        <f aca="false">ROUND(I1143*J1143^($F$8-1),0)</f>
        <v>11301</v>
      </c>
      <c r="L1143" s="16" t="n">
        <f aca="false">ROUND(I1143*J1143^($F$9-1),0)</f>
        <v>11291</v>
      </c>
      <c r="M1143" s="17" t="n">
        <f aca="false">G1143*$F$7</f>
        <v>0</v>
      </c>
      <c r="N1143" s="18" t="n">
        <f aca="false">F1143/K1143</f>
        <v>0</v>
      </c>
      <c r="O1143" s="18" t="n">
        <f aca="false">G1143/L1143</f>
        <v>0</v>
      </c>
      <c r="P1143" s="18" t="n">
        <f aca="false">M1143/L1143</f>
        <v>0</v>
      </c>
      <c r="Q1143" s="19" t="str">
        <f aca="false">IF(N1143=0,"n.a.",P1143/N1143-1)</f>
        <v>n.a.</v>
      </c>
    </row>
    <row r="1144" customFormat="false" ht="15" hidden="false" customHeight="false" outlineLevel="0" collapsed="false">
      <c r="A1144" s="12" t="s">
        <v>2788</v>
      </c>
      <c r="B1144" s="12" t="s">
        <v>1451</v>
      </c>
      <c r="C1144" s="12" t="s">
        <v>1452</v>
      </c>
      <c r="D1144" s="12" t="s">
        <v>2789</v>
      </c>
      <c r="E1144" s="12" t="s">
        <v>2790</v>
      </c>
      <c r="F1144" s="13" t="n">
        <v>138699</v>
      </c>
      <c r="G1144" s="13" t="n">
        <v>92123</v>
      </c>
      <c r="H1144" s="14" t="n">
        <v>737</v>
      </c>
      <c r="I1144" s="14" t="n">
        <v>676</v>
      </c>
      <c r="J1144" s="15" t="n">
        <f aca="false">I1144/H1144</f>
        <v>0.917232021709634</v>
      </c>
      <c r="K1144" s="16" t="n">
        <f aca="false">ROUND(I1144*J1144^($F$8-1),0)</f>
        <v>690</v>
      </c>
      <c r="L1144" s="16" t="n">
        <f aca="false">ROUND(I1144*J1144^($F$9-1),0)</f>
        <v>679</v>
      </c>
      <c r="M1144" s="17" t="n">
        <f aca="false">G1144*$F$7</f>
        <v>88742.2918418316</v>
      </c>
      <c r="N1144" s="18" t="n">
        <f aca="false">F1144/K1144</f>
        <v>201.013043478261</v>
      </c>
      <c r="O1144" s="18" t="n">
        <f aca="false">G1144/L1144</f>
        <v>135.674521354934</v>
      </c>
      <c r="P1144" s="18" t="n">
        <f aca="false">M1144/L1144</f>
        <v>130.695569722874</v>
      </c>
      <c r="Q1144" s="19" t="n">
        <f aca="false">IF(N1144=0,"n.a.",P1144/N1144-1)</f>
        <v>-0.349815477337377</v>
      </c>
    </row>
    <row r="1145" customFormat="false" ht="15" hidden="false" customHeight="false" outlineLevel="0" collapsed="false">
      <c r="A1145" s="12" t="s">
        <v>2791</v>
      </c>
      <c r="B1145" s="12" t="s">
        <v>1451</v>
      </c>
      <c r="C1145" s="12" t="s">
        <v>1452</v>
      </c>
      <c r="D1145" s="12" t="s">
        <v>2792</v>
      </c>
      <c r="E1145" s="12" t="s">
        <v>2793</v>
      </c>
      <c r="F1145" s="13" t="n">
        <v>18135</v>
      </c>
      <c r="G1145" s="13" t="n">
        <v>10580</v>
      </c>
      <c r="H1145" s="14" t="n">
        <v>3278</v>
      </c>
      <c r="I1145" s="14" t="n">
        <v>3184</v>
      </c>
      <c r="J1145" s="15" t="n">
        <f aca="false">I1145/H1145</f>
        <v>0.971323978035387</v>
      </c>
      <c r="K1145" s="16" t="n">
        <f aca="false">ROUND(I1145*J1145^($F$8-1),0)</f>
        <v>3205</v>
      </c>
      <c r="L1145" s="16" t="n">
        <f aca="false">ROUND(I1145*J1145^($F$9-1),0)</f>
        <v>3189</v>
      </c>
      <c r="M1145" s="17" t="n">
        <f aca="false">G1145*$F$7</f>
        <v>10191.7376516894</v>
      </c>
      <c r="N1145" s="18" t="n">
        <f aca="false">F1145/K1145</f>
        <v>5.65834633385335</v>
      </c>
      <c r="O1145" s="18" t="n">
        <f aca="false">G1145/L1145</f>
        <v>3.31765443712763</v>
      </c>
      <c r="P1145" s="18" t="n">
        <f aca="false">M1145/L1145</f>
        <v>3.19590393593269</v>
      </c>
      <c r="Q1145" s="19" t="n">
        <f aca="false">IF(N1145=0,"n.a.",P1145/N1145-1)</f>
        <v>-0.435187641871284</v>
      </c>
    </row>
    <row r="1146" customFormat="false" ht="15" hidden="false" customHeight="false" outlineLevel="0" collapsed="false">
      <c r="A1146" s="12" t="s">
        <v>2794</v>
      </c>
      <c r="B1146" s="12" t="s">
        <v>1451</v>
      </c>
      <c r="C1146" s="12" t="s">
        <v>1452</v>
      </c>
      <c r="D1146" s="12" t="s">
        <v>2795</v>
      </c>
      <c r="E1146" s="12" t="s">
        <v>2796</v>
      </c>
      <c r="F1146" s="13" t="n">
        <v>0</v>
      </c>
      <c r="G1146" s="13" t="n">
        <v>0</v>
      </c>
      <c r="H1146" s="14" t="n">
        <v>1101</v>
      </c>
      <c r="I1146" s="14" t="n">
        <v>978</v>
      </c>
      <c r="J1146" s="15" t="n">
        <f aca="false">I1146/H1146</f>
        <v>0.888283378746594</v>
      </c>
      <c r="K1146" s="16" t="n">
        <f aca="false">ROUND(I1146*J1146^($F$8-1),0)</f>
        <v>1005</v>
      </c>
      <c r="L1146" s="16" t="n">
        <f aca="false">ROUND(I1146*J1146^($F$9-1),0)</f>
        <v>984</v>
      </c>
      <c r="M1146" s="17" t="n">
        <f aca="false">G1146*$F$7</f>
        <v>0</v>
      </c>
      <c r="N1146" s="18" t="n">
        <f aca="false">F1146/K1146</f>
        <v>0</v>
      </c>
      <c r="O1146" s="18" t="n">
        <f aca="false">G1146/L1146</f>
        <v>0</v>
      </c>
      <c r="P1146" s="18" t="n">
        <f aca="false">M1146/L1146</f>
        <v>0</v>
      </c>
      <c r="Q1146" s="19" t="str">
        <f aca="false">IF(N1146=0,"n.a.",P1146/N1146-1)</f>
        <v>n.a.</v>
      </c>
    </row>
    <row r="1147" customFormat="false" ht="15" hidden="false" customHeight="false" outlineLevel="0" collapsed="false">
      <c r="A1147" s="12" t="s">
        <v>2797</v>
      </c>
      <c r="B1147" s="12" t="s">
        <v>1451</v>
      </c>
      <c r="C1147" s="12" t="s">
        <v>1452</v>
      </c>
      <c r="D1147" s="12" t="s">
        <v>2798</v>
      </c>
      <c r="E1147" s="12" t="s">
        <v>2799</v>
      </c>
      <c r="F1147" s="13" t="n">
        <v>0</v>
      </c>
      <c r="G1147" s="13" t="n">
        <v>0</v>
      </c>
      <c r="H1147" s="14" t="n">
        <v>938</v>
      </c>
      <c r="I1147" s="14" t="n">
        <v>1029</v>
      </c>
      <c r="J1147" s="15" t="n">
        <f aca="false">I1147/H1147</f>
        <v>1.09701492537313</v>
      </c>
      <c r="K1147" s="16" t="n">
        <f aca="false">ROUND(I1147*J1147^($F$8-1),0)</f>
        <v>1007</v>
      </c>
      <c r="L1147" s="16" t="n">
        <f aca="false">ROUND(I1147*J1147^($F$9-1),0)</f>
        <v>1024</v>
      </c>
      <c r="M1147" s="17" t="n">
        <f aca="false">G1147*$F$7</f>
        <v>0</v>
      </c>
      <c r="N1147" s="18" t="n">
        <f aca="false">F1147/K1147</f>
        <v>0</v>
      </c>
      <c r="O1147" s="18" t="n">
        <f aca="false">G1147/L1147</f>
        <v>0</v>
      </c>
      <c r="P1147" s="18" t="n">
        <f aca="false">M1147/L1147</f>
        <v>0</v>
      </c>
      <c r="Q1147" s="19" t="str">
        <f aca="false">IF(N1147=0,"n.a.",P1147/N1147-1)</f>
        <v>n.a.</v>
      </c>
    </row>
    <row r="1148" customFormat="false" ht="15" hidden="false" customHeight="false" outlineLevel="0" collapsed="false">
      <c r="A1148" s="12" t="s">
        <v>2800</v>
      </c>
      <c r="B1148" s="12" t="s">
        <v>1451</v>
      </c>
      <c r="C1148" s="12" t="s">
        <v>1452</v>
      </c>
      <c r="D1148" s="12" t="s">
        <v>2801</v>
      </c>
      <c r="E1148" s="12" t="s">
        <v>2802</v>
      </c>
      <c r="F1148" s="13" t="n">
        <v>4084296</v>
      </c>
      <c r="G1148" s="13" t="n">
        <v>4162363</v>
      </c>
      <c r="H1148" s="14" t="n">
        <v>67428</v>
      </c>
      <c r="I1148" s="14" t="n">
        <v>71112</v>
      </c>
      <c r="J1148" s="15" t="n">
        <f aca="false">I1148/H1148</f>
        <v>1.05463605623776</v>
      </c>
      <c r="K1148" s="16" t="n">
        <f aca="false">ROUND(I1148*J1148^($F$8-1),0)</f>
        <v>70244</v>
      </c>
      <c r="L1148" s="16" t="n">
        <f aca="false">ROUND(I1148*J1148^($F$9-1),0)</f>
        <v>70916</v>
      </c>
      <c r="M1148" s="17" t="n">
        <f aca="false">G1148*$F$7</f>
        <v>4009613.58290157</v>
      </c>
      <c r="N1148" s="18" t="n">
        <f aca="false">F1148/K1148</f>
        <v>58.1444109105404</v>
      </c>
      <c r="O1148" s="18" t="n">
        <f aca="false">G1148/L1148</f>
        <v>58.694272096565</v>
      </c>
      <c r="P1148" s="18" t="n">
        <f aca="false">M1148/L1148</f>
        <v>56.5403235222175</v>
      </c>
      <c r="Q1148" s="19" t="n">
        <f aca="false">IF(N1148=0,"n.a.",P1148/N1148-1)</f>
        <v>-0.0275879893390091</v>
      </c>
    </row>
    <row r="1149" customFormat="false" ht="15" hidden="false" customHeight="false" outlineLevel="0" collapsed="false">
      <c r="A1149" s="12" t="s">
        <v>2803</v>
      </c>
      <c r="B1149" s="12" t="s">
        <v>1451</v>
      </c>
      <c r="C1149" s="12" t="s">
        <v>1452</v>
      </c>
      <c r="D1149" s="12" t="s">
        <v>2804</v>
      </c>
      <c r="E1149" s="12" t="s">
        <v>2805</v>
      </c>
      <c r="F1149" s="13" t="n">
        <v>0</v>
      </c>
      <c r="G1149" s="13" t="n">
        <v>0</v>
      </c>
      <c r="H1149" s="14" t="n">
        <v>5235</v>
      </c>
      <c r="I1149" s="14" t="n">
        <v>4831</v>
      </c>
      <c r="J1149" s="15" t="n">
        <f aca="false">I1149/H1149</f>
        <v>0.922827125119389</v>
      </c>
      <c r="K1149" s="16" t="n">
        <f aca="false">ROUND(I1149*J1149^($F$8-1),0)</f>
        <v>4921</v>
      </c>
      <c r="L1149" s="16" t="n">
        <f aca="false">ROUND(I1149*J1149^($F$9-1),0)</f>
        <v>4851</v>
      </c>
      <c r="M1149" s="17" t="n">
        <f aca="false">G1149*$F$7</f>
        <v>0</v>
      </c>
      <c r="N1149" s="18" t="n">
        <f aca="false">F1149/K1149</f>
        <v>0</v>
      </c>
      <c r="O1149" s="18" t="n">
        <f aca="false">G1149/L1149</f>
        <v>0</v>
      </c>
      <c r="P1149" s="18" t="n">
        <f aca="false">M1149/L1149</f>
        <v>0</v>
      </c>
      <c r="Q1149" s="19" t="str">
        <f aca="false">IF(N1149=0,"n.a.",P1149/N1149-1)</f>
        <v>n.a.</v>
      </c>
    </row>
    <row r="1150" customFormat="false" ht="15" hidden="false" customHeight="false" outlineLevel="0" collapsed="false">
      <c r="A1150" s="12" t="s">
        <v>2806</v>
      </c>
      <c r="B1150" s="12" t="s">
        <v>1451</v>
      </c>
      <c r="C1150" s="12" t="s">
        <v>1452</v>
      </c>
      <c r="D1150" s="12" t="s">
        <v>2807</v>
      </c>
      <c r="E1150" s="12" t="s">
        <v>2808</v>
      </c>
      <c r="F1150" s="13" t="n">
        <v>0</v>
      </c>
      <c r="G1150" s="13" t="n">
        <v>0</v>
      </c>
      <c r="H1150" s="14" t="n">
        <v>5862</v>
      </c>
      <c r="I1150" s="14" t="n">
        <v>5817</v>
      </c>
      <c r="J1150" s="15" t="n">
        <f aca="false">I1150/H1150</f>
        <v>0.992323439099284</v>
      </c>
      <c r="K1150" s="16" t="n">
        <f aca="false">ROUND(I1150*J1150^($F$8-1),0)</f>
        <v>5827</v>
      </c>
      <c r="L1150" s="16" t="n">
        <f aca="false">ROUND(I1150*J1150^($F$9-1),0)</f>
        <v>5819</v>
      </c>
      <c r="M1150" s="17" t="n">
        <f aca="false">G1150*$F$7</f>
        <v>0</v>
      </c>
      <c r="N1150" s="18" t="n">
        <f aca="false">F1150/K1150</f>
        <v>0</v>
      </c>
      <c r="O1150" s="18" t="n">
        <f aca="false">G1150/L1150</f>
        <v>0</v>
      </c>
      <c r="P1150" s="18" t="n">
        <f aca="false">M1150/L1150</f>
        <v>0</v>
      </c>
      <c r="Q1150" s="19" t="str">
        <f aca="false">IF(N1150=0,"n.a.",P1150/N1150-1)</f>
        <v>n.a.</v>
      </c>
    </row>
    <row r="1151" customFormat="false" ht="15" hidden="false" customHeight="false" outlineLevel="0" collapsed="false">
      <c r="A1151" s="12" t="s">
        <v>2809</v>
      </c>
      <c r="B1151" s="12" t="s">
        <v>1451</v>
      </c>
      <c r="C1151" s="12" t="s">
        <v>1452</v>
      </c>
      <c r="D1151" s="12" t="s">
        <v>2810</v>
      </c>
      <c r="E1151" s="12" t="s">
        <v>2811</v>
      </c>
      <c r="F1151" s="13" t="n">
        <v>653</v>
      </c>
      <c r="G1151" s="13" t="n">
        <v>5880</v>
      </c>
      <c r="H1151" s="14" t="n">
        <v>113</v>
      </c>
      <c r="I1151" s="14" t="n">
        <v>128</v>
      </c>
      <c r="J1151" s="15" t="n">
        <f aca="false">I1151/H1151</f>
        <v>1.13274336283186</v>
      </c>
      <c r="K1151" s="16" t="n">
        <f aca="false">ROUND(I1151*J1151^($F$8-1),0)</f>
        <v>124</v>
      </c>
      <c r="L1151" s="16" t="n">
        <f aca="false">ROUND(I1151*J1151^($F$9-1),0)</f>
        <v>127</v>
      </c>
      <c r="M1151" s="17" t="n">
        <f aca="false">G1151*$F$7</f>
        <v>5664.21714479522</v>
      </c>
      <c r="N1151" s="18" t="n">
        <f aca="false">F1151/K1151</f>
        <v>5.26612903225807</v>
      </c>
      <c r="O1151" s="18" t="n">
        <f aca="false">G1151/L1151</f>
        <v>46.2992125984252</v>
      </c>
      <c r="P1151" s="18" t="n">
        <f aca="false">M1151/L1151</f>
        <v>44.6001349983875</v>
      </c>
      <c r="Q1151" s="19" t="n">
        <f aca="false">IF(N1151=0,"n.a.",P1151/N1151-1)</f>
        <v>7.46924462450238</v>
      </c>
    </row>
    <row r="1152" customFormat="false" ht="15" hidden="false" customHeight="false" outlineLevel="0" collapsed="false">
      <c r="A1152" s="12" t="s">
        <v>2812</v>
      </c>
      <c r="B1152" s="12" t="s">
        <v>1451</v>
      </c>
      <c r="C1152" s="12" t="s">
        <v>1452</v>
      </c>
      <c r="D1152" s="12" t="s">
        <v>2813</v>
      </c>
      <c r="E1152" s="12" t="s">
        <v>2814</v>
      </c>
      <c r="F1152" s="13" t="n">
        <v>439816</v>
      </c>
      <c r="G1152" s="13" t="n">
        <v>432356</v>
      </c>
      <c r="H1152" s="14" t="n">
        <v>3386</v>
      </c>
      <c r="I1152" s="14" t="n">
        <v>3419</v>
      </c>
      <c r="J1152" s="15" t="n">
        <f aca="false">I1152/H1152</f>
        <v>1.00974601299468</v>
      </c>
      <c r="K1152" s="16" t="n">
        <f aca="false">ROUND(I1152*J1152^($F$8-1),0)</f>
        <v>3411</v>
      </c>
      <c r="L1152" s="16" t="n">
        <f aca="false">ROUND(I1152*J1152^($F$9-1),0)</f>
        <v>3417</v>
      </c>
      <c r="M1152" s="17" t="n">
        <f aca="false">G1152*$F$7</f>
        <v>416489.501335898</v>
      </c>
      <c r="N1152" s="18" t="n">
        <f aca="false">F1152/K1152</f>
        <v>128.940486660803</v>
      </c>
      <c r="O1152" s="18" t="n">
        <f aca="false">G1152/L1152</f>
        <v>126.530875036582</v>
      </c>
      <c r="P1152" s="18" t="n">
        <f aca="false">M1152/L1152</f>
        <v>121.887474783699</v>
      </c>
      <c r="Q1152" s="19" t="n">
        <f aca="false">IF(N1152=0,"n.a.",P1152/N1152-1)</f>
        <v>-0.0546997460592709</v>
      </c>
    </row>
    <row r="1153" customFormat="false" ht="15" hidden="false" customHeight="false" outlineLevel="0" collapsed="false">
      <c r="A1153" s="12" t="s">
        <v>2815</v>
      </c>
      <c r="B1153" s="12" t="s">
        <v>1451</v>
      </c>
      <c r="C1153" s="12" t="s">
        <v>1452</v>
      </c>
      <c r="D1153" s="12" t="s">
        <v>2816</v>
      </c>
      <c r="E1153" s="12" t="s">
        <v>2817</v>
      </c>
      <c r="F1153" s="13" t="n">
        <v>258603</v>
      </c>
      <c r="G1153" s="13" t="n">
        <v>383174</v>
      </c>
      <c r="H1153" s="14" t="n">
        <v>7389</v>
      </c>
      <c r="I1153" s="14" t="n">
        <v>8229</v>
      </c>
      <c r="J1153" s="15" t="n">
        <f aca="false">I1153/H1153</f>
        <v>1.11368250101502</v>
      </c>
      <c r="K1153" s="16" t="n">
        <f aca="false">ROUND(I1153*J1153^($F$8-1),0)</f>
        <v>8027</v>
      </c>
      <c r="L1153" s="16" t="n">
        <f aca="false">ROUND(I1153*J1153^($F$9-1),0)</f>
        <v>8183</v>
      </c>
      <c r="M1153" s="17" t="n">
        <f aca="false">G1153*$F$7</f>
        <v>369112.370789075</v>
      </c>
      <c r="N1153" s="18" t="n">
        <f aca="false">F1153/K1153</f>
        <v>32.2166438270836</v>
      </c>
      <c r="O1153" s="18" t="n">
        <f aca="false">G1153/L1153</f>
        <v>46.8256140779665</v>
      </c>
      <c r="P1153" s="18" t="n">
        <f aca="false">M1153/L1153</f>
        <v>45.1072187204051</v>
      </c>
      <c r="Q1153" s="19" t="n">
        <f aca="false">IF(N1153=0,"n.a.",P1153/N1153-1)</f>
        <v>0.40012159436933</v>
      </c>
    </row>
    <row r="1154" customFormat="false" ht="15" hidden="false" customHeight="false" outlineLevel="0" collapsed="false">
      <c r="A1154" s="12" t="s">
        <v>2818</v>
      </c>
      <c r="B1154" s="12" t="s">
        <v>1451</v>
      </c>
      <c r="C1154" s="12" t="s">
        <v>1452</v>
      </c>
      <c r="D1154" s="12" t="s">
        <v>2819</v>
      </c>
      <c r="E1154" s="12" t="s">
        <v>2820</v>
      </c>
      <c r="F1154" s="13" t="n">
        <v>0</v>
      </c>
      <c r="G1154" s="13" t="n">
        <v>0</v>
      </c>
      <c r="H1154" s="14" t="n">
        <v>250</v>
      </c>
      <c r="I1154" s="14" t="n">
        <v>241</v>
      </c>
      <c r="J1154" s="15" t="n">
        <f aca="false">I1154/H1154</f>
        <v>0.964</v>
      </c>
      <c r="K1154" s="16" t="n">
        <f aca="false">ROUND(I1154*J1154^($F$8-1),0)</f>
        <v>243</v>
      </c>
      <c r="L1154" s="16" t="n">
        <f aca="false">ROUND(I1154*J1154^($F$9-1),0)</f>
        <v>241</v>
      </c>
      <c r="M1154" s="17" t="n">
        <f aca="false">G1154*$F$7</f>
        <v>0</v>
      </c>
      <c r="N1154" s="18" t="n">
        <f aca="false">F1154/K1154</f>
        <v>0</v>
      </c>
      <c r="O1154" s="18" t="n">
        <f aca="false">G1154/L1154</f>
        <v>0</v>
      </c>
      <c r="P1154" s="18" t="n">
        <f aca="false">M1154/L1154</f>
        <v>0</v>
      </c>
      <c r="Q1154" s="19" t="str">
        <f aca="false">IF(N1154=0,"n.a.",P1154/N1154-1)</f>
        <v>n.a.</v>
      </c>
    </row>
    <row r="1155" customFormat="false" ht="15" hidden="false" customHeight="false" outlineLevel="0" collapsed="false">
      <c r="A1155" s="12" t="s">
        <v>2821</v>
      </c>
      <c r="B1155" s="12" t="s">
        <v>1451</v>
      </c>
      <c r="C1155" s="12" t="s">
        <v>1452</v>
      </c>
      <c r="D1155" s="12" t="s">
        <v>2822</v>
      </c>
      <c r="E1155" s="12" t="s">
        <v>2823</v>
      </c>
      <c r="F1155" s="13" t="n">
        <v>0</v>
      </c>
      <c r="G1155" s="13" t="n">
        <v>0</v>
      </c>
      <c r="H1155" s="14" t="n">
        <v>1205</v>
      </c>
      <c r="I1155" s="14" t="n">
        <v>1151</v>
      </c>
      <c r="J1155" s="15" t="n">
        <f aca="false">I1155/H1155</f>
        <v>0.955186721991701</v>
      </c>
      <c r="K1155" s="16" t="n">
        <f aca="false">ROUND(I1155*J1155^($F$8-1),0)</f>
        <v>1163</v>
      </c>
      <c r="L1155" s="16" t="n">
        <f aca="false">ROUND(I1155*J1155^($F$9-1),0)</f>
        <v>1154</v>
      </c>
      <c r="M1155" s="17" t="n">
        <f aca="false">G1155*$F$7</f>
        <v>0</v>
      </c>
      <c r="N1155" s="18" t="n">
        <f aca="false">F1155/K1155</f>
        <v>0</v>
      </c>
      <c r="O1155" s="18" t="n">
        <f aca="false">G1155/L1155</f>
        <v>0</v>
      </c>
      <c r="P1155" s="18" t="n">
        <f aca="false">M1155/L1155</f>
        <v>0</v>
      </c>
      <c r="Q1155" s="19" t="str">
        <f aca="false">IF(N1155=0,"n.a.",P1155/N1155-1)</f>
        <v>n.a.</v>
      </c>
    </row>
    <row r="1156" customFormat="false" ht="15" hidden="false" customHeight="false" outlineLevel="0" collapsed="false">
      <c r="A1156" s="12" t="s">
        <v>2824</v>
      </c>
      <c r="B1156" s="12" t="s">
        <v>1451</v>
      </c>
      <c r="C1156" s="12" t="s">
        <v>1452</v>
      </c>
      <c r="D1156" s="12" t="s">
        <v>2825</v>
      </c>
      <c r="E1156" s="12" t="s">
        <v>2826</v>
      </c>
      <c r="F1156" s="13" t="n">
        <v>149351</v>
      </c>
      <c r="G1156" s="13" t="n">
        <v>128414</v>
      </c>
      <c r="H1156" s="14" t="n">
        <v>1582</v>
      </c>
      <c r="I1156" s="14" t="n">
        <v>1579</v>
      </c>
      <c r="J1156" s="15" t="n">
        <f aca="false">I1156/H1156</f>
        <v>0.998103666245259</v>
      </c>
      <c r="K1156" s="16" t="n">
        <f aca="false">ROUND(I1156*J1156^($F$8-1),0)</f>
        <v>1580</v>
      </c>
      <c r="L1156" s="16" t="n">
        <f aca="false">ROUND(I1156*J1156^($F$9-1),0)</f>
        <v>1579</v>
      </c>
      <c r="M1156" s="17" t="n">
        <f aca="false">G1156*$F$7</f>
        <v>123701.493270703</v>
      </c>
      <c r="N1156" s="18" t="n">
        <f aca="false">F1156/K1156</f>
        <v>94.5259493670886</v>
      </c>
      <c r="O1156" s="18" t="n">
        <f aca="false">G1156/L1156</f>
        <v>81.3261557948068</v>
      </c>
      <c r="P1156" s="18" t="n">
        <f aca="false">M1156/L1156</f>
        <v>78.3416676825224</v>
      </c>
      <c r="Q1156" s="19" t="n">
        <f aca="false">IF(N1156=0,"n.a.",P1156/N1156-1)</f>
        <v>-0.171215224950718</v>
      </c>
    </row>
    <row r="1157" customFormat="false" ht="15" hidden="false" customHeight="false" outlineLevel="0" collapsed="false">
      <c r="A1157" s="12" t="s">
        <v>2827</v>
      </c>
      <c r="B1157" s="12" t="s">
        <v>1451</v>
      </c>
      <c r="C1157" s="12" t="s">
        <v>1452</v>
      </c>
      <c r="D1157" s="12" t="s">
        <v>2828</v>
      </c>
      <c r="E1157" s="12" t="s">
        <v>2829</v>
      </c>
      <c r="F1157" s="13" t="n">
        <v>0</v>
      </c>
      <c r="G1157" s="13" t="n">
        <v>0</v>
      </c>
      <c r="H1157" s="14" t="n">
        <v>327</v>
      </c>
      <c r="I1157" s="14" t="n">
        <v>287</v>
      </c>
      <c r="J1157" s="15" t="n">
        <f aca="false">I1157/H1157</f>
        <v>0.877675840978593</v>
      </c>
      <c r="K1157" s="16" t="n">
        <f aca="false">ROUND(I1157*J1157^($F$8-1),0)</f>
        <v>296</v>
      </c>
      <c r="L1157" s="16" t="n">
        <f aca="false">ROUND(I1157*J1157^($F$9-1),0)</f>
        <v>289</v>
      </c>
      <c r="M1157" s="17" t="n">
        <f aca="false">G1157*$F$7</f>
        <v>0</v>
      </c>
      <c r="N1157" s="18" t="n">
        <f aca="false">F1157/K1157</f>
        <v>0</v>
      </c>
      <c r="O1157" s="18" t="n">
        <f aca="false">G1157/L1157</f>
        <v>0</v>
      </c>
      <c r="P1157" s="18" t="n">
        <f aca="false">M1157/L1157</f>
        <v>0</v>
      </c>
      <c r="Q1157" s="19" t="str">
        <f aca="false">IF(N1157=0,"n.a.",P1157/N1157-1)</f>
        <v>n.a.</v>
      </c>
    </row>
    <row r="1158" customFormat="false" ht="15" hidden="false" customHeight="false" outlineLevel="0" collapsed="false">
      <c r="A1158" s="12" t="s">
        <v>2830</v>
      </c>
      <c r="B1158" s="12" t="s">
        <v>1451</v>
      </c>
      <c r="C1158" s="12" t="s">
        <v>1452</v>
      </c>
      <c r="D1158" s="12" t="s">
        <v>2831</v>
      </c>
      <c r="E1158" s="12" t="s">
        <v>2832</v>
      </c>
      <c r="F1158" s="13" t="n">
        <v>257616</v>
      </c>
      <c r="G1158" s="13" t="n">
        <v>249096</v>
      </c>
      <c r="H1158" s="14" t="n">
        <v>12483</v>
      </c>
      <c r="I1158" s="14" t="n">
        <v>13079</v>
      </c>
      <c r="J1158" s="15" t="n">
        <f aca="false">I1158/H1158</f>
        <v>1.04774493310903</v>
      </c>
      <c r="K1158" s="16" t="n">
        <f aca="false">ROUND(I1158*J1158^($F$8-1),0)</f>
        <v>12939</v>
      </c>
      <c r="L1158" s="16" t="n">
        <f aca="false">ROUND(I1158*J1158^($F$9-1),0)</f>
        <v>13047</v>
      </c>
      <c r="M1158" s="17" t="n">
        <f aca="false">G1158*$F$7</f>
        <v>239954.733656447</v>
      </c>
      <c r="N1158" s="18" t="n">
        <f aca="false">F1158/K1158</f>
        <v>19.9100394157199</v>
      </c>
      <c r="O1158" s="18" t="n">
        <f aca="false">G1158/L1158</f>
        <v>19.0922051046218</v>
      </c>
      <c r="P1158" s="18" t="n">
        <f aca="false">M1158/L1158</f>
        <v>18.3915638580859</v>
      </c>
      <c r="Q1158" s="19" t="n">
        <f aca="false">IF(N1158=0,"n.a.",P1158/N1158-1)</f>
        <v>-0.0762668283034679</v>
      </c>
    </row>
    <row r="1159" customFormat="false" ht="15" hidden="false" customHeight="false" outlineLevel="0" collapsed="false">
      <c r="A1159" s="12" t="s">
        <v>2833</v>
      </c>
      <c r="B1159" s="12" t="s">
        <v>1451</v>
      </c>
      <c r="C1159" s="12" t="s">
        <v>1452</v>
      </c>
      <c r="D1159" s="12" t="s">
        <v>2834</v>
      </c>
      <c r="E1159" s="12" t="s">
        <v>2835</v>
      </c>
      <c r="F1159" s="13" t="n">
        <v>96723</v>
      </c>
      <c r="G1159" s="13" t="n">
        <v>32783</v>
      </c>
      <c r="H1159" s="14" t="n">
        <v>16635</v>
      </c>
      <c r="I1159" s="14" t="n">
        <v>17029</v>
      </c>
      <c r="J1159" s="15" t="n">
        <f aca="false">I1159/H1159</f>
        <v>1.02368500150286</v>
      </c>
      <c r="K1159" s="16" t="n">
        <f aca="false">ROUND(I1159*J1159^($F$8-1),0)</f>
        <v>16937</v>
      </c>
      <c r="L1159" s="16" t="n">
        <f aca="false">ROUND(I1159*J1159^($F$9-1),0)</f>
        <v>17008</v>
      </c>
      <c r="M1159" s="17" t="n">
        <f aca="false">G1159*$F$7</f>
        <v>31579.9371867043</v>
      </c>
      <c r="N1159" s="18" t="n">
        <f aca="false">F1159/K1159</f>
        <v>5.71075160890358</v>
      </c>
      <c r="O1159" s="18" t="n">
        <f aca="false">G1159/L1159</f>
        <v>1.92750470366886</v>
      </c>
      <c r="P1159" s="18" t="n">
        <f aca="false">M1159/L1159</f>
        <v>1.85676958999908</v>
      </c>
      <c r="Q1159" s="19" t="n">
        <f aca="false">IF(N1159=0,"n.a.",P1159/N1159-1)</f>
        <v>-0.674864235540519</v>
      </c>
    </row>
    <row r="1160" customFormat="false" ht="15" hidden="false" customHeight="false" outlineLevel="0" collapsed="false">
      <c r="A1160" s="12" t="s">
        <v>2836</v>
      </c>
      <c r="B1160" s="12" t="s">
        <v>1451</v>
      </c>
      <c r="C1160" s="12" t="s">
        <v>1452</v>
      </c>
      <c r="D1160" s="12" t="s">
        <v>2837</v>
      </c>
      <c r="E1160" s="12" t="s">
        <v>2838</v>
      </c>
      <c r="F1160" s="13" t="n">
        <v>0</v>
      </c>
      <c r="G1160" s="13" t="n">
        <v>0</v>
      </c>
      <c r="H1160" s="14" t="n">
        <v>2490</v>
      </c>
      <c r="I1160" s="14" t="n">
        <v>2156</v>
      </c>
      <c r="J1160" s="15" t="n">
        <f aca="false">I1160/H1160</f>
        <v>0.865863453815261</v>
      </c>
      <c r="K1160" s="16" t="n">
        <f aca="false">ROUND(I1160*J1160^($F$8-1),0)</f>
        <v>2229</v>
      </c>
      <c r="L1160" s="16" t="n">
        <f aca="false">ROUND(I1160*J1160^($F$9-1),0)</f>
        <v>2172</v>
      </c>
      <c r="M1160" s="17" t="n">
        <f aca="false">G1160*$F$7</f>
        <v>0</v>
      </c>
      <c r="N1160" s="18" t="n">
        <f aca="false">F1160/K1160</f>
        <v>0</v>
      </c>
      <c r="O1160" s="18" t="n">
        <f aca="false">G1160/L1160</f>
        <v>0</v>
      </c>
      <c r="P1160" s="18" t="n">
        <f aca="false">M1160/L1160</f>
        <v>0</v>
      </c>
      <c r="Q1160" s="19" t="str">
        <f aca="false">IF(N1160=0,"n.a.",P1160/N1160-1)</f>
        <v>n.a.</v>
      </c>
    </row>
    <row r="1161" customFormat="false" ht="15" hidden="false" customHeight="false" outlineLevel="0" collapsed="false">
      <c r="A1161" s="12" t="s">
        <v>2839</v>
      </c>
      <c r="B1161" s="12" t="s">
        <v>1451</v>
      </c>
      <c r="C1161" s="12" t="s">
        <v>1452</v>
      </c>
      <c r="D1161" s="12" t="s">
        <v>2840</v>
      </c>
      <c r="E1161" s="12" t="s">
        <v>2841</v>
      </c>
      <c r="F1161" s="13" t="n">
        <v>0</v>
      </c>
      <c r="G1161" s="13" t="n">
        <v>0</v>
      </c>
      <c r="H1161" s="14" t="n">
        <v>904</v>
      </c>
      <c r="I1161" s="14" t="n">
        <v>715</v>
      </c>
      <c r="J1161" s="15" t="n">
        <f aca="false">I1161/H1161</f>
        <v>0.790929203539823</v>
      </c>
      <c r="K1161" s="16" t="n">
        <f aca="false">ROUND(I1161*J1161^($F$8-1),0)</f>
        <v>755</v>
      </c>
      <c r="L1161" s="16" t="n">
        <f aca="false">ROUND(I1161*J1161^($F$9-1),0)</f>
        <v>724</v>
      </c>
      <c r="M1161" s="17" t="n">
        <f aca="false">G1161*$F$7</f>
        <v>0</v>
      </c>
      <c r="N1161" s="18" t="n">
        <f aca="false">F1161/K1161</f>
        <v>0</v>
      </c>
      <c r="O1161" s="18" t="n">
        <f aca="false">G1161/L1161</f>
        <v>0</v>
      </c>
      <c r="P1161" s="18" t="n">
        <f aca="false">M1161/L1161</f>
        <v>0</v>
      </c>
      <c r="Q1161" s="19" t="str">
        <f aca="false">IF(N1161=0,"n.a.",P1161/N1161-1)</f>
        <v>n.a.</v>
      </c>
    </row>
    <row r="1162" customFormat="false" ht="15" hidden="false" customHeight="false" outlineLevel="0" collapsed="false">
      <c r="A1162" s="12" t="s">
        <v>2842</v>
      </c>
      <c r="B1162" s="12" t="s">
        <v>1451</v>
      </c>
      <c r="C1162" s="12" t="s">
        <v>1452</v>
      </c>
      <c r="D1162" s="12" t="s">
        <v>2843</v>
      </c>
      <c r="E1162" s="12" t="s">
        <v>2844</v>
      </c>
      <c r="F1162" s="13" t="n">
        <v>0</v>
      </c>
      <c r="G1162" s="13" t="n">
        <v>0</v>
      </c>
      <c r="H1162" s="14" t="n">
        <v>1452</v>
      </c>
      <c r="I1162" s="14" t="n">
        <v>1370</v>
      </c>
      <c r="J1162" s="15" t="n">
        <f aca="false">I1162/H1162</f>
        <v>0.943526170798898</v>
      </c>
      <c r="K1162" s="16" t="n">
        <f aca="false">ROUND(I1162*J1162^($F$8-1),0)</f>
        <v>1389</v>
      </c>
      <c r="L1162" s="16" t="n">
        <f aca="false">ROUND(I1162*J1162^($F$9-1),0)</f>
        <v>1374</v>
      </c>
      <c r="M1162" s="17" t="n">
        <f aca="false">G1162*$F$7</f>
        <v>0</v>
      </c>
      <c r="N1162" s="18" t="n">
        <f aca="false">F1162/K1162</f>
        <v>0</v>
      </c>
      <c r="O1162" s="18" t="n">
        <f aca="false">G1162/L1162</f>
        <v>0</v>
      </c>
      <c r="P1162" s="18" t="n">
        <f aca="false">M1162/L1162</f>
        <v>0</v>
      </c>
      <c r="Q1162" s="19" t="str">
        <f aca="false">IF(N1162=0,"n.a.",P1162/N1162-1)</f>
        <v>n.a.</v>
      </c>
    </row>
    <row r="1163" customFormat="false" ht="15" hidden="false" customHeight="false" outlineLevel="0" collapsed="false">
      <c r="A1163" s="12" t="s">
        <v>2845</v>
      </c>
      <c r="B1163" s="12" t="s">
        <v>1451</v>
      </c>
      <c r="C1163" s="12" t="s">
        <v>1452</v>
      </c>
      <c r="D1163" s="12" t="s">
        <v>2846</v>
      </c>
      <c r="E1163" s="12" t="s">
        <v>2847</v>
      </c>
      <c r="F1163" s="13" t="n">
        <v>100982</v>
      </c>
      <c r="G1163" s="13" t="n">
        <v>164730</v>
      </c>
      <c r="H1163" s="14" t="n">
        <v>3923</v>
      </c>
      <c r="I1163" s="14" t="n">
        <v>3330</v>
      </c>
      <c r="J1163" s="15" t="n">
        <f aca="false">I1163/H1163</f>
        <v>0.848840173336732</v>
      </c>
      <c r="K1163" s="16" t="n">
        <f aca="false">ROUND(I1163*J1163^($F$8-1),0)</f>
        <v>3458</v>
      </c>
      <c r="L1163" s="16" t="n">
        <f aca="false">ROUND(I1163*J1163^($F$9-1),0)</f>
        <v>3358</v>
      </c>
      <c r="M1163" s="17" t="n">
        <f aca="false">G1163*$F$7</f>
        <v>158684.777255462</v>
      </c>
      <c r="N1163" s="18" t="n">
        <f aca="false">F1163/K1163</f>
        <v>29.2024291497976</v>
      </c>
      <c r="O1163" s="18" t="n">
        <f aca="false">G1163/L1163</f>
        <v>49.0559857057772</v>
      </c>
      <c r="P1163" s="18" t="n">
        <f aca="false">M1163/L1163</f>
        <v>47.2557406954919</v>
      </c>
      <c r="Q1163" s="19" t="n">
        <f aca="false">IF(N1163=0,"n.a.",P1163/N1163-1)</f>
        <v>0.61821266488098</v>
      </c>
    </row>
    <row r="1164" customFormat="false" ht="15" hidden="false" customHeight="false" outlineLevel="0" collapsed="false">
      <c r="A1164" s="12" t="s">
        <v>2848</v>
      </c>
      <c r="B1164" s="12" t="s">
        <v>1451</v>
      </c>
      <c r="C1164" s="12" t="s">
        <v>1452</v>
      </c>
      <c r="D1164" s="12" t="s">
        <v>2849</v>
      </c>
      <c r="E1164" s="12" t="s">
        <v>2850</v>
      </c>
      <c r="F1164" s="13" t="n">
        <v>0</v>
      </c>
      <c r="G1164" s="13" t="n">
        <v>0</v>
      </c>
      <c r="H1164" s="14" t="n">
        <v>2612</v>
      </c>
      <c r="I1164" s="14" t="n">
        <v>2608</v>
      </c>
      <c r="J1164" s="15" t="n">
        <f aca="false">I1164/H1164</f>
        <v>0.998468606431853</v>
      </c>
      <c r="K1164" s="16" t="n">
        <f aca="false">ROUND(I1164*J1164^($F$8-1),0)</f>
        <v>2609</v>
      </c>
      <c r="L1164" s="16" t="n">
        <f aca="false">ROUND(I1164*J1164^($F$9-1),0)</f>
        <v>2608</v>
      </c>
      <c r="M1164" s="17" t="n">
        <f aca="false">G1164*$F$7</f>
        <v>0</v>
      </c>
      <c r="N1164" s="18" t="n">
        <f aca="false">F1164/K1164</f>
        <v>0</v>
      </c>
      <c r="O1164" s="18" t="n">
        <f aca="false">G1164/L1164</f>
        <v>0</v>
      </c>
      <c r="P1164" s="18" t="n">
        <f aca="false">M1164/L1164</f>
        <v>0</v>
      </c>
      <c r="Q1164" s="19" t="str">
        <f aca="false">IF(N1164=0,"n.a.",P1164/N1164-1)</f>
        <v>n.a.</v>
      </c>
    </row>
    <row r="1165" customFormat="false" ht="15" hidden="false" customHeight="false" outlineLevel="0" collapsed="false">
      <c r="A1165" s="12" t="s">
        <v>2851</v>
      </c>
      <c r="B1165" s="12" t="s">
        <v>1451</v>
      </c>
      <c r="C1165" s="12" t="s">
        <v>1452</v>
      </c>
      <c r="D1165" s="12" t="s">
        <v>2852</v>
      </c>
      <c r="E1165" s="12" t="s">
        <v>2853</v>
      </c>
      <c r="F1165" s="13" t="n">
        <v>0</v>
      </c>
      <c r="G1165" s="13" t="n">
        <v>0</v>
      </c>
      <c r="H1165" s="14" t="n">
        <v>4046</v>
      </c>
      <c r="I1165" s="14" t="n">
        <v>3982</v>
      </c>
      <c r="J1165" s="15" t="n">
        <f aca="false">I1165/H1165</f>
        <v>0.984181908057341</v>
      </c>
      <c r="K1165" s="16" t="n">
        <f aca="false">ROUND(I1165*J1165^($F$8-1),0)</f>
        <v>3997</v>
      </c>
      <c r="L1165" s="16" t="n">
        <f aca="false">ROUND(I1165*J1165^($F$9-1),0)</f>
        <v>3985</v>
      </c>
      <c r="M1165" s="17" t="n">
        <f aca="false">G1165*$F$7</f>
        <v>0</v>
      </c>
      <c r="N1165" s="18" t="n">
        <f aca="false">F1165/K1165</f>
        <v>0</v>
      </c>
      <c r="O1165" s="18" t="n">
        <f aca="false">G1165/L1165</f>
        <v>0</v>
      </c>
      <c r="P1165" s="18" t="n">
        <f aca="false">M1165/L1165</f>
        <v>0</v>
      </c>
      <c r="Q1165" s="19" t="str">
        <f aca="false">IF(N1165=0,"n.a.",P1165/N1165-1)</f>
        <v>n.a.</v>
      </c>
    </row>
    <row r="1166" customFormat="false" ht="15" hidden="false" customHeight="false" outlineLevel="0" collapsed="false">
      <c r="A1166" s="12" t="s">
        <v>2854</v>
      </c>
      <c r="B1166" s="12" t="s">
        <v>1451</v>
      </c>
      <c r="C1166" s="12" t="s">
        <v>1452</v>
      </c>
      <c r="D1166" s="12" t="s">
        <v>2855</v>
      </c>
      <c r="E1166" s="12" t="s">
        <v>2856</v>
      </c>
      <c r="F1166" s="13" t="n">
        <v>312205</v>
      </c>
      <c r="G1166" s="13" t="n">
        <v>291664</v>
      </c>
      <c r="H1166" s="14" t="n">
        <v>2726</v>
      </c>
      <c r="I1166" s="14" t="n">
        <v>2795</v>
      </c>
      <c r="J1166" s="15" t="n">
        <f aca="false">I1166/H1166</f>
        <v>1.02531181217902</v>
      </c>
      <c r="K1166" s="16" t="n">
        <f aca="false">ROUND(I1166*J1166^($F$8-1),0)</f>
        <v>2779</v>
      </c>
      <c r="L1166" s="16" t="n">
        <f aca="false">ROUND(I1166*J1166^($F$9-1),0)</f>
        <v>2791</v>
      </c>
      <c r="M1166" s="17" t="n">
        <f aca="false">G1166*$F$7</f>
        <v>280960.583217611</v>
      </c>
      <c r="N1166" s="18" t="n">
        <f aca="false">F1166/K1166</f>
        <v>112.34436847787</v>
      </c>
      <c r="O1166" s="18" t="n">
        <f aca="false">G1166/L1166</f>
        <v>104.501612325331</v>
      </c>
      <c r="P1166" s="18" t="n">
        <f aca="false">M1166/L1166</f>
        <v>100.666636767327</v>
      </c>
      <c r="Q1166" s="19" t="n">
        <f aca="false">IF(N1166=0,"n.a.",P1166/N1166-1)</f>
        <v>-0.103945857444939</v>
      </c>
    </row>
    <row r="1167" customFormat="false" ht="15" hidden="false" customHeight="false" outlineLevel="0" collapsed="false">
      <c r="A1167" s="12" t="s">
        <v>2857</v>
      </c>
      <c r="B1167" s="12" t="s">
        <v>1451</v>
      </c>
      <c r="C1167" s="12" t="s">
        <v>1452</v>
      </c>
      <c r="D1167" s="12" t="s">
        <v>2858</v>
      </c>
      <c r="E1167" s="12" t="s">
        <v>2859</v>
      </c>
      <c r="F1167" s="13" t="n">
        <v>0</v>
      </c>
      <c r="G1167" s="13" t="n">
        <v>0</v>
      </c>
      <c r="H1167" s="14" t="n">
        <v>3512</v>
      </c>
      <c r="I1167" s="14" t="n">
        <v>3393</v>
      </c>
      <c r="J1167" s="15" t="n">
        <f aca="false">I1167/H1167</f>
        <v>0.966116173120729</v>
      </c>
      <c r="K1167" s="16" t="n">
        <f aca="false">ROUND(I1167*J1167^($F$8-1),0)</f>
        <v>3420</v>
      </c>
      <c r="L1167" s="16" t="n">
        <f aca="false">ROUND(I1167*J1167^($F$9-1),0)</f>
        <v>3399</v>
      </c>
      <c r="M1167" s="17" t="n">
        <f aca="false">G1167*$F$7</f>
        <v>0</v>
      </c>
      <c r="N1167" s="18" t="n">
        <f aca="false">F1167/K1167</f>
        <v>0</v>
      </c>
      <c r="O1167" s="18" t="n">
        <f aca="false">G1167/L1167</f>
        <v>0</v>
      </c>
      <c r="P1167" s="18" t="n">
        <f aca="false">M1167/L1167</f>
        <v>0</v>
      </c>
      <c r="Q1167" s="19" t="str">
        <f aca="false">IF(N1167=0,"n.a.",P1167/N1167-1)</f>
        <v>n.a.</v>
      </c>
    </row>
    <row r="1168" customFormat="false" ht="15" hidden="false" customHeight="false" outlineLevel="0" collapsed="false">
      <c r="A1168" s="12" t="s">
        <v>2860</v>
      </c>
      <c r="B1168" s="12" t="s">
        <v>1451</v>
      </c>
      <c r="C1168" s="12" t="s">
        <v>1452</v>
      </c>
      <c r="D1168" s="12" t="s">
        <v>2861</v>
      </c>
      <c r="E1168" s="12" t="s">
        <v>2862</v>
      </c>
      <c r="F1168" s="13" t="n">
        <v>0</v>
      </c>
      <c r="G1168" s="13" t="n">
        <v>0</v>
      </c>
      <c r="H1168" s="14" t="n">
        <v>3212</v>
      </c>
      <c r="I1168" s="14" t="n">
        <v>2296</v>
      </c>
      <c r="J1168" s="15" t="n">
        <f aca="false">I1168/H1168</f>
        <v>0.714819427148194</v>
      </c>
      <c r="K1168" s="16" t="n">
        <f aca="false">ROUND(I1168*J1168^($F$8-1),0)</f>
        <v>2481</v>
      </c>
      <c r="L1168" s="16" t="n">
        <f aca="false">ROUND(I1168*J1168^($F$9-1),0)</f>
        <v>2336</v>
      </c>
      <c r="M1168" s="17" t="n">
        <f aca="false">G1168*$F$7</f>
        <v>0</v>
      </c>
      <c r="N1168" s="18" t="n">
        <f aca="false">F1168/K1168</f>
        <v>0</v>
      </c>
      <c r="O1168" s="18" t="n">
        <f aca="false">G1168/L1168</f>
        <v>0</v>
      </c>
      <c r="P1168" s="18" t="n">
        <f aca="false">M1168/L1168</f>
        <v>0</v>
      </c>
      <c r="Q1168" s="19" t="str">
        <f aca="false">IF(N1168=0,"n.a.",P1168/N1168-1)</f>
        <v>n.a.</v>
      </c>
    </row>
    <row r="1169" customFormat="false" ht="15" hidden="false" customHeight="false" outlineLevel="0" collapsed="false">
      <c r="A1169" s="12" t="s">
        <v>2863</v>
      </c>
      <c r="B1169" s="12" t="s">
        <v>1451</v>
      </c>
      <c r="C1169" s="12" t="s">
        <v>1452</v>
      </c>
      <c r="D1169" s="12" t="s">
        <v>2864</v>
      </c>
      <c r="E1169" s="12" t="s">
        <v>2865</v>
      </c>
      <c r="F1169" s="13" t="n">
        <v>28676</v>
      </c>
      <c r="G1169" s="13" t="n">
        <v>27562</v>
      </c>
      <c r="H1169" s="14" t="n">
        <v>449</v>
      </c>
      <c r="I1169" s="14" t="n">
        <v>420</v>
      </c>
      <c r="J1169" s="15" t="n">
        <f aca="false">I1169/H1169</f>
        <v>0.935412026726058</v>
      </c>
      <c r="K1169" s="16" t="n">
        <f aca="false">ROUND(I1169*J1169^($F$8-1),0)</f>
        <v>427</v>
      </c>
      <c r="L1169" s="16" t="n">
        <f aca="false">ROUND(I1169*J1169^($F$9-1),0)</f>
        <v>421</v>
      </c>
      <c r="M1169" s="17" t="n">
        <f aca="false">G1169*$F$7</f>
        <v>26550.5362151098</v>
      </c>
      <c r="N1169" s="18" t="n">
        <f aca="false">F1169/K1169</f>
        <v>67.1569086651054</v>
      </c>
      <c r="O1169" s="18" t="n">
        <f aca="false">G1169/L1169</f>
        <v>65.4679334916865</v>
      </c>
      <c r="P1169" s="18" t="n">
        <f aca="false">M1169/L1169</f>
        <v>63.0654066867217</v>
      </c>
      <c r="Q1169" s="19" t="n">
        <f aca="false">IF(N1169=0,"n.a.",P1169/N1169-1)</f>
        <v>-0.060924513348091</v>
      </c>
    </row>
    <row r="1170" customFormat="false" ht="15" hidden="false" customHeight="false" outlineLevel="0" collapsed="false">
      <c r="A1170" s="12" t="s">
        <v>2866</v>
      </c>
      <c r="B1170" s="12" t="s">
        <v>1451</v>
      </c>
      <c r="C1170" s="12" t="s">
        <v>1452</v>
      </c>
      <c r="D1170" s="12" t="s">
        <v>2867</v>
      </c>
      <c r="E1170" s="12" t="s">
        <v>2868</v>
      </c>
      <c r="F1170" s="13" t="n">
        <v>113532</v>
      </c>
      <c r="G1170" s="13" t="n">
        <v>185026</v>
      </c>
      <c r="H1170" s="14" t="n">
        <v>6710</v>
      </c>
      <c r="I1170" s="14" t="n">
        <v>6813</v>
      </c>
      <c r="J1170" s="15" t="n">
        <f aca="false">I1170/H1170</f>
        <v>1.01535022354695</v>
      </c>
      <c r="K1170" s="16" t="n">
        <f aca="false">ROUND(I1170*J1170^($F$8-1),0)</f>
        <v>6789</v>
      </c>
      <c r="L1170" s="16" t="n">
        <f aca="false">ROUND(I1170*J1170^($F$9-1),0)</f>
        <v>6808</v>
      </c>
      <c r="M1170" s="17" t="n">
        <f aca="false">G1170*$F$7</f>
        <v>178235.95942736</v>
      </c>
      <c r="N1170" s="18" t="n">
        <f aca="false">F1170/K1170</f>
        <v>16.7229341581971</v>
      </c>
      <c r="O1170" s="18" t="n">
        <f aca="false">G1170/L1170</f>
        <v>27.177732079906</v>
      </c>
      <c r="P1170" s="18" t="n">
        <f aca="false">M1170/L1170</f>
        <v>26.1803700686487</v>
      </c>
      <c r="Q1170" s="19" t="n">
        <f aca="false">IF(N1170=0,"n.a.",P1170/N1170-1)</f>
        <v>0.565536874150514</v>
      </c>
    </row>
    <row r="1171" customFormat="false" ht="15" hidden="false" customHeight="false" outlineLevel="0" collapsed="false">
      <c r="A1171" s="12" t="s">
        <v>2869</v>
      </c>
      <c r="B1171" s="12" t="s">
        <v>1451</v>
      </c>
      <c r="C1171" s="12" t="s">
        <v>1452</v>
      </c>
      <c r="D1171" s="12" t="s">
        <v>2870</v>
      </c>
      <c r="E1171" s="12" t="s">
        <v>2871</v>
      </c>
      <c r="F1171" s="13" t="n">
        <v>33187</v>
      </c>
      <c r="G1171" s="13" t="n">
        <v>34214</v>
      </c>
      <c r="H1171" s="14" t="n">
        <v>713</v>
      </c>
      <c r="I1171" s="14" t="n">
        <v>748</v>
      </c>
      <c r="J1171" s="15" t="n">
        <f aca="false">I1171/H1171</f>
        <v>1.04908835904628</v>
      </c>
      <c r="K1171" s="16" t="n">
        <f aca="false">ROUND(I1171*J1171^($F$8-1),0)</f>
        <v>740</v>
      </c>
      <c r="L1171" s="16" t="n">
        <f aca="false">ROUND(I1171*J1171^($F$9-1),0)</f>
        <v>746</v>
      </c>
      <c r="M1171" s="17" t="n">
        <f aca="false">G1171*$F$7</f>
        <v>32958.4226857183</v>
      </c>
      <c r="N1171" s="18" t="n">
        <f aca="false">F1171/K1171</f>
        <v>44.8472972972973</v>
      </c>
      <c r="O1171" s="18" t="n">
        <f aca="false">G1171/L1171</f>
        <v>45.8632707774799</v>
      </c>
      <c r="P1171" s="18" t="n">
        <f aca="false">M1171/L1171</f>
        <v>44.1801912677189</v>
      </c>
      <c r="Q1171" s="19" t="n">
        <f aca="false">IF(N1171=0,"n.a.",P1171/N1171-1)</f>
        <v>-0.0148750553496257</v>
      </c>
    </row>
    <row r="1172" customFormat="false" ht="15" hidden="false" customHeight="false" outlineLevel="0" collapsed="false">
      <c r="A1172" s="12" t="s">
        <v>2872</v>
      </c>
      <c r="B1172" s="12" t="s">
        <v>1451</v>
      </c>
      <c r="C1172" s="12" t="s">
        <v>1452</v>
      </c>
      <c r="D1172" s="12" t="s">
        <v>2873</v>
      </c>
      <c r="E1172" s="12" t="s">
        <v>2874</v>
      </c>
      <c r="F1172" s="13" t="n">
        <v>3983</v>
      </c>
      <c r="G1172" s="13" t="n">
        <v>235179</v>
      </c>
      <c r="H1172" s="14" t="n">
        <v>6348</v>
      </c>
      <c r="I1172" s="14" t="n">
        <v>8489</v>
      </c>
      <c r="J1172" s="15" t="n">
        <f aca="false">I1172/H1172</f>
        <v>1.3372715816005</v>
      </c>
      <c r="K1172" s="16" t="n">
        <f aca="false">ROUND(I1172*J1172^($F$8-1),0)</f>
        <v>7938</v>
      </c>
      <c r="L1172" s="16" t="n">
        <f aca="false">ROUND(I1172*J1172^($F$9-1),0)</f>
        <v>8362</v>
      </c>
      <c r="M1172" s="17" t="n">
        <f aca="false">G1172*$F$7</f>
        <v>226548.456444863</v>
      </c>
      <c r="N1172" s="18" t="n">
        <f aca="false">F1172/K1172</f>
        <v>0.501763668430335</v>
      </c>
      <c r="O1172" s="18" t="n">
        <f aca="false">G1172/L1172</f>
        <v>28.1247309256159</v>
      </c>
      <c r="P1172" s="18" t="n">
        <f aca="false">M1172/L1172</f>
        <v>27.0926161737459</v>
      </c>
      <c r="Q1172" s="19" t="n">
        <f aca="false">IF(N1172=0,"n.a.",P1172/N1172-1)</f>
        <v>52.9947745888011</v>
      </c>
    </row>
    <row r="1173" customFormat="false" ht="15" hidden="false" customHeight="false" outlineLevel="0" collapsed="false">
      <c r="A1173" s="12" t="s">
        <v>2875</v>
      </c>
      <c r="B1173" s="12" t="s">
        <v>1451</v>
      </c>
      <c r="C1173" s="12" t="s">
        <v>1452</v>
      </c>
      <c r="D1173" s="12" t="s">
        <v>2876</v>
      </c>
      <c r="E1173" s="12" t="s">
        <v>2877</v>
      </c>
      <c r="F1173" s="13" t="n">
        <v>0</v>
      </c>
      <c r="G1173" s="13" t="n">
        <v>0</v>
      </c>
      <c r="H1173" s="14" t="n">
        <v>1506</v>
      </c>
      <c r="I1173" s="14" t="n">
        <v>1475</v>
      </c>
      <c r="J1173" s="15" t="n">
        <f aca="false">I1173/H1173</f>
        <v>0.97941567065073</v>
      </c>
      <c r="K1173" s="16" t="n">
        <f aca="false">ROUND(I1173*J1173^($F$8-1),0)</f>
        <v>1482</v>
      </c>
      <c r="L1173" s="16" t="n">
        <f aca="false">ROUND(I1173*J1173^($F$9-1),0)</f>
        <v>1477</v>
      </c>
      <c r="M1173" s="17" t="n">
        <f aca="false">G1173*$F$7</f>
        <v>0</v>
      </c>
      <c r="N1173" s="18" t="n">
        <f aca="false">F1173/K1173</f>
        <v>0</v>
      </c>
      <c r="O1173" s="18" t="n">
        <f aca="false">G1173/L1173</f>
        <v>0</v>
      </c>
      <c r="P1173" s="18" t="n">
        <f aca="false">M1173/L1173</f>
        <v>0</v>
      </c>
      <c r="Q1173" s="19" t="str">
        <f aca="false">IF(N1173=0,"n.a.",P1173/N1173-1)</f>
        <v>n.a.</v>
      </c>
    </row>
    <row r="1174" customFormat="false" ht="15" hidden="false" customHeight="false" outlineLevel="0" collapsed="false">
      <c r="A1174" s="12" t="s">
        <v>2878</v>
      </c>
      <c r="B1174" s="12" t="s">
        <v>1451</v>
      </c>
      <c r="C1174" s="12" t="s">
        <v>1452</v>
      </c>
      <c r="D1174" s="12" t="s">
        <v>2879</v>
      </c>
      <c r="E1174" s="12" t="s">
        <v>2880</v>
      </c>
      <c r="F1174" s="13" t="n">
        <v>17836</v>
      </c>
      <c r="G1174" s="13" t="n">
        <v>26575</v>
      </c>
      <c r="H1174" s="14" t="n">
        <v>887</v>
      </c>
      <c r="I1174" s="14" t="n">
        <v>887</v>
      </c>
      <c r="J1174" s="15" t="n">
        <f aca="false">I1174/H1174</f>
        <v>1</v>
      </c>
      <c r="K1174" s="16" t="n">
        <f aca="false">ROUND(I1174*J1174^($F$8-1),0)</f>
        <v>887</v>
      </c>
      <c r="L1174" s="16" t="n">
        <f aca="false">ROUND(I1174*J1174^($F$9-1),0)</f>
        <v>887</v>
      </c>
      <c r="M1174" s="17" t="n">
        <f aca="false">G1174*$F$7</f>
        <v>25599.756908662</v>
      </c>
      <c r="N1174" s="18" t="n">
        <f aca="false">F1174/K1174</f>
        <v>20.108229988726</v>
      </c>
      <c r="O1174" s="18" t="n">
        <f aca="false">G1174/L1174</f>
        <v>29.9605411499436</v>
      </c>
      <c r="P1174" s="18" t="n">
        <f aca="false">M1174/L1174</f>
        <v>28.8610562668118</v>
      </c>
      <c r="Q1174" s="19" t="n">
        <f aca="false">IF(N1174=0,"n.a.",P1174/N1174-1)</f>
        <v>0.435285765231108</v>
      </c>
    </row>
    <row r="1175" customFormat="false" ht="15" hidden="false" customHeight="false" outlineLevel="0" collapsed="false">
      <c r="A1175" s="12" t="s">
        <v>2881</v>
      </c>
      <c r="B1175" s="12" t="s">
        <v>1451</v>
      </c>
      <c r="C1175" s="12" t="s">
        <v>1452</v>
      </c>
      <c r="D1175" s="12" t="s">
        <v>2882</v>
      </c>
      <c r="E1175" s="12" t="s">
        <v>2883</v>
      </c>
      <c r="F1175" s="13" t="n">
        <v>0</v>
      </c>
      <c r="G1175" s="13" t="n">
        <v>0</v>
      </c>
      <c r="H1175" s="14" t="n">
        <v>6386</v>
      </c>
      <c r="I1175" s="14" t="n">
        <v>5453</v>
      </c>
      <c r="J1175" s="15" t="n">
        <f aca="false">I1175/H1175</f>
        <v>0.853899154400251</v>
      </c>
      <c r="K1175" s="16" t="n">
        <f aca="false">ROUND(I1175*J1175^($F$8-1),0)</f>
        <v>5656</v>
      </c>
      <c r="L1175" s="16" t="n">
        <f aca="false">ROUND(I1175*J1175^($F$9-1),0)</f>
        <v>5498</v>
      </c>
      <c r="M1175" s="17" t="n">
        <f aca="false">G1175*$F$7</f>
        <v>0</v>
      </c>
      <c r="N1175" s="18" t="n">
        <f aca="false">F1175/K1175</f>
        <v>0</v>
      </c>
      <c r="O1175" s="18" t="n">
        <f aca="false">G1175/L1175</f>
        <v>0</v>
      </c>
      <c r="P1175" s="18" t="n">
        <f aca="false">M1175/L1175</f>
        <v>0</v>
      </c>
      <c r="Q1175" s="19" t="str">
        <f aca="false">IF(N1175=0,"n.a.",P1175/N1175-1)</f>
        <v>n.a.</v>
      </c>
    </row>
    <row r="1176" customFormat="false" ht="15" hidden="false" customHeight="false" outlineLevel="0" collapsed="false">
      <c r="A1176" s="12" t="s">
        <v>2884</v>
      </c>
      <c r="B1176" s="12" t="s">
        <v>1451</v>
      </c>
      <c r="C1176" s="12" t="s">
        <v>1452</v>
      </c>
      <c r="D1176" s="12" t="s">
        <v>2885</v>
      </c>
      <c r="E1176" s="12" t="s">
        <v>2886</v>
      </c>
      <c r="F1176" s="13" t="n">
        <v>23194</v>
      </c>
      <c r="G1176" s="13" t="n">
        <v>20909</v>
      </c>
      <c r="H1176" s="14" t="n">
        <v>1032</v>
      </c>
      <c r="I1176" s="14" t="n">
        <v>718</v>
      </c>
      <c r="J1176" s="15" t="n">
        <f aca="false">I1176/H1176</f>
        <v>0.695736434108527</v>
      </c>
      <c r="K1176" s="16" t="n">
        <f aca="false">ROUND(I1176*J1176^($F$8-1),0)</f>
        <v>781</v>
      </c>
      <c r="L1176" s="16" t="n">
        <f aca="false">ROUND(I1176*J1176^($F$9-1),0)</f>
        <v>732</v>
      </c>
      <c r="M1176" s="17" t="n">
        <f aca="false">G1176*$F$7</f>
        <v>20141.6864422658</v>
      </c>
      <c r="N1176" s="18" t="n">
        <f aca="false">F1176/K1176</f>
        <v>29.6978233034571</v>
      </c>
      <c r="O1176" s="18" t="n">
        <f aca="false">G1176/L1176</f>
        <v>28.5642076502732</v>
      </c>
      <c r="P1176" s="18" t="n">
        <f aca="false">M1176/L1176</f>
        <v>27.5159650850626</v>
      </c>
      <c r="Q1176" s="19" t="n">
        <f aca="false">IF(N1176=0,"n.a.",P1176/N1176-1)</f>
        <v>-0.073468624151336</v>
      </c>
    </row>
    <row r="1177" customFormat="false" ht="15" hidden="false" customHeight="false" outlineLevel="0" collapsed="false">
      <c r="A1177" s="12" t="s">
        <v>2887</v>
      </c>
      <c r="B1177" s="12" t="s">
        <v>1451</v>
      </c>
      <c r="C1177" s="12" t="s">
        <v>1452</v>
      </c>
      <c r="D1177" s="12" t="s">
        <v>2888</v>
      </c>
      <c r="E1177" s="12" t="s">
        <v>2889</v>
      </c>
      <c r="F1177" s="13" t="n">
        <v>660412</v>
      </c>
      <c r="G1177" s="13" t="n">
        <v>825999</v>
      </c>
      <c r="H1177" s="14" t="n">
        <v>10062</v>
      </c>
      <c r="I1177" s="14" t="n">
        <v>9498</v>
      </c>
      <c r="J1177" s="15" t="n">
        <f aca="false">I1177/H1177</f>
        <v>0.943947525342874</v>
      </c>
      <c r="K1177" s="16" t="n">
        <f aca="false">ROUND(I1177*J1177^($F$8-1),0)</f>
        <v>9625</v>
      </c>
      <c r="L1177" s="16" t="n">
        <f aca="false">ROUND(I1177*J1177^($F$9-1),0)</f>
        <v>9527</v>
      </c>
      <c r="M1177" s="17" t="n">
        <f aca="false">G1177*$F$7</f>
        <v>795686.683228521</v>
      </c>
      <c r="N1177" s="18" t="n">
        <f aca="false">F1177/K1177</f>
        <v>68.6142337662338</v>
      </c>
      <c r="O1177" s="18" t="n">
        <f aca="false">G1177/L1177</f>
        <v>86.7008502151779</v>
      </c>
      <c r="P1177" s="18" t="n">
        <f aca="false">M1177/L1177</f>
        <v>83.5191228328457</v>
      </c>
      <c r="Q1177" s="19" t="n">
        <f aca="false">IF(N1177=0,"n.a.",P1177/N1177-1)</f>
        <v>0.217227363019054</v>
      </c>
    </row>
    <row r="1178" customFormat="false" ht="15" hidden="false" customHeight="false" outlineLevel="0" collapsed="false">
      <c r="A1178" s="12" t="s">
        <v>2890</v>
      </c>
      <c r="B1178" s="12" t="s">
        <v>1451</v>
      </c>
      <c r="C1178" s="12" t="s">
        <v>1452</v>
      </c>
      <c r="D1178" s="12" t="s">
        <v>2891</v>
      </c>
      <c r="E1178" s="12" t="s">
        <v>2892</v>
      </c>
      <c r="F1178" s="13" t="n">
        <v>35198</v>
      </c>
      <c r="G1178" s="13" t="n">
        <v>46928</v>
      </c>
      <c r="H1178" s="14" t="n">
        <v>6379</v>
      </c>
      <c r="I1178" s="14" t="n">
        <v>7175</v>
      </c>
      <c r="J1178" s="15" t="n">
        <f aca="false">I1178/H1178</f>
        <v>1.12478444897319</v>
      </c>
      <c r="K1178" s="16" t="n">
        <f aca="false">ROUND(I1178*J1178^($F$8-1),0)</f>
        <v>6983</v>
      </c>
      <c r="L1178" s="16" t="n">
        <f aca="false">ROUND(I1178*J1178^($F$9-1),0)</f>
        <v>7131</v>
      </c>
      <c r="M1178" s="17" t="n">
        <f aca="false">G1178*$F$7</f>
        <v>45205.8473079847</v>
      </c>
      <c r="N1178" s="18" t="n">
        <f aca="false">F1178/K1178</f>
        <v>5.0405269941286</v>
      </c>
      <c r="O1178" s="18" t="n">
        <f aca="false">G1178/L1178</f>
        <v>6.58084420137428</v>
      </c>
      <c r="P1178" s="18" t="n">
        <f aca="false">M1178/L1178</f>
        <v>6.33934193072285</v>
      </c>
      <c r="Q1178" s="19" t="n">
        <f aca="false">IF(N1178=0,"n.a.",P1178/N1178-1)</f>
        <v>0.257674433270007</v>
      </c>
    </row>
    <row r="1179" customFormat="false" ht="15" hidden="false" customHeight="false" outlineLevel="0" collapsed="false">
      <c r="A1179" s="12" t="s">
        <v>2893</v>
      </c>
      <c r="B1179" s="12" t="s">
        <v>1451</v>
      </c>
      <c r="C1179" s="12" t="s">
        <v>1452</v>
      </c>
      <c r="D1179" s="12" t="s">
        <v>2894</v>
      </c>
      <c r="E1179" s="12" t="s">
        <v>2895</v>
      </c>
      <c r="F1179" s="13" t="n">
        <v>0</v>
      </c>
      <c r="G1179" s="13" t="n">
        <v>13495</v>
      </c>
      <c r="H1179" s="14" t="n">
        <v>986</v>
      </c>
      <c r="I1179" s="14" t="n">
        <v>1053</v>
      </c>
      <c r="J1179" s="15" t="n">
        <f aca="false">I1179/H1179</f>
        <v>1.06795131845842</v>
      </c>
      <c r="K1179" s="16" t="n">
        <f aca="false">ROUND(I1179*J1179^($F$8-1),0)</f>
        <v>1037</v>
      </c>
      <c r="L1179" s="16" t="n">
        <f aca="false">ROUND(I1179*J1179^($F$9-1),0)</f>
        <v>1049</v>
      </c>
      <c r="M1179" s="17" t="n">
        <f aca="false">G1179*$F$7</f>
        <v>12999.7636681992</v>
      </c>
      <c r="N1179" s="18" t="n">
        <f aca="false">F1179/K1179</f>
        <v>0</v>
      </c>
      <c r="O1179" s="18" t="n">
        <f aca="false">G1179/L1179</f>
        <v>12.8646329837941</v>
      </c>
      <c r="P1179" s="18" t="n">
        <f aca="false">M1179/L1179</f>
        <v>12.3925297122967</v>
      </c>
      <c r="Q1179" s="19" t="str">
        <f aca="false">IF(N1179=0,"n.a.",P1179/N1179-1)</f>
        <v>n.a.</v>
      </c>
    </row>
    <row r="1180" customFormat="false" ht="15" hidden="false" customHeight="false" outlineLevel="0" collapsed="false">
      <c r="A1180" s="12" t="s">
        <v>2896</v>
      </c>
      <c r="B1180" s="12" t="s">
        <v>1451</v>
      </c>
      <c r="C1180" s="12" t="s">
        <v>1452</v>
      </c>
      <c r="D1180" s="12" t="s">
        <v>2897</v>
      </c>
      <c r="E1180" s="12" t="s">
        <v>2898</v>
      </c>
      <c r="F1180" s="13" t="n">
        <v>75660</v>
      </c>
      <c r="G1180" s="13" t="n">
        <v>63771</v>
      </c>
      <c r="H1180" s="14" t="n">
        <v>1960</v>
      </c>
      <c r="I1180" s="14" t="n">
        <v>1971</v>
      </c>
      <c r="J1180" s="15" t="n">
        <f aca="false">I1180/H1180</f>
        <v>1.00561224489796</v>
      </c>
      <c r="K1180" s="16" t="n">
        <f aca="false">ROUND(I1180*J1180^($F$8-1),0)</f>
        <v>1968</v>
      </c>
      <c r="L1180" s="16" t="n">
        <f aca="false">ROUND(I1180*J1180^($F$9-1),0)</f>
        <v>1970</v>
      </c>
      <c r="M1180" s="17" t="n">
        <f aca="false">G1180*$F$7</f>
        <v>61430.7468606693</v>
      </c>
      <c r="N1180" s="18" t="n">
        <f aca="false">F1180/K1180</f>
        <v>38.4451219512195</v>
      </c>
      <c r="O1180" s="18" t="n">
        <f aca="false">G1180/L1180</f>
        <v>32.3710659898477</v>
      </c>
      <c r="P1180" s="18" t="n">
        <f aca="false">M1180/L1180</f>
        <v>31.1831202338423</v>
      </c>
      <c r="Q1180" s="19" t="n">
        <f aca="false">IF(N1180=0,"n.a.",P1180/N1180-1)</f>
        <v>-0.188892669571747</v>
      </c>
    </row>
    <row r="1181" customFormat="false" ht="15" hidden="false" customHeight="false" outlineLevel="0" collapsed="false">
      <c r="A1181" s="12" t="s">
        <v>2899</v>
      </c>
      <c r="B1181" s="12" t="s">
        <v>1451</v>
      </c>
      <c r="C1181" s="12" t="s">
        <v>1452</v>
      </c>
      <c r="D1181" s="12" t="s">
        <v>2900</v>
      </c>
      <c r="E1181" s="12" t="s">
        <v>2901</v>
      </c>
      <c r="F1181" s="13" t="n">
        <v>783530</v>
      </c>
      <c r="G1181" s="13" t="n">
        <v>650069</v>
      </c>
      <c r="H1181" s="14" t="n">
        <v>11382</v>
      </c>
      <c r="I1181" s="14" t="n">
        <v>10951</v>
      </c>
      <c r="J1181" s="15" t="n">
        <f aca="false">I1181/H1181</f>
        <v>0.962133192760499</v>
      </c>
      <c r="K1181" s="16" t="n">
        <f aca="false">ROUND(I1181*J1181^($F$8-1),0)</f>
        <v>11049</v>
      </c>
      <c r="L1181" s="16" t="n">
        <f aca="false">ROUND(I1181*J1181^($F$9-1),0)</f>
        <v>10973</v>
      </c>
      <c r="M1181" s="17" t="n">
        <f aca="false">G1181*$F$7</f>
        <v>626212.920935354</v>
      </c>
      <c r="N1181" s="18" t="n">
        <f aca="false">F1181/K1181</f>
        <v>70.9141098741968</v>
      </c>
      <c r="O1181" s="18" t="n">
        <f aca="false">G1181/L1181</f>
        <v>59.2425954615875</v>
      </c>
      <c r="P1181" s="18" t="n">
        <f aca="false">M1181/L1181</f>
        <v>57.0685246455257</v>
      </c>
      <c r="Q1181" s="19" t="n">
        <f aca="false">IF(N1181=0,"n.a.",P1181/N1181-1)</f>
        <v>-0.195244433769717</v>
      </c>
    </row>
    <row r="1182" customFormat="false" ht="15" hidden="false" customHeight="false" outlineLevel="0" collapsed="false">
      <c r="A1182" s="12" t="s">
        <v>2902</v>
      </c>
      <c r="B1182" s="12" t="s">
        <v>1451</v>
      </c>
      <c r="C1182" s="12" t="s">
        <v>1452</v>
      </c>
      <c r="D1182" s="12" t="s">
        <v>2903</v>
      </c>
      <c r="E1182" s="12" t="s">
        <v>2904</v>
      </c>
      <c r="F1182" s="13" t="n">
        <v>1083465</v>
      </c>
      <c r="G1182" s="13" t="n">
        <v>1104973</v>
      </c>
      <c r="H1182" s="14" t="n">
        <v>5752</v>
      </c>
      <c r="I1182" s="14" t="n">
        <v>6206</v>
      </c>
      <c r="J1182" s="15" t="n">
        <f aca="false">I1182/H1182</f>
        <v>1.07892906815021</v>
      </c>
      <c r="K1182" s="16" t="n">
        <f aca="false">ROUND(I1182*J1182^($F$8-1),0)</f>
        <v>6098</v>
      </c>
      <c r="L1182" s="16" t="n">
        <f aca="false">ROUND(I1182*J1182^($F$9-1),0)</f>
        <v>6182</v>
      </c>
      <c r="M1182" s="17" t="n">
        <f aca="false">G1182*$F$7</f>
        <v>1064422.96107752</v>
      </c>
      <c r="N1182" s="18" t="n">
        <f aca="false">F1182/K1182</f>
        <v>177.67546736635</v>
      </c>
      <c r="O1182" s="18" t="n">
        <f aca="false">G1182/L1182</f>
        <v>178.74037528308</v>
      </c>
      <c r="P1182" s="18" t="n">
        <f aca="false">M1182/L1182</f>
        <v>172.181003085978</v>
      </c>
      <c r="Q1182" s="19" t="n">
        <f aca="false">IF(N1182=0,"n.a.",P1182/N1182-1)</f>
        <v>-0.0309241583084868</v>
      </c>
    </row>
    <row r="1183" customFormat="false" ht="15" hidden="false" customHeight="false" outlineLevel="0" collapsed="false">
      <c r="A1183" s="12" t="s">
        <v>2905</v>
      </c>
      <c r="B1183" s="12" t="s">
        <v>1451</v>
      </c>
      <c r="C1183" s="12" t="s">
        <v>1452</v>
      </c>
      <c r="D1183" s="12" t="s">
        <v>2906</v>
      </c>
      <c r="E1183" s="12" t="s">
        <v>2907</v>
      </c>
      <c r="F1183" s="13" t="n">
        <v>7582275</v>
      </c>
      <c r="G1183" s="13" t="n">
        <v>15497536</v>
      </c>
      <c r="H1183" s="14" t="n">
        <v>29385</v>
      </c>
      <c r="I1183" s="14" t="n">
        <v>30461</v>
      </c>
      <c r="J1183" s="15" t="n">
        <f aca="false">I1183/H1183</f>
        <v>1.0366173217628</v>
      </c>
      <c r="K1183" s="16" t="n">
        <f aca="false">ROUND(I1183*J1183^($F$8-1),0)</f>
        <v>30209</v>
      </c>
      <c r="L1183" s="16" t="n">
        <f aca="false">ROUND(I1183*J1183^($F$9-1),0)</f>
        <v>30404</v>
      </c>
      <c r="M1183" s="17" t="n">
        <f aca="false">G1183*$F$7</f>
        <v>14928811.0736873</v>
      </c>
      <c r="N1183" s="18" t="n">
        <f aca="false">F1183/K1183</f>
        <v>250.993909099937</v>
      </c>
      <c r="O1183" s="18" t="n">
        <f aca="false">G1183/L1183</f>
        <v>509.720299960532</v>
      </c>
      <c r="P1183" s="18" t="n">
        <f aca="false">M1183/L1183</f>
        <v>491.014704436497</v>
      </c>
      <c r="Q1183" s="19" t="n">
        <f aca="false">IF(N1183=0,"n.a.",P1183/N1183-1)</f>
        <v>0.956281354385345</v>
      </c>
    </row>
    <row r="1184" customFormat="false" ht="15" hidden="false" customHeight="false" outlineLevel="0" collapsed="false">
      <c r="A1184" s="12" t="s">
        <v>2908</v>
      </c>
      <c r="B1184" s="12" t="s">
        <v>1451</v>
      </c>
      <c r="C1184" s="12" t="s">
        <v>1452</v>
      </c>
      <c r="D1184" s="12" t="s">
        <v>2909</v>
      </c>
      <c r="E1184" s="12" t="s">
        <v>2910</v>
      </c>
      <c r="F1184" s="13" t="n">
        <v>3040</v>
      </c>
      <c r="G1184" s="13" t="n">
        <v>10641</v>
      </c>
      <c r="H1184" s="14" t="n">
        <v>410</v>
      </c>
      <c r="I1184" s="14" t="n">
        <v>376</v>
      </c>
      <c r="J1184" s="15" t="n">
        <f aca="false">I1184/H1184</f>
        <v>0.917073170731707</v>
      </c>
      <c r="K1184" s="16" t="n">
        <f aca="false">ROUND(I1184*J1184^($F$8-1),0)</f>
        <v>384</v>
      </c>
      <c r="L1184" s="16" t="n">
        <f aca="false">ROUND(I1184*J1184^($F$9-1),0)</f>
        <v>378</v>
      </c>
      <c r="M1184" s="17" t="n">
        <f aca="false">G1184*$F$7</f>
        <v>10250.4990880554</v>
      </c>
      <c r="N1184" s="18" t="n">
        <f aca="false">F1184/K1184</f>
        <v>7.91666666666667</v>
      </c>
      <c r="O1184" s="18" t="n">
        <f aca="false">G1184/L1184</f>
        <v>28.1507936507937</v>
      </c>
      <c r="P1184" s="18" t="n">
        <f aca="false">M1184/L1184</f>
        <v>27.1177224551731</v>
      </c>
      <c r="Q1184" s="19" t="n">
        <f aca="false">IF(N1184=0,"n.a.",P1184/N1184-1)</f>
        <v>2.42539652065344</v>
      </c>
    </row>
    <row r="1185" customFormat="false" ht="15" hidden="false" customHeight="false" outlineLevel="0" collapsed="false">
      <c r="A1185" s="12" t="s">
        <v>2911</v>
      </c>
      <c r="B1185" s="12" t="s">
        <v>1451</v>
      </c>
      <c r="C1185" s="12" t="s">
        <v>1452</v>
      </c>
      <c r="D1185" s="12" t="s">
        <v>2912</v>
      </c>
      <c r="E1185" s="12" t="s">
        <v>2913</v>
      </c>
      <c r="F1185" s="13" t="n">
        <v>3747759</v>
      </c>
      <c r="G1185" s="13" t="n">
        <v>8864732</v>
      </c>
      <c r="H1185" s="14" t="n">
        <v>12059</v>
      </c>
      <c r="I1185" s="14" t="n">
        <v>12281</v>
      </c>
      <c r="J1185" s="15" t="n">
        <f aca="false">I1185/H1185</f>
        <v>1.01840948669044</v>
      </c>
      <c r="K1185" s="16" t="n">
        <f aca="false">ROUND(I1185*J1185^($F$8-1),0)</f>
        <v>12229</v>
      </c>
      <c r="L1185" s="16" t="n">
        <f aca="false">ROUND(I1185*J1185^($F$9-1),0)</f>
        <v>12269</v>
      </c>
      <c r="M1185" s="17" t="n">
        <f aca="false">G1185*$F$7</f>
        <v>8539416.15279163</v>
      </c>
      <c r="N1185" s="18" t="n">
        <f aca="false">F1185/K1185</f>
        <v>306.46487856734</v>
      </c>
      <c r="O1185" s="18" t="n">
        <f aca="false">G1185/L1185</f>
        <v>722.530931616269</v>
      </c>
      <c r="P1185" s="18" t="n">
        <f aca="false">M1185/L1185</f>
        <v>696.015661650634</v>
      </c>
      <c r="Q1185" s="19" t="n">
        <f aca="false">IF(N1185=0,"n.a.",P1185/N1185-1)</f>
        <v>1.27111068943483</v>
      </c>
    </row>
    <row r="1186" customFormat="false" ht="15" hidden="false" customHeight="false" outlineLevel="0" collapsed="false">
      <c r="A1186" s="12" t="s">
        <v>2914</v>
      </c>
      <c r="B1186" s="12" t="s">
        <v>1451</v>
      </c>
      <c r="C1186" s="12" t="s">
        <v>1452</v>
      </c>
      <c r="D1186" s="12" t="s">
        <v>2915</v>
      </c>
      <c r="E1186" s="12" t="s">
        <v>2916</v>
      </c>
      <c r="F1186" s="13" t="n">
        <v>8030</v>
      </c>
      <c r="G1186" s="13" t="n">
        <v>16900</v>
      </c>
      <c r="H1186" s="14" t="n">
        <v>5858</v>
      </c>
      <c r="I1186" s="14" t="n">
        <v>6676</v>
      </c>
      <c r="J1186" s="15" t="n">
        <f aca="false">I1186/H1186</f>
        <v>1.13963810174121</v>
      </c>
      <c r="K1186" s="16" t="n">
        <f aca="false">ROUND(I1186*J1186^($F$8-1),0)</f>
        <v>6478</v>
      </c>
      <c r="L1186" s="16" t="n">
        <f aca="false">ROUND(I1186*J1186^($F$9-1),0)</f>
        <v>6631</v>
      </c>
      <c r="M1186" s="17" t="n">
        <f aca="false">G1186*$F$7</f>
        <v>16279.8077801087</v>
      </c>
      <c r="N1186" s="18" t="n">
        <f aca="false">F1186/K1186</f>
        <v>1.23958011732016</v>
      </c>
      <c r="O1186" s="18" t="n">
        <f aca="false">G1186/L1186</f>
        <v>2.54863519831096</v>
      </c>
      <c r="P1186" s="18" t="n">
        <f aca="false">M1186/L1186</f>
        <v>2.45510598403087</v>
      </c>
      <c r="Q1186" s="19" t="n">
        <f aca="false">IF(N1186=0,"n.a.",P1186/N1186-1)</f>
        <v>0.980594839919299</v>
      </c>
    </row>
    <row r="1187" customFormat="false" ht="15" hidden="false" customHeight="false" outlineLevel="0" collapsed="false">
      <c r="A1187" s="12" t="s">
        <v>2917</v>
      </c>
      <c r="B1187" s="12" t="s">
        <v>1451</v>
      </c>
      <c r="C1187" s="12" t="s">
        <v>1452</v>
      </c>
      <c r="D1187" s="12" t="s">
        <v>2918</v>
      </c>
      <c r="E1187" s="12" t="s">
        <v>2919</v>
      </c>
      <c r="F1187" s="13" t="n">
        <v>0</v>
      </c>
      <c r="G1187" s="13" t="n">
        <v>0</v>
      </c>
      <c r="H1187" s="14" t="n">
        <v>306</v>
      </c>
      <c r="I1187" s="14" t="n">
        <v>288</v>
      </c>
      <c r="J1187" s="15" t="n">
        <f aca="false">I1187/H1187</f>
        <v>0.941176470588235</v>
      </c>
      <c r="K1187" s="16" t="n">
        <f aca="false">ROUND(I1187*J1187^($F$8-1),0)</f>
        <v>292</v>
      </c>
      <c r="L1187" s="16" t="n">
        <f aca="false">ROUND(I1187*J1187^($F$9-1),0)</f>
        <v>289</v>
      </c>
      <c r="M1187" s="17" t="n">
        <f aca="false">G1187*$F$7</f>
        <v>0</v>
      </c>
      <c r="N1187" s="18" t="n">
        <f aca="false">F1187/K1187</f>
        <v>0</v>
      </c>
      <c r="O1187" s="18" t="n">
        <f aca="false">G1187/L1187</f>
        <v>0</v>
      </c>
      <c r="P1187" s="18" t="n">
        <f aca="false">M1187/L1187</f>
        <v>0</v>
      </c>
      <c r="Q1187" s="19" t="str">
        <f aca="false">IF(N1187=0,"n.a.",P1187/N1187-1)</f>
        <v>n.a.</v>
      </c>
    </row>
    <row r="1188" customFormat="false" ht="15" hidden="false" customHeight="false" outlineLevel="0" collapsed="false">
      <c r="A1188" s="12" t="s">
        <v>2920</v>
      </c>
      <c r="B1188" s="12" t="s">
        <v>1451</v>
      </c>
      <c r="C1188" s="12" t="s">
        <v>1452</v>
      </c>
      <c r="D1188" s="12" t="s">
        <v>2921</v>
      </c>
      <c r="E1188" s="12" t="s">
        <v>2922</v>
      </c>
      <c r="F1188" s="13" t="n">
        <v>528420</v>
      </c>
      <c r="G1188" s="13" t="n">
        <v>557032</v>
      </c>
      <c r="H1188" s="14" t="n">
        <v>14542</v>
      </c>
      <c r="I1188" s="14" t="n">
        <v>14355</v>
      </c>
      <c r="J1188" s="15" t="n">
        <f aca="false">I1188/H1188</f>
        <v>0.98714069591528</v>
      </c>
      <c r="K1188" s="16" t="n">
        <f aca="false">ROUND(I1188*J1188^($F$8-1),0)</f>
        <v>14398</v>
      </c>
      <c r="L1188" s="16" t="n">
        <f aca="false">ROUND(I1188*J1188^($F$9-1),0)</f>
        <v>14365</v>
      </c>
      <c r="M1188" s="17" t="n">
        <f aca="false">G1188*$F$7</f>
        <v>536590.170850267</v>
      </c>
      <c r="N1188" s="18" t="n">
        <f aca="false">F1188/K1188</f>
        <v>36.7009306848173</v>
      </c>
      <c r="O1188" s="18" t="n">
        <f aca="false">G1188/L1188</f>
        <v>38.7770274973895</v>
      </c>
      <c r="P1188" s="18" t="n">
        <f aca="false">M1188/L1188</f>
        <v>37.3539972746444</v>
      </c>
      <c r="Q1188" s="19" t="n">
        <f aca="false">IF(N1188=0,"n.a.",P1188/N1188-1)</f>
        <v>0.0177942787183112</v>
      </c>
    </row>
    <row r="1189" customFormat="false" ht="15" hidden="false" customHeight="false" outlineLevel="0" collapsed="false">
      <c r="A1189" s="12" t="s">
        <v>2923</v>
      </c>
      <c r="B1189" s="12" t="s">
        <v>1451</v>
      </c>
      <c r="C1189" s="12" t="s">
        <v>1452</v>
      </c>
      <c r="D1189" s="12" t="s">
        <v>2924</v>
      </c>
      <c r="E1189" s="12" t="s">
        <v>2925</v>
      </c>
      <c r="F1189" s="13" t="n">
        <v>0</v>
      </c>
      <c r="G1189" s="13" t="n">
        <v>0</v>
      </c>
      <c r="H1189" s="14" t="n">
        <v>1376</v>
      </c>
      <c r="I1189" s="14" t="n">
        <v>1422</v>
      </c>
      <c r="J1189" s="15" t="n">
        <f aca="false">I1189/H1189</f>
        <v>1.03343023255814</v>
      </c>
      <c r="K1189" s="16" t="n">
        <f aca="false">ROUND(I1189*J1189^($F$8-1),0)</f>
        <v>1411</v>
      </c>
      <c r="L1189" s="16" t="n">
        <f aca="false">ROUND(I1189*J1189^($F$9-1),0)</f>
        <v>1420</v>
      </c>
      <c r="M1189" s="17" t="n">
        <f aca="false">G1189*$F$7</f>
        <v>0</v>
      </c>
      <c r="N1189" s="18" t="n">
        <f aca="false">F1189/K1189</f>
        <v>0</v>
      </c>
      <c r="O1189" s="18" t="n">
        <f aca="false">G1189/L1189</f>
        <v>0</v>
      </c>
      <c r="P1189" s="18" t="n">
        <f aca="false">M1189/L1189</f>
        <v>0</v>
      </c>
      <c r="Q1189" s="19" t="str">
        <f aca="false">IF(N1189=0,"n.a.",P1189/N1189-1)</f>
        <v>n.a.</v>
      </c>
    </row>
    <row r="1190" customFormat="false" ht="15" hidden="false" customHeight="false" outlineLevel="0" collapsed="false">
      <c r="A1190" s="12" t="s">
        <v>2926</v>
      </c>
      <c r="B1190" s="12" t="s">
        <v>1451</v>
      </c>
      <c r="C1190" s="12" t="s">
        <v>1452</v>
      </c>
      <c r="D1190" s="12" t="s">
        <v>2927</v>
      </c>
      <c r="E1190" s="12" t="s">
        <v>2928</v>
      </c>
      <c r="F1190" s="13" t="n">
        <v>1245321</v>
      </c>
      <c r="G1190" s="13" t="n">
        <v>1321200</v>
      </c>
      <c r="H1190" s="14" t="n">
        <v>22923</v>
      </c>
      <c r="I1190" s="14" t="n">
        <v>24281</v>
      </c>
      <c r="J1190" s="15" t="n">
        <f aca="false">I1190/H1190</f>
        <v>1.05924180953627</v>
      </c>
      <c r="K1190" s="16" t="n">
        <f aca="false">ROUND(I1190*J1190^($F$8-1),0)</f>
        <v>23960</v>
      </c>
      <c r="L1190" s="16" t="n">
        <f aca="false">ROUND(I1190*J1190^($F$9-1),0)</f>
        <v>24208</v>
      </c>
      <c r="M1190" s="17" t="n">
        <f aca="false">G1190*$F$7</f>
        <v>1272714.91355501</v>
      </c>
      <c r="N1190" s="18" t="n">
        <f aca="false">F1190/K1190</f>
        <v>51.975</v>
      </c>
      <c r="O1190" s="18" t="n">
        <f aca="false">G1190/L1190</f>
        <v>54.5769993390615</v>
      </c>
      <c r="P1190" s="18" t="n">
        <f aca="false">M1190/L1190</f>
        <v>52.5741454707124</v>
      </c>
      <c r="Q1190" s="19" t="n">
        <f aca="false">IF(N1190=0,"n.a.",P1190/N1190-1)</f>
        <v>0.0115275703840776</v>
      </c>
    </row>
    <row r="1191" customFormat="false" ht="15" hidden="false" customHeight="false" outlineLevel="0" collapsed="false">
      <c r="A1191" s="12" t="s">
        <v>2929</v>
      </c>
      <c r="B1191" s="12" t="s">
        <v>1451</v>
      </c>
      <c r="C1191" s="12" t="s">
        <v>1452</v>
      </c>
      <c r="D1191" s="12" t="s">
        <v>2930</v>
      </c>
      <c r="E1191" s="12" t="s">
        <v>2931</v>
      </c>
      <c r="F1191" s="13" t="n">
        <v>361287</v>
      </c>
      <c r="G1191" s="13" t="n">
        <v>283357</v>
      </c>
      <c r="H1191" s="14" t="n">
        <v>6467</v>
      </c>
      <c r="I1191" s="14" t="n">
        <v>7406</v>
      </c>
      <c r="J1191" s="15" t="n">
        <f aca="false">I1191/H1191</f>
        <v>1.14519870109788</v>
      </c>
      <c r="K1191" s="16" t="n">
        <f aca="false">ROUND(I1191*J1191^($F$8-1),0)</f>
        <v>7178</v>
      </c>
      <c r="L1191" s="16" t="n">
        <f aca="false">ROUND(I1191*J1191^($F$9-1),0)</f>
        <v>7354</v>
      </c>
      <c r="M1191" s="17" t="n">
        <f aca="false">G1191*$F$7</f>
        <v>272958.431547234</v>
      </c>
      <c r="N1191" s="18" t="n">
        <f aca="false">F1191/K1191</f>
        <v>50.3325438840903</v>
      </c>
      <c r="O1191" s="18" t="n">
        <f aca="false">G1191/L1191</f>
        <v>38.5310035354909</v>
      </c>
      <c r="P1191" s="18" t="n">
        <f aca="false">M1191/L1191</f>
        <v>37.1170018421586</v>
      </c>
      <c r="Q1191" s="19" t="n">
        <f aca="false">IF(N1191=0,"n.a.",P1191/N1191-1)</f>
        <v>-0.262564556092485</v>
      </c>
    </row>
    <row r="1192" customFormat="false" ht="15" hidden="false" customHeight="false" outlineLevel="0" collapsed="false">
      <c r="A1192" s="12" t="s">
        <v>2932</v>
      </c>
      <c r="B1192" s="12" t="s">
        <v>1451</v>
      </c>
      <c r="C1192" s="12" t="s">
        <v>1452</v>
      </c>
      <c r="D1192" s="12" t="s">
        <v>2933</v>
      </c>
      <c r="E1192" s="12" t="s">
        <v>2934</v>
      </c>
      <c r="F1192" s="13" t="n">
        <v>0</v>
      </c>
      <c r="G1192" s="13" t="n">
        <v>0</v>
      </c>
      <c r="H1192" s="14" t="n">
        <v>2954</v>
      </c>
      <c r="I1192" s="14" t="n">
        <v>2887</v>
      </c>
      <c r="J1192" s="15" t="n">
        <f aca="false">I1192/H1192</f>
        <v>0.977318889641165</v>
      </c>
      <c r="K1192" s="16" t="n">
        <f aca="false">ROUND(I1192*J1192^($F$8-1),0)</f>
        <v>2902</v>
      </c>
      <c r="L1192" s="16" t="n">
        <f aca="false">ROUND(I1192*J1192^($F$9-1),0)</f>
        <v>2890</v>
      </c>
      <c r="M1192" s="17" t="n">
        <f aca="false">G1192*$F$7</f>
        <v>0</v>
      </c>
      <c r="N1192" s="18" t="n">
        <f aca="false">F1192/K1192</f>
        <v>0</v>
      </c>
      <c r="O1192" s="18" t="n">
        <f aca="false">G1192/L1192</f>
        <v>0</v>
      </c>
      <c r="P1192" s="18" t="n">
        <f aca="false">M1192/L1192</f>
        <v>0</v>
      </c>
      <c r="Q1192" s="19" t="str">
        <f aca="false">IF(N1192=0,"n.a.",P1192/N1192-1)</f>
        <v>n.a.</v>
      </c>
    </row>
    <row r="1193" customFormat="false" ht="15" hidden="false" customHeight="false" outlineLevel="0" collapsed="false">
      <c r="A1193" s="12" t="s">
        <v>2935</v>
      </c>
      <c r="B1193" s="12" t="s">
        <v>1451</v>
      </c>
      <c r="C1193" s="12" t="s">
        <v>1452</v>
      </c>
      <c r="D1193" s="12" t="s">
        <v>2936</v>
      </c>
      <c r="E1193" s="12" t="s">
        <v>2937</v>
      </c>
      <c r="F1193" s="13" t="n">
        <v>17689</v>
      </c>
      <c r="G1193" s="13" t="n">
        <v>18415</v>
      </c>
      <c r="H1193" s="14" t="n">
        <v>1652</v>
      </c>
      <c r="I1193" s="14" t="n">
        <v>1721</v>
      </c>
      <c r="J1193" s="15" t="n">
        <f aca="false">I1193/H1193</f>
        <v>1.04176755447942</v>
      </c>
      <c r="K1193" s="16" t="n">
        <f aca="false">ROUND(I1193*J1193^($F$8-1),0)</f>
        <v>1705</v>
      </c>
      <c r="L1193" s="16" t="n">
        <f aca="false">ROUND(I1193*J1193^($F$9-1),0)</f>
        <v>1717</v>
      </c>
      <c r="M1193" s="17" t="n">
        <f aca="false">G1193*$F$7</f>
        <v>17739.2106669054</v>
      </c>
      <c r="N1193" s="18" t="n">
        <f aca="false">F1193/K1193</f>
        <v>10.374780058651</v>
      </c>
      <c r="O1193" s="18" t="n">
        <f aca="false">G1193/L1193</f>
        <v>10.7251019219569</v>
      </c>
      <c r="P1193" s="18" t="n">
        <f aca="false">M1193/L1193</f>
        <v>10.3315146574871</v>
      </c>
      <c r="Q1193" s="19" t="n">
        <f aca="false">IF(N1193=0,"n.a.",P1193/N1193-1)</f>
        <v>-0.00417024755409701</v>
      </c>
    </row>
    <row r="1194" customFormat="false" ht="15" hidden="false" customHeight="false" outlineLevel="0" collapsed="false">
      <c r="A1194" s="12" t="s">
        <v>2938</v>
      </c>
      <c r="B1194" s="12" t="s">
        <v>1451</v>
      </c>
      <c r="C1194" s="12" t="s">
        <v>1452</v>
      </c>
      <c r="D1194" s="12" t="s">
        <v>2939</v>
      </c>
      <c r="E1194" s="12" t="s">
        <v>2940</v>
      </c>
      <c r="F1194" s="13" t="n">
        <v>0</v>
      </c>
      <c r="G1194" s="13" t="n">
        <v>0</v>
      </c>
      <c r="H1194" s="14" t="n">
        <v>1245</v>
      </c>
      <c r="I1194" s="14" t="n">
        <v>1190</v>
      </c>
      <c r="J1194" s="15" t="n">
        <f aca="false">I1194/H1194</f>
        <v>0.955823293172691</v>
      </c>
      <c r="K1194" s="16" t="n">
        <f aca="false">ROUND(I1194*J1194^($F$8-1),0)</f>
        <v>1202</v>
      </c>
      <c r="L1194" s="16" t="n">
        <f aca="false">ROUND(I1194*J1194^($F$9-1),0)</f>
        <v>1193</v>
      </c>
      <c r="M1194" s="17" t="n">
        <f aca="false">G1194*$F$7</f>
        <v>0</v>
      </c>
      <c r="N1194" s="18" t="n">
        <f aca="false">F1194/K1194</f>
        <v>0</v>
      </c>
      <c r="O1194" s="18" t="n">
        <f aca="false">G1194/L1194</f>
        <v>0</v>
      </c>
      <c r="P1194" s="18" t="n">
        <f aca="false">M1194/L1194</f>
        <v>0</v>
      </c>
      <c r="Q1194" s="19" t="str">
        <f aca="false">IF(N1194=0,"n.a.",P1194/N1194-1)</f>
        <v>n.a.</v>
      </c>
    </row>
    <row r="1195" customFormat="false" ht="15" hidden="false" customHeight="false" outlineLevel="0" collapsed="false">
      <c r="A1195" s="12" t="s">
        <v>2941</v>
      </c>
      <c r="B1195" s="12" t="s">
        <v>1451</v>
      </c>
      <c r="C1195" s="12" t="s">
        <v>1452</v>
      </c>
      <c r="D1195" s="12" t="s">
        <v>2942</v>
      </c>
      <c r="E1195" s="12" t="s">
        <v>2943</v>
      </c>
      <c r="F1195" s="13" t="n">
        <v>0</v>
      </c>
      <c r="G1195" s="13" t="n">
        <v>0</v>
      </c>
      <c r="H1195" s="14" t="n">
        <v>1183</v>
      </c>
      <c r="I1195" s="14" t="n">
        <v>1093</v>
      </c>
      <c r="J1195" s="15" t="n">
        <f aca="false">I1195/H1195</f>
        <v>0.923922231614539</v>
      </c>
      <c r="K1195" s="16" t="n">
        <f aca="false">ROUND(I1195*J1195^($F$8-1),0)</f>
        <v>1113</v>
      </c>
      <c r="L1195" s="16" t="n">
        <f aca="false">ROUND(I1195*J1195^($F$9-1),0)</f>
        <v>1098</v>
      </c>
      <c r="M1195" s="17" t="n">
        <f aca="false">G1195*$F$7</f>
        <v>0</v>
      </c>
      <c r="N1195" s="18" t="n">
        <f aca="false">F1195/K1195</f>
        <v>0</v>
      </c>
      <c r="O1195" s="18" t="n">
        <f aca="false">G1195/L1195</f>
        <v>0</v>
      </c>
      <c r="P1195" s="18" t="n">
        <f aca="false">M1195/L1195</f>
        <v>0</v>
      </c>
      <c r="Q1195" s="19" t="str">
        <f aca="false">IF(N1195=0,"n.a.",P1195/N1195-1)</f>
        <v>n.a.</v>
      </c>
    </row>
    <row r="1196" customFormat="false" ht="15" hidden="false" customHeight="false" outlineLevel="0" collapsed="false">
      <c r="A1196" s="12" t="s">
        <v>2944</v>
      </c>
      <c r="B1196" s="12" t="s">
        <v>1451</v>
      </c>
      <c r="C1196" s="12" t="s">
        <v>1452</v>
      </c>
      <c r="D1196" s="12" t="s">
        <v>2945</v>
      </c>
      <c r="E1196" s="12" t="s">
        <v>2946</v>
      </c>
      <c r="F1196" s="13" t="n">
        <v>4926993</v>
      </c>
      <c r="G1196" s="13" t="n">
        <v>6561505</v>
      </c>
      <c r="H1196" s="14" t="n">
        <v>46436</v>
      </c>
      <c r="I1196" s="14" t="n">
        <v>50206</v>
      </c>
      <c r="J1196" s="15" t="n">
        <f aca="false">I1196/H1196</f>
        <v>1.08118701007839</v>
      </c>
      <c r="K1196" s="16" t="n">
        <f aca="false">ROUND(I1196*J1196^($F$8-1),0)</f>
        <v>49309</v>
      </c>
      <c r="L1196" s="16" t="n">
        <f aca="false">ROUND(I1196*J1196^($F$9-1),0)</f>
        <v>50003</v>
      </c>
      <c r="M1196" s="17" t="n">
        <f aca="false">G1196*$F$7</f>
        <v>6320712.43480604</v>
      </c>
      <c r="N1196" s="18" t="n">
        <f aca="false">F1196/K1196</f>
        <v>99.9207649719118</v>
      </c>
      <c r="O1196" s="18" t="n">
        <f aca="false">G1196/L1196</f>
        <v>131.2222266664</v>
      </c>
      <c r="P1196" s="18" t="n">
        <f aca="false">M1196/L1196</f>
        <v>126.406664296263</v>
      </c>
      <c r="Q1196" s="19" t="n">
        <f aca="false">IF(N1196=0,"n.a.",P1196/N1196-1)</f>
        <v>0.265069020756562</v>
      </c>
    </row>
    <row r="1197" customFormat="false" ht="15" hidden="false" customHeight="false" outlineLevel="0" collapsed="false">
      <c r="A1197" s="12" t="s">
        <v>2947</v>
      </c>
      <c r="B1197" s="12" t="s">
        <v>1451</v>
      </c>
      <c r="C1197" s="12" t="s">
        <v>1452</v>
      </c>
      <c r="D1197" s="12" t="s">
        <v>2948</v>
      </c>
      <c r="E1197" s="12" t="s">
        <v>2949</v>
      </c>
      <c r="F1197" s="13" t="n">
        <v>0</v>
      </c>
      <c r="G1197" s="13" t="n">
        <v>0</v>
      </c>
      <c r="H1197" s="14" t="n">
        <v>3089</v>
      </c>
      <c r="I1197" s="14" t="n">
        <v>2527</v>
      </c>
      <c r="J1197" s="15" t="n">
        <f aca="false">I1197/H1197</f>
        <v>0.818064098413726</v>
      </c>
      <c r="K1197" s="16" t="n">
        <f aca="false">ROUND(I1197*J1197^($F$8-1),0)</f>
        <v>2647</v>
      </c>
      <c r="L1197" s="16" t="n">
        <f aca="false">ROUND(I1197*J1197^($F$9-1),0)</f>
        <v>2554</v>
      </c>
      <c r="M1197" s="17" t="n">
        <f aca="false">G1197*$F$7</f>
        <v>0</v>
      </c>
      <c r="N1197" s="18" t="n">
        <f aca="false">F1197/K1197</f>
        <v>0</v>
      </c>
      <c r="O1197" s="18" t="n">
        <f aca="false">G1197/L1197</f>
        <v>0</v>
      </c>
      <c r="P1197" s="18" t="n">
        <f aca="false">M1197/L1197</f>
        <v>0</v>
      </c>
      <c r="Q1197" s="19" t="str">
        <f aca="false">IF(N1197=0,"n.a.",P1197/N1197-1)</f>
        <v>n.a.</v>
      </c>
    </row>
    <row r="1198" customFormat="false" ht="15" hidden="false" customHeight="false" outlineLevel="0" collapsed="false">
      <c r="A1198" s="12" t="s">
        <v>2950</v>
      </c>
      <c r="B1198" s="12" t="s">
        <v>1451</v>
      </c>
      <c r="C1198" s="12" t="s">
        <v>1452</v>
      </c>
      <c r="D1198" s="12" t="s">
        <v>2951</v>
      </c>
      <c r="E1198" s="12" t="s">
        <v>2952</v>
      </c>
      <c r="F1198" s="13" t="n">
        <v>0</v>
      </c>
      <c r="G1198" s="13" t="n">
        <v>0</v>
      </c>
      <c r="H1198" s="14" t="n">
        <v>3382</v>
      </c>
      <c r="I1198" s="14" t="n">
        <v>3355</v>
      </c>
      <c r="J1198" s="15" t="n">
        <f aca="false">I1198/H1198</f>
        <v>0.992016558249557</v>
      </c>
      <c r="K1198" s="16" t="n">
        <f aca="false">ROUND(I1198*J1198^($F$8-1),0)</f>
        <v>3361</v>
      </c>
      <c r="L1198" s="16" t="n">
        <f aca="false">ROUND(I1198*J1198^($F$9-1),0)</f>
        <v>3356</v>
      </c>
      <c r="M1198" s="17" t="n">
        <f aca="false">G1198*$F$7</f>
        <v>0</v>
      </c>
      <c r="N1198" s="18" t="n">
        <f aca="false">F1198/K1198</f>
        <v>0</v>
      </c>
      <c r="O1198" s="18" t="n">
        <f aca="false">G1198/L1198</f>
        <v>0</v>
      </c>
      <c r="P1198" s="18" t="n">
        <f aca="false">M1198/L1198</f>
        <v>0</v>
      </c>
      <c r="Q1198" s="19" t="str">
        <f aca="false">IF(N1198=0,"n.a.",P1198/N1198-1)</f>
        <v>n.a.</v>
      </c>
    </row>
    <row r="1199" customFormat="false" ht="15" hidden="false" customHeight="false" outlineLevel="0" collapsed="false">
      <c r="A1199" s="12" t="s">
        <v>2953</v>
      </c>
      <c r="B1199" s="12" t="s">
        <v>1451</v>
      </c>
      <c r="C1199" s="12" t="s">
        <v>1452</v>
      </c>
      <c r="D1199" s="12" t="s">
        <v>2954</v>
      </c>
      <c r="E1199" s="12" t="s">
        <v>2955</v>
      </c>
      <c r="F1199" s="13" t="n">
        <v>61215</v>
      </c>
      <c r="G1199" s="13" t="n">
        <v>26751</v>
      </c>
      <c r="H1199" s="14" t="n">
        <v>1695</v>
      </c>
      <c r="I1199" s="14" t="n">
        <v>1236</v>
      </c>
      <c r="J1199" s="15" t="n">
        <f aca="false">I1199/H1199</f>
        <v>0.729203539823009</v>
      </c>
      <c r="K1199" s="16" t="n">
        <f aca="false">ROUND(I1199*J1199^($F$8-1),0)</f>
        <v>1329</v>
      </c>
      <c r="L1199" s="16" t="n">
        <f aca="false">ROUND(I1199*J1199^($F$9-1),0)</f>
        <v>1256</v>
      </c>
      <c r="M1199" s="17" t="n">
        <f aca="false">G1199*$F$7</f>
        <v>25769.2981021117</v>
      </c>
      <c r="N1199" s="18" t="n">
        <f aca="false">F1199/K1199</f>
        <v>46.0609480812641</v>
      </c>
      <c r="O1199" s="18" t="n">
        <f aca="false">G1199/L1199</f>
        <v>21.2985668789809</v>
      </c>
      <c r="P1199" s="18" t="n">
        <f aca="false">M1199/L1199</f>
        <v>20.5169570876686</v>
      </c>
      <c r="Q1199" s="19" t="n">
        <f aca="false">IF(N1199=0,"n.a.",P1199/N1199-1)</f>
        <v>-0.554569370750445</v>
      </c>
    </row>
    <row r="1200" customFormat="false" ht="15" hidden="false" customHeight="false" outlineLevel="0" collapsed="false">
      <c r="A1200" s="12" t="s">
        <v>2956</v>
      </c>
      <c r="B1200" s="12" t="s">
        <v>1451</v>
      </c>
      <c r="C1200" s="12" t="s">
        <v>1452</v>
      </c>
      <c r="D1200" s="12" t="s">
        <v>2957</v>
      </c>
      <c r="E1200" s="12" t="s">
        <v>2958</v>
      </c>
      <c r="F1200" s="13" t="n">
        <v>9405</v>
      </c>
      <c r="G1200" s="13" t="n">
        <v>9405</v>
      </c>
      <c r="H1200" s="14" t="n">
        <v>1404</v>
      </c>
      <c r="I1200" s="14" t="n">
        <v>1300</v>
      </c>
      <c r="J1200" s="15" t="n">
        <f aca="false">I1200/H1200</f>
        <v>0.925925925925926</v>
      </c>
      <c r="K1200" s="16" t="n">
        <f aca="false">ROUND(I1200*J1200^($F$8-1),0)</f>
        <v>1323</v>
      </c>
      <c r="L1200" s="16" t="n">
        <f aca="false">ROUND(I1200*J1200^($F$9-1),0)</f>
        <v>1305</v>
      </c>
      <c r="M1200" s="17" t="n">
        <f aca="false">G1200*$F$7</f>
        <v>9059.85752496582</v>
      </c>
      <c r="N1200" s="18" t="n">
        <f aca="false">F1200/K1200</f>
        <v>7.10884353741497</v>
      </c>
      <c r="O1200" s="18" t="n">
        <f aca="false">G1200/L1200</f>
        <v>7.20689655172414</v>
      </c>
      <c r="P1200" s="18" t="n">
        <f aca="false">M1200/L1200</f>
        <v>6.94241955936078</v>
      </c>
      <c r="Q1200" s="19" t="n">
        <f aca="false">IF(N1200=0,"n.a.",P1200/N1200-1)</f>
        <v>-0.0234108371042733</v>
      </c>
    </row>
    <row r="1201" customFormat="false" ht="15" hidden="false" customHeight="false" outlineLevel="0" collapsed="false">
      <c r="A1201" s="12" t="s">
        <v>2959</v>
      </c>
      <c r="B1201" s="12" t="s">
        <v>1451</v>
      </c>
      <c r="C1201" s="12" t="s">
        <v>1452</v>
      </c>
      <c r="D1201" s="12" t="s">
        <v>2960</v>
      </c>
      <c r="E1201" s="12" t="s">
        <v>2961</v>
      </c>
      <c r="F1201" s="13" t="n">
        <v>4733793</v>
      </c>
      <c r="G1201" s="13" t="n">
        <v>4602222</v>
      </c>
      <c r="H1201" s="14" t="n">
        <v>22075</v>
      </c>
      <c r="I1201" s="14" t="n">
        <v>24541</v>
      </c>
      <c r="J1201" s="15" t="n">
        <f aca="false">I1201/H1201</f>
        <v>1.1117100792752</v>
      </c>
      <c r="K1201" s="16" t="n">
        <f aca="false">ROUND(I1201*J1201^($F$8-1),0)</f>
        <v>23948</v>
      </c>
      <c r="L1201" s="16" t="n">
        <f aca="false">ROUND(I1201*J1201^($F$9-1),0)</f>
        <v>24406</v>
      </c>
      <c r="M1201" s="17" t="n">
        <f aca="false">G1201*$F$7</f>
        <v>4433330.7409105</v>
      </c>
      <c r="N1201" s="18" t="n">
        <f aca="false">F1201/K1201</f>
        <v>197.669659261734</v>
      </c>
      <c r="O1201" s="18" t="n">
        <f aca="false">G1201/L1201</f>
        <v>188.569286241088</v>
      </c>
      <c r="P1201" s="18" t="n">
        <f aca="false">M1201/L1201</f>
        <v>181.64921498445</v>
      </c>
      <c r="Q1201" s="19" t="n">
        <f aca="false">IF(N1201=0,"n.a.",P1201/N1201-1)</f>
        <v>-0.081046551793114</v>
      </c>
    </row>
    <row r="1202" customFormat="false" ht="15" hidden="false" customHeight="false" outlineLevel="0" collapsed="false">
      <c r="A1202" s="12" t="s">
        <v>2962</v>
      </c>
      <c r="B1202" s="12" t="s">
        <v>2963</v>
      </c>
      <c r="C1202" s="12" t="s">
        <v>2964</v>
      </c>
      <c r="D1202" s="12" t="s">
        <v>46</v>
      </c>
      <c r="E1202" s="12" t="s">
        <v>2965</v>
      </c>
      <c r="F1202" s="13" t="n">
        <v>3663914</v>
      </c>
      <c r="G1202" s="13" t="n">
        <v>4978719</v>
      </c>
      <c r="H1202" s="14" t="n">
        <v>72875</v>
      </c>
      <c r="I1202" s="14" t="n">
        <v>73267</v>
      </c>
      <c r="J1202" s="15" t="n">
        <f aca="false">I1202/H1202</f>
        <v>1.00537907375643</v>
      </c>
      <c r="K1202" s="16" t="n">
        <f aca="false">ROUND(I1202*J1202^($F$8-1),0)</f>
        <v>73176</v>
      </c>
      <c r="L1202" s="16" t="n">
        <f aca="false">ROUND(I1202*J1202^($F$9-1),0)</f>
        <v>73247</v>
      </c>
      <c r="M1202" s="17" t="n">
        <f aca="false">G1202*$F$7</f>
        <v>4796011.14267308</v>
      </c>
      <c r="N1202" s="18" t="n">
        <f aca="false">F1202/K1202</f>
        <v>50.0698863015196</v>
      </c>
      <c r="O1202" s="18" t="n">
        <f aca="false">G1202/L1202</f>
        <v>67.9716438898522</v>
      </c>
      <c r="P1202" s="18" t="n">
        <f aca="false">M1202/L1202</f>
        <v>65.4772365103428</v>
      </c>
      <c r="Q1202" s="19" t="n">
        <f aca="false">IF(N1202=0,"n.a.",P1202/N1202-1)</f>
        <v>0.307716900254985</v>
      </c>
    </row>
    <row r="1203" customFormat="false" ht="15" hidden="false" customHeight="false" outlineLevel="0" collapsed="false">
      <c r="A1203" s="12" t="s">
        <v>2966</v>
      </c>
      <c r="B1203" s="12" t="s">
        <v>2963</v>
      </c>
      <c r="C1203" s="12" t="s">
        <v>2964</v>
      </c>
      <c r="D1203" s="12" t="s">
        <v>51</v>
      </c>
      <c r="E1203" s="12" t="s">
        <v>2967</v>
      </c>
      <c r="F1203" s="13" t="n">
        <v>9339139</v>
      </c>
      <c r="G1203" s="13" t="n">
        <v>10107177</v>
      </c>
      <c r="H1203" s="14" t="n">
        <v>37822</v>
      </c>
      <c r="I1203" s="14" t="n">
        <v>37806</v>
      </c>
      <c r="J1203" s="15" t="n">
        <f aca="false">I1203/H1203</f>
        <v>0.999576965787108</v>
      </c>
      <c r="K1203" s="16" t="n">
        <f aca="false">ROUND(I1203*J1203^($F$8-1),0)</f>
        <v>37810</v>
      </c>
      <c r="L1203" s="16" t="n">
        <f aca="false">ROUND(I1203*J1203^($F$9-1),0)</f>
        <v>37807</v>
      </c>
      <c r="M1203" s="17" t="n">
        <f aca="false">G1203*$F$7</f>
        <v>9736266.19878909</v>
      </c>
      <c r="N1203" s="18" t="n">
        <f aca="false">F1203/K1203</f>
        <v>247.001824914044</v>
      </c>
      <c r="O1203" s="18" t="n">
        <f aca="false">G1203/L1203</f>
        <v>267.336128230222</v>
      </c>
      <c r="P1203" s="18" t="n">
        <f aca="false">M1203/L1203</f>
        <v>257.525489956598</v>
      </c>
      <c r="Q1203" s="19" t="n">
        <f aca="false">IF(N1203=0,"n.a.",P1203/N1203-1)</f>
        <v>0.042605616562615</v>
      </c>
    </row>
    <row r="1204" customFormat="false" ht="15" hidden="false" customHeight="false" outlineLevel="0" collapsed="false">
      <c r="A1204" s="12" t="s">
        <v>2968</v>
      </c>
      <c r="B1204" s="12" t="s">
        <v>2963</v>
      </c>
      <c r="C1204" s="12" t="s">
        <v>2964</v>
      </c>
      <c r="D1204" s="12" t="s">
        <v>54</v>
      </c>
      <c r="E1204" s="12" t="s">
        <v>2969</v>
      </c>
      <c r="F1204" s="13" t="n">
        <v>5554798</v>
      </c>
      <c r="G1204" s="13" t="n">
        <v>6662828</v>
      </c>
      <c r="H1204" s="14" t="n">
        <v>63708</v>
      </c>
      <c r="I1204" s="14" t="n">
        <v>65235</v>
      </c>
      <c r="J1204" s="15" t="n">
        <f aca="false">I1204/H1204</f>
        <v>1.02396873234131</v>
      </c>
      <c r="K1204" s="16" t="n">
        <f aca="false">ROUND(I1204*J1204^($F$8-1),0)</f>
        <v>64879</v>
      </c>
      <c r="L1204" s="16" t="n">
        <f aca="false">ROUND(I1204*J1204^($F$9-1),0)</f>
        <v>65155</v>
      </c>
      <c r="M1204" s="17" t="n">
        <f aca="false">G1204*$F$7</f>
        <v>6418317.10721456</v>
      </c>
      <c r="N1204" s="18" t="n">
        <f aca="false">F1204/K1204</f>
        <v>85.6178116185515</v>
      </c>
      <c r="O1204" s="18" t="n">
        <f aca="false">G1204/L1204</f>
        <v>102.261192540864</v>
      </c>
      <c r="P1204" s="18" t="n">
        <f aca="false">M1204/L1204</f>
        <v>98.5084353804706</v>
      </c>
      <c r="Q1204" s="19" t="n">
        <f aca="false">IF(N1204=0,"n.a.",P1204/N1204-1)</f>
        <v>0.150560070600146</v>
      </c>
    </row>
    <row r="1205" customFormat="false" ht="15" hidden="false" customHeight="false" outlineLevel="0" collapsed="false">
      <c r="A1205" s="12" t="s">
        <v>2970</v>
      </c>
      <c r="B1205" s="12" t="s">
        <v>2963</v>
      </c>
      <c r="C1205" s="12" t="s">
        <v>2964</v>
      </c>
      <c r="D1205" s="12" t="s">
        <v>57</v>
      </c>
      <c r="E1205" s="12" t="s">
        <v>2971</v>
      </c>
      <c r="F1205" s="13" t="n">
        <v>14814</v>
      </c>
      <c r="G1205" s="13" t="n">
        <v>12712</v>
      </c>
      <c r="H1205" s="14" t="n">
        <v>3070</v>
      </c>
      <c r="I1205" s="14" t="n">
        <v>2907</v>
      </c>
      <c r="J1205" s="15" t="n">
        <f aca="false">I1205/H1205</f>
        <v>0.946905537459283</v>
      </c>
      <c r="K1205" s="16" t="n">
        <f aca="false">ROUND(I1205*J1205^($F$8-1),0)</f>
        <v>2944</v>
      </c>
      <c r="L1205" s="16" t="n">
        <f aca="false">ROUND(I1205*J1205^($F$9-1),0)</f>
        <v>2915</v>
      </c>
      <c r="M1205" s="17" t="n">
        <f aca="false">G1205*$F$7</f>
        <v>12245.4980177954</v>
      </c>
      <c r="N1205" s="18" t="n">
        <f aca="false">F1205/K1205</f>
        <v>5.03192934782609</v>
      </c>
      <c r="O1205" s="18" t="n">
        <f aca="false">G1205/L1205</f>
        <v>4.36089193825043</v>
      </c>
      <c r="P1205" s="18" t="n">
        <f aca="false">M1205/L1205</f>
        <v>4.20085695293152</v>
      </c>
      <c r="Q1205" s="19" t="n">
        <f aca="false">IF(N1205=0,"n.a.",P1205/N1205-1)</f>
        <v>-0.165159790101905</v>
      </c>
    </row>
    <row r="1206" customFormat="false" ht="15" hidden="false" customHeight="false" outlineLevel="0" collapsed="false">
      <c r="A1206" s="12" t="s">
        <v>2972</v>
      </c>
      <c r="B1206" s="12" t="s">
        <v>2963</v>
      </c>
      <c r="C1206" s="12" t="s">
        <v>2964</v>
      </c>
      <c r="D1206" s="12" t="s">
        <v>60</v>
      </c>
      <c r="E1206" s="12" t="s">
        <v>1360</v>
      </c>
      <c r="F1206" s="13" t="n">
        <v>412306</v>
      </c>
      <c r="G1206" s="13" t="n">
        <v>612782</v>
      </c>
      <c r="H1206" s="14" t="n">
        <v>14542</v>
      </c>
      <c r="I1206" s="14" t="n">
        <v>13603</v>
      </c>
      <c r="J1206" s="15" t="n">
        <f aca="false">I1206/H1206</f>
        <v>0.935428414248384</v>
      </c>
      <c r="K1206" s="16" t="n">
        <f aca="false">ROUND(I1206*J1206^($F$8-1),0)</f>
        <v>13814</v>
      </c>
      <c r="L1206" s="16" t="n">
        <f aca="false">ROUND(I1206*J1206^($F$9-1),0)</f>
        <v>13650</v>
      </c>
      <c r="M1206" s="17" t="n">
        <f aca="false">G1206*$F$7</f>
        <v>590294.270479915</v>
      </c>
      <c r="N1206" s="18" t="n">
        <f aca="false">F1206/K1206</f>
        <v>29.8469668452295</v>
      </c>
      <c r="O1206" s="18" t="n">
        <f aca="false">G1206/L1206</f>
        <v>44.8924542124542</v>
      </c>
      <c r="P1206" s="18" t="n">
        <f aca="false">M1206/L1206</f>
        <v>43.2450015003601</v>
      </c>
      <c r="Q1206" s="19" t="n">
        <f aca="false">IF(N1206=0,"n.a.",P1206/N1206-1)</f>
        <v>0.448890995343202</v>
      </c>
    </row>
    <row r="1207" customFormat="false" ht="15" hidden="false" customHeight="false" outlineLevel="0" collapsed="false">
      <c r="A1207" s="12" t="s">
        <v>2973</v>
      </c>
      <c r="B1207" s="12" t="s">
        <v>2963</v>
      </c>
      <c r="C1207" s="12" t="s">
        <v>2964</v>
      </c>
      <c r="D1207" s="12" t="s">
        <v>63</v>
      </c>
      <c r="E1207" s="12" t="s">
        <v>2974</v>
      </c>
      <c r="F1207" s="13" t="n">
        <v>195935</v>
      </c>
      <c r="G1207" s="13" t="n">
        <v>266566</v>
      </c>
      <c r="H1207" s="14" t="n">
        <v>3162</v>
      </c>
      <c r="I1207" s="14" t="n">
        <v>3092</v>
      </c>
      <c r="J1207" s="15" t="n">
        <f aca="false">I1207/H1207</f>
        <v>0.97786211258697</v>
      </c>
      <c r="K1207" s="16" t="n">
        <f aca="false">ROUND(I1207*J1207^($F$8-1),0)</f>
        <v>3108</v>
      </c>
      <c r="L1207" s="16" t="n">
        <f aca="false">ROUND(I1207*J1207^($F$9-1),0)</f>
        <v>3096</v>
      </c>
      <c r="M1207" s="17" t="n">
        <f aca="false">G1207*$F$7</f>
        <v>256783.623710796</v>
      </c>
      <c r="N1207" s="18" t="n">
        <f aca="false">F1207/K1207</f>
        <v>63.0421492921493</v>
      </c>
      <c r="O1207" s="18" t="n">
        <f aca="false">G1207/L1207</f>
        <v>86.1001291989664</v>
      </c>
      <c r="P1207" s="18" t="n">
        <f aca="false">M1207/L1207</f>
        <v>82.9404469350117</v>
      </c>
      <c r="Q1207" s="19" t="n">
        <f aca="false">IF(N1207=0,"n.a.",P1207/N1207-1)</f>
        <v>0.315634823150618</v>
      </c>
    </row>
    <row r="1208" customFormat="false" ht="15" hidden="false" customHeight="false" outlineLevel="0" collapsed="false">
      <c r="A1208" s="12" t="s">
        <v>2975</v>
      </c>
      <c r="B1208" s="12" t="s">
        <v>2963</v>
      </c>
      <c r="C1208" s="12" t="s">
        <v>2964</v>
      </c>
      <c r="D1208" s="12" t="s">
        <v>66</v>
      </c>
      <c r="E1208" s="12" t="s">
        <v>2976</v>
      </c>
      <c r="F1208" s="13" t="n">
        <v>842355</v>
      </c>
      <c r="G1208" s="13" t="n">
        <v>1015373</v>
      </c>
      <c r="H1208" s="14" t="n">
        <v>11432</v>
      </c>
      <c r="I1208" s="14" t="n">
        <v>12642</v>
      </c>
      <c r="J1208" s="15" t="n">
        <f aca="false">I1208/H1208</f>
        <v>1.10584324702589</v>
      </c>
      <c r="K1208" s="16" t="n">
        <f aca="false">ROUND(I1208*J1208^($F$8-1),0)</f>
        <v>12352</v>
      </c>
      <c r="L1208" s="16" t="n">
        <f aca="false">ROUND(I1208*J1208^($F$9-1),0)</f>
        <v>12576</v>
      </c>
      <c r="M1208" s="17" t="n">
        <f aca="false">G1208*$F$7</f>
        <v>978111.080775876</v>
      </c>
      <c r="N1208" s="18" t="n">
        <f aca="false">F1208/K1208</f>
        <v>68.19583873057</v>
      </c>
      <c r="O1208" s="18" t="n">
        <f aca="false">G1208/L1208</f>
        <v>80.7389472010178</v>
      </c>
      <c r="P1208" s="18" t="n">
        <f aca="false">M1208/L1208</f>
        <v>77.7760083314151</v>
      </c>
      <c r="Q1208" s="19" t="n">
        <f aca="false">IF(N1208=0,"n.a.",P1208/N1208-1)</f>
        <v>0.140480266526155</v>
      </c>
    </row>
    <row r="1209" customFormat="false" ht="15" hidden="false" customHeight="false" outlineLevel="0" collapsed="false">
      <c r="A1209" s="12" t="s">
        <v>2977</v>
      </c>
      <c r="B1209" s="12" t="s">
        <v>2963</v>
      </c>
      <c r="C1209" s="12" t="s">
        <v>2964</v>
      </c>
      <c r="D1209" s="12" t="s">
        <v>69</v>
      </c>
      <c r="E1209" s="12" t="s">
        <v>2978</v>
      </c>
      <c r="F1209" s="13" t="n">
        <v>198063</v>
      </c>
      <c r="G1209" s="13" t="n">
        <v>356154</v>
      </c>
      <c r="H1209" s="14" t="n">
        <v>2207</v>
      </c>
      <c r="I1209" s="14" t="n">
        <v>2146</v>
      </c>
      <c r="J1209" s="15" t="n">
        <f aca="false">I1209/H1209</f>
        <v>0.972360670593566</v>
      </c>
      <c r="K1209" s="16" t="n">
        <f aca="false">ROUND(I1209*J1209^($F$8-1),0)</f>
        <v>2160</v>
      </c>
      <c r="L1209" s="16" t="n">
        <f aca="false">ROUND(I1209*J1209^($F$9-1),0)</f>
        <v>2149</v>
      </c>
      <c r="M1209" s="17" t="n">
        <f aca="false">G1209*$F$7</f>
        <v>343083.944385611</v>
      </c>
      <c r="N1209" s="18" t="n">
        <f aca="false">F1209/K1209</f>
        <v>91.6958333333333</v>
      </c>
      <c r="O1209" s="18" t="n">
        <f aca="false">G1209/L1209</f>
        <v>165.730107026524</v>
      </c>
      <c r="P1209" s="18" t="n">
        <f aca="false">M1209/L1209</f>
        <v>159.648182589861</v>
      </c>
      <c r="Q1209" s="19" t="n">
        <f aca="false">IF(N1209=0,"n.a.",P1209/N1209-1)</f>
        <v>0.741062562892109</v>
      </c>
    </row>
    <row r="1210" customFormat="false" ht="15" hidden="false" customHeight="false" outlineLevel="0" collapsed="false">
      <c r="A1210" s="12" t="s">
        <v>2979</v>
      </c>
      <c r="B1210" s="12" t="s">
        <v>2963</v>
      </c>
      <c r="C1210" s="12" t="s">
        <v>2964</v>
      </c>
      <c r="D1210" s="12" t="s">
        <v>72</v>
      </c>
      <c r="E1210" s="12" t="s">
        <v>2980</v>
      </c>
      <c r="F1210" s="13" t="n">
        <v>1898062</v>
      </c>
      <c r="G1210" s="13" t="n">
        <v>3123936</v>
      </c>
      <c r="H1210" s="14" t="n">
        <v>74611</v>
      </c>
      <c r="I1210" s="14" t="n">
        <v>78307</v>
      </c>
      <c r="J1210" s="15" t="n">
        <f aca="false">I1210/H1210</f>
        <v>1.04953693155165</v>
      </c>
      <c r="K1210" s="16" t="n">
        <f aca="false">ROUND(I1210*J1210^($F$8-1),0)</f>
        <v>77438</v>
      </c>
      <c r="L1210" s="16" t="n">
        <f aca="false">ROUND(I1210*J1210^($F$9-1),0)</f>
        <v>78111</v>
      </c>
      <c r="M1210" s="17" t="n">
        <f aca="false">G1210*$F$7</f>
        <v>3009294.53238826</v>
      </c>
      <c r="N1210" s="18" t="n">
        <f aca="false">F1210/K1210</f>
        <v>24.5107311655776</v>
      </c>
      <c r="O1210" s="18" t="n">
        <f aca="false">G1210/L1210</f>
        <v>39.9935476437378</v>
      </c>
      <c r="P1210" s="18" t="n">
        <f aca="false">M1210/L1210</f>
        <v>38.5258738511639</v>
      </c>
      <c r="Q1210" s="19" t="n">
        <f aca="false">IF(N1210=0,"n.a.",P1210/N1210-1)</f>
        <v>0.571796189632599</v>
      </c>
    </row>
    <row r="1211" customFormat="false" ht="15" hidden="false" customHeight="false" outlineLevel="0" collapsed="false">
      <c r="A1211" s="12" t="s">
        <v>2981</v>
      </c>
      <c r="B1211" s="12" t="s">
        <v>2963</v>
      </c>
      <c r="C1211" s="12" t="s">
        <v>2964</v>
      </c>
      <c r="D1211" s="12" t="s">
        <v>75</v>
      </c>
      <c r="E1211" s="12" t="s">
        <v>2982</v>
      </c>
      <c r="F1211" s="13" t="n">
        <v>217677</v>
      </c>
      <c r="G1211" s="13" t="n">
        <v>270797</v>
      </c>
      <c r="H1211" s="14" t="n">
        <v>1885</v>
      </c>
      <c r="I1211" s="14" t="n">
        <v>1738</v>
      </c>
      <c r="J1211" s="15" t="n">
        <f aca="false">I1211/H1211</f>
        <v>0.922015915119363</v>
      </c>
      <c r="K1211" s="16" t="n">
        <f aca="false">ROUND(I1211*J1211^($F$8-1),0)</f>
        <v>1771</v>
      </c>
      <c r="L1211" s="16" t="n">
        <f aca="false">ROUND(I1211*J1211^($F$9-1),0)</f>
        <v>1745</v>
      </c>
      <c r="M1211" s="17" t="n">
        <f aca="false">G1211*$F$7</f>
        <v>260859.355469236</v>
      </c>
      <c r="N1211" s="18" t="n">
        <f aca="false">F1211/K1211</f>
        <v>122.911914172784</v>
      </c>
      <c r="O1211" s="18" t="n">
        <f aca="false">G1211/L1211</f>
        <v>155.18452722063</v>
      </c>
      <c r="P1211" s="18" t="n">
        <f aca="false">M1211/L1211</f>
        <v>149.489601988101</v>
      </c>
      <c r="Q1211" s="19" t="n">
        <f aca="false">IF(N1211=0,"n.a.",P1211/N1211-1)</f>
        <v>0.216233617336361</v>
      </c>
    </row>
    <row r="1212" customFormat="false" ht="15" hidden="false" customHeight="false" outlineLevel="0" collapsed="false">
      <c r="A1212" s="12" t="s">
        <v>2983</v>
      </c>
      <c r="B1212" s="12" t="s">
        <v>2963</v>
      </c>
      <c r="C1212" s="12" t="s">
        <v>2964</v>
      </c>
      <c r="D1212" s="12" t="s">
        <v>132</v>
      </c>
      <c r="E1212" s="12" t="s">
        <v>2984</v>
      </c>
      <c r="F1212" s="13" t="n">
        <v>662927</v>
      </c>
      <c r="G1212" s="13" t="n">
        <v>338804</v>
      </c>
      <c r="H1212" s="14" t="n">
        <v>22614</v>
      </c>
      <c r="I1212" s="14" t="n">
        <v>24325</v>
      </c>
      <c r="J1212" s="15" t="n">
        <f aca="false">I1212/H1212</f>
        <v>1.07566109489697</v>
      </c>
      <c r="K1212" s="16" t="n">
        <f aca="false">ROUND(I1212*J1212^($F$8-1),0)</f>
        <v>23919</v>
      </c>
      <c r="L1212" s="16" t="n">
        <f aca="false">ROUND(I1212*J1212^($F$9-1),0)</f>
        <v>24233</v>
      </c>
      <c r="M1212" s="17" t="n">
        <f aca="false">G1212*$F$7</f>
        <v>326370.650599523</v>
      </c>
      <c r="N1212" s="18" t="n">
        <f aca="false">F1212/K1212</f>
        <v>27.7154981395543</v>
      </c>
      <c r="O1212" s="18" t="n">
        <f aca="false">G1212/L1212</f>
        <v>13.9811001526844</v>
      </c>
      <c r="P1212" s="18" t="n">
        <f aca="false">M1212/L1212</f>
        <v>13.4680250319615</v>
      </c>
      <c r="Q1212" s="19" t="n">
        <f aca="false">IF(N1212=0,"n.a.",P1212/N1212-1)</f>
        <v>-0.514061592393299</v>
      </c>
    </row>
    <row r="1213" customFormat="false" ht="15" hidden="false" customHeight="false" outlineLevel="0" collapsed="false">
      <c r="A1213" s="12" t="s">
        <v>2985</v>
      </c>
      <c r="B1213" s="12" t="s">
        <v>2963</v>
      </c>
      <c r="C1213" s="12" t="s">
        <v>2964</v>
      </c>
      <c r="D1213" s="12" t="s">
        <v>163</v>
      </c>
      <c r="E1213" s="12" t="s">
        <v>2986</v>
      </c>
      <c r="F1213" s="13" t="n">
        <v>141469</v>
      </c>
      <c r="G1213" s="13" t="n">
        <v>186751</v>
      </c>
      <c r="H1213" s="14" t="n">
        <v>4812</v>
      </c>
      <c r="I1213" s="14" t="n">
        <v>4754</v>
      </c>
      <c r="J1213" s="15" t="n">
        <f aca="false">I1213/H1213</f>
        <v>0.987946799667498</v>
      </c>
      <c r="K1213" s="16" t="n">
        <f aca="false">ROUND(I1213*J1213^($F$8-1),0)</f>
        <v>4767</v>
      </c>
      <c r="L1213" s="16" t="n">
        <f aca="false">ROUND(I1213*J1213^($F$9-1),0)</f>
        <v>4757</v>
      </c>
      <c r="M1213" s="17" t="n">
        <f aca="false">G1213*$F$7</f>
        <v>179897.655783614</v>
      </c>
      <c r="N1213" s="18" t="n">
        <f aca="false">F1213/K1213</f>
        <v>29.6767358925949</v>
      </c>
      <c r="O1213" s="18" t="n">
        <f aca="false">G1213/L1213</f>
        <v>39.258145890267</v>
      </c>
      <c r="P1213" s="18" t="n">
        <f aca="false">M1213/L1213</f>
        <v>37.817459698048</v>
      </c>
      <c r="Q1213" s="19" t="n">
        <f aca="false">IF(N1213=0,"n.a.",P1213/N1213-1)</f>
        <v>0.27431331514745</v>
      </c>
    </row>
    <row r="1214" customFormat="false" ht="15" hidden="false" customHeight="false" outlineLevel="0" collapsed="false">
      <c r="A1214" s="12" t="s">
        <v>2987</v>
      </c>
      <c r="B1214" s="12" t="s">
        <v>2963</v>
      </c>
      <c r="C1214" s="12" t="s">
        <v>2964</v>
      </c>
      <c r="D1214" s="12" t="s">
        <v>166</v>
      </c>
      <c r="E1214" s="12" t="s">
        <v>2988</v>
      </c>
      <c r="F1214" s="13" t="n">
        <v>15743050</v>
      </c>
      <c r="G1214" s="13" t="n">
        <v>18745959</v>
      </c>
      <c r="H1214" s="14" t="n">
        <v>125806</v>
      </c>
      <c r="I1214" s="14" t="n">
        <v>136481</v>
      </c>
      <c r="J1214" s="15" t="n">
        <f aca="false">I1214/H1214</f>
        <v>1.08485286870261</v>
      </c>
      <c r="K1214" s="16" t="n">
        <f aca="false">ROUND(I1214*J1214^($F$8-1),0)</f>
        <v>133939</v>
      </c>
      <c r="L1214" s="16" t="n">
        <f aca="false">ROUND(I1214*J1214^($F$9-1),0)</f>
        <v>135905</v>
      </c>
      <c r="M1214" s="17" t="n">
        <f aca="false">G1214*$F$7</f>
        <v>18058024.2114674</v>
      </c>
      <c r="N1214" s="18" t="n">
        <f aca="false">F1214/K1214</f>
        <v>117.538954300092</v>
      </c>
      <c r="O1214" s="18" t="n">
        <f aca="false">G1214/L1214</f>
        <v>137.934284978478</v>
      </c>
      <c r="P1214" s="18" t="n">
        <f aca="false">M1214/L1214</f>
        <v>132.872405073157</v>
      </c>
      <c r="Q1214" s="19" t="n">
        <f aca="false">IF(N1214=0,"n.a.",P1214/N1214-1)</f>
        <v>0.130454204432657</v>
      </c>
    </row>
    <row r="1215" customFormat="false" ht="15" hidden="false" customHeight="false" outlineLevel="0" collapsed="false">
      <c r="A1215" s="12" t="s">
        <v>2989</v>
      </c>
      <c r="B1215" s="12" t="s">
        <v>2963</v>
      </c>
      <c r="C1215" s="12" t="s">
        <v>2964</v>
      </c>
      <c r="D1215" s="12" t="s">
        <v>169</v>
      </c>
      <c r="E1215" s="12" t="s">
        <v>2990</v>
      </c>
      <c r="F1215" s="13" t="n">
        <v>631960</v>
      </c>
      <c r="G1215" s="13" t="n">
        <v>921005</v>
      </c>
      <c r="H1215" s="14" t="n">
        <v>9021</v>
      </c>
      <c r="I1215" s="14" t="n">
        <v>9301</v>
      </c>
      <c r="J1215" s="15" t="n">
        <f aca="false">I1215/H1215</f>
        <v>1.03103868750693</v>
      </c>
      <c r="K1215" s="16" t="n">
        <f aca="false">ROUND(I1215*J1215^($F$8-1),0)</f>
        <v>9236</v>
      </c>
      <c r="L1215" s="16" t="n">
        <f aca="false">ROUND(I1215*J1215^($F$9-1),0)</f>
        <v>9286</v>
      </c>
      <c r="M1215" s="17" t="n">
        <f aca="false">G1215*$F$7</f>
        <v>887206.175415326</v>
      </c>
      <c r="N1215" s="18" t="n">
        <f aca="false">F1215/K1215</f>
        <v>68.4235599826765</v>
      </c>
      <c r="O1215" s="18" t="n">
        <f aca="false">G1215/L1215</f>
        <v>99.1821020891665</v>
      </c>
      <c r="P1215" s="18" t="n">
        <f aca="false">M1215/L1215</f>
        <v>95.5423406650147</v>
      </c>
      <c r="Q1215" s="19" t="n">
        <f aca="false">IF(N1215=0,"n.a.",P1215/N1215-1)</f>
        <v>0.396336885850489</v>
      </c>
    </row>
    <row r="1216" customFormat="false" ht="15" hidden="false" customHeight="false" outlineLevel="0" collapsed="false">
      <c r="A1216" s="12" t="s">
        <v>2991</v>
      </c>
      <c r="B1216" s="12" t="s">
        <v>2963</v>
      </c>
      <c r="C1216" s="12" t="s">
        <v>2964</v>
      </c>
      <c r="D1216" s="12" t="s">
        <v>175</v>
      </c>
      <c r="E1216" s="12" t="s">
        <v>2992</v>
      </c>
      <c r="F1216" s="13" t="n">
        <v>316014</v>
      </c>
      <c r="G1216" s="13" t="n">
        <v>511685</v>
      </c>
      <c r="H1216" s="14" t="n">
        <v>3859</v>
      </c>
      <c r="I1216" s="14" t="n">
        <v>3910</v>
      </c>
      <c r="J1216" s="15" t="n">
        <f aca="false">I1216/H1216</f>
        <v>1.01321585903084</v>
      </c>
      <c r="K1216" s="16" t="n">
        <f aca="false">ROUND(I1216*J1216^($F$8-1),0)</f>
        <v>3898</v>
      </c>
      <c r="L1216" s="16" t="n">
        <f aca="false">ROUND(I1216*J1216^($F$9-1),0)</f>
        <v>3907</v>
      </c>
      <c r="M1216" s="17" t="n">
        <f aca="false">G1216*$F$7</f>
        <v>492907.304376622</v>
      </c>
      <c r="N1216" s="18" t="n">
        <f aca="false">F1216/K1216</f>
        <v>81.0708055413032</v>
      </c>
      <c r="O1216" s="18" t="n">
        <f aca="false">G1216/L1216</f>
        <v>130.966214486819</v>
      </c>
      <c r="P1216" s="18" t="n">
        <f aca="false">M1216/L1216</f>
        <v>126.160047191355</v>
      </c>
      <c r="Q1216" s="19" t="n">
        <f aca="false">IF(N1216=0,"n.a.",P1216/N1216-1)</f>
        <v>0.556171131506516</v>
      </c>
    </row>
    <row r="1217" customFormat="false" ht="15" hidden="false" customHeight="false" outlineLevel="0" collapsed="false">
      <c r="A1217" s="12" t="s">
        <v>2993</v>
      </c>
      <c r="B1217" s="12" t="s">
        <v>2963</v>
      </c>
      <c r="C1217" s="12" t="s">
        <v>2964</v>
      </c>
      <c r="D1217" s="12" t="s">
        <v>178</v>
      </c>
      <c r="E1217" s="12" t="s">
        <v>2994</v>
      </c>
      <c r="F1217" s="13" t="n">
        <v>80473440</v>
      </c>
      <c r="G1217" s="13" t="n">
        <v>86633681</v>
      </c>
      <c r="H1217" s="14" t="n">
        <v>141670</v>
      </c>
      <c r="I1217" s="14" t="n">
        <v>150131</v>
      </c>
      <c r="J1217" s="15" t="n">
        <f aca="false">I1217/H1217</f>
        <v>1.05972330062822</v>
      </c>
      <c r="K1217" s="16" t="n">
        <f aca="false">ROUND(I1217*J1217^($F$8-1),0)</f>
        <v>148134</v>
      </c>
      <c r="L1217" s="16" t="n">
        <f aca="false">ROUND(I1217*J1217^($F$9-1),0)</f>
        <v>149679</v>
      </c>
      <c r="M1217" s="17" t="n">
        <f aca="false">G1217*$F$7</f>
        <v>83454418.5777074</v>
      </c>
      <c r="N1217" s="18" t="n">
        <f aca="false">F1217/K1217</f>
        <v>543.247600145814</v>
      </c>
      <c r="O1217" s="18" t="n">
        <f aca="false">G1217/L1217</f>
        <v>578.796497838708</v>
      </c>
      <c r="P1217" s="18" t="n">
        <f aca="false">M1217/L1217</f>
        <v>557.555960273034</v>
      </c>
      <c r="Q1217" s="19" t="n">
        <f aca="false">IF(N1217=0,"n.a.",P1217/N1217-1)</f>
        <v>0.0263385611337799</v>
      </c>
    </row>
    <row r="1218" customFormat="false" ht="15" hidden="false" customHeight="false" outlineLevel="0" collapsed="false">
      <c r="A1218" s="12" t="s">
        <v>2995</v>
      </c>
      <c r="B1218" s="12" t="s">
        <v>2963</v>
      </c>
      <c r="C1218" s="12" t="s">
        <v>2964</v>
      </c>
      <c r="D1218" s="12" t="s">
        <v>187</v>
      </c>
      <c r="E1218" s="12" t="s">
        <v>2996</v>
      </c>
      <c r="F1218" s="13" t="n">
        <v>392288</v>
      </c>
      <c r="G1218" s="13" t="n">
        <v>456232</v>
      </c>
      <c r="H1218" s="14" t="n">
        <v>12857</v>
      </c>
      <c r="I1218" s="14" t="n">
        <v>13496</v>
      </c>
      <c r="J1218" s="15" t="n">
        <f aca="false">I1218/H1218</f>
        <v>1.04970055222836</v>
      </c>
      <c r="K1218" s="16" t="n">
        <f aca="false">ROUND(I1218*J1218^($F$8-1),0)</f>
        <v>13346</v>
      </c>
      <c r="L1218" s="16" t="n">
        <f aca="false">ROUND(I1218*J1218^($F$9-1),0)</f>
        <v>13462</v>
      </c>
      <c r="M1218" s="17" t="n">
        <f aca="false">G1218*$F$7</f>
        <v>439489.30551092</v>
      </c>
      <c r="N1218" s="18" t="n">
        <f aca="false">F1218/K1218</f>
        <v>29.3936760077926</v>
      </c>
      <c r="O1218" s="18" t="n">
        <f aca="false">G1218/L1218</f>
        <v>33.890358044867</v>
      </c>
      <c r="P1218" s="18" t="n">
        <f aca="false">M1218/L1218</f>
        <v>32.6466576668341</v>
      </c>
      <c r="Q1218" s="19" t="n">
        <f aca="false">IF(N1218=0,"n.a.",P1218/N1218-1)</f>
        <v>0.11066943985431</v>
      </c>
    </row>
    <row r="1219" customFormat="false" ht="15" hidden="false" customHeight="false" outlineLevel="0" collapsed="false">
      <c r="A1219" s="12" t="s">
        <v>2997</v>
      </c>
      <c r="B1219" s="12" t="s">
        <v>2963</v>
      </c>
      <c r="C1219" s="12" t="s">
        <v>2964</v>
      </c>
      <c r="D1219" s="12" t="s">
        <v>190</v>
      </c>
      <c r="E1219" s="12" t="s">
        <v>2998</v>
      </c>
      <c r="F1219" s="13" t="n">
        <v>606720</v>
      </c>
      <c r="G1219" s="13" t="n">
        <v>869981</v>
      </c>
      <c r="H1219" s="14" t="n">
        <v>9051</v>
      </c>
      <c r="I1219" s="14" t="n">
        <v>9597</v>
      </c>
      <c r="J1219" s="15" t="n">
        <f aca="false">I1219/H1219</f>
        <v>1.06032482598608</v>
      </c>
      <c r="K1219" s="16" t="n">
        <f aca="false">ROUND(I1219*J1219^($F$8-1),0)</f>
        <v>9468</v>
      </c>
      <c r="L1219" s="16" t="n">
        <f aca="false">ROUND(I1219*J1219^($F$9-1),0)</f>
        <v>9568</v>
      </c>
      <c r="M1219" s="17" t="n">
        <f aca="false">G1219*$F$7</f>
        <v>838054.642150695</v>
      </c>
      <c r="N1219" s="18" t="n">
        <f aca="false">F1219/K1219</f>
        <v>64.0811153358682</v>
      </c>
      <c r="O1219" s="18" t="n">
        <f aca="false">G1219/L1219</f>
        <v>90.9261078595318</v>
      </c>
      <c r="P1219" s="18" t="n">
        <f aca="false">M1219/L1219</f>
        <v>87.5893229672549</v>
      </c>
      <c r="Q1219" s="19" t="n">
        <f aca="false">IF(N1219=0,"n.a.",P1219/N1219-1)</f>
        <v>0.366850787602138</v>
      </c>
    </row>
    <row r="1220" customFormat="false" ht="15" hidden="false" customHeight="false" outlineLevel="0" collapsed="false">
      <c r="A1220" s="12" t="s">
        <v>2999</v>
      </c>
      <c r="B1220" s="12" t="s">
        <v>2963</v>
      </c>
      <c r="C1220" s="12" t="s">
        <v>2964</v>
      </c>
      <c r="D1220" s="12" t="s">
        <v>193</v>
      </c>
      <c r="E1220" s="12" t="s">
        <v>3000</v>
      </c>
      <c r="F1220" s="13" t="n">
        <v>417313</v>
      </c>
      <c r="G1220" s="13" t="n">
        <v>511219</v>
      </c>
      <c r="H1220" s="14" t="n">
        <v>976</v>
      </c>
      <c r="I1220" s="14" t="n">
        <v>989</v>
      </c>
      <c r="J1220" s="15" t="n">
        <f aca="false">I1220/H1220</f>
        <v>1.01331967213115</v>
      </c>
      <c r="K1220" s="16" t="n">
        <f aca="false">ROUND(I1220*J1220^($F$8-1),0)</f>
        <v>986</v>
      </c>
      <c r="L1220" s="16" t="n">
        <f aca="false">ROUND(I1220*J1220^($F$9-1),0)</f>
        <v>988</v>
      </c>
      <c r="M1220" s="17" t="n">
        <f aca="false">G1220*$F$7</f>
        <v>492458.405534875</v>
      </c>
      <c r="N1220" s="18" t="n">
        <f aca="false">F1220/K1220</f>
        <v>423.238336713996</v>
      </c>
      <c r="O1220" s="18" t="n">
        <f aca="false">G1220/L1220</f>
        <v>517.428137651822</v>
      </c>
      <c r="P1220" s="18" t="n">
        <f aca="false">M1220/L1220</f>
        <v>498.439681715461</v>
      </c>
      <c r="Q1220" s="19" t="n">
        <f aca="false">IF(N1220=0,"n.a.",P1220/N1220-1)</f>
        <v>0.17768084428581</v>
      </c>
    </row>
    <row r="1221" customFormat="false" ht="15" hidden="false" customHeight="false" outlineLevel="0" collapsed="false">
      <c r="A1221" s="12" t="s">
        <v>3001</v>
      </c>
      <c r="B1221" s="12" t="s">
        <v>2963</v>
      </c>
      <c r="C1221" s="12" t="s">
        <v>2964</v>
      </c>
      <c r="D1221" s="12" t="s">
        <v>196</v>
      </c>
      <c r="E1221" s="12" t="s">
        <v>3002</v>
      </c>
      <c r="F1221" s="13" t="n">
        <v>579743</v>
      </c>
      <c r="G1221" s="13" t="n">
        <v>1010465</v>
      </c>
      <c r="H1221" s="14" t="n">
        <v>8208</v>
      </c>
      <c r="I1221" s="14" t="n">
        <v>9138</v>
      </c>
      <c r="J1221" s="15" t="n">
        <f aca="false">I1221/H1221</f>
        <v>1.11330409356725</v>
      </c>
      <c r="K1221" s="16" t="n">
        <f aca="false">ROUND(I1221*J1221^($F$8-1),0)</f>
        <v>8914</v>
      </c>
      <c r="L1221" s="16" t="n">
        <f aca="false">ROUND(I1221*J1221^($F$9-1),0)</f>
        <v>9087</v>
      </c>
      <c r="M1221" s="17" t="n">
        <f aca="false">G1221*$F$7</f>
        <v>973383.193403996</v>
      </c>
      <c r="N1221" s="18" t="n">
        <f aca="false">F1221/K1221</f>
        <v>65.0373569665695</v>
      </c>
      <c r="O1221" s="18" t="n">
        <f aca="false">G1221/L1221</f>
        <v>111.198965555189</v>
      </c>
      <c r="P1221" s="18" t="n">
        <f aca="false">M1221/L1221</f>
        <v>107.118212105645</v>
      </c>
      <c r="Q1221" s="19" t="n">
        <f aca="false">IF(N1221=0,"n.a.",P1221/N1221-1)</f>
        <v>0.647025910980761</v>
      </c>
    </row>
    <row r="1222" customFormat="false" ht="15" hidden="false" customHeight="false" outlineLevel="0" collapsed="false">
      <c r="A1222" s="12" t="s">
        <v>3003</v>
      </c>
      <c r="B1222" s="12" t="s">
        <v>2963</v>
      </c>
      <c r="C1222" s="12" t="s">
        <v>2964</v>
      </c>
      <c r="D1222" s="12" t="s">
        <v>199</v>
      </c>
      <c r="E1222" s="12" t="s">
        <v>3004</v>
      </c>
      <c r="F1222" s="13" t="n">
        <v>490941</v>
      </c>
      <c r="G1222" s="13" t="n">
        <v>844136</v>
      </c>
      <c r="H1222" s="14" t="n">
        <v>15267</v>
      </c>
      <c r="I1222" s="14" t="n">
        <v>15795</v>
      </c>
      <c r="J1222" s="15" t="n">
        <f aca="false">I1222/H1222</f>
        <v>1.03458439772057</v>
      </c>
      <c r="K1222" s="16" t="n">
        <f aca="false">ROUND(I1222*J1222^($F$8-1),0)</f>
        <v>15671</v>
      </c>
      <c r="L1222" s="16" t="n">
        <f aca="false">ROUND(I1222*J1222^($F$9-1),0)</f>
        <v>15767</v>
      </c>
      <c r="M1222" s="17" t="n">
        <f aca="false">G1222*$F$7</f>
        <v>813158.095873955</v>
      </c>
      <c r="N1222" s="18" t="n">
        <f aca="false">F1222/K1222</f>
        <v>31.3279943845319</v>
      </c>
      <c r="O1222" s="18" t="n">
        <f aca="false">G1222/L1222</f>
        <v>53.5381492991692</v>
      </c>
      <c r="P1222" s="18" t="n">
        <f aca="false">M1222/L1222</f>
        <v>51.5734189049251</v>
      </c>
      <c r="Q1222" s="19" t="n">
        <f aca="false">IF(N1222=0,"n.a.",P1222/N1222-1)</f>
        <v>0.646240684031446</v>
      </c>
    </row>
    <row r="1223" customFormat="false" ht="15" hidden="false" customHeight="false" outlineLevel="0" collapsed="false">
      <c r="A1223" s="12" t="s">
        <v>3005</v>
      </c>
      <c r="B1223" s="12" t="s">
        <v>2963</v>
      </c>
      <c r="C1223" s="12" t="s">
        <v>2964</v>
      </c>
      <c r="D1223" s="12" t="s">
        <v>202</v>
      </c>
      <c r="E1223" s="12" t="s">
        <v>3006</v>
      </c>
      <c r="F1223" s="13" t="n">
        <v>98661</v>
      </c>
      <c r="G1223" s="13" t="n">
        <v>202947</v>
      </c>
      <c r="H1223" s="14" t="n">
        <v>4128</v>
      </c>
      <c r="I1223" s="14" t="n">
        <v>3799</v>
      </c>
      <c r="J1223" s="15" t="n">
        <f aca="false">I1223/H1223</f>
        <v>0.920300387596899</v>
      </c>
      <c r="K1223" s="16" t="n">
        <f aca="false">ROUND(I1223*J1223^($F$8-1),0)</f>
        <v>3873</v>
      </c>
      <c r="L1223" s="16" t="n">
        <f aca="false">ROUND(I1223*J1223^($F$9-1),0)</f>
        <v>3815</v>
      </c>
      <c r="M1223" s="17" t="n">
        <f aca="false">G1223*$F$7</f>
        <v>195499.298789924</v>
      </c>
      <c r="N1223" s="18" t="n">
        <f aca="false">F1223/K1223</f>
        <v>25.4740511231603</v>
      </c>
      <c r="O1223" s="18" t="n">
        <f aca="false">G1223/L1223</f>
        <v>53.1971166448231</v>
      </c>
      <c r="P1223" s="18" t="n">
        <f aca="false">M1223/L1223</f>
        <v>51.2449013866119</v>
      </c>
      <c r="Q1223" s="19" t="n">
        <f aca="false">IF(N1223=0,"n.a.",P1223/N1223-1)</f>
        <v>1.01165103810369</v>
      </c>
    </row>
    <row r="1224" customFormat="false" ht="15" hidden="false" customHeight="false" outlineLevel="0" collapsed="false">
      <c r="A1224" s="12" t="s">
        <v>3007</v>
      </c>
      <c r="B1224" s="12" t="s">
        <v>2963</v>
      </c>
      <c r="C1224" s="12" t="s">
        <v>2964</v>
      </c>
      <c r="D1224" s="12" t="s">
        <v>205</v>
      </c>
      <c r="E1224" s="12" t="s">
        <v>3008</v>
      </c>
      <c r="F1224" s="13" t="n">
        <v>54313</v>
      </c>
      <c r="G1224" s="13" t="n">
        <v>25060</v>
      </c>
      <c r="H1224" s="14" t="n">
        <v>2748</v>
      </c>
      <c r="I1224" s="14" t="n">
        <v>2692</v>
      </c>
      <c r="J1224" s="15" t="n">
        <f aca="false">I1224/H1224</f>
        <v>0.97962154294032</v>
      </c>
      <c r="K1224" s="16" t="n">
        <f aca="false">ROUND(I1224*J1224^($F$8-1),0)</f>
        <v>2705</v>
      </c>
      <c r="L1224" s="16" t="n">
        <f aca="false">ROUND(I1224*J1224^($F$9-1),0)</f>
        <v>2695</v>
      </c>
      <c r="M1224" s="17" t="n">
        <f aca="false">G1224*$F$7</f>
        <v>24140.3540218653</v>
      </c>
      <c r="N1224" s="18" t="n">
        <f aca="false">F1224/K1224</f>
        <v>20.0787430683919</v>
      </c>
      <c r="O1224" s="18" t="n">
        <f aca="false">G1224/L1224</f>
        <v>9.2987012987013</v>
      </c>
      <c r="P1224" s="18" t="n">
        <f aca="false">M1224/L1224</f>
        <v>8.95745974837303</v>
      </c>
      <c r="Q1224" s="19" t="n">
        <f aca="false">IF(N1224=0,"n.a.",P1224/N1224-1)</f>
        <v>-0.553883441913556</v>
      </c>
    </row>
    <row r="1225" customFormat="false" ht="15" hidden="false" customHeight="false" outlineLevel="0" collapsed="false">
      <c r="A1225" s="12" t="s">
        <v>3009</v>
      </c>
      <c r="B1225" s="12" t="s">
        <v>2963</v>
      </c>
      <c r="C1225" s="12" t="s">
        <v>2964</v>
      </c>
      <c r="D1225" s="12" t="s">
        <v>208</v>
      </c>
      <c r="E1225" s="12" t="s">
        <v>3010</v>
      </c>
      <c r="F1225" s="13" t="n">
        <v>84627</v>
      </c>
      <c r="G1225" s="13" t="n">
        <v>111400</v>
      </c>
      <c r="H1225" s="14" t="n">
        <v>3811</v>
      </c>
      <c r="I1225" s="14" t="n">
        <v>3588</v>
      </c>
      <c r="J1225" s="15" t="n">
        <f aca="false">I1225/H1225</f>
        <v>0.941485174494883</v>
      </c>
      <c r="K1225" s="16" t="n">
        <f aca="false">ROUND(I1225*J1225^($F$8-1),0)</f>
        <v>3638</v>
      </c>
      <c r="L1225" s="16" t="n">
        <f aca="false">ROUND(I1225*J1225^($F$9-1),0)</f>
        <v>3599</v>
      </c>
      <c r="M1225" s="17" t="n">
        <f aca="false">G1225*$F$7</f>
        <v>107311.869035746</v>
      </c>
      <c r="N1225" s="18" t="n">
        <f aca="false">F1225/K1225</f>
        <v>23.2619571192963</v>
      </c>
      <c r="O1225" s="18" t="n">
        <f aca="false">G1225/L1225</f>
        <v>30.9530425118088</v>
      </c>
      <c r="P1225" s="18" t="n">
        <f aca="false">M1225/L1225</f>
        <v>29.8171350474426</v>
      </c>
      <c r="Q1225" s="19" t="n">
        <f aca="false">IF(N1225=0,"n.a.",P1225/N1225-1)</f>
        <v>0.281798212185193</v>
      </c>
    </row>
    <row r="1226" customFormat="false" ht="15" hidden="false" customHeight="false" outlineLevel="0" collapsed="false">
      <c r="A1226" s="12" t="s">
        <v>3011</v>
      </c>
      <c r="B1226" s="12" t="s">
        <v>2963</v>
      </c>
      <c r="C1226" s="12" t="s">
        <v>2964</v>
      </c>
      <c r="D1226" s="12" t="s">
        <v>211</v>
      </c>
      <c r="E1226" s="12" t="s">
        <v>3012</v>
      </c>
      <c r="F1226" s="13" t="n">
        <v>37515</v>
      </c>
      <c r="G1226" s="13" t="n">
        <v>84509</v>
      </c>
      <c r="H1226" s="14" t="n">
        <v>772</v>
      </c>
      <c r="I1226" s="14" t="n">
        <v>734</v>
      </c>
      <c r="J1226" s="15" t="n">
        <f aca="false">I1226/H1226</f>
        <v>0.950777202072539</v>
      </c>
      <c r="K1226" s="16" t="n">
        <f aca="false">ROUND(I1226*J1226^($F$8-1),0)</f>
        <v>743</v>
      </c>
      <c r="L1226" s="16" t="n">
        <f aca="false">ROUND(I1226*J1226^($F$9-1),0)</f>
        <v>736</v>
      </c>
      <c r="M1226" s="17" t="n">
        <f aca="false">G1226*$F$7</f>
        <v>81407.7086206631</v>
      </c>
      <c r="N1226" s="18" t="n">
        <f aca="false">F1226/K1226</f>
        <v>50.4912516823688</v>
      </c>
      <c r="O1226" s="18" t="n">
        <f aca="false">G1226/L1226</f>
        <v>114.822010869565</v>
      </c>
      <c r="P1226" s="18" t="n">
        <f aca="false">M1226/L1226</f>
        <v>110.608299756336</v>
      </c>
      <c r="Q1226" s="19" t="n">
        <f aca="false">IF(N1226=0,"n.a.",P1226/N1226-1)</f>
        <v>1.19064285536339</v>
      </c>
    </row>
    <row r="1227" customFormat="false" ht="15" hidden="false" customHeight="false" outlineLevel="0" collapsed="false">
      <c r="A1227" s="12" t="s">
        <v>3013</v>
      </c>
      <c r="B1227" s="12" t="s">
        <v>2963</v>
      </c>
      <c r="C1227" s="12" t="s">
        <v>2964</v>
      </c>
      <c r="D1227" s="12" t="s">
        <v>214</v>
      </c>
      <c r="E1227" s="12" t="s">
        <v>3014</v>
      </c>
      <c r="F1227" s="13" t="n">
        <v>175187</v>
      </c>
      <c r="G1227" s="13" t="n">
        <v>201890</v>
      </c>
      <c r="H1227" s="14" t="n">
        <v>2820</v>
      </c>
      <c r="I1227" s="14" t="n">
        <v>2751</v>
      </c>
      <c r="J1227" s="15" t="n">
        <f aca="false">I1227/H1227</f>
        <v>0.975531914893617</v>
      </c>
      <c r="K1227" s="16" t="n">
        <f aca="false">ROUND(I1227*J1227^($F$8-1),0)</f>
        <v>2767</v>
      </c>
      <c r="L1227" s="16" t="n">
        <f aca="false">ROUND(I1227*J1227^($F$9-1),0)</f>
        <v>2755</v>
      </c>
      <c r="M1227" s="17" t="n">
        <f aca="false">G1227*$F$7</f>
        <v>194481.088326991</v>
      </c>
      <c r="N1227" s="18" t="n">
        <f aca="false">F1227/K1227</f>
        <v>63.3129743404409</v>
      </c>
      <c r="O1227" s="18" t="n">
        <f aca="false">G1227/L1227</f>
        <v>73.2813067150635</v>
      </c>
      <c r="P1227" s="18" t="n">
        <f aca="false">M1227/L1227</f>
        <v>70.59204657967</v>
      </c>
      <c r="Q1227" s="19" t="n">
        <f aca="false">IF(N1227=0,"n.a.",P1227/N1227-1)</f>
        <v>0.114969677464349</v>
      </c>
    </row>
    <row r="1228" customFormat="false" ht="15" hidden="false" customHeight="false" outlineLevel="0" collapsed="false">
      <c r="A1228" s="12" t="s">
        <v>3015</v>
      </c>
      <c r="B1228" s="12" t="s">
        <v>2963</v>
      </c>
      <c r="C1228" s="12" t="s">
        <v>2964</v>
      </c>
      <c r="D1228" s="12" t="s">
        <v>217</v>
      </c>
      <c r="E1228" s="12" t="s">
        <v>3016</v>
      </c>
      <c r="F1228" s="13" t="n">
        <v>115074</v>
      </c>
      <c r="G1228" s="13" t="n">
        <v>201326</v>
      </c>
      <c r="H1228" s="14" t="n">
        <v>1382</v>
      </c>
      <c r="I1228" s="14" t="n">
        <v>1282</v>
      </c>
      <c r="J1228" s="15" t="n">
        <f aca="false">I1228/H1228</f>
        <v>0.927641099855282</v>
      </c>
      <c r="K1228" s="16" t="n">
        <f aca="false">ROUND(I1228*J1228^($F$8-1),0)</f>
        <v>1304</v>
      </c>
      <c r="L1228" s="16" t="n">
        <f aca="false">ROUND(I1228*J1228^($F$9-1),0)</f>
        <v>1287</v>
      </c>
      <c r="M1228" s="17" t="n">
        <f aca="false">G1228*$F$7</f>
        <v>193937.785866164</v>
      </c>
      <c r="N1228" s="18" t="n">
        <f aca="false">F1228/K1228</f>
        <v>88.2469325153374</v>
      </c>
      <c r="O1228" s="18" t="n">
        <f aca="false">G1228/L1228</f>
        <v>156.430458430458</v>
      </c>
      <c r="P1228" s="18" t="n">
        <f aca="false">M1228/L1228</f>
        <v>150.689810307819</v>
      </c>
      <c r="Q1228" s="19" t="n">
        <f aca="false">IF(N1228=0,"n.a.",P1228/N1228-1)</f>
        <v>0.707592615546487</v>
      </c>
    </row>
    <row r="1229" customFormat="false" ht="15" hidden="false" customHeight="false" outlineLevel="0" collapsed="false">
      <c r="A1229" s="12" t="s">
        <v>3017</v>
      </c>
      <c r="B1229" s="12" t="s">
        <v>2963</v>
      </c>
      <c r="C1229" s="12" t="s">
        <v>2964</v>
      </c>
      <c r="D1229" s="12" t="s">
        <v>220</v>
      </c>
      <c r="E1229" s="12" t="s">
        <v>3018</v>
      </c>
      <c r="F1229" s="13" t="n">
        <v>139709</v>
      </c>
      <c r="G1229" s="13" t="n">
        <v>62963</v>
      </c>
      <c r="H1229" s="14" t="n">
        <v>5403</v>
      </c>
      <c r="I1229" s="14" t="n">
        <v>5422</v>
      </c>
      <c r="J1229" s="15" t="n">
        <f aca="false">I1229/H1229</f>
        <v>1.00351656487137</v>
      </c>
      <c r="K1229" s="16" t="n">
        <f aca="false">ROUND(I1229*J1229^($F$8-1),0)</f>
        <v>5418</v>
      </c>
      <c r="L1229" s="16" t="n">
        <f aca="false">ROUND(I1229*J1229^($F$9-1),0)</f>
        <v>5421</v>
      </c>
      <c r="M1229" s="17" t="n">
        <f aca="false">G1229*$F$7</f>
        <v>60652.3986543777</v>
      </c>
      <c r="N1229" s="18" t="n">
        <f aca="false">F1229/K1229</f>
        <v>25.7860834256183</v>
      </c>
      <c r="O1229" s="18" t="n">
        <f aca="false">G1229/L1229</f>
        <v>11.6146467441431</v>
      </c>
      <c r="P1229" s="18" t="n">
        <f aca="false">M1229/L1229</f>
        <v>11.188415173285</v>
      </c>
      <c r="Q1229" s="19" t="n">
        <f aca="false">IF(N1229=0,"n.a.",P1229/N1229-1)</f>
        <v>-0.566106454066253</v>
      </c>
    </row>
    <row r="1230" customFormat="false" ht="15" hidden="false" customHeight="false" outlineLevel="0" collapsed="false">
      <c r="A1230" s="12" t="s">
        <v>3019</v>
      </c>
      <c r="B1230" s="12" t="s">
        <v>2963</v>
      </c>
      <c r="C1230" s="12" t="s">
        <v>2964</v>
      </c>
      <c r="D1230" s="12" t="s">
        <v>223</v>
      </c>
      <c r="E1230" s="12" t="s">
        <v>3020</v>
      </c>
      <c r="F1230" s="13" t="n">
        <v>40119684</v>
      </c>
      <c r="G1230" s="13" t="n">
        <v>47588112</v>
      </c>
      <c r="H1230" s="14" t="n">
        <v>46836</v>
      </c>
      <c r="I1230" s="14" t="n">
        <v>55195</v>
      </c>
      <c r="J1230" s="15" t="n">
        <f aca="false">I1230/H1230</f>
        <v>1.17847382355453</v>
      </c>
      <c r="K1230" s="16" t="n">
        <f aca="false">ROUND(I1230*J1230^($F$8-1),0)</f>
        <v>53141</v>
      </c>
      <c r="L1230" s="16" t="n">
        <f aca="false">ROUND(I1230*J1230^($F$9-1),0)</f>
        <v>54726</v>
      </c>
      <c r="M1230" s="17" t="n">
        <f aca="false">G1230*$F$7</f>
        <v>45841734.6732712</v>
      </c>
      <c r="N1230" s="18" t="n">
        <f aca="false">F1230/K1230</f>
        <v>754.966673566549</v>
      </c>
      <c r="O1230" s="18" t="n">
        <f aca="false">G1230/L1230</f>
        <v>869.570441837518</v>
      </c>
      <c r="P1230" s="18" t="n">
        <f aca="false">M1230/L1230</f>
        <v>837.659150554969</v>
      </c>
      <c r="Q1230" s="19" t="n">
        <f aca="false">IF(N1230=0,"n.a.",P1230/N1230-1)</f>
        <v>0.109531294405051</v>
      </c>
    </row>
    <row r="1231" customFormat="false" ht="15" hidden="false" customHeight="false" outlineLevel="0" collapsed="false">
      <c r="A1231" s="12" t="s">
        <v>3021</v>
      </c>
      <c r="B1231" s="12" t="s">
        <v>2963</v>
      </c>
      <c r="C1231" s="12" t="s">
        <v>2964</v>
      </c>
      <c r="D1231" s="12" t="s">
        <v>226</v>
      </c>
      <c r="E1231" s="12" t="s">
        <v>3022</v>
      </c>
      <c r="F1231" s="13" t="n">
        <v>142702</v>
      </c>
      <c r="G1231" s="13" t="n">
        <v>188922</v>
      </c>
      <c r="H1231" s="14" t="n">
        <v>20653</v>
      </c>
      <c r="I1231" s="14" t="n">
        <v>20599</v>
      </c>
      <c r="J1231" s="15" t="n">
        <f aca="false">I1231/H1231</f>
        <v>0.997385367743185</v>
      </c>
      <c r="K1231" s="16" t="n">
        <f aca="false">ROUND(I1231*J1231^($F$8-1),0)</f>
        <v>20611</v>
      </c>
      <c r="L1231" s="16" t="n">
        <f aca="false">ROUND(I1231*J1231^($F$9-1),0)</f>
        <v>20602</v>
      </c>
      <c r="M1231" s="17" t="n">
        <f aca="false">G1231*$F$7</f>
        <v>181988.984936905</v>
      </c>
      <c r="N1231" s="18" t="n">
        <f aca="false">F1231/K1231</f>
        <v>6.92358449371695</v>
      </c>
      <c r="O1231" s="18" t="n">
        <f aca="false">G1231/L1231</f>
        <v>9.17008057470149</v>
      </c>
      <c r="P1231" s="18" t="n">
        <f aca="false">M1231/L1231</f>
        <v>8.83355911741118</v>
      </c>
      <c r="Q1231" s="19" t="n">
        <f aca="false">IF(N1231=0,"n.a.",P1231/N1231-1)</f>
        <v>0.275864998170746</v>
      </c>
    </row>
    <row r="1232" customFormat="false" ht="15" hidden="false" customHeight="false" outlineLevel="0" collapsed="false">
      <c r="A1232" s="12" t="s">
        <v>3023</v>
      </c>
      <c r="B1232" s="12" t="s">
        <v>2963</v>
      </c>
      <c r="C1232" s="12" t="s">
        <v>2964</v>
      </c>
      <c r="D1232" s="12" t="s">
        <v>229</v>
      </c>
      <c r="E1232" s="12" t="s">
        <v>3024</v>
      </c>
      <c r="F1232" s="13" t="n">
        <v>11777</v>
      </c>
      <c r="G1232" s="13" t="n">
        <v>144822</v>
      </c>
      <c r="H1232" s="14" t="n">
        <v>14751</v>
      </c>
      <c r="I1232" s="14" t="n">
        <v>14388</v>
      </c>
      <c r="J1232" s="15" t="n">
        <f aca="false">I1232/H1232</f>
        <v>0.975391498881432</v>
      </c>
      <c r="K1232" s="16" t="n">
        <f aca="false">ROUND(I1232*J1232^($F$8-1),0)</f>
        <v>14471</v>
      </c>
      <c r="L1232" s="16" t="n">
        <f aca="false">ROUND(I1232*J1232^($F$9-1),0)</f>
        <v>14407</v>
      </c>
      <c r="M1232" s="17" t="n">
        <f aca="false">G1232*$F$7</f>
        <v>139507.356350941</v>
      </c>
      <c r="N1232" s="18" t="n">
        <f aca="false">F1232/K1232</f>
        <v>0.81383456568309</v>
      </c>
      <c r="O1232" s="18" t="n">
        <f aca="false">G1232/L1232</f>
        <v>10.0521968487541</v>
      </c>
      <c r="P1232" s="18" t="n">
        <f aca="false">M1232/L1232</f>
        <v>9.68330369618525</v>
      </c>
      <c r="Q1232" s="19" t="n">
        <f aca="false">IF(N1232=0,"n.a.",P1232/N1232-1)</f>
        <v>10.8983686666805</v>
      </c>
    </row>
    <row r="1233" customFormat="false" ht="15" hidden="false" customHeight="false" outlineLevel="0" collapsed="false">
      <c r="A1233" s="12" t="s">
        <v>3025</v>
      </c>
      <c r="B1233" s="12" t="s">
        <v>2963</v>
      </c>
      <c r="C1233" s="12" t="s">
        <v>2964</v>
      </c>
      <c r="D1233" s="12" t="s">
        <v>232</v>
      </c>
      <c r="E1233" s="12" t="s">
        <v>881</v>
      </c>
      <c r="F1233" s="13" t="n">
        <v>145705</v>
      </c>
      <c r="G1233" s="13" t="n">
        <v>279559</v>
      </c>
      <c r="H1233" s="14" t="n">
        <v>2334</v>
      </c>
      <c r="I1233" s="14" t="n">
        <v>2193</v>
      </c>
      <c r="J1233" s="15" t="n">
        <f aca="false">I1233/H1233</f>
        <v>0.939588688946015</v>
      </c>
      <c r="K1233" s="16" t="n">
        <f aca="false">ROUND(I1233*J1233^($F$8-1),0)</f>
        <v>2225</v>
      </c>
      <c r="L1233" s="16" t="n">
        <f aca="false">ROUND(I1233*J1233^($F$9-1),0)</f>
        <v>2200</v>
      </c>
      <c r="M1233" s="17" t="n">
        <f aca="false">G1233*$F$7</f>
        <v>269299.80965677</v>
      </c>
      <c r="N1233" s="18" t="n">
        <f aca="false">F1233/K1233</f>
        <v>65.485393258427</v>
      </c>
      <c r="O1233" s="18" t="n">
        <f aca="false">G1233/L1233</f>
        <v>127.072272727273</v>
      </c>
      <c r="P1233" s="18" t="n">
        <f aca="false">M1233/L1233</f>
        <v>122.409004389441</v>
      </c>
      <c r="Q1233" s="19" t="n">
        <f aca="false">IF(N1233=0,"n.a.",P1233/N1233-1)</f>
        <v>0.869256612789579</v>
      </c>
    </row>
    <row r="1234" customFormat="false" ht="15" hidden="false" customHeight="false" outlineLevel="0" collapsed="false">
      <c r="A1234" s="12" t="s">
        <v>3026</v>
      </c>
      <c r="B1234" s="12" t="s">
        <v>2963</v>
      </c>
      <c r="C1234" s="12" t="s">
        <v>2964</v>
      </c>
      <c r="D1234" s="12" t="s">
        <v>235</v>
      </c>
      <c r="E1234" s="12" t="s">
        <v>3027</v>
      </c>
      <c r="F1234" s="13" t="n">
        <v>649482</v>
      </c>
      <c r="G1234" s="13" t="n">
        <v>1495515</v>
      </c>
      <c r="H1234" s="14" t="n">
        <v>10542</v>
      </c>
      <c r="I1234" s="14" t="n">
        <v>12724</v>
      </c>
      <c r="J1234" s="15" t="n">
        <f aca="false">I1234/H1234</f>
        <v>1.20698159741984</v>
      </c>
      <c r="K1234" s="16" t="n">
        <f aca="false">ROUND(I1234*J1234^($F$8-1),0)</f>
        <v>12183</v>
      </c>
      <c r="L1234" s="16" t="n">
        <f aca="false">ROUND(I1234*J1234^($F$9-1),0)</f>
        <v>12600</v>
      </c>
      <c r="M1234" s="17" t="n">
        <f aca="false">G1234*$F$7</f>
        <v>1440632.94273783</v>
      </c>
      <c r="N1234" s="18" t="n">
        <f aca="false">F1234/K1234</f>
        <v>53.3105146515637</v>
      </c>
      <c r="O1234" s="18" t="n">
        <f aca="false">G1234/L1234</f>
        <v>118.691666666667</v>
      </c>
      <c r="P1234" s="18" t="n">
        <f aca="false">M1234/L1234</f>
        <v>114.335947836335</v>
      </c>
      <c r="Q1234" s="19" t="n">
        <f aca="false">IF(N1234=0,"n.a.",P1234/N1234-1)</f>
        <v>1.14471663955287</v>
      </c>
    </row>
    <row r="1235" customFormat="false" ht="15" hidden="false" customHeight="false" outlineLevel="0" collapsed="false">
      <c r="A1235" s="12" t="s">
        <v>3028</v>
      </c>
      <c r="B1235" s="12" t="s">
        <v>2963</v>
      </c>
      <c r="C1235" s="12" t="s">
        <v>2964</v>
      </c>
      <c r="D1235" s="12" t="s">
        <v>320</v>
      </c>
      <c r="E1235" s="12" t="s">
        <v>3029</v>
      </c>
      <c r="F1235" s="13" t="n">
        <v>4511357</v>
      </c>
      <c r="G1235" s="13" t="n">
        <v>5837413</v>
      </c>
      <c r="H1235" s="14" t="n">
        <v>12340</v>
      </c>
      <c r="I1235" s="14" t="n">
        <v>15154</v>
      </c>
      <c r="J1235" s="15" t="n">
        <f aca="false">I1235/H1235</f>
        <v>1.22803889789303</v>
      </c>
      <c r="K1235" s="16" t="n">
        <f aca="false">ROUND(I1235*J1235^($F$8-1),0)</f>
        <v>14452</v>
      </c>
      <c r="L1235" s="16" t="n">
        <f aca="false">ROUND(I1235*J1235^($F$9-1),0)</f>
        <v>14993</v>
      </c>
      <c r="M1235" s="17" t="n">
        <f aca="false">G1235*$F$7</f>
        <v>5623192.99249158</v>
      </c>
      <c r="N1235" s="18" t="n">
        <f aca="false">F1235/K1235</f>
        <v>312.161430943814</v>
      </c>
      <c r="O1235" s="18" t="n">
        <f aca="false">G1235/L1235</f>
        <v>389.342559861269</v>
      </c>
      <c r="P1235" s="18" t="n">
        <f aca="false">M1235/L1235</f>
        <v>375.054558293309</v>
      </c>
      <c r="Q1235" s="19" t="n">
        <f aca="false">IF(N1235=0,"n.a.",P1235/N1235-1)</f>
        <v>0.201476291159156</v>
      </c>
    </row>
    <row r="1236" customFormat="false" ht="15" hidden="false" customHeight="false" outlineLevel="0" collapsed="false">
      <c r="A1236" s="12" t="s">
        <v>3030</v>
      </c>
      <c r="B1236" s="12" t="s">
        <v>2963</v>
      </c>
      <c r="C1236" s="12" t="s">
        <v>2964</v>
      </c>
      <c r="D1236" s="12" t="s">
        <v>323</v>
      </c>
      <c r="E1236" s="12" t="s">
        <v>3031</v>
      </c>
      <c r="F1236" s="13" t="n">
        <v>178179455</v>
      </c>
      <c r="G1236" s="13" t="n">
        <v>197511939</v>
      </c>
      <c r="H1236" s="14" t="n">
        <v>137308</v>
      </c>
      <c r="I1236" s="14" t="n">
        <v>161496</v>
      </c>
      <c r="J1236" s="15" t="n">
        <f aca="false">I1236/H1236</f>
        <v>1.17615870888805</v>
      </c>
      <c r="K1236" s="16" t="n">
        <f aca="false">ROUND(I1236*J1236^($F$8-1),0)</f>
        <v>155558</v>
      </c>
      <c r="L1236" s="16" t="n">
        <f aca="false">ROUND(I1236*J1236^($F$9-1),0)</f>
        <v>160140</v>
      </c>
      <c r="M1236" s="17" t="n">
        <f aca="false">G1236*$F$7</f>
        <v>190263692.378494</v>
      </c>
      <c r="N1236" s="18" t="n">
        <f aca="false">F1236/K1236</f>
        <v>1145.42135409301</v>
      </c>
      <c r="O1236" s="18" t="n">
        <f aca="false">G1236/L1236</f>
        <v>1233.37041963282</v>
      </c>
      <c r="P1236" s="18" t="n">
        <f aca="false">M1236/L1236</f>
        <v>1188.10848244345</v>
      </c>
      <c r="Q1236" s="19" t="n">
        <f aca="false">IF(N1236=0,"n.a.",P1236/N1236-1)</f>
        <v>0.037267620511795</v>
      </c>
    </row>
    <row r="1237" customFormat="false" ht="15" hidden="false" customHeight="false" outlineLevel="0" collapsed="false">
      <c r="A1237" s="12" t="s">
        <v>3032</v>
      </c>
      <c r="B1237" s="12" t="s">
        <v>2963</v>
      </c>
      <c r="C1237" s="12" t="s">
        <v>2964</v>
      </c>
      <c r="D1237" s="12" t="s">
        <v>600</v>
      </c>
      <c r="E1237" s="12" t="s">
        <v>3033</v>
      </c>
      <c r="F1237" s="13" t="n">
        <v>1755790</v>
      </c>
      <c r="G1237" s="13" t="n">
        <v>2532630</v>
      </c>
      <c r="H1237" s="14" t="n">
        <v>49773</v>
      </c>
      <c r="I1237" s="14" t="n">
        <v>51736</v>
      </c>
      <c r="J1237" s="15" t="n">
        <f aca="false">I1237/H1237</f>
        <v>1.03943905330199</v>
      </c>
      <c r="K1237" s="16" t="n">
        <f aca="false">ROUND(I1237*J1237^($F$8-1),0)</f>
        <v>51276</v>
      </c>
      <c r="L1237" s="16" t="n">
        <f aca="false">ROUND(I1237*J1237^($F$9-1),0)</f>
        <v>51632</v>
      </c>
      <c r="M1237" s="17" t="n">
        <f aca="false">G1237*$F$7</f>
        <v>2439688.14071815</v>
      </c>
      <c r="N1237" s="18" t="n">
        <f aca="false">F1237/K1237</f>
        <v>34.2419455495749</v>
      </c>
      <c r="O1237" s="18" t="n">
        <f aca="false">G1237/L1237</f>
        <v>49.0515571738457</v>
      </c>
      <c r="P1237" s="18" t="n">
        <f aca="false">M1237/L1237</f>
        <v>47.2514746807822</v>
      </c>
      <c r="Q1237" s="19" t="n">
        <f aca="false">IF(N1237=0,"n.a.",P1237/N1237-1)</f>
        <v>0.379929613297597</v>
      </c>
    </row>
    <row r="1238" customFormat="false" ht="15" hidden="false" customHeight="false" outlineLevel="0" collapsed="false">
      <c r="A1238" s="12" t="s">
        <v>3034</v>
      </c>
      <c r="B1238" s="12" t="s">
        <v>2963</v>
      </c>
      <c r="C1238" s="12" t="s">
        <v>2964</v>
      </c>
      <c r="D1238" s="12" t="s">
        <v>329</v>
      </c>
      <c r="E1238" s="12" t="s">
        <v>3035</v>
      </c>
      <c r="F1238" s="13" t="n">
        <v>849783</v>
      </c>
      <c r="G1238" s="13" t="n">
        <v>1384989</v>
      </c>
      <c r="H1238" s="14" t="n">
        <v>17139</v>
      </c>
      <c r="I1238" s="14" t="n">
        <v>17526</v>
      </c>
      <c r="J1238" s="15" t="n">
        <f aca="false">I1238/H1238</f>
        <v>1.02258008051812</v>
      </c>
      <c r="K1238" s="16" t="n">
        <f aca="false">ROUND(I1238*J1238^($F$8-1),0)</f>
        <v>17436</v>
      </c>
      <c r="L1238" s="16" t="n">
        <f aca="false">ROUND(I1238*J1238^($F$9-1),0)</f>
        <v>17506</v>
      </c>
      <c r="M1238" s="17" t="n">
        <f aca="false">G1238*$F$7</f>
        <v>1334162.99985592</v>
      </c>
      <c r="N1238" s="18" t="n">
        <f aca="false">F1238/K1238</f>
        <v>48.7372677219546</v>
      </c>
      <c r="O1238" s="18" t="n">
        <f aca="false">G1238/L1238</f>
        <v>79.1151033931224</v>
      </c>
      <c r="P1238" s="18" t="n">
        <f aca="false">M1238/L1238</f>
        <v>76.2117559611513</v>
      </c>
      <c r="Q1238" s="19" t="n">
        <f aca="false">IF(N1238=0,"n.a.",P1238/N1238-1)</f>
        <v>0.563726477157856</v>
      </c>
    </row>
    <row r="1239" customFormat="false" ht="15" hidden="false" customHeight="false" outlineLevel="0" collapsed="false">
      <c r="A1239" s="12" t="s">
        <v>3036</v>
      </c>
      <c r="B1239" s="12" t="s">
        <v>2963</v>
      </c>
      <c r="C1239" s="12" t="s">
        <v>2964</v>
      </c>
      <c r="D1239" s="12" t="s">
        <v>335</v>
      </c>
      <c r="E1239" s="12" t="s">
        <v>3037</v>
      </c>
      <c r="F1239" s="13" t="n">
        <v>546118</v>
      </c>
      <c r="G1239" s="13" t="n">
        <v>649011</v>
      </c>
      <c r="H1239" s="14" t="n">
        <v>8193</v>
      </c>
      <c r="I1239" s="14" t="n">
        <v>8191</v>
      </c>
      <c r="J1239" s="15" t="n">
        <f aca="false">I1239/H1239</f>
        <v>0.999755889173685</v>
      </c>
      <c r="K1239" s="16" t="n">
        <f aca="false">ROUND(I1239*J1239^($F$8-1),0)</f>
        <v>8191</v>
      </c>
      <c r="L1239" s="16" t="n">
        <f aca="false">ROUND(I1239*J1239^($F$9-1),0)</f>
        <v>8191</v>
      </c>
      <c r="M1239" s="17" t="n">
        <f aca="false">G1239*$F$7</f>
        <v>625193.747170185</v>
      </c>
      <c r="N1239" s="18" t="n">
        <f aca="false">F1239/K1239</f>
        <v>66.672933707728</v>
      </c>
      <c r="O1239" s="18" t="n">
        <f aca="false">G1239/L1239</f>
        <v>79.2346477841533</v>
      </c>
      <c r="P1239" s="18" t="n">
        <f aca="false">M1239/L1239</f>
        <v>76.3269133402741</v>
      </c>
      <c r="Q1239" s="19" t="n">
        <f aca="false">IF(N1239=0,"n.a.",P1239/N1239-1)</f>
        <v>0.144796082843241</v>
      </c>
    </row>
    <row r="1240" customFormat="false" ht="15" hidden="false" customHeight="false" outlineLevel="0" collapsed="false">
      <c r="A1240" s="12" t="s">
        <v>3038</v>
      </c>
      <c r="B1240" s="12" t="s">
        <v>2963</v>
      </c>
      <c r="C1240" s="12" t="s">
        <v>2964</v>
      </c>
      <c r="D1240" s="12" t="s">
        <v>607</v>
      </c>
      <c r="E1240" s="12" t="s">
        <v>891</v>
      </c>
      <c r="F1240" s="13" t="n">
        <v>2582987</v>
      </c>
      <c r="G1240" s="13" t="n">
        <v>3825038</v>
      </c>
      <c r="H1240" s="14" t="n">
        <v>21696</v>
      </c>
      <c r="I1240" s="14" t="n">
        <v>23939</v>
      </c>
      <c r="J1240" s="15" t="n">
        <f aca="false">I1240/H1240</f>
        <v>1.1033831120944</v>
      </c>
      <c r="K1240" s="16" t="n">
        <f aca="false">ROUND(I1240*J1240^($F$8-1),0)</f>
        <v>23401</v>
      </c>
      <c r="L1240" s="16" t="n">
        <f aca="false">ROUND(I1240*J1240^($F$9-1),0)</f>
        <v>23817</v>
      </c>
      <c r="M1240" s="17" t="n">
        <f aca="false">G1240*$F$7</f>
        <v>3684667.65630837</v>
      </c>
      <c r="N1240" s="18" t="n">
        <f aca="false">F1240/K1240</f>
        <v>110.37934276313</v>
      </c>
      <c r="O1240" s="18" t="n">
        <f aca="false">G1240/L1240</f>
        <v>160.601167233489</v>
      </c>
      <c r="P1240" s="18" t="n">
        <f aca="false">M1240/L1240</f>
        <v>154.707463421437</v>
      </c>
      <c r="Q1240" s="19" t="n">
        <f aca="false">IF(N1240=0,"n.a.",P1240/N1240-1)</f>
        <v>0.401597976112559</v>
      </c>
    </row>
    <row r="1241" customFormat="false" ht="15" hidden="false" customHeight="false" outlineLevel="0" collapsed="false">
      <c r="A1241" s="12" t="s">
        <v>3039</v>
      </c>
      <c r="B1241" s="12" t="s">
        <v>2963</v>
      </c>
      <c r="C1241" s="12" t="s">
        <v>2964</v>
      </c>
      <c r="D1241" s="12" t="s">
        <v>338</v>
      </c>
      <c r="E1241" s="12" t="s">
        <v>3040</v>
      </c>
      <c r="F1241" s="13" t="n">
        <v>1864730</v>
      </c>
      <c r="G1241" s="13" t="n">
        <v>2335469</v>
      </c>
      <c r="H1241" s="14" t="n">
        <v>22037</v>
      </c>
      <c r="I1241" s="14" t="n">
        <v>22902</v>
      </c>
      <c r="J1241" s="15" t="n">
        <f aca="false">I1241/H1241</f>
        <v>1.03925216681036</v>
      </c>
      <c r="K1241" s="16" t="n">
        <f aca="false">ROUND(I1241*J1241^($F$8-1),0)</f>
        <v>22699</v>
      </c>
      <c r="L1241" s="16" t="n">
        <f aca="false">ROUND(I1241*J1241^($F$9-1),0)</f>
        <v>22856</v>
      </c>
      <c r="M1241" s="17" t="n">
        <f aca="false">G1241*$F$7</f>
        <v>2249762.50866288</v>
      </c>
      <c r="N1241" s="18" t="n">
        <f aca="false">F1241/K1241</f>
        <v>82.1503149918499</v>
      </c>
      <c r="O1241" s="18" t="n">
        <f aca="false">G1241/L1241</f>
        <v>102.181877843892</v>
      </c>
      <c r="P1241" s="18" t="n">
        <f aca="false">M1241/L1241</f>
        <v>98.4320313555688</v>
      </c>
      <c r="Q1241" s="19" t="n">
        <f aca="false">IF(N1241=0,"n.a.",P1241/N1241-1)</f>
        <v>0.198194204919777</v>
      </c>
    </row>
    <row r="1242" customFormat="false" ht="15" hidden="false" customHeight="false" outlineLevel="0" collapsed="false">
      <c r="A1242" s="12" t="s">
        <v>3041</v>
      </c>
      <c r="B1242" s="12" t="s">
        <v>2963</v>
      </c>
      <c r="C1242" s="12" t="s">
        <v>2964</v>
      </c>
      <c r="D1242" s="12" t="s">
        <v>612</v>
      </c>
      <c r="E1242" s="12" t="s">
        <v>3042</v>
      </c>
      <c r="F1242" s="13" t="n">
        <v>129940</v>
      </c>
      <c r="G1242" s="13" t="n">
        <v>123109</v>
      </c>
      <c r="H1242" s="14" t="n">
        <v>17331</v>
      </c>
      <c r="I1242" s="14" t="n">
        <v>18791</v>
      </c>
      <c r="J1242" s="15" t="n">
        <f aca="false">I1242/H1242</f>
        <v>1.08424210951474</v>
      </c>
      <c r="K1242" s="16" t="n">
        <f aca="false">ROUND(I1242*J1242^($F$8-1),0)</f>
        <v>18443</v>
      </c>
      <c r="L1242" s="16" t="n">
        <f aca="false">ROUND(I1242*J1242^($F$9-1),0)</f>
        <v>18712</v>
      </c>
      <c r="M1242" s="17" t="n">
        <f aca="false">G1242*$F$7</f>
        <v>118591.174911326</v>
      </c>
      <c r="N1242" s="18" t="n">
        <f aca="false">F1242/K1242</f>
        <v>7.04549151439571</v>
      </c>
      <c r="O1242" s="18" t="n">
        <f aca="false">G1242/L1242</f>
        <v>6.57914707139803</v>
      </c>
      <c r="P1242" s="18" t="n">
        <f aca="false">M1242/L1242</f>
        <v>6.33770708162278</v>
      </c>
      <c r="Q1242" s="19" t="n">
        <f aca="false">IF(N1242=0,"n.a.",P1242/N1242-1)</f>
        <v>-0.100459198811998</v>
      </c>
    </row>
    <row r="1243" customFormat="false" ht="15" hidden="false" customHeight="false" outlineLevel="0" collapsed="false">
      <c r="A1243" s="12" t="s">
        <v>3043</v>
      </c>
      <c r="B1243" s="12" t="s">
        <v>2963</v>
      </c>
      <c r="C1243" s="12" t="s">
        <v>2964</v>
      </c>
      <c r="D1243" s="12" t="s">
        <v>340</v>
      </c>
      <c r="E1243" s="12" t="s">
        <v>3044</v>
      </c>
      <c r="F1243" s="13" t="n">
        <v>31500</v>
      </c>
      <c r="G1243" s="13" t="n">
        <v>26527</v>
      </c>
      <c r="H1243" s="14" t="n">
        <v>26928</v>
      </c>
      <c r="I1243" s="14" t="n">
        <v>26625</v>
      </c>
      <c r="J1243" s="15" t="n">
        <f aca="false">I1243/H1243</f>
        <v>0.988747771836007</v>
      </c>
      <c r="K1243" s="16" t="n">
        <f aca="false">ROUND(I1243*J1243^($F$8-1),0)</f>
        <v>26695</v>
      </c>
      <c r="L1243" s="16" t="n">
        <f aca="false">ROUND(I1243*J1243^($F$9-1),0)</f>
        <v>26641</v>
      </c>
      <c r="M1243" s="17" t="n">
        <f aca="false">G1243*$F$7</f>
        <v>25553.5184013576</v>
      </c>
      <c r="N1243" s="18" t="n">
        <f aca="false">F1243/K1243</f>
        <v>1.17999625398015</v>
      </c>
      <c r="O1243" s="18" t="n">
        <f aca="false">G1243/L1243</f>
        <v>0.995720881348298</v>
      </c>
      <c r="P1243" s="18" t="n">
        <f aca="false">M1243/L1243</f>
        <v>0.959180150946196</v>
      </c>
      <c r="Q1243" s="19" t="n">
        <f aca="false">IF(N1243=0,"n.a.",P1243/N1243-1)</f>
        <v>-0.187132884777502</v>
      </c>
    </row>
    <row r="1244" customFormat="false" ht="15" hidden="false" customHeight="false" outlineLevel="0" collapsed="false">
      <c r="A1244" s="12" t="s">
        <v>3045</v>
      </c>
      <c r="B1244" s="12" t="s">
        <v>2963</v>
      </c>
      <c r="C1244" s="12" t="s">
        <v>2964</v>
      </c>
      <c r="D1244" s="12" t="s">
        <v>343</v>
      </c>
      <c r="E1244" s="12" t="s">
        <v>3046</v>
      </c>
      <c r="F1244" s="13" t="n">
        <v>1968462</v>
      </c>
      <c r="G1244" s="13" t="n">
        <v>3148523</v>
      </c>
      <c r="H1244" s="14" t="n">
        <v>36993</v>
      </c>
      <c r="I1244" s="14" t="n">
        <v>34547</v>
      </c>
      <c r="J1244" s="15" t="n">
        <f aca="false">I1244/H1244</f>
        <v>0.933879382585895</v>
      </c>
      <c r="K1244" s="16" t="n">
        <f aca="false">ROUND(I1244*J1244^($F$8-1),0)</f>
        <v>35097</v>
      </c>
      <c r="L1244" s="16" t="n">
        <f aca="false">ROUND(I1244*J1244^($F$9-1),0)</f>
        <v>34670</v>
      </c>
      <c r="M1244" s="17" t="n">
        <f aca="false">G1244*$F$7</f>
        <v>3032979.24445273</v>
      </c>
      <c r="N1244" s="18" t="n">
        <f aca="false">F1244/K1244</f>
        <v>56.0863321651423</v>
      </c>
      <c r="O1244" s="18" t="n">
        <f aca="false">G1244/L1244</f>
        <v>90.8140467262763</v>
      </c>
      <c r="P1244" s="18" t="n">
        <f aca="false">M1244/L1244</f>
        <v>87.4813742270762</v>
      </c>
      <c r="Q1244" s="19" t="n">
        <f aca="false">IF(N1244=0,"n.a.",P1244/N1244-1)</f>
        <v>0.559762795140416</v>
      </c>
    </row>
    <row r="1245" customFormat="false" ht="15" hidden="false" customHeight="false" outlineLevel="0" collapsed="false">
      <c r="A1245" s="12" t="s">
        <v>3047</v>
      </c>
      <c r="B1245" s="12" t="s">
        <v>2963</v>
      </c>
      <c r="C1245" s="12" t="s">
        <v>2964</v>
      </c>
      <c r="D1245" s="12" t="s">
        <v>346</v>
      </c>
      <c r="E1245" s="12" t="s">
        <v>3048</v>
      </c>
      <c r="F1245" s="13" t="n">
        <v>57303</v>
      </c>
      <c r="G1245" s="13" t="n">
        <v>162253</v>
      </c>
      <c r="H1245" s="14" t="n">
        <v>1215</v>
      </c>
      <c r="I1245" s="14" t="n">
        <v>1268</v>
      </c>
      <c r="J1245" s="15" t="n">
        <f aca="false">I1245/H1245</f>
        <v>1.04362139917695</v>
      </c>
      <c r="K1245" s="16" t="n">
        <f aca="false">ROUND(I1245*J1245^($F$8-1),0)</f>
        <v>1256</v>
      </c>
      <c r="L1245" s="16" t="n">
        <f aca="false">ROUND(I1245*J1245^($F$9-1),0)</f>
        <v>1265</v>
      </c>
      <c r="M1245" s="17" t="n">
        <f aca="false">G1245*$F$7</f>
        <v>156298.677618105</v>
      </c>
      <c r="N1245" s="18" t="n">
        <f aca="false">F1245/K1245</f>
        <v>45.6234076433121</v>
      </c>
      <c r="O1245" s="18" t="n">
        <f aca="false">G1245/L1245</f>
        <v>128.263241106719</v>
      </c>
      <c r="P1245" s="18" t="n">
        <f aca="false">M1245/L1245</f>
        <v>123.556266891783</v>
      </c>
      <c r="Q1245" s="19" t="n">
        <f aca="false">IF(N1245=0,"n.a.",P1245/N1245-1)</f>
        <v>1.70817708001464</v>
      </c>
    </row>
    <row r="1246" customFormat="false" ht="15" hidden="false" customHeight="false" outlineLevel="0" collapsed="false">
      <c r="A1246" s="12" t="s">
        <v>3049</v>
      </c>
      <c r="B1246" s="12" t="s">
        <v>2963</v>
      </c>
      <c r="C1246" s="12" t="s">
        <v>2964</v>
      </c>
      <c r="D1246" s="12" t="s">
        <v>349</v>
      </c>
      <c r="E1246" s="12" t="s">
        <v>3050</v>
      </c>
      <c r="F1246" s="13" t="n">
        <v>15225319</v>
      </c>
      <c r="G1246" s="13" t="n">
        <v>15343679</v>
      </c>
      <c r="H1246" s="14" t="n">
        <v>66343</v>
      </c>
      <c r="I1246" s="14" t="n">
        <v>72038</v>
      </c>
      <c r="J1246" s="15" t="n">
        <f aca="false">I1246/H1246</f>
        <v>1.08584176175331</v>
      </c>
      <c r="K1246" s="16" t="n">
        <f aca="false">ROUND(I1246*J1246^($F$8-1),0)</f>
        <v>70681</v>
      </c>
      <c r="L1246" s="16" t="n">
        <f aca="false">ROUND(I1246*J1246^($F$9-1),0)</f>
        <v>71730</v>
      </c>
      <c r="M1246" s="17" t="n">
        <f aca="false">G1246*$F$7</f>
        <v>14780600.2816385</v>
      </c>
      <c r="N1246" s="18" t="n">
        <f aca="false">F1246/K1246</f>
        <v>215.408935923374</v>
      </c>
      <c r="O1246" s="18" t="n">
        <f aca="false">G1246/L1246</f>
        <v>213.908810818347</v>
      </c>
      <c r="P1246" s="18" t="n">
        <f aca="false">M1246/L1246</f>
        <v>206.058835656469</v>
      </c>
      <c r="Q1246" s="19" t="n">
        <f aca="false">IF(N1246=0,"n.a.",P1246/N1246-1)</f>
        <v>-0.0434062785131234</v>
      </c>
    </row>
    <row r="1247" customFormat="false" ht="15" hidden="false" customHeight="false" outlineLevel="0" collapsed="false">
      <c r="A1247" s="12" t="s">
        <v>3051</v>
      </c>
      <c r="B1247" s="12" t="s">
        <v>2963</v>
      </c>
      <c r="C1247" s="12" t="s">
        <v>2964</v>
      </c>
      <c r="D1247" s="12" t="s">
        <v>352</v>
      </c>
      <c r="E1247" s="12" t="s">
        <v>3052</v>
      </c>
      <c r="F1247" s="13" t="n">
        <v>3768389</v>
      </c>
      <c r="G1247" s="13" t="n">
        <v>3021465</v>
      </c>
      <c r="H1247" s="14" t="n">
        <v>35223</v>
      </c>
      <c r="I1247" s="14" t="n">
        <v>38295</v>
      </c>
      <c r="J1247" s="15" t="n">
        <f aca="false">I1247/H1247</f>
        <v>1.08721573971553</v>
      </c>
      <c r="K1247" s="16" t="n">
        <f aca="false">ROUND(I1247*J1247^($F$8-1),0)</f>
        <v>37563</v>
      </c>
      <c r="L1247" s="16" t="n">
        <f aca="false">ROUND(I1247*J1247^($F$9-1),0)</f>
        <v>38129</v>
      </c>
      <c r="M1247" s="17" t="n">
        <f aca="false">G1247*$F$7</f>
        <v>2910583.98901338</v>
      </c>
      <c r="N1247" s="18" t="n">
        <f aca="false">F1247/K1247</f>
        <v>100.321832654474</v>
      </c>
      <c r="O1247" s="18" t="n">
        <f aca="false">G1247/L1247</f>
        <v>79.2432269401243</v>
      </c>
      <c r="P1247" s="18" t="n">
        <f aca="false">M1247/L1247</f>
        <v>76.3351776603997</v>
      </c>
      <c r="Q1247" s="19" t="n">
        <f aca="false">IF(N1247=0,"n.a.",P1247/N1247-1)</f>
        <v>-0.239097057533712</v>
      </c>
    </row>
    <row r="1248" customFormat="false" ht="15" hidden="false" customHeight="false" outlineLevel="0" collapsed="false">
      <c r="A1248" s="12" t="s">
        <v>3053</v>
      </c>
      <c r="B1248" s="12" t="s">
        <v>2963</v>
      </c>
      <c r="C1248" s="12" t="s">
        <v>2964</v>
      </c>
      <c r="D1248" s="12" t="s">
        <v>358</v>
      </c>
      <c r="E1248" s="12" t="s">
        <v>3054</v>
      </c>
      <c r="F1248" s="13" t="n">
        <v>478320</v>
      </c>
      <c r="G1248" s="13" t="n">
        <v>587443</v>
      </c>
      <c r="H1248" s="14" t="n">
        <v>1317</v>
      </c>
      <c r="I1248" s="14" t="n">
        <v>1234</v>
      </c>
      <c r="J1248" s="15" t="n">
        <f aca="false">I1248/H1248</f>
        <v>0.936977980258163</v>
      </c>
      <c r="K1248" s="16" t="n">
        <f aca="false">ROUND(I1248*J1248^($F$8-1),0)</f>
        <v>1253</v>
      </c>
      <c r="L1248" s="16" t="n">
        <f aca="false">ROUND(I1248*J1248^($F$9-1),0)</f>
        <v>1238</v>
      </c>
      <c r="M1248" s="17" t="n">
        <f aca="false">G1248*$F$7</f>
        <v>565885.155134343</v>
      </c>
      <c r="N1248" s="18" t="n">
        <f aca="false">F1248/K1248</f>
        <v>381.739824421389</v>
      </c>
      <c r="O1248" s="18" t="n">
        <f aca="false">G1248/L1248</f>
        <v>474.509693053312</v>
      </c>
      <c r="P1248" s="18" t="n">
        <f aca="false">M1248/L1248</f>
        <v>457.09624808913</v>
      </c>
      <c r="Q1248" s="19" t="n">
        <f aca="false">IF(N1248=0,"n.a.",P1248/N1248-1)</f>
        <v>0.197402573289178</v>
      </c>
    </row>
    <row r="1249" customFormat="false" ht="15" hidden="false" customHeight="false" outlineLevel="0" collapsed="false">
      <c r="A1249" s="12" t="s">
        <v>3055</v>
      </c>
      <c r="B1249" s="12" t="s">
        <v>2963</v>
      </c>
      <c r="C1249" s="12" t="s">
        <v>2964</v>
      </c>
      <c r="D1249" s="12" t="s">
        <v>361</v>
      </c>
      <c r="E1249" s="12" t="s">
        <v>3056</v>
      </c>
      <c r="F1249" s="13" t="n">
        <v>719248</v>
      </c>
      <c r="G1249" s="13" t="n">
        <v>602644</v>
      </c>
      <c r="H1249" s="14" t="n">
        <v>6687</v>
      </c>
      <c r="I1249" s="14" t="n">
        <v>8174</v>
      </c>
      <c r="J1249" s="15" t="n">
        <f aca="false">I1249/H1249</f>
        <v>1.22237176611335</v>
      </c>
      <c r="K1249" s="16" t="n">
        <f aca="false">ROUND(I1249*J1249^($F$8-1),0)</f>
        <v>7804</v>
      </c>
      <c r="L1249" s="16" t="n">
        <f aca="false">ROUND(I1249*J1249^($F$9-1),0)</f>
        <v>8089</v>
      </c>
      <c r="M1249" s="17" t="n">
        <f aca="false">G1249*$F$7</f>
        <v>580528.312416321</v>
      </c>
      <c r="N1249" s="18" t="n">
        <f aca="false">F1249/K1249</f>
        <v>92.1640184520759</v>
      </c>
      <c r="O1249" s="18" t="n">
        <f aca="false">G1249/L1249</f>
        <v>74.5016689331191</v>
      </c>
      <c r="P1249" s="18" t="n">
        <f aca="false">M1249/L1249</f>
        <v>71.7676242324541</v>
      </c>
      <c r="Q1249" s="19" t="n">
        <f aca="false">IF(N1249=0,"n.a.",P1249/N1249-1)</f>
        <v>-0.221305391867518</v>
      </c>
    </row>
    <row r="1250" customFormat="false" ht="15" hidden="false" customHeight="false" outlineLevel="0" collapsed="false">
      <c r="A1250" s="12" t="s">
        <v>3057</v>
      </c>
      <c r="B1250" s="12" t="s">
        <v>2963</v>
      </c>
      <c r="C1250" s="12" t="s">
        <v>2964</v>
      </c>
      <c r="D1250" s="12" t="s">
        <v>364</v>
      </c>
      <c r="E1250" s="12" t="s">
        <v>3058</v>
      </c>
      <c r="F1250" s="13" t="n">
        <v>34373</v>
      </c>
      <c r="G1250" s="13" t="n">
        <v>58829</v>
      </c>
      <c r="H1250" s="14" t="n">
        <v>21002</v>
      </c>
      <c r="I1250" s="14" t="n">
        <v>21103</v>
      </c>
      <c r="J1250" s="15" t="n">
        <f aca="false">I1250/H1250</f>
        <v>1.00480906580326</v>
      </c>
      <c r="K1250" s="16" t="n">
        <f aca="false">ROUND(I1250*J1250^($F$8-1),0)</f>
        <v>21080</v>
      </c>
      <c r="L1250" s="16" t="n">
        <f aca="false">ROUND(I1250*J1250^($F$9-1),0)</f>
        <v>21098</v>
      </c>
      <c r="M1250" s="17" t="n">
        <f aca="false">G1250*$F$7</f>
        <v>56670.1072127819</v>
      </c>
      <c r="N1250" s="18" t="n">
        <f aca="false">F1250/K1250</f>
        <v>1.63059772296015</v>
      </c>
      <c r="O1250" s="18" t="n">
        <f aca="false">G1250/L1250</f>
        <v>2.78836856574083</v>
      </c>
      <c r="P1250" s="18" t="n">
        <f aca="false">M1250/L1250</f>
        <v>2.68604167280225</v>
      </c>
      <c r="Q1250" s="19" t="n">
        <f aca="false">IF(N1250=0,"n.a.",P1250/N1250-1)</f>
        <v>0.647274269417027</v>
      </c>
    </row>
    <row r="1251" customFormat="false" ht="15" hidden="false" customHeight="false" outlineLevel="0" collapsed="false">
      <c r="A1251" s="12" t="s">
        <v>3059</v>
      </c>
      <c r="B1251" s="12" t="s">
        <v>2963</v>
      </c>
      <c r="C1251" s="12" t="s">
        <v>2964</v>
      </c>
      <c r="D1251" s="12" t="s">
        <v>367</v>
      </c>
      <c r="E1251" s="12" t="s">
        <v>3060</v>
      </c>
      <c r="F1251" s="13" t="n">
        <v>279709</v>
      </c>
      <c r="G1251" s="13" t="n">
        <v>497502</v>
      </c>
      <c r="H1251" s="14" t="n">
        <v>2846</v>
      </c>
      <c r="I1251" s="14" t="n">
        <v>2564</v>
      </c>
      <c r="J1251" s="15" t="n">
        <f aca="false">I1251/H1251</f>
        <v>0.900913562895292</v>
      </c>
      <c r="K1251" s="16" t="n">
        <f aca="false">ROUND(I1251*J1251^($F$8-1),0)</f>
        <v>2627</v>
      </c>
      <c r="L1251" s="16" t="n">
        <f aca="false">ROUND(I1251*J1251^($F$9-1),0)</f>
        <v>2578</v>
      </c>
      <c r="M1251" s="17" t="n">
        <f aca="false">G1251*$F$7</f>
        <v>479244.788770393</v>
      </c>
      <c r="N1251" s="18" t="n">
        <f aca="false">F1251/K1251</f>
        <v>106.474685953559</v>
      </c>
      <c r="O1251" s="18" t="n">
        <f aca="false">G1251/L1251</f>
        <v>192.979829325058</v>
      </c>
      <c r="P1251" s="18" t="n">
        <f aca="false">M1251/L1251</f>
        <v>185.897900997049</v>
      </c>
      <c r="Q1251" s="19" t="n">
        <f aca="false">IF(N1251=0,"n.a.",P1251/N1251-1)</f>
        <v>0.745935189497829</v>
      </c>
    </row>
    <row r="1252" customFormat="false" ht="15" hidden="false" customHeight="false" outlineLevel="0" collapsed="false">
      <c r="A1252" s="12" t="s">
        <v>3061</v>
      </c>
      <c r="B1252" s="12" t="s">
        <v>2963</v>
      </c>
      <c r="C1252" s="12" t="s">
        <v>2964</v>
      </c>
      <c r="D1252" s="12" t="s">
        <v>370</v>
      </c>
      <c r="E1252" s="12" t="s">
        <v>3062</v>
      </c>
      <c r="F1252" s="13" t="n">
        <v>197842</v>
      </c>
      <c r="G1252" s="13" t="n">
        <v>247988</v>
      </c>
      <c r="H1252" s="14" t="n">
        <v>7982</v>
      </c>
      <c r="I1252" s="14" t="n">
        <v>8235</v>
      </c>
      <c r="J1252" s="15" t="n">
        <f aca="false">I1252/H1252</f>
        <v>1.0316963167126</v>
      </c>
      <c r="K1252" s="16" t="n">
        <f aca="false">ROUND(I1252*J1252^($F$8-1),0)</f>
        <v>8176</v>
      </c>
      <c r="L1252" s="16" t="n">
        <f aca="false">ROUND(I1252*J1252^($F$9-1),0)</f>
        <v>8222</v>
      </c>
      <c r="M1252" s="17" t="n">
        <f aca="false">G1252*$F$7</f>
        <v>238887.394779503</v>
      </c>
      <c r="N1252" s="18" t="n">
        <f aca="false">F1252/K1252</f>
        <v>24.1978962818004</v>
      </c>
      <c r="O1252" s="18" t="n">
        <f aca="false">G1252/L1252</f>
        <v>30.1615178788616</v>
      </c>
      <c r="P1252" s="18" t="n">
        <f aca="false">M1252/L1252</f>
        <v>29.0546575990638</v>
      </c>
      <c r="Q1252" s="19" t="n">
        <f aca="false">IF(N1252=0,"n.a.",P1252/N1252-1)</f>
        <v>0.20071006424291</v>
      </c>
    </row>
    <row r="1253" customFormat="false" ht="15" hidden="false" customHeight="false" outlineLevel="0" collapsed="false">
      <c r="A1253" s="12" t="s">
        <v>3063</v>
      </c>
      <c r="B1253" s="12" t="s">
        <v>2963</v>
      </c>
      <c r="C1253" s="12" t="s">
        <v>2964</v>
      </c>
      <c r="D1253" s="12" t="s">
        <v>373</v>
      </c>
      <c r="E1253" s="12" t="s">
        <v>3064</v>
      </c>
      <c r="F1253" s="13" t="n">
        <v>0</v>
      </c>
      <c r="G1253" s="13" t="n">
        <v>0</v>
      </c>
      <c r="H1253" s="14" t="n">
        <v>14461</v>
      </c>
      <c r="I1253" s="14" t="n">
        <v>14622</v>
      </c>
      <c r="J1253" s="15" t="n">
        <f aca="false">I1253/H1253</f>
        <v>1.01113339326464</v>
      </c>
      <c r="K1253" s="16" t="n">
        <f aca="false">ROUND(I1253*J1253^($F$8-1),0)</f>
        <v>14585</v>
      </c>
      <c r="L1253" s="16" t="n">
        <f aca="false">ROUND(I1253*J1253^($F$9-1),0)</f>
        <v>14614</v>
      </c>
      <c r="M1253" s="17" t="n">
        <f aca="false">G1253*$F$7</f>
        <v>0</v>
      </c>
      <c r="N1253" s="18" t="n">
        <f aca="false">F1253/K1253</f>
        <v>0</v>
      </c>
      <c r="O1253" s="18" t="n">
        <f aca="false">G1253/L1253</f>
        <v>0</v>
      </c>
      <c r="P1253" s="18" t="n">
        <f aca="false">M1253/L1253</f>
        <v>0</v>
      </c>
      <c r="Q1253" s="19" t="str">
        <f aca="false">IF(N1253=0,"n.a.",P1253/N1253-1)</f>
        <v>n.a.</v>
      </c>
    </row>
    <row r="1254" customFormat="false" ht="15" hidden="false" customHeight="false" outlineLevel="0" collapsed="false">
      <c r="A1254" s="12" t="s">
        <v>3065</v>
      </c>
      <c r="B1254" s="12" t="s">
        <v>2963</v>
      </c>
      <c r="C1254" s="12" t="s">
        <v>2964</v>
      </c>
      <c r="D1254" s="12" t="s">
        <v>376</v>
      </c>
      <c r="E1254" s="12" t="s">
        <v>3066</v>
      </c>
      <c r="F1254" s="13" t="n">
        <v>444167</v>
      </c>
      <c r="G1254" s="13" t="n">
        <v>542871</v>
      </c>
      <c r="H1254" s="14" t="n">
        <v>4880</v>
      </c>
      <c r="I1254" s="14" t="n">
        <v>4952</v>
      </c>
      <c r="J1254" s="15" t="n">
        <f aca="false">I1254/H1254</f>
        <v>1.01475409836066</v>
      </c>
      <c r="K1254" s="16" t="n">
        <f aca="false">ROUND(I1254*J1254^($F$8-1),0)</f>
        <v>4935</v>
      </c>
      <c r="L1254" s="16" t="n">
        <f aca="false">ROUND(I1254*J1254^($F$9-1),0)</f>
        <v>4948</v>
      </c>
      <c r="M1254" s="17" t="n">
        <f aca="false">G1254*$F$7</f>
        <v>522948.847893218</v>
      </c>
      <c r="N1254" s="18" t="n">
        <f aca="false">F1254/K1254</f>
        <v>90.0034447821682</v>
      </c>
      <c r="O1254" s="18" t="n">
        <f aca="false">G1254/L1254</f>
        <v>109.715238480194</v>
      </c>
      <c r="P1254" s="18" t="n">
        <f aca="false">M1254/L1254</f>
        <v>105.688934497417</v>
      </c>
      <c r="Q1254" s="19" t="n">
        <f aca="false">IF(N1254=0,"n.a.",P1254/N1254-1)</f>
        <v>0.174276548561131</v>
      </c>
    </row>
    <row r="1255" customFormat="false" ht="15" hidden="false" customHeight="false" outlineLevel="0" collapsed="false">
      <c r="A1255" s="12" t="s">
        <v>3067</v>
      </c>
      <c r="B1255" s="12" t="s">
        <v>2963</v>
      </c>
      <c r="C1255" s="12" t="s">
        <v>2964</v>
      </c>
      <c r="D1255" s="12" t="s">
        <v>382</v>
      </c>
      <c r="E1255" s="12" t="s">
        <v>3068</v>
      </c>
      <c r="F1255" s="13" t="n">
        <v>1227604</v>
      </c>
      <c r="G1255" s="13" t="n">
        <v>2000321</v>
      </c>
      <c r="H1255" s="14" t="n">
        <v>17801</v>
      </c>
      <c r="I1255" s="14" t="n">
        <v>19128</v>
      </c>
      <c r="J1255" s="15" t="n">
        <f aca="false">I1255/H1255</f>
        <v>1.07454637379922</v>
      </c>
      <c r="K1255" s="16" t="n">
        <f aca="false">ROUND(I1255*J1255^($F$8-1),0)</f>
        <v>18813</v>
      </c>
      <c r="L1255" s="16" t="n">
        <f aca="false">ROUND(I1255*J1255^($F$9-1),0)</f>
        <v>19057</v>
      </c>
      <c r="M1255" s="17" t="n">
        <f aca="false">G1255*$F$7</f>
        <v>1926913.69103638</v>
      </c>
      <c r="N1255" s="18" t="n">
        <f aca="false">F1255/K1255</f>
        <v>65.2529633763887</v>
      </c>
      <c r="O1255" s="18" t="n">
        <f aca="false">G1255/L1255</f>
        <v>104.965157160099</v>
      </c>
      <c r="P1255" s="18" t="n">
        <f aca="false">M1255/L1255</f>
        <v>101.113170542918</v>
      </c>
      <c r="Q1255" s="19" t="n">
        <f aca="false">IF(N1255=0,"n.a.",P1255/N1255-1)</f>
        <v>0.549556760505755</v>
      </c>
    </row>
    <row r="1256" customFormat="false" ht="15" hidden="false" customHeight="false" outlineLevel="0" collapsed="false">
      <c r="A1256" s="12" t="s">
        <v>3069</v>
      </c>
      <c r="B1256" s="12" t="s">
        <v>2963</v>
      </c>
      <c r="C1256" s="12" t="s">
        <v>2964</v>
      </c>
      <c r="D1256" s="12" t="s">
        <v>385</v>
      </c>
      <c r="E1256" s="12" t="s">
        <v>3070</v>
      </c>
      <c r="F1256" s="13" t="n">
        <v>550287</v>
      </c>
      <c r="G1256" s="13" t="n">
        <v>866805</v>
      </c>
      <c r="H1256" s="14" t="n">
        <v>22694</v>
      </c>
      <c r="I1256" s="14" t="n">
        <v>22858</v>
      </c>
      <c r="J1256" s="15" t="n">
        <f aca="false">I1256/H1256</f>
        <v>1.0072265797127</v>
      </c>
      <c r="K1256" s="16" t="n">
        <f aca="false">ROUND(I1256*J1256^($F$8-1),0)</f>
        <v>22820</v>
      </c>
      <c r="L1256" s="16" t="n">
        <f aca="false">ROUND(I1256*J1256^($F$9-1),0)</f>
        <v>22849</v>
      </c>
      <c r="M1256" s="17" t="n">
        <f aca="false">G1256*$F$7</f>
        <v>834995.194250717</v>
      </c>
      <c r="N1256" s="18" t="n">
        <f aca="false">F1256/K1256</f>
        <v>24.1142418930762</v>
      </c>
      <c r="O1256" s="18" t="n">
        <f aca="false">G1256/L1256</f>
        <v>37.9362335331962</v>
      </c>
      <c r="P1256" s="18" t="n">
        <f aca="false">M1256/L1256</f>
        <v>36.5440585693342</v>
      </c>
      <c r="Q1256" s="19" t="n">
        <f aca="false">IF(N1256=0,"n.a.",P1256/N1256-1)</f>
        <v>0.515455419721357</v>
      </c>
    </row>
    <row r="1257" customFormat="false" ht="15" hidden="false" customHeight="false" outlineLevel="0" collapsed="false">
      <c r="A1257" s="12" t="s">
        <v>3071</v>
      </c>
      <c r="B1257" s="12" t="s">
        <v>2963</v>
      </c>
      <c r="C1257" s="12" t="s">
        <v>2964</v>
      </c>
      <c r="D1257" s="12" t="s">
        <v>388</v>
      </c>
      <c r="E1257" s="12" t="s">
        <v>3072</v>
      </c>
      <c r="F1257" s="13" t="n">
        <v>994633</v>
      </c>
      <c r="G1257" s="13" t="n">
        <v>1130888</v>
      </c>
      <c r="H1257" s="14" t="n">
        <v>18778</v>
      </c>
      <c r="I1257" s="14" t="n">
        <v>19918</v>
      </c>
      <c r="J1257" s="15" t="n">
        <f aca="false">I1257/H1257</f>
        <v>1.06070934071786</v>
      </c>
      <c r="K1257" s="16" t="n">
        <f aca="false">ROUND(I1257*J1257^($F$8-1),0)</f>
        <v>19649</v>
      </c>
      <c r="L1257" s="16" t="n">
        <f aca="false">ROUND(I1257*J1257^($F$9-1),0)</f>
        <v>19857</v>
      </c>
      <c r="M1257" s="17" t="n">
        <f aca="false">G1257*$F$7</f>
        <v>1089386.93851074</v>
      </c>
      <c r="N1257" s="18" t="n">
        <f aca="false">F1257/K1257</f>
        <v>50.6200315537686</v>
      </c>
      <c r="O1257" s="18" t="n">
        <f aca="false">G1257/L1257</f>
        <v>56.9516039683739</v>
      </c>
      <c r="P1257" s="18" t="n">
        <f aca="false">M1257/L1257</f>
        <v>54.86160741858</v>
      </c>
      <c r="Q1257" s="19" t="n">
        <f aca="false">IF(N1257=0,"n.a.",P1257/N1257-1)</f>
        <v>0.0837924381834092</v>
      </c>
    </row>
    <row r="1258" customFormat="false" ht="15" hidden="false" customHeight="false" outlineLevel="0" collapsed="false">
      <c r="A1258" s="12" t="s">
        <v>3073</v>
      </c>
      <c r="B1258" s="12" t="s">
        <v>2963</v>
      </c>
      <c r="C1258" s="12" t="s">
        <v>2964</v>
      </c>
      <c r="D1258" s="12" t="s">
        <v>391</v>
      </c>
      <c r="E1258" s="12" t="s">
        <v>3074</v>
      </c>
      <c r="F1258" s="13" t="n">
        <v>232884</v>
      </c>
      <c r="G1258" s="13" t="n">
        <v>409200</v>
      </c>
      <c r="H1258" s="14" t="n">
        <v>7011</v>
      </c>
      <c r="I1258" s="14" t="n">
        <v>7379</v>
      </c>
      <c r="J1258" s="15" t="n">
        <f aca="false">I1258/H1258</f>
        <v>1.05248894594209</v>
      </c>
      <c r="K1258" s="16" t="n">
        <f aca="false">ROUND(I1258*J1258^($F$8-1),0)</f>
        <v>7292</v>
      </c>
      <c r="L1258" s="16" t="n">
        <f aca="false">ROUND(I1258*J1258^($F$9-1),0)</f>
        <v>7359</v>
      </c>
      <c r="M1258" s="17" t="n">
        <f aca="false">G1258*$F$7</f>
        <v>394183.274770443</v>
      </c>
      <c r="N1258" s="18" t="n">
        <f aca="false">F1258/K1258</f>
        <v>31.9369171695008</v>
      </c>
      <c r="O1258" s="18" t="n">
        <f aca="false">G1258/L1258</f>
        <v>55.6053811659193</v>
      </c>
      <c r="P1258" s="18" t="n">
        <f aca="false">M1258/L1258</f>
        <v>53.5647879834818</v>
      </c>
      <c r="Q1258" s="19" t="n">
        <f aca="false">IF(N1258=0,"n.a.",P1258/N1258-1)</f>
        <v>0.677205965096568</v>
      </c>
    </row>
    <row r="1259" customFormat="false" ht="15" hidden="false" customHeight="false" outlineLevel="0" collapsed="false">
      <c r="A1259" s="12" t="s">
        <v>3075</v>
      </c>
      <c r="B1259" s="12" t="s">
        <v>2963</v>
      </c>
      <c r="C1259" s="12" t="s">
        <v>2964</v>
      </c>
      <c r="D1259" s="12" t="s">
        <v>972</v>
      </c>
      <c r="E1259" s="12" t="s">
        <v>3076</v>
      </c>
      <c r="F1259" s="13" t="n">
        <v>4233913</v>
      </c>
      <c r="G1259" s="13" t="n">
        <v>4615068</v>
      </c>
      <c r="H1259" s="14" t="n">
        <v>28913</v>
      </c>
      <c r="I1259" s="14" t="n">
        <v>30081</v>
      </c>
      <c r="J1259" s="15" t="n">
        <f aca="false">I1259/H1259</f>
        <v>1.04039705322865</v>
      </c>
      <c r="K1259" s="16" t="n">
        <f aca="false">ROUND(I1259*J1259^($F$8-1),0)</f>
        <v>29807</v>
      </c>
      <c r="L1259" s="16" t="n">
        <f aca="false">ROUND(I1259*J1259^($F$9-1),0)</f>
        <v>30019</v>
      </c>
      <c r="M1259" s="17" t="n">
        <f aca="false">G1259*$F$7</f>
        <v>4445705.32142785</v>
      </c>
      <c r="N1259" s="18" t="n">
        <f aca="false">F1259/K1259</f>
        <v>142.044251350354</v>
      </c>
      <c r="O1259" s="18" t="n">
        <f aca="false">G1259/L1259</f>
        <v>153.73823245278</v>
      </c>
      <c r="P1259" s="18" t="n">
        <f aca="false">M1259/L1259</f>
        <v>148.096383005025</v>
      </c>
      <c r="Q1259" s="19" t="n">
        <f aca="false">IF(N1259=0,"n.a.",P1259/N1259-1)</f>
        <v>0.0426073677543177</v>
      </c>
    </row>
    <row r="1260" customFormat="false" ht="15" hidden="false" customHeight="false" outlineLevel="0" collapsed="false">
      <c r="A1260" s="12" t="s">
        <v>3077</v>
      </c>
      <c r="B1260" s="12" t="s">
        <v>2963</v>
      </c>
      <c r="C1260" s="12" t="s">
        <v>2964</v>
      </c>
      <c r="D1260" s="12" t="s">
        <v>394</v>
      </c>
      <c r="E1260" s="12" t="s">
        <v>3078</v>
      </c>
      <c r="F1260" s="13" t="n">
        <v>371325</v>
      </c>
      <c r="G1260" s="13" t="n">
        <v>454360</v>
      </c>
      <c r="H1260" s="14" t="n">
        <v>6111</v>
      </c>
      <c r="I1260" s="14" t="n">
        <v>5362</v>
      </c>
      <c r="J1260" s="15" t="n">
        <f aca="false">I1260/H1260</f>
        <v>0.877434135166094</v>
      </c>
      <c r="K1260" s="16" t="n">
        <f aca="false">ROUND(I1260*J1260^($F$8-1),0)</f>
        <v>5526</v>
      </c>
      <c r="L1260" s="16" t="n">
        <f aca="false">ROUND(I1260*J1260^($F$9-1),0)</f>
        <v>5399</v>
      </c>
      <c r="M1260" s="17" t="n">
        <f aca="false">G1260*$F$7</f>
        <v>437686.003726047</v>
      </c>
      <c r="N1260" s="18" t="n">
        <f aca="false">F1260/K1260</f>
        <v>67.1959826275787</v>
      </c>
      <c r="O1260" s="18" t="n">
        <f aca="false">G1260/L1260</f>
        <v>84.1563252454158</v>
      </c>
      <c r="P1260" s="18" t="n">
        <f aca="false">M1260/L1260</f>
        <v>81.0679762411644</v>
      </c>
      <c r="Q1260" s="19" t="n">
        <f aca="false">IF(N1260=0,"n.a.",P1260/N1260-1)</f>
        <v>0.20644081790527</v>
      </c>
    </row>
    <row r="1261" customFormat="false" ht="15" hidden="false" customHeight="false" outlineLevel="0" collapsed="false">
      <c r="A1261" s="12" t="s">
        <v>3079</v>
      </c>
      <c r="B1261" s="12" t="s">
        <v>2963</v>
      </c>
      <c r="C1261" s="12" t="s">
        <v>2964</v>
      </c>
      <c r="D1261" s="12" t="s">
        <v>976</v>
      </c>
      <c r="E1261" s="12" t="s">
        <v>3080</v>
      </c>
      <c r="F1261" s="13" t="n">
        <v>12051856</v>
      </c>
      <c r="G1261" s="13" t="n">
        <v>22237877</v>
      </c>
      <c r="H1261" s="14" t="n">
        <v>103603</v>
      </c>
      <c r="I1261" s="14" t="n">
        <v>105573</v>
      </c>
      <c r="J1261" s="15" t="n">
        <f aca="false">I1261/H1261</f>
        <v>1.01901489339112</v>
      </c>
      <c r="K1261" s="16" t="n">
        <f aca="false">ROUND(I1261*J1261^($F$8-1),0)</f>
        <v>105115</v>
      </c>
      <c r="L1261" s="16" t="n">
        <f aca="false">ROUND(I1261*J1261^($F$9-1),0)</f>
        <v>105470</v>
      </c>
      <c r="M1261" s="17" t="n">
        <f aca="false">G1261*$F$7</f>
        <v>21421796.6270829</v>
      </c>
      <c r="N1261" s="18" t="n">
        <f aca="false">F1261/K1261</f>
        <v>114.654007515578</v>
      </c>
      <c r="O1261" s="18" t="n">
        <f aca="false">G1261/L1261</f>
        <v>210.845520053096</v>
      </c>
      <c r="P1261" s="18" t="n">
        <f aca="false">M1261/L1261</f>
        <v>203.107960814287</v>
      </c>
      <c r="Q1261" s="19" t="n">
        <f aca="false">IF(N1261=0,"n.a.",P1261/N1261-1)</f>
        <v>0.771485927229282</v>
      </c>
    </row>
    <row r="1262" customFormat="false" ht="15" hidden="false" customHeight="false" outlineLevel="0" collapsed="false">
      <c r="A1262" s="12" t="s">
        <v>3081</v>
      </c>
      <c r="B1262" s="12" t="s">
        <v>2963</v>
      </c>
      <c r="C1262" s="12" t="s">
        <v>2964</v>
      </c>
      <c r="D1262" s="12" t="s">
        <v>397</v>
      </c>
      <c r="E1262" s="12" t="s">
        <v>3082</v>
      </c>
      <c r="F1262" s="13" t="n">
        <v>202826</v>
      </c>
      <c r="G1262" s="13" t="n">
        <v>418616</v>
      </c>
      <c r="H1262" s="14" t="n">
        <v>17077</v>
      </c>
      <c r="I1262" s="14" t="n">
        <v>15103</v>
      </c>
      <c r="J1262" s="15" t="n">
        <f aca="false">I1262/H1262</f>
        <v>0.884405926099432</v>
      </c>
      <c r="K1262" s="16" t="n">
        <f aca="false">ROUND(I1262*J1262^($F$8-1),0)</f>
        <v>15537</v>
      </c>
      <c r="L1262" s="16" t="n">
        <f aca="false">ROUND(I1262*J1262^($F$9-1),0)</f>
        <v>15200</v>
      </c>
      <c r="M1262" s="17" t="n">
        <f aca="false">G1262*$F$7</f>
        <v>403253.728619999</v>
      </c>
      <c r="N1262" s="18" t="n">
        <f aca="false">F1262/K1262</f>
        <v>13.0543863036622</v>
      </c>
      <c r="O1262" s="18" t="n">
        <f aca="false">G1262/L1262</f>
        <v>27.5405263157895</v>
      </c>
      <c r="P1262" s="18" t="n">
        <f aca="false">M1262/L1262</f>
        <v>26.5298505671052</v>
      </c>
      <c r="Q1262" s="19" t="n">
        <f aca="false">IF(N1262=0,"n.a.",P1262/N1262-1)</f>
        <v>1.03225566870674</v>
      </c>
    </row>
    <row r="1263" customFormat="false" ht="15" hidden="false" customHeight="false" outlineLevel="0" collapsed="false">
      <c r="A1263" s="12" t="s">
        <v>3083</v>
      </c>
      <c r="B1263" s="12" t="s">
        <v>2963</v>
      </c>
      <c r="C1263" s="12" t="s">
        <v>2964</v>
      </c>
      <c r="D1263" s="12" t="s">
        <v>400</v>
      </c>
      <c r="E1263" s="12" t="s">
        <v>3084</v>
      </c>
      <c r="F1263" s="13" t="n">
        <v>859045</v>
      </c>
      <c r="G1263" s="13" t="n">
        <v>1096933</v>
      </c>
      <c r="H1263" s="14" t="n">
        <v>9760</v>
      </c>
      <c r="I1263" s="14" t="n">
        <v>10172</v>
      </c>
      <c r="J1263" s="15" t="n">
        <f aca="false">I1263/H1263</f>
        <v>1.0422131147541</v>
      </c>
      <c r="K1263" s="16" t="n">
        <f aca="false">ROUND(I1263*J1263^($F$8-1),0)</f>
        <v>10075</v>
      </c>
      <c r="L1263" s="16" t="n">
        <f aca="false">ROUND(I1263*J1263^($F$9-1),0)</f>
        <v>10150</v>
      </c>
      <c r="M1263" s="17" t="n">
        <f aca="false">G1263*$F$7</f>
        <v>1056678.01110402</v>
      </c>
      <c r="N1263" s="18" t="n">
        <f aca="false">F1263/K1263</f>
        <v>85.2650124069479</v>
      </c>
      <c r="O1263" s="18" t="n">
        <f aca="false">G1263/L1263</f>
        <v>108.072216748768</v>
      </c>
      <c r="P1263" s="18" t="n">
        <f aca="false">M1263/L1263</f>
        <v>104.106207990544</v>
      </c>
      <c r="Q1263" s="19" t="n">
        <f aca="false">IF(N1263=0,"n.a.",P1263/N1263-1)</f>
        <v>0.220972178994967</v>
      </c>
    </row>
    <row r="1264" customFormat="false" ht="15" hidden="false" customHeight="false" outlineLevel="0" collapsed="false">
      <c r="A1264" s="12" t="s">
        <v>3085</v>
      </c>
      <c r="B1264" s="12" t="s">
        <v>2963</v>
      </c>
      <c r="C1264" s="12" t="s">
        <v>2964</v>
      </c>
      <c r="D1264" s="12" t="s">
        <v>403</v>
      </c>
      <c r="E1264" s="12" t="s">
        <v>3086</v>
      </c>
      <c r="F1264" s="13" t="n">
        <v>31492623</v>
      </c>
      <c r="G1264" s="13" t="n">
        <v>45932892</v>
      </c>
      <c r="H1264" s="14" t="n">
        <v>90574</v>
      </c>
      <c r="I1264" s="14" t="n">
        <v>97497</v>
      </c>
      <c r="J1264" s="15" t="n">
        <f aca="false">I1264/H1264</f>
        <v>1.07643473844591</v>
      </c>
      <c r="K1264" s="16" t="n">
        <f aca="false">ROUND(I1264*J1264^($F$8-1),0)</f>
        <v>95853</v>
      </c>
      <c r="L1264" s="16" t="n">
        <f aca="false">ROUND(I1264*J1264^($F$9-1),0)</f>
        <v>97125</v>
      </c>
      <c r="M1264" s="17" t="n">
        <f aca="false">G1264*$F$7</f>
        <v>44247257.5470114</v>
      </c>
      <c r="N1264" s="18" t="n">
        <f aca="false">F1264/K1264</f>
        <v>328.551250352102</v>
      </c>
      <c r="O1264" s="18" t="n">
        <f aca="false">G1264/L1264</f>
        <v>472.925528957529</v>
      </c>
      <c r="P1264" s="18" t="n">
        <f aca="false">M1264/L1264</f>
        <v>455.570219274249</v>
      </c>
      <c r="Q1264" s="19" t="n">
        <f aca="false">IF(N1264=0,"n.a.",P1264/N1264-1)</f>
        <v>0.386603212698242</v>
      </c>
    </row>
    <row r="1265" customFormat="false" ht="15" hidden="false" customHeight="false" outlineLevel="0" collapsed="false">
      <c r="A1265" s="12" t="s">
        <v>3087</v>
      </c>
      <c r="B1265" s="12" t="s">
        <v>2963</v>
      </c>
      <c r="C1265" s="12" t="s">
        <v>2964</v>
      </c>
      <c r="D1265" s="12" t="s">
        <v>406</v>
      </c>
      <c r="E1265" s="12" t="s">
        <v>1354</v>
      </c>
      <c r="F1265" s="13" t="n">
        <v>1290746</v>
      </c>
      <c r="G1265" s="13" t="n">
        <v>1253112</v>
      </c>
      <c r="H1265" s="14" t="n">
        <v>13061</v>
      </c>
      <c r="I1265" s="14" t="n">
        <v>13850</v>
      </c>
      <c r="J1265" s="15" t="n">
        <f aca="false">I1265/H1265</f>
        <v>1.06040885077712</v>
      </c>
      <c r="K1265" s="16" t="n">
        <f aca="false">ROUND(I1265*J1265^($F$8-1),0)</f>
        <v>13664</v>
      </c>
      <c r="L1265" s="16" t="n">
        <f aca="false">ROUND(I1265*J1265^($F$9-1),0)</f>
        <v>13808</v>
      </c>
      <c r="M1265" s="17" t="n">
        <f aca="false">G1265*$F$7</f>
        <v>1207125.59094364</v>
      </c>
      <c r="N1265" s="18" t="n">
        <f aca="false">F1265/K1265</f>
        <v>94.4632611241218</v>
      </c>
      <c r="O1265" s="18" t="n">
        <f aca="false">G1265/L1265</f>
        <v>90.752607184241</v>
      </c>
      <c r="P1265" s="18" t="n">
        <f aca="false">M1265/L1265</f>
        <v>87.4221893788849</v>
      </c>
      <c r="Q1265" s="19" t="n">
        <f aca="false">IF(N1265=0,"n.a.",P1265/N1265-1)</f>
        <v>-0.0745376738156975</v>
      </c>
    </row>
    <row r="1266" customFormat="false" ht="15" hidden="false" customHeight="false" outlineLevel="0" collapsed="false">
      <c r="A1266" s="12" t="s">
        <v>3088</v>
      </c>
      <c r="B1266" s="12" t="s">
        <v>2963</v>
      </c>
      <c r="C1266" s="12" t="s">
        <v>2964</v>
      </c>
      <c r="D1266" s="12" t="s">
        <v>748</v>
      </c>
      <c r="E1266" s="12" t="s">
        <v>3089</v>
      </c>
      <c r="F1266" s="13" t="n">
        <v>2970957</v>
      </c>
      <c r="G1266" s="13" t="n">
        <v>3631547</v>
      </c>
      <c r="H1266" s="14" t="n">
        <v>27565</v>
      </c>
      <c r="I1266" s="14" t="n">
        <v>29867</v>
      </c>
      <c r="J1266" s="15" t="n">
        <f aca="false">I1266/H1266</f>
        <v>1.08351169961908</v>
      </c>
      <c r="K1266" s="16" t="n">
        <f aca="false">ROUND(I1266*J1266^($F$8-1),0)</f>
        <v>29319</v>
      </c>
      <c r="L1266" s="16" t="n">
        <f aca="false">ROUND(I1266*J1266^($F$9-1),0)</f>
        <v>29743</v>
      </c>
      <c r="M1266" s="17" t="n">
        <f aca="false">G1266*$F$7</f>
        <v>3498277.34345742</v>
      </c>
      <c r="N1266" s="18" t="n">
        <f aca="false">F1266/K1266</f>
        <v>101.332139568198</v>
      </c>
      <c r="O1266" s="18" t="n">
        <f aca="false">G1266/L1266</f>
        <v>122.097535554584</v>
      </c>
      <c r="P1266" s="18" t="n">
        <f aca="false">M1266/L1266</f>
        <v>117.616828949918</v>
      </c>
      <c r="Q1266" s="19" t="n">
        <f aca="false">IF(N1266=0,"n.a.",P1266/N1266-1)</f>
        <v>0.160706064740302</v>
      </c>
    </row>
    <row r="1267" customFormat="false" ht="15" hidden="false" customHeight="false" outlineLevel="0" collapsed="false">
      <c r="A1267" s="12" t="s">
        <v>3090</v>
      </c>
      <c r="B1267" s="12" t="s">
        <v>2963</v>
      </c>
      <c r="C1267" s="12" t="s">
        <v>2964</v>
      </c>
      <c r="D1267" s="12" t="s">
        <v>409</v>
      </c>
      <c r="E1267" s="12" t="s">
        <v>3091</v>
      </c>
      <c r="F1267" s="13" t="n">
        <v>156268</v>
      </c>
      <c r="G1267" s="13" t="n">
        <v>270965</v>
      </c>
      <c r="H1267" s="14" t="n">
        <v>5906</v>
      </c>
      <c r="I1267" s="14" t="n">
        <v>5545</v>
      </c>
      <c r="J1267" s="15" t="n">
        <f aca="false">I1267/H1267</f>
        <v>0.938875719607179</v>
      </c>
      <c r="K1267" s="16" t="n">
        <f aca="false">ROUND(I1267*J1267^($F$8-1),0)</f>
        <v>5626</v>
      </c>
      <c r="L1267" s="16" t="n">
        <f aca="false">ROUND(I1267*J1267^($F$9-1),0)</f>
        <v>5563</v>
      </c>
      <c r="M1267" s="17" t="n">
        <f aca="false">G1267*$F$7</f>
        <v>261021.190244802</v>
      </c>
      <c r="N1267" s="18" t="n">
        <f aca="false">F1267/K1267</f>
        <v>27.776039815144</v>
      </c>
      <c r="O1267" s="18" t="n">
        <f aca="false">G1267/L1267</f>
        <v>48.7084307028582</v>
      </c>
      <c r="P1267" s="18" t="n">
        <f aca="false">M1267/L1267</f>
        <v>46.9209401842175</v>
      </c>
      <c r="Q1267" s="19" t="n">
        <f aca="false">IF(N1267=0,"n.a.",P1267/N1267-1)</f>
        <v>0.689259537950237</v>
      </c>
    </row>
    <row r="1268" customFormat="false" ht="15" hidden="false" customHeight="false" outlineLevel="0" collapsed="false">
      <c r="A1268" s="12" t="s">
        <v>3092</v>
      </c>
      <c r="B1268" s="12" t="s">
        <v>2963</v>
      </c>
      <c r="C1268" s="12" t="s">
        <v>2964</v>
      </c>
      <c r="D1268" s="12" t="s">
        <v>412</v>
      </c>
      <c r="E1268" s="12" t="s">
        <v>3093</v>
      </c>
      <c r="F1268" s="13" t="n">
        <v>168250</v>
      </c>
      <c r="G1268" s="13" t="n">
        <v>334819</v>
      </c>
      <c r="H1268" s="14" t="n">
        <v>15840</v>
      </c>
      <c r="I1268" s="14" t="n">
        <v>16792</v>
      </c>
      <c r="J1268" s="15" t="n">
        <f aca="false">I1268/H1268</f>
        <v>1.06010101010101</v>
      </c>
      <c r="K1268" s="16" t="n">
        <f aca="false">ROUND(I1268*J1268^($F$8-1),0)</f>
        <v>16567</v>
      </c>
      <c r="L1268" s="16" t="n">
        <f aca="false">ROUND(I1268*J1268^($F$9-1),0)</f>
        <v>16741</v>
      </c>
      <c r="M1268" s="17" t="n">
        <f aca="false">G1268*$F$7</f>
        <v>322531.891191019</v>
      </c>
      <c r="N1268" s="18" t="n">
        <f aca="false">F1268/K1268</f>
        <v>10.1557312730126</v>
      </c>
      <c r="O1268" s="18" t="n">
        <f aca="false">G1268/L1268</f>
        <v>19.9999402664118</v>
      </c>
      <c r="P1268" s="18" t="n">
        <f aca="false">M1268/L1268</f>
        <v>19.2659871686888</v>
      </c>
      <c r="Q1268" s="19" t="n">
        <f aca="false">IF(N1268=0,"n.a.",P1268/N1268-1)</f>
        <v>0.897055628075286</v>
      </c>
    </row>
    <row r="1269" customFormat="false" ht="15" hidden="false" customHeight="false" outlineLevel="0" collapsed="false">
      <c r="A1269" s="12" t="s">
        <v>3094</v>
      </c>
      <c r="B1269" s="12" t="s">
        <v>2963</v>
      </c>
      <c r="C1269" s="12" t="s">
        <v>2964</v>
      </c>
      <c r="D1269" s="12" t="s">
        <v>415</v>
      </c>
      <c r="E1269" s="12" t="s">
        <v>3095</v>
      </c>
      <c r="F1269" s="13" t="n">
        <v>498345</v>
      </c>
      <c r="G1269" s="13" t="n">
        <v>507955</v>
      </c>
      <c r="H1269" s="14" t="n">
        <v>5782</v>
      </c>
      <c r="I1269" s="14" t="n">
        <v>5892</v>
      </c>
      <c r="J1269" s="15" t="n">
        <f aca="false">I1269/H1269</f>
        <v>1.01902455897613</v>
      </c>
      <c r="K1269" s="16" t="n">
        <f aca="false">ROUND(I1269*J1269^($F$8-1),0)</f>
        <v>5866</v>
      </c>
      <c r="L1269" s="16" t="n">
        <f aca="false">ROUND(I1269*J1269^($F$9-1),0)</f>
        <v>5886</v>
      </c>
      <c r="M1269" s="17" t="n">
        <f aca="false">G1269*$F$7</f>
        <v>489314.187038172</v>
      </c>
      <c r="N1269" s="18" t="n">
        <f aca="false">F1269/K1269</f>
        <v>84.954824411865</v>
      </c>
      <c r="O1269" s="18" t="n">
        <f aca="false">G1269/L1269</f>
        <v>86.2988447162759</v>
      </c>
      <c r="P1269" s="18" t="n">
        <f aca="false">M1269/L1269</f>
        <v>83.1318700370663</v>
      </c>
      <c r="Q1269" s="19" t="n">
        <f aca="false">IF(N1269=0,"n.a.",P1269/N1269-1)</f>
        <v>-0.0214579264617263</v>
      </c>
    </row>
    <row r="1270" customFormat="false" ht="15" hidden="false" customHeight="false" outlineLevel="0" collapsed="false">
      <c r="A1270" s="12" t="s">
        <v>3096</v>
      </c>
      <c r="B1270" s="12" t="s">
        <v>2963</v>
      </c>
      <c r="C1270" s="12" t="s">
        <v>2964</v>
      </c>
      <c r="D1270" s="12" t="s">
        <v>994</v>
      </c>
      <c r="E1270" s="12" t="s">
        <v>3097</v>
      </c>
      <c r="F1270" s="13" t="n">
        <v>18079</v>
      </c>
      <c r="G1270" s="13" t="n">
        <v>16950</v>
      </c>
      <c r="H1270" s="14" t="n">
        <v>2618</v>
      </c>
      <c r="I1270" s="14" t="n">
        <v>2767</v>
      </c>
      <c r="J1270" s="15" t="n">
        <f aca="false">I1270/H1270</f>
        <v>1.05691367456073</v>
      </c>
      <c r="K1270" s="16" t="n">
        <f aca="false">ROUND(I1270*J1270^($F$8-1),0)</f>
        <v>2732</v>
      </c>
      <c r="L1270" s="16" t="n">
        <f aca="false">ROUND(I1270*J1270^($F$9-1),0)</f>
        <v>2759</v>
      </c>
      <c r="M1270" s="17" t="n">
        <f aca="false">G1270*$F$7</f>
        <v>16327.9728918842</v>
      </c>
      <c r="N1270" s="18" t="n">
        <f aca="false">F1270/K1270</f>
        <v>6.61749633967789</v>
      </c>
      <c r="O1270" s="18" t="n">
        <f aca="false">G1270/L1270</f>
        <v>6.14353026458862</v>
      </c>
      <c r="P1270" s="18" t="n">
        <f aca="false">M1270/L1270</f>
        <v>5.91807643779781</v>
      </c>
      <c r="Q1270" s="19" t="n">
        <f aca="false">IF(N1270=0,"n.a.",P1270/N1270-1)</f>
        <v>-0.105692525689273</v>
      </c>
    </row>
    <row r="1271" customFormat="false" ht="15" hidden="false" customHeight="false" outlineLevel="0" collapsed="false">
      <c r="A1271" s="12" t="s">
        <v>3098</v>
      </c>
      <c r="B1271" s="12" t="s">
        <v>2963</v>
      </c>
      <c r="C1271" s="12" t="s">
        <v>2964</v>
      </c>
      <c r="D1271" s="12" t="s">
        <v>798</v>
      </c>
      <c r="E1271" s="12" t="s">
        <v>3099</v>
      </c>
      <c r="F1271" s="13" t="n">
        <v>224331</v>
      </c>
      <c r="G1271" s="13" t="n">
        <v>395290</v>
      </c>
      <c r="H1271" s="14" t="n">
        <v>4065</v>
      </c>
      <c r="I1271" s="14" t="n">
        <v>3585</v>
      </c>
      <c r="J1271" s="15" t="n">
        <f aca="false">I1271/H1271</f>
        <v>0.881918819188192</v>
      </c>
      <c r="K1271" s="16" t="n">
        <f aca="false">ROUND(I1271*J1271^($F$8-1),0)</f>
        <v>3691</v>
      </c>
      <c r="L1271" s="16" t="n">
        <f aca="false">ROUND(I1271*J1271^($F$9-1),0)</f>
        <v>3608</v>
      </c>
      <c r="M1271" s="17" t="n">
        <f aca="false">G1271*$F$7</f>
        <v>380783.740674507</v>
      </c>
      <c r="N1271" s="18" t="n">
        <f aca="false">F1271/K1271</f>
        <v>60.7778379842861</v>
      </c>
      <c r="O1271" s="18" t="n">
        <f aca="false">G1271/L1271</f>
        <v>109.559312638581</v>
      </c>
      <c r="P1271" s="18" t="n">
        <f aca="false">M1271/L1271</f>
        <v>105.538730785617</v>
      </c>
      <c r="Q1271" s="19" t="n">
        <f aca="false">IF(N1271=0,"n.a.",P1271/N1271-1)</f>
        <v>0.736467342140467</v>
      </c>
    </row>
    <row r="1272" customFormat="false" ht="15" hidden="false" customHeight="false" outlineLevel="0" collapsed="false">
      <c r="A1272" s="12" t="s">
        <v>3100</v>
      </c>
      <c r="B1272" s="12" t="s">
        <v>2963</v>
      </c>
      <c r="C1272" s="12" t="s">
        <v>2964</v>
      </c>
      <c r="D1272" s="12" t="s">
        <v>999</v>
      </c>
      <c r="E1272" s="12" t="s">
        <v>3101</v>
      </c>
      <c r="F1272" s="13" t="n">
        <v>719748</v>
      </c>
      <c r="G1272" s="13" t="n">
        <v>987586</v>
      </c>
      <c r="H1272" s="14" t="n">
        <v>8796</v>
      </c>
      <c r="I1272" s="14" t="n">
        <v>9903</v>
      </c>
      <c r="J1272" s="15" t="n">
        <f aca="false">I1272/H1272</f>
        <v>1.12585266030014</v>
      </c>
      <c r="K1272" s="16" t="n">
        <f aca="false">ROUND(I1272*J1272^($F$8-1),0)</f>
        <v>9636</v>
      </c>
      <c r="L1272" s="16" t="n">
        <f aca="false">ROUND(I1272*J1272^($F$9-1),0)</f>
        <v>9842</v>
      </c>
      <c r="M1272" s="17" t="n">
        <f aca="false">G1272*$F$7</f>
        <v>951343.801557777</v>
      </c>
      <c r="N1272" s="18" t="n">
        <f aca="false">F1272/K1272</f>
        <v>74.6936488169365</v>
      </c>
      <c r="O1272" s="18" t="n">
        <f aca="false">G1272/L1272</f>
        <v>100.344035765088</v>
      </c>
      <c r="P1272" s="18" t="n">
        <f aca="false">M1272/L1272</f>
        <v>96.6616339725439</v>
      </c>
      <c r="Q1272" s="19" t="n">
        <f aca="false">IF(N1272=0,"n.a.",P1272/N1272-1)</f>
        <v>0.294107805731218</v>
      </c>
    </row>
    <row r="1273" customFormat="false" ht="15" hidden="false" customHeight="false" outlineLevel="0" collapsed="false">
      <c r="A1273" s="12" t="s">
        <v>3102</v>
      </c>
      <c r="B1273" s="12" t="s">
        <v>2963</v>
      </c>
      <c r="C1273" s="12" t="s">
        <v>2964</v>
      </c>
      <c r="D1273" s="12" t="s">
        <v>418</v>
      </c>
      <c r="E1273" s="12" t="s">
        <v>3103</v>
      </c>
      <c r="F1273" s="13" t="n">
        <v>1000568</v>
      </c>
      <c r="G1273" s="13" t="n">
        <v>1857498</v>
      </c>
      <c r="H1273" s="14" t="n">
        <v>25318</v>
      </c>
      <c r="I1273" s="14" t="n">
        <v>24721</v>
      </c>
      <c r="J1273" s="15" t="n">
        <f aca="false">I1273/H1273</f>
        <v>0.976419938383759</v>
      </c>
      <c r="K1273" s="16" t="n">
        <f aca="false">ROUND(I1273*J1273^($F$8-1),0)</f>
        <v>24858</v>
      </c>
      <c r="L1273" s="16" t="n">
        <f aca="false">ROUND(I1273*J1273^($F$9-1),0)</f>
        <v>24752</v>
      </c>
      <c r="M1273" s="17" t="n">
        <f aca="false">G1273*$F$7</f>
        <v>1789331.97585422</v>
      </c>
      <c r="N1273" s="18" t="n">
        <f aca="false">F1273/K1273</f>
        <v>40.2513476546786</v>
      </c>
      <c r="O1273" s="18" t="n">
        <f aca="false">G1273/L1273</f>
        <v>75.044360051713</v>
      </c>
      <c r="P1273" s="18" t="n">
        <f aca="false">M1273/L1273</f>
        <v>72.2903998001867</v>
      </c>
      <c r="Q1273" s="19" t="n">
        <f aca="false">IF(N1273=0,"n.a.",P1273/N1273-1)</f>
        <v>0.795974644634889</v>
      </c>
    </row>
    <row r="1274" customFormat="false" ht="15" hidden="false" customHeight="false" outlineLevel="0" collapsed="false">
      <c r="A1274" s="12" t="s">
        <v>3104</v>
      </c>
      <c r="B1274" s="12" t="s">
        <v>2963</v>
      </c>
      <c r="C1274" s="12" t="s">
        <v>2964</v>
      </c>
      <c r="D1274" s="12" t="s">
        <v>421</v>
      </c>
      <c r="E1274" s="12" t="s">
        <v>3105</v>
      </c>
      <c r="F1274" s="13" t="n">
        <v>164530</v>
      </c>
      <c r="G1274" s="13" t="n">
        <v>314580</v>
      </c>
      <c r="H1274" s="14" t="n">
        <v>6947</v>
      </c>
      <c r="I1274" s="14" t="n">
        <v>6749</v>
      </c>
      <c r="J1274" s="15" t="n">
        <f aca="false">I1274/H1274</f>
        <v>0.971498488556211</v>
      </c>
      <c r="K1274" s="16" t="n">
        <f aca="false">ROUND(I1274*J1274^($F$8-1),0)</f>
        <v>6794</v>
      </c>
      <c r="L1274" s="16" t="n">
        <f aca="false">ROUND(I1274*J1274^($F$9-1),0)</f>
        <v>6759</v>
      </c>
      <c r="M1274" s="17" t="n">
        <f aca="false">G1274*$F$7</f>
        <v>303035.617246544</v>
      </c>
      <c r="N1274" s="18" t="n">
        <f aca="false">F1274/K1274</f>
        <v>24.2169561377686</v>
      </c>
      <c r="O1274" s="18" t="n">
        <f aca="false">G1274/L1274</f>
        <v>46.5423879272082</v>
      </c>
      <c r="P1274" s="18" t="n">
        <f aca="false">M1274/L1274</f>
        <v>44.8343863362249</v>
      </c>
      <c r="Q1274" s="19" t="n">
        <f aca="false">IF(N1274=0,"n.a.",P1274/N1274-1)</f>
        <v>0.851363403441998</v>
      </c>
    </row>
    <row r="1275" customFormat="false" ht="15" hidden="false" customHeight="false" outlineLevel="0" collapsed="false">
      <c r="A1275" s="12" t="s">
        <v>3106</v>
      </c>
      <c r="B1275" s="12" t="s">
        <v>2963</v>
      </c>
      <c r="C1275" s="12" t="s">
        <v>2964</v>
      </c>
      <c r="D1275" s="12" t="s">
        <v>424</v>
      </c>
      <c r="E1275" s="12" t="s">
        <v>3107</v>
      </c>
      <c r="F1275" s="13" t="n">
        <v>27956994</v>
      </c>
      <c r="G1275" s="13" t="n">
        <v>25132002</v>
      </c>
      <c r="H1275" s="14" t="n">
        <v>82770</v>
      </c>
      <c r="I1275" s="14" t="n">
        <v>84357</v>
      </c>
      <c r="J1275" s="15" t="n">
        <f aca="false">I1275/H1275</f>
        <v>1.01917361362813</v>
      </c>
      <c r="K1275" s="16" t="n">
        <f aca="false">ROUND(I1275*J1275^($F$8-1),0)</f>
        <v>83988</v>
      </c>
      <c r="L1275" s="16" t="n">
        <f aca="false">ROUND(I1275*J1275^($F$9-1),0)</f>
        <v>84274</v>
      </c>
      <c r="M1275" s="17" t="n">
        <f aca="false">G1275*$F$7</f>
        <v>24209713.7094265</v>
      </c>
      <c r="N1275" s="18" t="n">
        <f aca="false">F1275/K1275</f>
        <v>332.868909844263</v>
      </c>
      <c r="O1275" s="18" t="n">
        <f aca="false">G1275/L1275</f>
        <v>298.217742126872</v>
      </c>
      <c r="P1275" s="18" t="n">
        <f aca="false">M1275/L1275</f>
        <v>287.273817659379</v>
      </c>
      <c r="Q1275" s="19" t="n">
        <f aca="false">IF(N1275=0,"n.a.",P1275/N1275-1)</f>
        <v>-0.13697612133923</v>
      </c>
    </row>
    <row r="1276" customFormat="false" ht="15" hidden="false" customHeight="false" outlineLevel="0" collapsed="false">
      <c r="A1276" s="12" t="s">
        <v>3108</v>
      </c>
      <c r="B1276" s="12" t="s">
        <v>2963</v>
      </c>
      <c r="C1276" s="12" t="s">
        <v>2964</v>
      </c>
      <c r="D1276" s="12" t="s">
        <v>427</v>
      </c>
      <c r="E1276" s="12" t="s">
        <v>3109</v>
      </c>
      <c r="F1276" s="13" t="n">
        <v>456596</v>
      </c>
      <c r="G1276" s="13" t="n">
        <v>607718</v>
      </c>
      <c r="H1276" s="14" t="n">
        <v>12050</v>
      </c>
      <c r="I1276" s="14" t="n">
        <v>11182</v>
      </c>
      <c r="J1276" s="15" t="n">
        <f aca="false">I1276/H1276</f>
        <v>0.927966804979253</v>
      </c>
      <c r="K1276" s="16" t="n">
        <f aca="false">ROUND(I1276*J1276^($F$8-1),0)</f>
        <v>11377</v>
      </c>
      <c r="L1276" s="16" t="n">
        <f aca="false">ROUND(I1276*J1276^($F$9-1),0)</f>
        <v>11226</v>
      </c>
      <c r="M1276" s="17" t="n">
        <f aca="false">G1276*$F$7</f>
        <v>585416.107959296</v>
      </c>
      <c r="N1276" s="18" t="n">
        <f aca="false">F1276/K1276</f>
        <v>40.1332512964753</v>
      </c>
      <c r="O1276" s="18" t="n">
        <f aca="false">G1276/L1276</f>
        <v>54.1348654908249</v>
      </c>
      <c r="P1276" s="18" t="n">
        <f aca="false">M1276/L1276</f>
        <v>52.1482369463117</v>
      </c>
      <c r="Q1276" s="19" t="n">
        <f aca="false">IF(N1276=0,"n.a.",P1276/N1276-1)</f>
        <v>0.299377330809268</v>
      </c>
    </row>
    <row r="1277" customFormat="false" ht="15" hidden="false" customHeight="false" outlineLevel="0" collapsed="false">
      <c r="A1277" s="12" t="s">
        <v>3110</v>
      </c>
      <c r="B1277" s="12" t="s">
        <v>2963</v>
      </c>
      <c r="C1277" s="12" t="s">
        <v>2964</v>
      </c>
      <c r="D1277" s="12" t="s">
        <v>430</v>
      </c>
      <c r="E1277" s="12" t="s">
        <v>3111</v>
      </c>
      <c r="F1277" s="13" t="n">
        <v>142013</v>
      </c>
      <c r="G1277" s="13" t="n">
        <v>207467</v>
      </c>
      <c r="H1277" s="14" t="n">
        <v>13308</v>
      </c>
      <c r="I1277" s="14" t="n">
        <v>12955</v>
      </c>
      <c r="J1277" s="15" t="n">
        <f aca="false">I1277/H1277</f>
        <v>0.973474601743312</v>
      </c>
      <c r="K1277" s="16" t="n">
        <f aca="false">ROUND(I1277*J1277^($F$8-1),0)</f>
        <v>13036</v>
      </c>
      <c r="L1277" s="16" t="n">
        <f aca="false">ROUND(I1277*J1277^($F$9-1),0)</f>
        <v>12973</v>
      </c>
      <c r="M1277" s="17" t="n">
        <f aca="false">G1277*$F$7</f>
        <v>199853.424894427</v>
      </c>
      <c r="N1277" s="18" t="n">
        <f aca="false">F1277/K1277</f>
        <v>10.8939091745934</v>
      </c>
      <c r="O1277" s="18" t="n">
        <f aca="false">G1277/L1277</f>
        <v>15.9922145995529</v>
      </c>
      <c r="P1277" s="18" t="n">
        <f aca="false">M1277/L1277</f>
        <v>15.4053360744952</v>
      </c>
      <c r="Q1277" s="19" t="n">
        <f aca="false">IF(N1277=0,"n.a.",P1277/N1277-1)</f>
        <v>0.414123784914901</v>
      </c>
    </row>
    <row r="1278" customFormat="false" ht="15" hidden="false" customHeight="false" outlineLevel="0" collapsed="false">
      <c r="A1278" s="12" t="s">
        <v>3112</v>
      </c>
      <c r="B1278" s="12" t="s">
        <v>2963</v>
      </c>
      <c r="C1278" s="12" t="s">
        <v>2964</v>
      </c>
      <c r="D1278" s="12" t="s">
        <v>433</v>
      </c>
      <c r="E1278" s="12" t="s">
        <v>3113</v>
      </c>
      <c r="F1278" s="13" t="n">
        <v>201831</v>
      </c>
      <c r="G1278" s="13" t="n">
        <v>359505</v>
      </c>
      <c r="H1278" s="14" t="n">
        <v>4453</v>
      </c>
      <c r="I1278" s="14" t="n">
        <v>4288</v>
      </c>
      <c r="J1278" s="15" t="n">
        <f aca="false">I1278/H1278</f>
        <v>0.962946328317988</v>
      </c>
      <c r="K1278" s="16" t="n">
        <f aca="false">ROUND(I1278*J1278^($F$8-1),0)</f>
        <v>4326</v>
      </c>
      <c r="L1278" s="16" t="n">
        <f aca="false">ROUND(I1278*J1278^($F$9-1),0)</f>
        <v>4296</v>
      </c>
      <c r="M1278" s="17" t="n">
        <f aca="false">G1278*$F$7</f>
        <v>346311.970176803</v>
      </c>
      <c r="N1278" s="18" t="n">
        <f aca="false">F1278/K1278</f>
        <v>46.6553398058252</v>
      </c>
      <c r="O1278" s="18" t="n">
        <f aca="false">G1278/L1278</f>
        <v>83.6836592178771</v>
      </c>
      <c r="P1278" s="18" t="n">
        <f aca="false">M1278/L1278</f>
        <v>80.612656000187</v>
      </c>
      <c r="Q1278" s="19" t="n">
        <f aca="false">IF(N1278=0,"n.a.",P1278/N1278-1)</f>
        <v>0.727833434193999</v>
      </c>
    </row>
    <row r="1279" customFormat="false" ht="15" hidden="false" customHeight="false" outlineLevel="0" collapsed="false">
      <c r="A1279" s="12" t="s">
        <v>3114</v>
      </c>
      <c r="B1279" s="12" t="s">
        <v>2963</v>
      </c>
      <c r="C1279" s="12" t="s">
        <v>2964</v>
      </c>
      <c r="D1279" s="12" t="s">
        <v>436</v>
      </c>
      <c r="E1279" s="12" t="s">
        <v>3115</v>
      </c>
      <c r="F1279" s="13" t="n">
        <v>137237</v>
      </c>
      <c r="G1279" s="13" t="n">
        <v>392598</v>
      </c>
      <c r="H1279" s="14" t="n">
        <v>12131</v>
      </c>
      <c r="I1279" s="14" t="n">
        <v>11696</v>
      </c>
      <c r="J1279" s="15" t="n">
        <f aca="false">I1279/H1279</f>
        <v>0.964141455774462</v>
      </c>
      <c r="K1279" s="16" t="n">
        <f aca="false">ROUND(I1279*J1279^($F$8-1),0)</f>
        <v>11795</v>
      </c>
      <c r="L1279" s="16" t="n">
        <f aca="false">ROUND(I1279*J1279^($F$9-1),0)</f>
        <v>11718</v>
      </c>
      <c r="M1279" s="17" t="n">
        <f aca="false">G1279*$F$7</f>
        <v>378190.531056516</v>
      </c>
      <c r="N1279" s="18" t="n">
        <f aca="false">F1279/K1279</f>
        <v>11.6351844001696</v>
      </c>
      <c r="O1279" s="18" t="n">
        <f aca="false">G1279/L1279</f>
        <v>33.5038402457757</v>
      </c>
      <c r="P1279" s="18" t="n">
        <f aca="false">M1279/L1279</f>
        <v>32.2743242069052</v>
      </c>
      <c r="Q1279" s="19" t="n">
        <f aca="false">IF(N1279=0,"n.a.",P1279/N1279-1)</f>
        <v>1.77385584077506</v>
      </c>
    </row>
    <row r="1280" customFormat="false" ht="15" hidden="false" customHeight="false" outlineLevel="0" collapsed="false">
      <c r="A1280" s="12" t="s">
        <v>3116</v>
      </c>
      <c r="B1280" s="12" t="s">
        <v>2963</v>
      </c>
      <c r="C1280" s="12" t="s">
        <v>2964</v>
      </c>
      <c r="D1280" s="12" t="s">
        <v>439</v>
      </c>
      <c r="E1280" s="12" t="s">
        <v>3117</v>
      </c>
      <c r="F1280" s="13" t="n">
        <v>1954766</v>
      </c>
      <c r="G1280" s="13" t="n">
        <v>3683911</v>
      </c>
      <c r="H1280" s="14" t="n">
        <v>23778</v>
      </c>
      <c r="I1280" s="14" t="n">
        <v>25283</v>
      </c>
      <c r="J1280" s="15" t="n">
        <f aca="false">I1280/H1280</f>
        <v>1.06329380099251</v>
      </c>
      <c r="K1280" s="16" t="n">
        <f aca="false">ROUND(I1280*J1280^($F$8-1),0)</f>
        <v>24927</v>
      </c>
      <c r="L1280" s="16" t="n">
        <f aca="false">ROUND(I1280*J1280^($F$9-1),0)</f>
        <v>25203</v>
      </c>
      <c r="M1280" s="17" t="n">
        <f aca="false">G1280*$F$7</f>
        <v>3548719.70171763</v>
      </c>
      <c r="N1280" s="18" t="n">
        <f aca="false">F1280/K1280</f>
        <v>78.4196253058932</v>
      </c>
      <c r="O1280" s="18" t="n">
        <f aca="false">G1280/L1280</f>
        <v>146.169543308336</v>
      </c>
      <c r="P1280" s="18" t="n">
        <f aca="false">M1280/L1280</f>
        <v>140.805447832307</v>
      </c>
      <c r="Q1280" s="19" t="n">
        <f aca="false">IF(N1280=0,"n.a.",P1280/N1280-1)</f>
        <v>0.79553839084367</v>
      </c>
    </row>
    <row r="1281" customFormat="false" ht="15" hidden="false" customHeight="false" outlineLevel="0" collapsed="false">
      <c r="A1281" s="12" t="s">
        <v>3118</v>
      </c>
      <c r="B1281" s="12" t="s">
        <v>2963</v>
      </c>
      <c r="C1281" s="12" t="s">
        <v>2964</v>
      </c>
      <c r="D1281" s="12" t="s">
        <v>442</v>
      </c>
      <c r="E1281" s="12" t="s">
        <v>3119</v>
      </c>
      <c r="F1281" s="13" t="n">
        <v>573297</v>
      </c>
      <c r="G1281" s="13" t="n">
        <v>773473</v>
      </c>
      <c r="H1281" s="14" t="n">
        <v>9788</v>
      </c>
      <c r="I1281" s="14" t="n">
        <v>10534</v>
      </c>
      <c r="J1281" s="15" t="n">
        <f aca="false">I1281/H1281</f>
        <v>1.07621577441765</v>
      </c>
      <c r="K1281" s="16" t="n">
        <f aca="false">ROUND(I1281*J1281^($F$8-1),0)</f>
        <v>10357</v>
      </c>
      <c r="L1281" s="16" t="n">
        <f aca="false">ROUND(I1281*J1281^($F$9-1),0)</f>
        <v>10494</v>
      </c>
      <c r="M1281" s="17" t="n">
        <f aca="false">G1281*$F$7</f>
        <v>745088.270006155</v>
      </c>
      <c r="N1281" s="18" t="n">
        <f aca="false">F1281/K1281</f>
        <v>55.3535772907213</v>
      </c>
      <c r="O1281" s="18" t="n">
        <f aca="false">G1281/L1281</f>
        <v>73.7062130741376</v>
      </c>
      <c r="P1281" s="18" t="n">
        <f aca="false">M1281/L1281</f>
        <v>71.0013598252482</v>
      </c>
      <c r="Q1281" s="19" t="n">
        <f aca="false">IF(N1281=0,"n.a.",P1281/N1281-1)</f>
        <v>0.282687827967172</v>
      </c>
    </row>
    <row r="1282" customFormat="false" ht="15" hidden="false" customHeight="false" outlineLevel="0" collapsed="false">
      <c r="A1282" s="12" t="s">
        <v>3120</v>
      </c>
      <c r="B1282" s="12" t="s">
        <v>2963</v>
      </c>
      <c r="C1282" s="12" t="s">
        <v>2964</v>
      </c>
      <c r="D1282" s="12" t="s">
        <v>445</v>
      </c>
      <c r="E1282" s="12" t="s">
        <v>3121</v>
      </c>
      <c r="F1282" s="13" t="n">
        <v>95550</v>
      </c>
      <c r="G1282" s="13" t="n">
        <v>124292</v>
      </c>
      <c r="H1282" s="14" t="n">
        <v>5293</v>
      </c>
      <c r="I1282" s="14" t="n">
        <v>5408</v>
      </c>
      <c r="J1282" s="15" t="n">
        <f aca="false">I1282/H1282</f>
        <v>1.02172680899301</v>
      </c>
      <c r="K1282" s="16" t="n">
        <f aca="false">ROUND(I1282*J1282^($F$8-1),0)</f>
        <v>5381</v>
      </c>
      <c r="L1282" s="16" t="n">
        <f aca="false">ROUND(I1282*J1282^($F$9-1),0)</f>
        <v>5402</v>
      </c>
      <c r="M1282" s="17" t="n">
        <f aca="false">G1282*$F$7</f>
        <v>119730.761455933</v>
      </c>
      <c r="N1282" s="18" t="n">
        <f aca="false">F1282/K1282</f>
        <v>17.7569225051106</v>
      </c>
      <c r="O1282" s="18" t="n">
        <f aca="false">G1282/L1282</f>
        <v>23.0085153646798</v>
      </c>
      <c r="P1282" s="18" t="n">
        <f aca="false">M1282/L1282</f>
        <v>22.1641542865482</v>
      </c>
      <c r="Q1282" s="19" t="n">
        <f aca="false">IF(N1282=0,"n.a.",P1282/N1282-1)</f>
        <v>0.248197950977662</v>
      </c>
    </row>
    <row r="1283" customFormat="false" ht="15" hidden="false" customHeight="false" outlineLevel="0" collapsed="false">
      <c r="A1283" s="12" t="s">
        <v>3122</v>
      </c>
      <c r="B1283" s="12" t="s">
        <v>2963</v>
      </c>
      <c r="C1283" s="12" t="s">
        <v>2964</v>
      </c>
      <c r="D1283" s="12" t="s">
        <v>448</v>
      </c>
      <c r="E1283" s="12" t="s">
        <v>3123</v>
      </c>
      <c r="F1283" s="13" t="n">
        <v>129379</v>
      </c>
      <c r="G1283" s="13" t="n">
        <v>133474</v>
      </c>
      <c r="H1283" s="14" t="n">
        <v>7650</v>
      </c>
      <c r="I1283" s="14" t="n">
        <v>7705</v>
      </c>
      <c r="J1283" s="15" t="n">
        <f aca="false">I1283/H1283</f>
        <v>1.00718954248366</v>
      </c>
      <c r="K1283" s="16" t="n">
        <f aca="false">ROUND(I1283*J1283^($F$8-1),0)</f>
        <v>7692</v>
      </c>
      <c r="L1283" s="16" t="n">
        <f aca="false">ROUND(I1283*J1283^($F$9-1),0)</f>
        <v>7702</v>
      </c>
      <c r="M1283" s="17" t="n">
        <f aca="false">G1283*$F$7</f>
        <v>128575.80258238</v>
      </c>
      <c r="N1283" s="18" t="n">
        <f aca="false">F1283/K1283</f>
        <v>16.8199427977119</v>
      </c>
      <c r="O1283" s="18" t="n">
        <f aca="false">G1283/L1283</f>
        <v>17.3297844715658</v>
      </c>
      <c r="P1283" s="18" t="n">
        <f aca="false">M1283/L1283</f>
        <v>16.6938201223553</v>
      </c>
      <c r="Q1283" s="19" t="n">
        <f aca="false">IF(N1283=0,"n.a.",P1283/N1283-1)</f>
        <v>-0.00749840096803345</v>
      </c>
    </row>
    <row r="1284" customFormat="false" ht="15" hidden="false" customHeight="false" outlineLevel="0" collapsed="false">
      <c r="A1284" s="12" t="s">
        <v>3124</v>
      </c>
      <c r="B1284" s="12" t="s">
        <v>2963</v>
      </c>
      <c r="C1284" s="12" t="s">
        <v>2964</v>
      </c>
      <c r="D1284" s="12" t="s">
        <v>1024</v>
      </c>
      <c r="E1284" s="12" t="s">
        <v>3125</v>
      </c>
      <c r="F1284" s="13" t="n">
        <v>3105968</v>
      </c>
      <c r="G1284" s="13" t="n">
        <v>6455985</v>
      </c>
      <c r="H1284" s="14" t="n">
        <v>37155</v>
      </c>
      <c r="I1284" s="14" t="n">
        <v>39244</v>
      </c>
      <c r="J1284" s="15" t="n">
        <f aca="false">I1284/H1284</f>
        <v>1.05622392679316</v>
      </c>
      <c r="K1284" s="16" t="n">
        <f aca="false">ROUND(I1284*J1284^($F$8-1),0)</f>
        <v>38751</v>
      </c>
      <c r="L1284" s="16" t="n">
        <f aca="false">ROUND(I1284*J1284^($F$9-1),0)</f>
        <v>39133</v>
      </c>
      <c r="M1284" s="17" t="n">
        <f aca="false">G1284*$F$7</f>
        <v>6219064.78291509</v>
      </c>
      <c r="N1284" s="18" t="n">
        <f aca="false">F1284/K1284</f>
        <v>80.1519444659493</v>
      </c>
      <c r="O1284" s="18" t="n">
        <f aca="false">G1284/L1284</f>
        <v>164.975468274858</v>
      </c>
      <c r="P1284" s="18" t="n">
        <f aca="false">M1284/L1284</f>
        <v>158.921237393379</v>
      </c>
      <c r="Q1284" s="19" t="n">
        <f aca="false">IF(N1284=0,"n.a.",P1284/N1284-1)</f>
        <v>0.982749619516627</v>
      </c>
    </row>
    <row r="1285" customFormat="false" ht="15" hidden="false" customHeight="false" outlineLevel="0" collapsed="false">
      <c r="A1285" s="12" t="s">
        <v>3126</v>
      </c>
      <c r="B1285" s="12" t="s">
        <v>2963</v>
      </c>
      <c r="C1285" s="12" t="s">
        <v>2964</v>
      </c>
      <c r="D1285" s="12" t="s">
        <v>809</v>
      </c>
      <c r="E1285" s="12" t="s">
        <v>3127</v>
      </c>
      <c r="F1285" s="13" t="n">
        <v>6415</v>
      </c>
      <c r="G1285" s="13" t="n">
        <v>27883</v>
      </c>
      <c r="H1285" s="14" t="n">
        <v>650</v>
      </c>
      <c r="I1285" s="14" t="n">
        <v>662</v>
      </c>
      <c r="J1285" s="15" t="n">
        <f aca="false">I1285/H1285</f>
        <v>1.01846153846154</v>
      </c>
      <c r="K1285" s="16" t="n">
        <f aca="false">ROUND(I1285*J1285^($F$8-1),0)</f>
        <v>659</v>
      </c>
      <c r="L1285" s="16" t="n">
        <f aca="false">ROUND(I1285*J1285^($F$9-1),0)</f>
        <v>661</v>
      </c>
      <c r="M1285" s="17" t="n">
        <f aca="false">G1285*$F$7</f>
        <v>26859.7562327083</v>
      </c>
      <c r="N1285" s="18" t="n">
        <f aca="false">F1285/K1285</f>
        <v>9.73444613050076</v>
      </c>
      <c r="O1285" s="18" t="n">
        <f aca="false">G1285/L1285</f>
        <v>42.1830559757943</v>
      </c>
      <c r="P1285" s="18" t="n">
        <f aca="false">M1285/L1285</f>
        <v>40.6350321221004</v>
      </c>
      <c r="Q1285" s="19" t="n">
        <f aca="false">IF(N1285=0,"n.a.",P1285/N1285-1)</f>
        <v>3.17435481971382</v>
      </c>
    </row>
    <row r="1286" customFormat="false" ht="15" hidden="false" customHeight="false" outlineLevel="0" collapsed="false">
      <c r="A1286" s="12" t="s">
        <v>3128</v>
      </c>
      <c r="B1286" s="12" t="s">
        <v>2963</v>
      </c>
      <c r="C1286" s="12" t="s">
        <v>2964</v>
      </c>
      <c r="D1286" s="12" t="s">
        <v>451</v>
      </c>
      <c r="E1286" s="12" t="s">
        <v>3129</v>
      </c>
      <c r="F1286" s="13" t="n">
        <v>306729</v>
      </c>
      <c r="G1286" s="13" t="n">
        <v>307521</v>
      </c>
      <c r="H1286" s="14" t="n">
        <v>3176</v>
      </c>
      <c r="I1286" s="14" t="n">
        <v>3299</v>
      </c>
      <c r="J1286" s="15" t="n">
        <f aca="false">I1286/H1286</f>
        <v>1.03872795969773</v>
      </c>
      <c r="K1286" s="16" t="n">
        <f aca="false">ROUND(I1286*J1286^($F$8-1),0)</f>
        <v>3270</v>
      </c>
      <c r="L1286" s="16" t="n">
        <f aca="false">ROUND(I1286*J1286^($F$9-1),0)</f>
        <v>3292</v>
      </c>
      <c r="M1286" s="17" t="n">
        <f aca="false">G1286*$F$7</f>
        <v>296235.666766083</v>
      </c>
      <c r="N1286" s="18" t="n">
        <f aca="false">F1286/K1286</f>
        <v>93.8009174311927</v>
      </c>
      <c r="O1286" s="18" t="n">
        <f aca="false">G1286/L1286</f>
        <v>93.4146415552855</v>
      </c>
      <c r="P1286" s="18" t="n">
        <f aca="false">M1286/L1286</f>
        <v>89.986533039515</v>
      </c>
      <c r="Q1286" s="19" t="n">
        <f aca="false">IF(N1286=0,"n.a.",P1286/N1286-1)</f>
        <v>-0.0406646810728236</v>
      </c>
    </row>
    <row r="1287" customFormat="false" ht="15" hidden="false" customHeight="false" outlineLevel="0" collapsed="false">
      <c r="A1287" s="12" t="s">
        <v>3130</v>
      </c>
      <c r="B1287" s="12" t="s">
        <v>2963</v>
      </c>
      <c r="C1287" s="12" t="s">
        <v>2964</v>
      </c>
      <c r="D1287" s="12" t="s">
        <v>457</v>
      </c>
      <c r="E1287" s="12" t="s">
        <v>3131</v>
      </c>
      <c r="F1287" s="13" t="n">
        <v>396116</v>
      </c>
      <c r="G1287" s="13" t="n">
        <v>538508</v>
      </c>
      <c r="H1287" s="14" t="n">
        <v>6668</v>
      </c>
      <c r="I1287" s="14" t="n">
        <v>7061</v>
      </c>
      <c r="J1287" s="15" t="n">
        <f aca="false">I1287/H1287</f>
        <v>1.05893821235753</v>
      </c>
      <c r="K1287" s="16" t="n">
        <f aca="false">ROUND(I1287*J1287^($F$8-1),0)</f>
        <v>6968</v>
      </c>
      <c r="L1287" s="16" t="n">
        <f aca="false">ROUND(I1287*J1287^($F$9-1),0)</f>
        <v>7040</v>
      </c>
      <c r="M1287" s="17" t="n">
        <f aca="false">G1287*$F$7</f>
        <v>518745.960239691</v>
      </c>
      <c r="N1287" s="18" t="n">
        <f aca="false">F1287/K1287</f>
        <v>56.8478760045924</v>
      </c>
      <c r="O1287" s="18" t="n">
        <f aca="false">G1287/L1287</f>
        <v>76.4926136363636</v>
      </c>
      <c r="P1287" s="18" t="n">
        <f aca="false">M1287/L1287</f>
        <v>73.6855057158652</v>
      </c>
      <c r="Q1287" s="19" t="n">
        <f aca="false">IF(N1287=0,"n.a.",P1287/N1287-1)</f>
        <v>0.296187490099235</v>
      </c>
    </row>
    <row r="1288" customFormat="false" ht="15" hidden="false" customHeight="false" outlineLevel="0" collapsed="false">
      <c r="A1288" s="12" t="s">
        <v>3132</v>
      </c>
      <c r="B1288" s="12" t="s">
        <v>2963</v>
      </c>
      <c r="C1288" s="12" t="s">
        <v>2964</v>
      </c>
      <c r="D1288" s="12" t="s">
        <v>460</v>
      </c>
      <c r="E1288" s="12" t="s">
        <v>3133</v>
      </c>
      <c r="F1288" s="13" t="n">
        <v>2881345</v>
      </c>
      <c r="G1288" s="13" t="n">
        <v>1258829</v>
      </c>
      <c r="H1288" s="14" t="n">
        <v>20647</v>
      </c>
      <c r="I1288" s="14" t="n">
        <v>21537</v>
      </c>
      <c r="J1288" s="15" t="n">
        <f aca="false">I1288/H1288</f>
        <v>1.04310553591321</v>
      </c>
      <c r="K1288" s="16" t="n">
        <f aca="false">ROUND(I1288*J1288^($F$8-1),0)</f>
        <v>21328</v>
      </c>
      <c r="L1288" s="16" t="n">
        <f aca="false">ROUND(I1288*J1288^($F$9-1),0)</f>
        <v>21490</v>
      </c>
      <c r="M1288" s="17" t="n">
        <f aca="false">G1288*$F$7</f>
        <v>1212632.78982405</v>
      </c>
      <c r="N1288" s="18" t="n">
        <f aca="false">F1288/K1288</f>
        <v>135.09682108027</v>
      </c>
      <c r="O1288" s="18" t="n">
        <f aca="false">G1288/L1288</f>
        <v>58.5774313634249</v>
      </c>
      <c r="P1288" s="18" t="n">
        <f aca="false">M1288/L1288</f>
        <v>56.427770582785</v>
      </c>
      <c r="Q1288" s="19" t="n">
        <f aca="false">IF(N1288=0,"n.a.",P1288/N1288-1)</f>
        <v>-0.582316074267525</v>
      </c>
    </row>
    <row r="1289" customFormat="false" ht="15" hidden="false" customHeight="false" outlineLevel="0" collapsed="false">
      <c r="A1289" s="12" t="s">
        <v>3134</v>
      </c>
      <c r="B1289" s="12" t="s">
        <v>2963</v>
      </c>
      <c r="C1289" s="12" t="s">
        <v>2964</v>
      </c>
      <c r="D1289" s="12" t="s">
        <v>463</v>
      </c>
      <c r="E1289" s="12" t="s">
        <v>3135</v>
      </c>
      <c r="F1289" s="13" t="n">
        <v>69066</v>
      </c>
      <c r="G1289" s="13" t="n">
        <v>76904</v>
      </c>
      <c r="H1289" s="14" t="n">
        <v>9306</v>
      </c>
      <c r="I1289" s="14" t="n">
        <v>9196</v>
      </c>
      <c r="J1289" s="15" t="n">
        <f aca="false">I1289/H1289</f>
        <v>0.988179669030733</v>
      </c>
      <c r="K1289" s="16" t="n">
        <f aca="false">ROUND(I1289*J1289^($F$8-1),0)</f>
        <v>9221</v>
      </c>
      <c r="L1289" s="16" t="n">
        <f aca="false">ROUND(I1289*J1289^($F$9-1),0)</f>
        <v>9202</v>
      </c>
      <c r="M1289" s="17" t="n">
        <f aca="false">G1289*$F$7</f>
        <v>74081.7951196142</v>
      </c>
      <c r="N1289" s="18" t="n">
        <f aca="false">F1289/K1289</f>
        <v>7.49007699815638</v>
      </c>
      <c r="O1289" s="18" t="n">
        <f aca="false">G1289/L1289</f>
        <v>8.35731362747229</v>
      </c>
      <c r="P1289" s="18" t="n">
        <f aca="false">M1289/L1289</f>
        <v>8.05061890019715</v>
      </c>
      <c r="Q1289" s="19" t="n">
        <f aca="false">IF(N1289=0,"n.a.",P1289/N1289-1)</f>
        <v>0.0748379358688485</v>
      </c>
    </row>
    <row r="1290" customFormat="false" ht="15" hidden="false" customHeight="false" outlineLevel="0" collapsed="false">
      <c r="A1290" s="12" t="s">
        <v>3136</v>
      </c>
      <c r="B1290" s="12" t="s">
        <v>2963</v>
      </c>
      <c r="C1290" s="12" t="s">
        <v>2964</v>
      </c>
      <c r="D1290" s="12" t="s">
        <v>466</v>
      </c>
      <c r="E1290" s="12" t="s">
        <v>3137</v>
      </c>
      <c r="F1290" s="13" t="n">
        <v>65571</v>
      </c>
      <c r="G1290" s="13" t="n">
        <v>145019</v>
      </c>
      <c r="H1290" s="14" t="n">
        <v>3317</v>
      </c>
      <c r="I1290" s="14" t="n">
        <v>3251</v>
      </c>
      <c r="J1290" s="15" t="n">
        <f aca="false">I1290/H1290</f>
        <v>0.980102502261079</v>
      </c>
      <c r="K1290" s="16" t="n">
        <f aca="false">ROUND(I1290*J1290^($F$8-1),0)</f>
        <v>3266</v>
      </c>
      <c r="L1290" s="16" t="n">
        <f aca="false">ROUND(I1290*J1290^($F$9-1),0)</f>
        <v>3254</v>
      </c>
      <c r="M1290" s="17" t="n">
        <f aca="false">G1290*$F$7</f>
        <v>139697.126891336</v>
      </c>
      <c r="N1290" s="18" t="n">
        <f aca="false">F1290/K1290</f>
        <v>20.076852418861</v>
      </c>
      <c r="O1290" s="18" t="n">
        <f aca="false">G1290/L1290</f>
        <v>44.5663798401967</v>
      </c>
      <c r="P1290" s="18" t="n">
        <f aca="false">M1290/L1290</f>
        <v>42.9308933286221</v>
      </c>
      <c r="Q1290" s="19" t="n">
        <f aca="false">IF(N1290=0,"n.a.",P1290/N1290-1)</f>
        <v>1.13832788292507</v>
      </c>
    </row>
    <row r="1291" customFormat="false" ht="15" hidden="false" customHeight="false" outlineLevel="0" collapsed="false">
      <c r="A1291" s="12" t="s">
        <v>3138</v>
      </c>
      <c r="B1291" s="12" t="s">
        <v>2963</v>
      </c>
      <c r="C1291" s="12" t="s">
        <v>2964</v>
      </c>
      <c r="D1291" s="12" t="s">
        <v>469</v>
      </c>
      <c r="E1291" s="12" t="s">
        <v>3139</v>
      </c>
      <c r="F1291" s="13" t="n">
        <v>293697</v>
      </c>
      <c r="G1291" s="13" t="n">
        <v>392829</v>
      </c>
      <c r="H1291" s="14" t="n">
        <v>14066</v>
      </c>
      <c r="I1291" s="14" t="n">
        <v>15182</v>
      </c>
      <c r="J1291" s="15" t="n">
        <f aca="false">I1291/H1291</f>
        <v>1.07934025309256</v>
      </c>
      <c r="K1291" s="16" t="n">
        <f aca="false">ROUND(I1291*J1291^($F$8-1),0)</f>
        <v>14917</v>
      </c>
      <c r="L1291" s="16" t="n">
        <f aca="false">ROUND(I1291*J1291^($F$9-1),0)</f>
        <v>15122</v>
      </c>
      <c r="M1291" s="17" t="n">
        <f aca="false">G1291*$F$7</f>
        <v>378413.053872918</v>
      </c>
      <c r="N1291" s="18" t="n">
        <f aca="false">F1291/K1291</f>
        <v>19.6887443856003</v>
      </c>
      <c r="O1291" s="18" t="n">
        <f aca="false">G1291/L1291</f>
        <v>25.9773178151038</v>
      </c>
      <c r="P1291" s="18" t="n">
        <f aca="false">M1291/L1291</f>
        <v>25.0240083238274</v>
      </c>
      <c r="Q1291" s="19" t="n">
        <f aca="false">IF(N1291=0,"n.a.",P1291/N1291-1)</f>
        <v>0.270980405542221</v>
      </c>
    </row>
    <row r="1292" customFormat="false" ht="15" hidden="false" customHeight="false" outlineLevel="0" collapsed="false">
      <c r="A1292" s="12" t="s">
        <v>3140</v>
      </c>
      <c r="B1292" s="12" t="s">
        <v>2963</v>
      </c>
      <c r="C1292" s="12" t="s">
        <v>2964</v>
      </c>
      <c r="D1292" s="12" t="s">
        <v>472</v>
      </c>
      <c r="E1292" s="12" t="s">
        <v>3141</v>
      </c>
      <c r="F1292" s="13" t="n">
        <v>158614</v>
      </c>
      <c r="G1292" s="13" t="n">
        <v>267755</v>
      </c>
      <c r="H1292" s="14" t="n">
        <v>6644</v>
      </c>
      <c r="I1292" s="14" t="n">
        <v>7227</v>
      </c>
      <c r="J1292" s="15" t="n">
        <f aca="false">I1292/H1292</f>
        <v>1.08774834437086</v>
      </c>
      <c r="K1292" s="16" t="n">
        <f aca="false">ROUND(I1292*J1292^($F$8-1),0)</f>
        <v>7088</v>
      </c>
      <c r="L1292" s="16" t="n">
        <f aca="false">ROUND(I1292*J1292^($F$9-1),0)</f>
        <v>7195</v>
      </c>
      <c r="M1292" s="17" t="n">
        <f aca="false">G1292*$F$7</f>
        <v>257928.990068817</v>
      </c>
      <c r="N1292" s="18" t="n">
        <f aca="false">F1292/K1292</f>
        <v>22.3778216704289</v>
      </c>
      <c r="O1292" s="18" t="n">
        <f aca="false">G1292/L1292</f>
        <v>37.2140375260598</v>
      </c>
      <c r="P1292" s="18" t="n">
        <f aca="false">M1292/L1292</f>
        <v>35.8483655411837</v>
      </c>
      <c r="Q1292" s="19" t="n">
        <f aca="false">IF(N1292=0,"n.a.",P1292/N1292-1)</f>
        <v>0.601959568234268</v>
      </c>
    </row>
    <row r="1293" customFormat="false" ht="15" hidden="false" customHeight="false" outlineLevel="0" collapsed="false">
      <c r="A1293" s="12" t="s">
        <v>3142</v>
      </c>
      <c r="B1293" s="12" t="s">
        <v>2963</v>
      </c>
      <c r="C1293" s="12" t="s">
        <v>2964</v>
      </c>
      <c r="D1293" s="12" t="s">
        <v>475</v>
      </c>
      <c r="E1293" s="12" t="s">
        <v>3143</v>
      </c>
      <c r="F1293" s="13" t="n">
        <v>2554636</v>
      </c>
      <c r="G1293" s="13" t="n">
        <v>3566947</v>
      </c>
      <c r="H1293" s="14" t="n">
        <v>32772</v>
      </c>
      <c r="I1293" s="14" t="n">
        <v>33243</v>
      </c>
      <c r="J1293" s="15" t="n">
        <f aca="false">I1293/H1293</f>
        <v>1.0143720248993</v>
      </c>
      <c r="K1293" s="16" t="n">
        <f aca="false">ROUND(I1293*J1293^($F$8-1),0)</f>
        <v>33134</v>
      </c>
      <c r="L1293" s="16" t="n">
        <f aca="false">ROUND(I1293*J1293^($F$9-1),0)</f>
        <v>33218</v>
      </c>
      <c r="M1293" s="17" t="n">
        <f aca="false">G1293*$F$7</f>
        <v>3436048.01904351</v>
      </c>
      <c r="N1293" s="18" t="n">
        <f aca="false">F1293/K1293</f>
        <v>77.1001388302046</v>
      </c>
      <c r="O1293" s="18" t="n">
        <f aca="false">G1293/L1293</f>
        <v>107.379944608345</v>
      </c>
      <c r="P1293" s="18" t="n">
        <f aca="false">M1293/L1293</f>
        <v>103.439340690093</v>
      </c>
      <c r="Q1293" s="19" t="n">
        <f aca="false">IF(N1293=0,"n.a.",P1293/N1293-1)</f>
        <v>0.341623274088968</v>
      </c>
    </row>
    <row r="1294" customFormat="false" ht="15" hidden="false" customHeight="false" outlineLevel="0" collapsed="false">
      <c r="A1294" s="12" t="s">
        <v>3144</v>
      </c>
      <c r="B1294" s="12" t="s">
        <v>2963</v>
      </c>
      <c r="C1294" s="12" t="s">
        <v>2964</v>
      </c>
      <c r="D1294" s="12" t="s">
        <v>478</v>
      </c>
      <c r="E1294" s="12" t="s">
        <v>371</v>
      </c>
      <c r="F1294" s="13" t="n">
        <v>317749</v>
      </c>
      <c r="G1294" s="13" t="n">
        <v>487285</v>
      </c>
      <c r="H1294" s="14" t="n">
        <v>5077</v>
      </c>
      <c r="I1294" s="14" t="n">
        <v>5901</v>
      </c>
      <c r="J1294" s="15" t="n">
        <f aca="false">I1294/H1294</f>
        <v>1.16230057120347</v>
      </c>
      <c r="K1294" s="16" t="n">
        <f aca="false">ROUND(I1294*J1294^($F$8-1),0)</f>
        <v>5700</v>
      </c>
      <c r="L1294" s="16" t="n">
        <f aca="false">ROUND(I1294*J1294^($F$9-1),0)</f>
        <v>5855</v>
      </c>
      <c r="M1294" s="17" t="n">
        <f aca="false">G1294*$F$7</f>
        <v>469402.729830193</v>
      </c>
      <c r="N1294" s="18" t="n">
        <f aca="false">F1294/K1294</f>
        <v>55.7454385964912</v>
      </c>
      <c r="O1294" s="18" t="n">
        <f aca="false">G1294/L1294</f>
        <v>83.2254483347566</v>
      </c>
      <c r="P1294" s="18" t="n">
        <f aca="false">M1294/L1294</f>
        <v>80.1712604321423</v>
      </c>
      <c r="Q1294" s="19" t="n">
        <f aca="false">IF(N1294=0,"n.a.",P1294/N1294-1)</f>
        <v>0.43816718373059</v>
      </c>
    </row>
    <row r="1295" customFormat="false" ht="15" hidden="false" customHeight="false" outlineLevel="0" collapsed="false">
      <c r="A1295" s="12" t="s">
        <v>3145</v>
      </c>
      <c r="B1295" s="12" t="s">
        <v>2963</v>
      </c>
      <c r="C1295" s="12" t="s">
        <v>2964</v>
      </c>
      <c r="D1295" s="12" t="s">
        <v>481</v>
      </c>
      <c r="E1295" s="12" t="s">
        <v>3146</v>
      </c>
      <c r="F1295" s="13" t="n">
        <v>32446527</v>
      </c>
      <c r="G1295" s="13" t="n">
        <v>37747248</v>
      </c>
      <c r="H1295" s="14" t="n">
        <v>42669</v>
      </c>
      <c r="I1295" s="14" t="n">
        <v>59547</v>
      </c>
      <c r="J1295" s="15" t="n">
        <f aca="false">I1295/H1295</f>
        <v>1.39555649300429</v>
      </c>
      <c r="K1295" s="16" t="n">
        <f aca="false">ROUND(I1295*J1295^($F$8-1),0)</f>
        <v>55137</v>
      </c>
      <c r="L1295" s="16" t="n">
        <f aca="false">ROUND(I1295*J1295^($F$9-1),0)</f>
        <v>58525</v>
      </c>
      <c r="M1295" s="17" t="n">
        <f aca="false">G1295*$F$7</f>
        <v>36362008.3827274</v>
      </c>
      <c r="N1295" s="18" t="n">
        <f aca="false">F1295/K1295</f>
        <v>588.471026715273</v>
      </c>
      <c r="O1295" s="18" t="n">
        <f aca="false">G1295/L1295</f>
        <v>644.976471593336</v>
      </c>
      <c r="P1295" s="18" t="n">
        <f aca="false">M1295/L1295</f>
        <v>621.30727693682</v>
      </c>
      <c r="Q1295" s="19" t="n">
        <f aca="false">IF(N1295=0,"n.a.",P1295/N1295-1)</f>
        <v>0.0557992640773364</v>
      </c>
    </row>
    <row r="1296" customFormat="false" ht="15" hidden="false" customHeight="false" outlineLevel="0" collapsed="false">
      <c r="A1296" s="12" t="s">
        <v>3147</v>
      </c>
      <c r="B1296" s="12" t="s">
        <v>2963</v>
      </c>
      <c r="C1296" s="12" t="s">
        <v>2964</v>
      </c>
      <c r="D1296" s="12" t="s">
        <v>484</v>
      </c>
      <c r="E1296" s="12" t="s">
        <v>3148</v>
      </c>
      <c r="F1296" s="13" t="n">
        <v>315230</v>
      </c>
      <c r="G1296" s="13" t="n">
        <v>331904</v>
      </c>
      <c r="H1296" s="14" t="n">
        <v>11936</v>
      </c>
      <c r="I1296" s="14" t="n">
        <v>11342</v>
      </c>
      <c r="J1296" s="15" t="n">
        <f aca="false">I1296/H1296</f>
        <v>0.950234584450402</v>
      </c>
      <c r="K1296" s="16" t="n">
        <f aca="false">ROUND(I1296*J1296^($F$8-1),0)</f>
        <v>11476</v>
      </c>
      <c r="L1296" s="16" t="n">
        <f aca="false">ROUND(I1296*J1296^($F$9-1),0)</f>
        <v>11372</v>
      </c>
      <c r="M1296" s="17" t="n">
        <f aca="false">G1296*$F$7</f>
        <v>319723.865174509</v>
      </c>
      <c r="N1296" s="18" t="n">
        <f aca="false">F1296/K1296</f>
        <v>27.4686301847334</v>
      </c>
      <c r="O1296" s="18" t="n">
        <f aca="false">G1296/L1296</f>
        <v>29.1860710517059</v>
      </c>
      <c r="P1296" s="18" t="n">
        <f aca="false">M1296/L1296</f>
        <v>28.1150074898442</v>
      </c>
      <c r="Q1296" s="19" t="n">
        <f aca="false">IF(N1296=0,"n.a.",P1296/N1296-1)</f>
        <v>0.0235314721106892</v>
      </c>
    </row>
    <row r="1297" customFormat="false" ht="15" hidden="false" customHeight="false" outlineLevel="0" collapsed="false">
      <c r="A1297" s="12" t="s">
        <v>3149</v>
      </c>
      <c r="B1297" s="12" t="s">
        <v>2963</v>
      </c>
      <c r="C1297" s="12" t="s">
        <v>2964</v>
      </c>
      <c r="D1297" s="12" t="s">
        <v>487</v>
      </c>
      <c r="E1297" s="12" t="s">
        <v>3150</v>
      </c>
      <c r="F1297" s="13" t="n">
        <v>221518</v>
      </c>
      <c r="G1297" s="13" t="n">
        <v>323739</v>
      </c>
      <c r="H1297" s="14" t="n">
        <v>20274</v>
      </c>
      <c r="I1297" s="14" t="n">
        <v>19563</v>
      </c>
      <c r="J1297" s="15" t="n">
        <f aca="false">I1297/H1297</f>
        <v>0.964930452796685</v>
      </c>
      <c r="K1297" s="16" t="n">
        <f aca="false">ROUND(I1297*J1297^($F$8-1),0)</f>
        <v>19725</v>
      </c>
      <c r="L1297" s="16" t="n">
        <f aca="false">ROUND(I1297*J1297^($F$9-1),0)</f>
        <v>19599</v>
      </c>
      <c r="M1297" s="17" t="n">
        <f aca="false">G1297*$F$7</f>
        <v>311858.502421575</v>
      </c>
      <c r="N1297" s="18" t="n">
        <f aca="false">F1297/K1297</f>
        <v>11.2303168567807</v>
      </c>
      <c r="O1297" s="18" t="n">
        <f aca="false">G1297/L1297</f>
        <v>16.5181386805449</v>
      </c>
      <c r="P1297" s="18" t="n">
        <f aca="false">M1297/L1297</f>
        <v>15.9119599174231</v>
      </c>
      <c r="Q1297" s="19" t="n">
        <f aca="false">IF(N1297=0,"n.a.",P1297/N1297-1)</f>
        <v>0.41687542037744</v>
      </c>
    </row>
    <row r="1298" customFormat="false" ht="15" hidden="false" customHeight="false" outlineLevel="0" collapsed="false">
      <c r="A1298" s="12" t="s">
        <v>3151</v>
      </c>
      <c r="B1298" s="12" t="s">
        <v>2963</v>
      </c>
      <c r="C1298" s="12" t="s">
        <v>2964</v>
      </c>
      <c r="D1298" s="12" t="s">
        <v>490</v>
      </c>
      <c r="E1298" s="12" t="s">
        <v>3152</v>
      </c>
      <c r="F1298" s="13" t="n">
        <v>6656151</v>
      </c>
      <c r="G1298" s="13" t="n">
        <v>6190638</v>
      </c>
      <c r="H1298" s="14" t="n">
        <v>50215</v>
      </c>
      <c r="I1298" s="14" t="n">
        <v>57232</v>
      </c>
      <c r="J1298" s="15" t="n">
        <f aca="false">I1298/H1298</f>
        <v>1.13973912177636</v>
      </c>
      <c r="K1298" s="16" t="n">
        <f aca="false">ROUND(I1298*J1298^($F$8-1),0)</f>
        <v>55529</v>
      </c>
      <c r="L1298" s="16" t="n">
        <f aca="false">ROUND(I1298*J1298^($F$9-1),0)</f>
        <v>56844</v>
      </c>
      <c r="M1298" s="17" t="n">
        <f aca="false">G1298*$F$7</f>
        <v>5963455.42462938</v>
      </c>
      <c r="N1298" s="18" t="n">
        <f aca="false">F1298/K1298</f>
        <v>119.868014911128</v>
      </c>
      <c r="O1298" s="18" t="n">
        <f aca="false">G1298/L1298</f>
        <v>108.905742030821</v>
      </c>
      <c r="P1298" s="18" t="n">
        <f aca="false">M1298/L1298</f>
        <v>104.909144758099</v>
      </c>
      <c r="Q1298" s="19" t="n">
        <f aca="false">IF(N1298=0,"n.a.",P1298/N1298-1)</f>
        <v>-0.124794509729049</v>
      </c>
    </row>
    <row r="1299" customFormat="false" ht="15" hidden="false" customHeight="false" outlineLevel="0" collapsed="false">
      <c r="A1299" s="12" t="s">
        <v>3153</v>
      </c>
      <c r="B1299" s="12" t="s">
        <v>2963</v>
      </c>
      <c r="C1299" s="12" t="s">
        <v>2964</v>
      </c>
      <c r="D1299" s="12" t="s">
        <v>493</v>
      </c>
      <c r="E1299" s="12" t="s">
        <v>389</v>
      </c>
      <c r="F1299" s="13" t="n">
        <v>1023820</v>
      </c>
      <c r="G1299" s="13" t="n">
        <v>1169414</v>
      </c>
      <c r="H1299" s="14" t="n">
        <v>18468</v>
      </c>
      <c r="I1299" s="14" t="n">
        <v>18863</v>
      </c>
      <c r="J1299" s="15" t="n">
        <f aca="false">I1299/H1299</f>
        <v>1.02138834741174</v>
      </c>
      <c r="K1299" s="16" t="n">
        <f aca="false">ROUND(I1299*J1299^($F$8-1),0)</f>
        <v>18771</v>
      </c>
      <c r="L1299" s="16" t="n">
        <f aca="false">ROUND(I1299*J1299^($F$9-1),0)</f>
        <v>18842</v>
      </c>
      <c r="M1299" s="17" t="n">
        <f aca="false">G1299*$F$7</f>
        <v>1126499.12043598</v>
      </c>
      <c r="N1299" s="18" t="n">
        <f aca="false">F1299/K1299</f>
        <v>54.5426455702946</v>
      </c>
      <c r="O1299" s="18" t="n">
        <f aca="false">G1299/L1299</f>
        <v>62.0642182358561</v>
      </c>
      <c r="P1299" s="18" t="n">
        <f aca="false">M1299/L1299</f>
        <v>59.7866001717428</v>
      </c>
      <c r="Q1299" s="19" t="n">
        <f aca="false">IF(N1299=0,"n.a.",P1299/N1299-1)</f>
        <v>0.0961441189113168</v>
      </c>
    </row>
    <row r="1300" customFormat="false" ht="15" hidden="false" customHeight="false" outlineLevel="0" collapsed="false">
      <c r="A1300" s="12" t="s">
        <v>3154</v>
      </c>
      <c r="B1300" s="12" t="s">
        <v>2963</v>
      </c>
      <c r="C1300" s="12" t="s">
        <v>2964</v>
      </c>
      <c r="D1300" s="12" t="s">
        <v>496</v>
      </c>
      <c r="E1300" s="12" t="s">
        <v>3155</v>
      </c>
      <c r="F1300" s="13" t="n">
        <v>502554</v>
      </c>
      <c r="G1300" s="13" t="n">
        <v>584855</v>
      </c>
      <c r="H1300" s="14" t="n">
        <v>9314</v>
      </c>
      <c r="I1300" s="14" t="n">
        <v>8844</v>
      </c>
      <c r="J1300" s="15" t="n">
        <f aca="false">I1300/H1300</f>
        <v>0.949538329396607</v>
      </c>
      <c r="K1300" s="16" t="n">
        <f aca="false">ROUND(I1300*J1300^($F$8-1),0)</f>
        <v>8950</v>
      </c>
      <c r="L1300" s="16" t="n">
        <f aca="false">ROUND(I1300*J1300^($F$9-1),0)</f>
        <v>8868</v>
      </c>
      <c r="M1300" s="17" t="n">
        <f aca="false">G1300*$F$7</f>
        <v>563392.128948845</v>
      </c>
      <c r="N1300" s="18" t="n">
        <f aca="false">F1300/K1300</f>
        <v>56.1512849162011</v>
      </c>
      <c r="O1300" s="18" t="n">
        <f aca="false">G1300/L1300</f>
        <v>65.9511727559765</v>
      </c>
      <c r="P1300" s="18" t="n">
        <f aca="false">M1300/L1300</f>
        <v>63.5309121502982</v>
      </c>
      <c r="Q1300" s="19" t="n">
        <f aca="false">IF(N1300=0,"n.a.",P1300/N1300-1)</f>
        <v>0.131424013628722</v>
      </c>
    </row>
    <row r="1301" customFormat="false" ht="15" hidden="false" customHeight="false" outlineLevel="0" collapsed="false">
      <c r="A1301" s="12" t="s">
        <v>3156</v>
      </c>
      <c r="B1301" s="12" t="s">
        <v>2963</v>
      </c>
      <c r="C1301" s="12" t="s">
        <v>2964</v>
      </c>
      <c r="D1301" s="12" t="s">
        <v>1063</v>
      </c>
      <c r="E1301" s="12" t="s">
        <v>3157</v>
      </c>
      <c r="F1301" s="13" t="n">
        <v>751953</v>
      </c>
      <c r="G1301" s="13" t="n">
        <v>966324</v>
      </c>
      <c r="H1301" s="14" t="n">
        <v>4627</v>
      </c>
      <c r="I1301" s="14" t="n">
        <v>4363</v>
      </c>
      <c r="J1301" s="15" t="n">
        <f aca="false">I1301/H1301</f>
        <v>0.942943591960233</v>
      </c>
      <c r="K1301" s="16" t="n">
        <f aca="false">ROUND(I1301*J1301^($F$8-1),0)</f>
        <v>4423</v>
      </c>
      <c r="L1301" s="16" t="n">
        <f aca="false">ROUND(I1301*J1301^($F$9-1),0)</f>
        <v>4376</v>
      </c>
      <c r="M1301" s="17" t="n">
        <f aca="false">G1301*$F$7</f>
        <v>930862.069426376</v>
      </c>
      <c r="N1301" s="18" t="n">
        <f aca="false">F1301/K1301</f>
        <v>170.009721908207</v>
      </c>
      <c r="O1301" s="18" t="n">
        <f aca="false">G1301/L1301</f>
        <v>220.823583180987</v>
      </c>
      <c r="P1301" s="18" t="n">
        <f aca="false">M1301/L1301</f>
        <v>212.719851331439</v>
      </c>
      <c r="Q1301" s="19" t="n">
        <f aca="false">IF(N1301=0,"n.a.",P1301/N1301-1)</f>
        <v>0.251221688641383</v>
      </c>
    </row>
    <row r="1302" customFormat="false" ht="15" hidden="false" customHeight="false" outlineLevel="0" collapsed="false">
      <c r="A1302" s="12" t="s">
        <v>3158</v>
      </c>
      <c r="B1302" s="12" t="s">
        <v>2963</v>
      </c>
      <c r="C1302" s="12" t="s">
        <v>2964</v>
      </c>
      <c r="D1302" s="12" t="s">
        <v>499</v>
      </c>
      <c r="E1302" s="12" t="s">
        <v>2964</v>
      </c>
      <c r="F1302" s="13" t="n">
        <v>1285512677</v>
      </c>
      <c r="G1302" s="13" t="n">
        <v>1513729102</v>
      </c>
      <c r="H1302" s="14" t="n">
        <v>1685565</v>
      </c>
      <c r="I1302" s="14" t="n">
        <v>1703303</v>
      </c>
      <c r="J1302" s="15" t="n">
        <f aca="false">I1302/H1302</f>
        <v>1.01052347432463</v>
      </c>
      <c r="K1302" s="16" t="n">
        <f aca="false">ROUND(I1302*J1302^($F$8-1),0)</f>
        <v>1699191</v>
      </c>
      <c r="L1302" s="16" t="n">
        <f aca="false">ROUND(I1302*J1302^($F$9-1),0)</f>
        <v>1702377</v>
      </c>
      <c r="M1302" s="17" t="n">
        <f aca="false">G1302*$F$7</f>
        <v>1458178627.91222</v>
      </c>
      <c r="N1302" s="18" t="n">
        <f aca="false">F1302/K1302</f>
        <v>756.543953563784</v>
      </c>
      <c r="O1302" s="18" t="n">
        <f aca="false">G1302/L1302</f>
        <v>889.185592850467</v>
      </c>
      <c r="P1302" s="18" t="n">
        <f aca="false">M1302/L1302</f>
        <v>856.554469375598</v>
      </c>
      <c r="Q1302" s="19" t="n">
        <f aca="false">IF(N1302=0,"n.a.",P1302/N1302-1)</f>
        <v>0.132193926526943</v>
      </c>
    </row>
    <row r="1303" customFormat="false" ht="15" hidden="false" customHeight="false" outlineLevel="0" collapsed="false">
      <c r="A1303" s="12" t="s">
        <v>3159</v>
      </c>
      <c r="B1303" s="12" t="s">
        <v>2963</v>
      </c>
      <c r="C1303" s="12" t="s">
        <v>2964</v>
      </c>
      <c r="D1303" s="12" t="s">
        <v>502</v>
      </c>
      <c r="E1303" s="12" t="s">
        <v>3160</v>
      </c>
      <c r="F1303" s="13" t="n">
        <v>4690547</v>
      </c>
      <c r="G1303" s="13" t="n">
        <v>5537641</v>
      </c>
      <c r="H1303" s="14" t="n">
        <v>57919</v>
      </c>
      <c r="I1303" s="14" t="n">
        <v>61214</v>
      </c>
      <c r="J1303" s="15" t="n">
        <f aca="false">I1303/H1303</f>
        <v>1.056889794368</v>
      </c>
      <c r="K1303" s="16" t="n">
        <f aca="false">ROUND(I1303*J1303^($F$8-1),0)</f>
        <v>60437</v>
      </c>
      <c r="L1303" s="16" t="n">
        <f aca="false">ROUND(I1303*J1303^($F$9-1),0)</f>
        <v>61038</v>
      </c>
      <c r="M1303" s="17" t="n">
        <f aca="false">G1303*$F$7</f>
        <v>5334421.95474846</v>
      </c>
      <c r="N1303" s="18" t="n">
        <f aca="false">F1303/K1303</f>
        <v>77.6105200456674</v>
      </c>
      <c r="O1303" s="18" t="n">
        <f aca="false">G1303/L1303</f>
        <v>90.724483108883</v>
      </c>
      <c r="P1303" s="18" t="n">
        <f aca="false">M1303/L1303</f>
        <v>87.3950973942209</v>
      </c>
      <c r="Q1303" s="19" t="n">
        <f aca="false">IF(N1303=0,"n.a.",P1303/N1303-1)</f>
        <v>0.126072822895609</v>
      </c>
    </row>
    <row r="1304" customFormat="false" ht="15" hidden="false" customHeight="false" outlineLevel="0" collapsed="false">
      <c r="A1304" s="12" t="s">
        <v>3161</v>
      </c>
      <c r="B1304" s="12" t="s">
        <v>2963</v>
      </c>
      <c r="C1304" s="12" t="s">
        <v>2964</v>
      </c>
      <c r="D1304" s="12" t="s">
        <v>1069</v>
      </c>
      <c r="E1304" s="12" t="s">
        <v>3162</v>
      </c>
      <c r="F1304" s="13" t="n">
        <v>88651</v>
      </c>
      <c r="G1304" s="13" t="n">
        <v>121878</v>
      </c>
      <c r="H1304" s="14" t="n">
        <v>22855</v>
      </c>
      <c r="I1304" s="14" t="n">
        <v>23330</v>
      </c>
      <c r="J1304" s="15" t="n">
        <f aca="false">I1304/H1304</f>
        <v>1.02078319842485</v>
      </c>
      <c r="K1304" s="16" t="n">
        <f aca="false">ROUND(I1304*J1304^($F$8-1),0)</f>
        <v>23219</v>
      </c>
      <c r="L1304" s="16" t="n">
        <f aca="false">ROUND(I1304*J1304^($F$9-1),0)</f>
        <v>23305</v>
      </c>
      <c r="M1304" s="17" t="n">
        <f aca="false">G1304*$F$7</f>
        <v>117405.349859413</v>
      </c>
      <c r="N1304" s="18" t="n">
        <f aca="false">F1304/K1304</f>
        <v>3.8180369524958</v>
      </c>
      <c r="O1304" s="18" t="n">
        <f aca="false">G1304/L1304</f>
        <v>5.22969319888436</v>
      </c>
      <c r="P1304" s="18" t="n">
        <f aca="false">M1304/L1304</f>
        <v>5.03777514951356</v>
      </c>
      <c r="Q1304" s="19" t="n">
        <f aca="false">IF(N1304=0,"n.a.",P1304/N1304-1)</f>
        <v>0.319467362991453</v>
      </c>
    </row>
    <row r="1305" customFormat="false" ht="15" hidden="false" customHeight="false" outlineLevel="0" collapsed="false">
      <c r="A1305" s="12" t="s">
        <v>3163</v>
      </c>
      <c r="B1305" s="12" t="s">
        <v>2963</v>
      </c>
      <c r="C1305" s="12" t="s">
        <v>2964</v>
      </c>
      <c r="D1305" s="12" t="s">
        <v>505</v>
      </c>
      <c r="E1305" s="12" t="s">
        <v>3164</v>
      </c>
      <c r="F1305" s="13" t="n">
        <v>703459</v>
      </c>
      <c r="G1305" s="13" t="n">
        <v>1263527</v>
      </c>
      <c r="H1305" s="14" t="n">
        <v>15952</v>
      </c>
      <c r="I1305" s="14" t="n">
        <v>16404</v>
      </c>
      <c r="J1305" s="15" t="n">
        <f aca="false">I1305/H1305</f>
        <v>1.02833500501505</v>
      </c>
      <c r="K1305" s="16" t="n">
        <f aca="false">ROUND(I1305*J1305^($F$8-1),0)</f>
        <v>16299</v>
      </c>
      <c r="L1305" s="16" t="n">
        <f aca="false">ROUND(I1305*J1305^($F$9-1),0)</f>
        <v>16380</v>
      </c>
      <c r="M1305" s="17" t="n">
        <f aca="false">G1305*$F$7</f>
        <v>1217158.38372647</v>
      </c>
      <c r="N1305" s="18" t="n">
        <f aca="false">F1305/K1305</f>
        <v>43.1596416958096</v>
      </c>
      <c r="O1305" s="18" t="n">
        <f aca="false">G1305/L1305</f>
        <v>77.1384004884005</v>
      </c>
      <c r="P1305" s="18" t="n">
        <f aca="false">M1305/L1305</f>
        <v>74.3075936340948</v>
      </c>
      <c r="Q1305" s="19" t="n">
        <f aca="false">IF(N1305=0,"n.a.",P1305/N1305-1)</f>
        <v>0.721691624731664</v>
      </c>
    </row>
    <row r="1306" customFormat="false" ht="15" hidden="false" customHeight="false" outlineLevel="0" collapsed="false">
      <c r="A1306" s="12" t="s">
        <v>3165</v>
      </c>
      <c r="B1306" s="12" t="s">
        <v>2963</v>
      </c>
      <c r="C1306" s="12" t="s">
        <v>2964</v>
      </c>
      <c r="D1306" s="12" t="s">
        <v>508</v>
      </c>
      <c r="E1306" s="12" t="s">
        <v>3166</v>
      </c>
      <c r="F1306" s="13" t="n">
        <v>1138787</v>
      </c>
      <c r="G1306" s="13" t="n">
        <v>3386610</v>
      </c>
      <c r="H1306" s="14" t="n">
        <v>30021</v>
      </c>
      <c r="I1306" s="14" t="n">
        <v>30089</v>
      </c>
      <c r="J1306" s="15" t="n">
        <f aca="false">I1306/H1306</f>
        <v>1.00226508110989</v>
      </c>
      <c r="K1306" s="16" t="n">
        <f aca="false">ROUND(I1306*J1306^($F$8-1),0)</f>
        <v>30073</v>
      </c>
      <c r="L1306" s="16" t="n">
        <f aca="false">ROUND(I1306*J1306^($F$9-1),0)</f>
        <v>30085</v>
      </c>
      <c r="M1306" s="17" t="n">
        <f aca="false">G1306*$F$7</f>
        <v>3262328.98379846</v>
      </c>
      <c r="N1306" s="18" t="n">
        <f aca="false">F1306/K1306</f>
        <v>37.8674226049945</v>
      </c>
      <c r="O1306" s="18" t="n">
        <f aca="false">G1306/L1306</f>
        <v>112.568057171348</v>
      </c>
      <c r="P1306" s="18" t="n">
        <f aca="false">M1306/L1306</f>
        <v>108.437061120108</v>
      </c>
      <c r="Q1306" s="19" t="n">
        <f aca="false">IF(N1306=0,"n.a.",P1306/N1306-1)</f>
        <v>1.86359761664386</v>
      </c>
    </row>
    <row r="1307" customFormat="false" ht="15" hidden="false" customHeight="false" outlineLevel="0" collapsed="false">
      <c r="A1307" s="12" t="s">
        <v>3167</v>
      </c>
      <c r="B1307" s="12" t="s">
        <v>2963</v>
      </c>
      <c r="C1307" s="12" t="s">
        <v>2964</v>
      </c>
      <c r="D1307" s="12" t="s">
        <v>1076</v>
      </c>
      <c r="E1307" s="12" t="s">
        <v>3168</v>
      </c>
      <c r="F1307" s="13" t="n">
        <v>292535292</v>
      </c>
      <c r="G1307" s="13" t="n">
        <v>308418218</v>
      </c>
      <c r="H1307" s="14" t="n">
        <v>153948</v>
      </c>
      <c r="I1307" s="14" t="n">
        <v>179959</v>
      </c>
      <c r="J1307" s="15" t="n">
        <f aca="false">I1307/H1307</f>
        <v>1.16895964871255</v>
      </c>
      <c r="K1307" s="16" t="n">
        <f aca="false">ROUND(I1307*J1307^($F$8-1),0)</f>
        <v>173588</v>
      </c>
      <c r="L1307" s="16" t="n">
        <f aca="false">ROUND(I1307*J1307^($F$9-1),0)</f>
        <v>178505</v>
      </c>
      <c r="M1307" s="17" t="n">
        <f aca="false">G1307*$F$7</f>
        <v>297099958.871223</v>
      </c>
      <c r="N1307" s="18" t="n">
        <f aca="false">F1307/K1307</f>
        <v>1685.2276194207</v>
      </c>
      <c r="O1307" s="18" t="n">
        <f aca="false">G1307/L1307</f>
        <v>1727.7847567295</v>
      </c>
      <c r="P1307" s="18" t="n">
        <f aca="false">M1307/L1307</f>
        <v>1664.37891863658</v>
      </c>
      <c r="Q1307" s="19" t="n">
        <f aca="false">IF(N1307=0,"n.a.",P1307/N1307-1)</f>
        <v>-0.0123714449869301</v>
      </c>
    </row>
    <row r="1308" customFormat="false" ht="15" hidden="false" customHeight="false" outlineLevel="0" collapsed="false">
      <c r="A1308" s="12" t="s">
        <v>3169</v>
      </c>
      <c r="B1308" s="12" t="s">
        <v>2963</v>
      </c>
      <c r="C1308" s="12" t="s">
        <v>2964</v>
      </c>
      <c r="D1308" s="12" t="s">
        <v>514</v>
      </c>
      <c r="E1308" s="12" t="s">
        <v>3170</v>
      </c>
      <c r="F1308" s="13" t="n">
        <v>4011</v>
      </c>
      <c r="G1308" s="13" t="n">
        <v>18906</v>
      </c>
      <c r="H1308" s="14" t="n">
        <v>1270</v>
      </c>
      <c r="I1308" s="14" t="n">
        <v>1322</v>
      </c>
      <c r="J1308" s="15" t="n">
        <f aca="false">I1308/H1308</f>
        <v>1.04094488188976</v>
      </c>
      <c r="K1308" s="16" t="n">
        <f aca="false">ROUND(I1308*J1308^($F$8-1),0)</f>
        <v>1310</v>
      </c>
      <c r="L1308" s="16" t="n">
        <f aca="false">ROUND(I1308*J1308^($F$9-1),0)</f>
        <v>1319</v>
      </c>
      <c r="M1308" s="17" t="n">
        <f aca="false">G1308*$F$7</f>
        <v>18212.1920645405</v>
      </c>
      <c r="N1308" s="18" t="n">
        <f aca="false">F1308/K1308</f>
        <v>3.0618320610687</v>
      </c>
      <c r="O1308" s="18" t="n">
        <f aca="false">G1308/L1308</f>
        <v>14.3335860500379</v>
      </c>
      <c r="P1308" s="18" t="n">
        <f aca="false">M1308/L1308</f>
        <v>13.8075754848677</v>
      </c>
      <c r="Q1308" s="19" t="n">
        <f aca="false">IF(N1308=0,"n.a.",P1308/N1308-1)</f>
        <v>3.50957962731905</v>
      </c>
    </row>
    <row r="1309" customFormat="false" ht="15" hidden="false" customHeight="false" outlineLevel="0" collapsed="false">
      <c r="A1309" s="12" t="s">
        <v>3171</v>
      </c>
      <c r="B1309" s="12" t="s">
        <v>2963</v>
      </c>
      <c r="C1309" s="12" t="s">
        <v>2964</v>
      </c>
      <c r="D1309" s="12" t="s">
        <v>517</v>
      </c>
      <c r="E1309" s="12" t="s">
        <v>3172</v>
      </c>
      <c r="F1309" s="13" t="n">
        <v>407663</v>
      </c>
      <c r="G1309" s="13" t="n">
        <v>422310</v>
      </c>
      <c r="H1309" s="14" t="n">
        <v>11057</v>
      </c>
      <c r="I1309" s="14" t="n">
        <v>10849</v>
      </c>
      <c r="J1309" s="15" t="n">
        <f aca="false">I1309/H1309</f>
        <v>0.981188387446866</v>
      </c>
      <c r="K1309" s="16" t="n">
        <f aca="false">ROUND(I1309*J1309^($F$8-1),0)</f>
        <v>10897</v>
      </c>
      <c r="L1309" s="16" t="n">
        <f aca="false">ROUND(I1309*J1309^($F$9-1),0)</f>
        <v>10860</v>
      </c>
      <c r="M1309" s="17" t="n">
        <f aca="false">G1309*$F$7</f>
        <v>406812.167077971</v>
      </c>
      <c r="N1309" s="18" t="n">
        <f aca="false">F1309/K1309</f>
        <v>37.4105717169863</v>
      </c>
      <c r="O1309" s="18" t="n">
        <f aca="false">G1309/L1309</f>
        <v>38.8867403314917</v>
      </c>
      <c r="P1309" s="18" t="n">
        <f aca="false">M1309/L1309</f>
        <v>37.4596838929991</v>
      </c>
      <c r="Q1309" s="19" t="n">
        <f aca="false">IF(N1309=0,"n.a.",P1309/N1309-1)</f>
        <v>0.00131278870540519</v>
      </c>
    </row>
    <row r="1310" customFormat="false" ht="15" hidden="false" customHeight="false" outlineLevel="0" collapsed="false">
      <c r="A1310" s="12" t="s">
        <v>3173</v>
      </c>
      <c r="B1310" s="12" t="s">
        <v>2963</v>
      </c>
      <c r="C1310" s="12" t="s">
        <v>2964</v>
      </c>
      <c r="D1310" s="12" t="s">
        <v>520</v>
      </c>
      <c r="E1310" s="12" t="s">
        <v>3174</v>
      </c>
      <c r="F1310" s="13" t="n">
        <v>57367</v>
      </c>
      <c r="G1310" s="13" t="n">
        <v>144096</v>
      </c>
      <c r="H1310" s="14" t="n">
        <v>3793</v>
      </c>
      <c r="I1310" s="14" t="n">
        <v>3424</v>
      </c>
      <c r="J1310" s="15" t="n">
        <f aca="false">I1310/H1310</f>
        <v>0.902715528605326</v>
      </c>
      <c r="K1310" s="16" t="n">
        <f aca="false">ROUND(I1310*J1310^($F$8-1),0)</f>
        <v>3506</v>
      </c>
      <c r="L1310" s="16" t="n">
        <f aca="false">ROUND(I1310*J1310^($F$9-1),0)</f>
        <v>3442</v>
      </c>
      <c r="M1310" s="17" t="n">
        <f aca="false">G1310*$F$7</f>
        <v>138807.998927961</v>
      </c>
      <c r="N1310" s="18" t="n">
        <f aca="false">F1310/K1310</f>
        <v>16.3625213918996</v>
      </c>
      <c r="O1310" s="18" t="n">
        <f aca="false">G1310/L1310</f>
        <v>41.8640325392214</v>
      </c>
      <c r="P1310" s="18" t="n">
        <f aca="false">M1310/L1310</f>
        <v>40.3277161324698</v>
      </c>
      <c r="Q1310" s="19" t="n">
        <f aca="false">IF(N1310=0,"n.a.",P1310/N1310-1)</f>
        <v>1.46463947496713</v>
      </c>
    </row>
    <row r="1311" customFormat="false" ht="15" hidden="false" customHeight="false" outlineLevel="0" collapsed="false">
      <c r="A1311" s="12" t="s">
        <v>3175</v>
      </c>
      <c r="B1311" s="12" t="s">
        <v>2963</v>
      </c>
      <c r="C1311" s="12" t="s">
        <v>2964</v>
      </c>
      <c r="D1311" s="12" t="s">
        <v>830</v>
      </c>
      <c r="E1311" s="12" t="s">
        <v>3176</v>
      </c>
      <c r="F1311" s="13" t="n">
        <v>724918</v>
      </c>
      <c r="G1311" s="13" t="n">
        <v>1149340</v>
      </c>
      <c r="H1311" s="14" t="n">
        <v>15947</v>
      </c>
      <c r="I1311" s="14" t="n">
        <v>15376</v>
      </c>
      <c r="J1311" s="15" t="n">
        <f aca="false">I1311/H1311</f>
        <v>0.964193892268138</v>
      </c>
      <c r="K1311" s="16" t="n">
        <f aca="false">ROUND(I1311*J1311^($F$8-1),0)</f>
        <v>15506</v>
      </c>
      <c r="L1311" s="16" t="n">
        <f aca="false">ROUND(I1311*J1311^($F$9-1),0)</f>
        <v>15405</v>
      </c>
      <c r="M1311" s="17" t="n">
        <f aca="false">G1311*$F$7</f>
        <v>1107161.79136036</v>
      </c>
      <c r="N1311" s="18" t="n">
        <f aca="false">F1311/K1311</f>
        <v>46.7508061395589</v>
      </c>
      <c r="O1311" s="18" t="n">
        <f aca="false">G1311/L1311</f>
        <v>74.6082440765985</v>
      </c>
      <c r="P1311" s="18" t="n">
        <f aca="false">M1311/L1311</f>
        <v>71.8702883064176</v>
      </c>
      <c r="Q1311" s="19" t="n">
        <f aca="false">IF(N1311=0,"n.a.",P1311/N1311-1)</f>
        <v>0.537305861462001</v>
      </c>
    </row>
    <row r="1312" customFormat="false" ht="15" hidden="false" customHeight="false" outlineLevel="0" collapsed="false">
      <c r="A1312" s="12" t="s">
        <v>3177</v>
      </c>
      <c r="B1312" s="12" t="s">
        <v>2963</v>
      </c>
      <c r="C1312" s="12" t="s">
        <v>2964</v>
      </c>
      <c r="D1312" s="12" t="s">
        <v>523</v>
      </c>
      <c r="E1312" s="12" t="s">
        <v>3178</v>
      </c>
      <c r="F1312" s="13" t="n">
        <v>1034757</v>
      </c>
      <c r="G1312" s="13" t="n">
        <v>2740021</v>
      </c>
      <c r="H1312" s="14" t="n">
        <v>9656</v>
      </c>
      <c r="I1312" s="14" t="n">
        <v>9774</v>
      </c>
      <c r="J1312" s="15" t="n">
        <f aca="false">I1312/H1312</f>
        <v>1.01222038111019</v>
      </c>
      <c r="K1312" s="16" t="n">
        <f aca="false">ROUND(I1312*J1312^($F$8-1),0)</f>
        <v>9747</v>
      </c>
      <c r="L1312" s="16" t="n">
        <f aca="false">ROUND(I1312*J1312^($F$9-1),0)</f>
        <v>9768</v>
      </c>
      <c r="M1312" s="17" t="n">
        <f aca="false">G1312*$F$7</f>
        <v>2639468.35464268</v>
      </c>
      <c r="N1312" s="18" t="n">
        <f aca="false">F1312/K1312</f>
        <v>106.161588180979</v>
      </c>
      <c r="O1312" s="18" t="n">
        <f aca="false">G1312/L1312</f>
        <v>280.50993038493</v>
      </c>
      <c r="P1312" s="18" t="n">
        <f aca="false">M1312/L1312</f>
        <v>270.215843022387</v>
      </c>
      <c r="Q1312" s="19" t="n">
        <f aca="false">IF(N1312=0,"n.a.",P1312/N1312-1)</f>
        <v>1.54532592863755</v>
      </c>
    </row>
    <row r="1313" customFormat="false" ht="15" hidden="false" customHeight="false" outlineLevel="0" collapsed="false">
      <c r="A1313" s="12" t="s">
        <v>3179</v>
      </c>
      <c r="B1313" s="12" t="s">
        <v>2963</v>
      </c>
      <c r="C1313" s="12" t="s">
        <v>2964</v>
      </c>
      <c r="D1313" s="12" t="s">
        <v>3180</v>
      </c>
      <c r="E1313" s="12" t="s">
        <v>3181</v>
      </c>
      <c r="F1313" s="13" t="n">
        <v>126223</v>
      </c>
      <c r="G1313" s="13" t="n">
        <v>377725</v>
      </c>
      <c r="H1313" s="14" t="n">
        <v>6593</v>
      </c>
      <c r="I1313" s="14" t="n">
        <v>6738</v>
      </c>
      <c r="J1313" s="15" t="n">
        <f aca="false">I1313/H1313</f>
        <v>1.02199302290308</v>
      </c>
      <c r="K1313" s="16" t="n">
        <f aca="false">ROUND(I1313*J1313^($F$8-1),0)</f>
        <v>6704</v>
      </c>
      <c r="L1313" s="16" t="n">
        <f aca="false">ROUND(I1313*J1313^($F$9-1),0)</f>
        <v>6730</v>
      </c>
      <c r="M1313" s="17" t="n">
        <f aca="false">G1313*$F$7</f>
        <v>363863.336907784</v>
      </c>
      <c r="N1313" s="18" t="n">
        <f aca="false">F1313/K1313</f>
        <v>18.8280131264916</v>
      </c>
      <c r="O1313" s="18" t="n">
        <f aca="false">G1313/L1313</f>
        <v>56.1255572065379</v>
      </c>
      <c r="P1313" s="18" t="n">
        <f aca="false">M1313/L1313</f>
        <v>54.0658747262681</v>
      </c>
      <c r="Q1313" s="19" t="n">
        <f aca="false">IF(N1313=0,"n.a.",P1313/N1313-1)</f>
        <v>1.87156559553252</v>
      </c>
    </row>
    <row r="1314" customFormat="false" ht="15" hidden="false" customHeight="false" outlineLevel="0" collapsed="false">
      <c r="A1314" s="12" t="s">
        <v>3182</v>
      </c>
      <c r="B1314" s="12" t="s">
        <v>2963</v>
      </c>
      <c r="C1314" s="12" t="s">
        <v>2964</v>
      </c>
      <c r="D1314" s="12" t="s">
        <v>1696</v>
      </c>
      <c r="E1314" s="12" t="s">
        <v>3183</v>
      </c>
      <c r="F1314" s="13" t="n">
        <v>2210577</v>
      </c>
      <c r="G1314" s="13" t="n">
        <v>2766186</v>
      </c>
      <c r="H1314" s="14" t="n">
        <v>10443</v>
      </c>
      <c r="I1314" s="14" t="n">
        <v>12309</v>
      </c>
      <c r="J1314" s="15" t="n">
        <f aca="false">I1314/H1314</f>
        <v>1.17868428612468</v>
      </c>
      <c r="K1314" s="16" t="n">
        <f aca="false">ROUND(I1314*J1314^($F$8-1),0)</f>
        <v>11851</v>
      </c>
      <c r="L1314" s="16" t="n">
        <f aca="false">ROUND(I1314*J1314^($F$9-1),0)</f>
        <v>12204</v>
      </c>
      <c r="M1314" s="17" t="n">
        <f aca="false">G1314*$F$7</f>
        <v>2664673.15763478</v>
      </c>
      <c r="N1314" s="18" t="n">
        <f aca="false">F1314/K1314</f>
        <v>186.530841279217</v>
      </c>
      <c r="O1314" s="18" t="n">
        <f aca="false">G1314/L1314</f>
        <v>226.662241887906</v>
      </c>
      <c r="P1314" s="18" t="n">
        <f aca="false">M1314/L1314</f>
        <v>218.34424431619</v>
      </c>
      <c r="Q1314" s="19" t="n">
        <f aca="false">IF(N1314=0,"n.a.",P1314/N1314-1)</f>
        <v>0.170553045377367</v>
      </c>
    </row>
    <row r="1315" customFormat="false" ht="15" hidden="false" customHeight="false" outlineLevel="0" collapsed="false">
      <c r="A1315" s="12" t="s">
        <v>3184</v>
      </c>
      <c r="B1315" s="12" t="s">
        <v>2963</v>
      </c>
      <c r="C1315" s="12" t="s">
        <v>2964</v>
      </c>
      <c r="D1315" s="12" t="s">
        <v>1699</v>
      </c>
      <c r="E1315" s="12" t="s">
        <v>3185</v>
      </c>
      <c r="F1315" s="13" t="n">
        <v>185842</v>
      </c>
      <c r="G1315" s="13" t="n">
        <v>199827</v>
      </c>
      <c r="H1315" s="14" t="n">
        <v>14018</v>
      </c>
      <c r="I1315" s="14" t="n">
        <v>15060</v>
      </c>
      <c r="J1315" s="15" t="n">
        <f aca="false">I1315/H1315</f>
        <v>1.07433300042802</v>
      </c>
      <c r="K1315" s="16" t="n">
        <f aca="false">ROUND(I1315*J1315^($F$8-1),0)</f>
        <v>14813</v>
      </c>
      <c r="L1315" s="16" t="n">
        <f aca="false">ROUND(I1315*J1315^($F$9-1),0)</f>
        <v>15004</v>
      </c>
      <c r="M1315" s="17" t="n">
        <f aca="false">G1315*$F$7</f>
        <v>192493.795815135</v>
      </c>
      <c r="N1315" s="18" t="n">
        <f aca="false">F1315/K1315</f>
        <v>12.545871869304</v>
      </c>
      <c r="O1315" s="18" t="n">
        <f aca="false">G1315/L1315</f>
        <v>13.3182484670754</v>
      </c>
      <c r="P1315" s="18" t="n">
        <f aca="false">M1315/L1315</f>
        <v>12.8294985214033</v>
      </c>
      <c r="Q1315" s="19" t="n">
        <f aca="false">IF(N1315=0,"n.a.",P1315/N1315-1)</f>
        <v>0.0226071695179073</v>
      </c>
    </row>
    <row r="1316" customFormat="false" ht="15" hidden="false" customHeight="false" outlineLevel="0" collapsed="false">
      <c r="A1316" s="12" t="s">
        <v>3186</v>
      </c>
      <c r="B1316" s="12" t="s">
        <v>2963</v>
      </c>
      <c r="C1316" s="12" t="s">
        <v>2964</v>
      </c>
      <c r="D1316" s="12" t="s">
        <v>1702</v>
      </c>
      <c r="E1316" s="12" t="s">
        <v>3187</v>
      </c>
      <c r="F1316" s="13" t="n">
        <v>95111</v>
      </c>
      <c r="G1316" s="13" t="n">
        <v>283436</v>
      </c>
      <c r="H1316" s="14" t="n">
        <v>3604</v>
      </c>
      <c r="I1316" s="14" t="n">
        <v>3453</v>
      </c>
      <c r="J1316" s="15" t="n">
        <f aca="false">I1316/H1316</f>
        <v>0.958102108768036</v>
      </c>
      <c r="K1316" s="16" t="n">
        <f aca="false">ROUND(I1316*J1316^($F$8-1),0)</f>
        <v>3487</v>
      </c>
      <c r="L1316" s="16" t="n">
        <f aca="false">ROUND(I1316*J1316^($F$9-1),0)</f>
        <v>3461</v>
      </c>
      <c r="M1316" s="17" t="n">
        <f aca="false">G1316*$F$7</f>
        <v>273034.53242384</v>
      </c>
      <c r="N1316" s="18" t="n">
        <f aca="false">F1316/K1316</f>
        <v>27.2758818468598</v>
      </c>
      <c r="O1316" s="18" t="n">
        <f aca="false">G1316/L1316</f>
        <v>81.8942502167004</v>
      </c>
      <c r="P1316" s="18" t="n">
        <f aca="false">M1316/L1316</f>
        <v>78.8889143091129</v>
      </c>
      <c r="Q1316" s="19" t="n">
        <f aca="false">IF(N1316=0,"n.a.",P1316/N1316-1)</f>
        <v>1.89225898367041</v>
      </c>
    </row>
    <row r="1317" customFormat="false" ht="15" hidden="false" customHeight="false" outlineLevel="0" collapsed="false">
      <c r="A1317" s="12" t="s">
        <v>3188</v>
      </c>
      <c r="B1317" s="12" t="s">
        <v>2963</v>
      </c>
      <c r="C1317" s="12" t="s">
        <v>2964</v>
      </c>
      <c r="D1317" s="12" t="s">
        <v>1705</v>
      </c>
      <c r="E1317" s="12" t="s">
        <v>3189</v>
      </c>
      <c r="F1317" s="13" t="n">
        <v>24230</v>
      </c>
      <c r="G1317" s="13" t="n">
        <v>65277</v>
      </c>
      <c r="H1317" s="14" t="n">
        <v>975</v>
      </c>
      <c r="I1317" s="14" t="n">
        <v>995</v>
      </c>
      <c r="J1317" s="15" t="n">
        <f aca="false">I1317/H1317</f>
        <v>1.02051282051282</v>
      </c>
      <c r="K1317" s="16" t="n">
        <f aca="false">ROUND(I1317*J1317^($F$8-1),0)</f>
        <v>990</v>
      </c>
      <c r="L1317" s="16" t="n">
        <f aca="false">ROUND(I1317*J1317^($F$9-1),0)</f>
        <v>994</v>
      </c>
      <c r="M1317" s="17" t="n">
        <f aca="false">G1317*$F$7</f>
        <v>62881.4800273465</v>
      </c>
      <c r="N1317" s="18" t="n">
        <f aca="false">F1317/K1317</f>
        <v>24.4747474747475</v>
      </c>
      <c r="O1317" s="18" t="n">
        <f aca="false">G1317/L1317</f>
        <v>65.6710261569417</v>
      </c>
      <c r="P1317" s="18" t="n">
        <f aca="false">M1317/L1317</f>
        <v>63.2610463051775</v>
      </c>
      <c r="Q1317" s="19" t="n">
        <f aca="false">IF(N1317=0,"n.a.",P1317/N1317-1)</f>
        <v>1.58474766166429</v>
      </c>
    </row>
    <row r="1318" customFormat="false" ht="15" hidden="false" customHeight="false" outlineLevel="0" collapsed="false">
      <c r="A1318" s="12" t="s">
        <v>3190</v>
      </c>
      <c r="B1318" s="12" t="s">
        <v>2963</v>
      </c>
      <c r="C1318" s="12" t="s">
        <v>2964</v>
      </c>
      <c r="D1318" s="12" t="s">
        <v>1708</v>
      </c>
      <c r="E1318" s="12" t="s">
        <v>3191</v>
      </c>
      <c r="F1318" s="13" t="n">
        <v>43915949</v>
      </c>
      <c r="G1318" s="13" t="n">
        <v>48673983</v>
      </c>
      <c r="H1318" s="14" t="n">
        <v>155670</v>
      </c>
      <c r="I1318" s="14" t="n">
        <v>154967</v>
      </c>
      <c r="J1318" s="15" t="n">
        <f aca="false">I1318/H1318</f>
        <v>0.995484036744395</v>
      </c>
      <c r="K1318" s="16" t="n">
        <f aca="false">ROUND(I1318*J1318^($F$8-1),0)</f>
        <v>155129</v>
      </c>
      <c r="L1318" s="16" t="n">
        <f aca="false">ROUND(I1318*J1318^($F$9-1),0)</f>
        <v>155003</v>
      </c>
      <c r="M1318" s="17" t="n">
        <f aca="false">G1318*$F$7</f>
        <v>46887756.6350461</v>
      </c>
      <c r="N1318" s="18" t="n">
        <f aca="false">F1318/K1318</f>
        <v>283.093096713058</v>
      </c>
      <c r="O1318" s="18" t="n">
        <f aca="false">G1318/L1318</f>
        <v>314.019618975117</v>
      </c>
      <c r="P1318" s="18" t="n">
        <f aca="false">M1318/L1318</f>
        <v>302.495800952537</v>
      </c>
      <c r="Q1318" s="19" t="n">
        <f aca="false">IF(N1318=0,"n.a.",P1318/N1318-1)</f>
        <v>0.0685382457741282</v>
      </c>
    </row>
    <row r="1319" customFormat="false" ht="15" hidden="false" customHeight="false" outlineLevel="0" collapsed="false">
      <c r="A1319" s="12" t="s">
        <v>3192</v>
      </c>
      <c r="B1319" s="12" t="s">
        <v>2963</v>
      </c>
      <c r="C1319" s="12" t="s">
        <v>2964</v>
      </c>
      <c r="D1319" s="12" t="s">
        <v>1711</v>
      </c>
      <c r="E1319" s="12" t="s">
        <v>3193</v>
      </c>
      <c r="F1319" s="13" t="n">
        <v>56367</v>
      </c>
      <c r="G1319" s="13" t="n">
        <v>62966</v>
      </c>
      <c r="H1319" s="14" t="n">
        <v>692</v>
      </c>
      <c r="I1319" s="14" t="n">
        <v>636</v>
      </c>
      <c r="J1319" s="15" t="n">
        <f aca="false">I1319/H1319</f>
        <v>0.919075144508671</v>
      </c>
      <c r="K1319" s="16" t="n">
        <f aca="false">ROUND(I1319*J1319^($F$8-1),0)</f>
        <v>649</v>
      </c>
      <c r="L1319" s="16" t="n">
        <f aca="false">ROUND(I1319*J1319^($F$9-1),0)</f>
        <v>639</v>
      </c>
      <c r="M1319" s="17" t="n">
        <f aca="false">G1319*$F$7</f>
        <v>60655.2885610843</v>
      </c>
      <c r="N1319" s="18" t="n">
        <f aca="false">F1319/K1319</f>
        <v>86.8520801232666</v>
      </c>
      <c r="O1319" s="18" t="n">
        <f aca="false">G1319/L1319</f>
        <v>98.5383411580595</v>
      </c>
      <c r="P1319" s="18" t="n">
        <f aca="false">M1319/L1319</f>
        <v>94.9222043209457</v>
      </c>
      <c r="Q1319" s="19" t="n">
        <f aca="false">IF(N1319=0,"n.a.",P1319/N1319-1)</f>
        <v>0.0929180301292198</v>
      </c>
    </row>
    <row r="1320" customFormat="false" ht="15" hidden="false" customHeight="false" outlineLevel="0" collapsed="false">
      <c r="A1320" s="12" t="s">
        <v>3194</v>
      </c>
      <c r="B1320" s="12" t="s">
        <v>2963</v>
      </c>
      <c r="C1320" s="12" t="s">
        <v>2964</v>
      </c>
      <c r="D1320" s="12" t="s">
        <v>1714</v>
      </c>
      <c r="E1320" s="12" t="s">
        <v>3195</v>
      </c>
      <c r="F1320" s="13" t="n">
        <v>767637</v>
      </c>
      <c r="G1320" s="13" t="n">
        <v>919226</v>
      </c>
      <c r="H1320" s="14" t="n">
        <v>20974</v>
      </c>
      <c r="I1320" s="14" t="n">
        <v>22609</v>
      </c>
      <c r="J1320" s="15" t="n">
        <f aca="false">I1320/H1320</f>
        <v>1.07795365690855</v>
      </c>
      <c r="K1320" s="16" t="n">
        <f aca="false">ROUND(I1320*J1320^($F$8-1),0)</f>
        <v>22221</v>
      </c>
      <c r="L1320" s="16" t="n">
        <f aca="false">ROUND(I1320*J1320^($F$9-1),0)</f>
        <v>22521</v>
      </c>
      <c r="M1320" s="17" t="n">
        <f aca="false">G1320*$F$7</f>
        <v>885492.460738355</v>
      </c>
      <c r="N1320" s="18" t="n">
        <f aca="false">F1320/K1320</f>
        <v>34.5455650060753</v>
      </c>
      <c r="O1320" s="18" t="n">
        <f aca="false">G1320/L1320</f>
        <v>40.8163935882066</v>
      </c>
      <c r="P1320" s="18" t="n">
        <f aca="false">M1320/L1320</f>
        <v>39.3185231889505</v>
      </c>
      <c r="Q1320" s="19" t="n">
        <f aca="false">IF(N1320=0,"n.a.",P1320/N1320-1)</f>
        <v>0.138164137192019</v>
      </c>
    </row>
    <row r="1321" customFormat="false" ht="15" hidden="false" customHeight="false" outlineLevel="0" collapsed="false">
      <c r="A1321" s="12" t="s">
        <v>3196</v>
      </c>
      <c r="B1321" s="12" t="s">
        <v>2963</v>
      </c>
      <c r="C1321" s="12" t="s">
        <v>2964</v>
      </c>
      <c r="D1321" s="12" t="s">
        <v>1717</v>
      </c>
      <c r="E1321" s="12" t="s">
        <v>3197</v>
      </c>
      <c r="F1321" s="13" t="n">
        <v>140640</v>
      </c>
      <c r="G1321" s="13" t="n">
        <v>135773</v>
      </c>
      <c r="H1321" s="14" t="n">
        <v>526</v>
      </c>
      <c r="I1321" s="14" t="n">
        <v>466</v>
      </c>
      <c r="J1321" s="15" t="n">
        <f aca="false">I1321/H1321</f>
        <v>0.885931558935361</v>
      </c>
      <c r="K1321" s="16" t="n">
        <f aca="false">ROUND(I1321*J1321^($F$8-1),0)</f>
        <v>479</v>
      </c>
      <c r="L1321" s="16" t="n">
        <f aca="false">ROUND(I1321*J1321^($F$9-1),0)</f>
        <v>469</v>
      </c>
      <c r="M1321" s="17" t="n">
        <f aca="false">G1321*$F$7</f>
        <v>130790.434421816</v>
      </c>
      <c r="N1321" s="18" t="n">
        <f aca="false">F1321/K1321</f>
        <v>293.611691022965</v>
      </c>
      <c r="O1321" s="18" t="n">
        <f aca="false">G1321/L1321</f>
        <v>289.494669509595</v>
      </c>
      <c r="P1321" s="18" t="n">
        <f aca="false">M1321/L1321</f>
        <v>278.870862306645</v>
      </c>
      <c r="Q1321" s="19" t="n">
        <f aca="false">IF(N1321=0,"n.a.",P1321/N1321-1)</f>
        <v>-0.0502051831279657</v>
      </c>
    </row>
    <row r="1322" customFormat="false" ht="15" hidden="false" customHeight="false" outlineLevel="0" collapsed="false">
      <c r="A1322" s="12" t="s">
        <v>3198</v>
      </c>
      <c r="B1322" s="12" t="s">
        <v>2963</v>
      </c>
      <c r="C1322" s="12" t="s">
        <v>2964</v>
      </c>
      <c r="D1322" s="12" t="s">
        <v>1720</v>
      </c>
      <c r="E1322" s="12" t="s">
        <v>3199</v>
      </c>
      <c r="F1322" s="13" t="n">
        <v>5644356</v>
      </c>
      <c r="G1322" s="13" t="n">
        <v>6723889</v>
      </c>
      <c r="H1322" s="14" t="n">
        <v>12461</v>
      </c>
      <c r="I1322" s="14" t="n">
        <v>12017</v>
      </c>
      <c r="J1322" s="15" t="n">
        <f aca="false">I1322/H1322</f>
        <v>0.964368830751946</v>
      </c>
      <c r="K1322" s="16" t="n">
        <f aca="false">ROUND(I1322*J1322^($F$8-1),0)</f>
        <v>12118</v>
      </c>
      <c r="L1322" s="16" t="n">
        <f aca="false">ROUND(I1322*J1322^($F$9-1),0)</f>
        <v>12040</v>
      </c>
      <c r="M1322" s="17" t="n">
        <f aca="false">G1322*$F$7</f>
        <v>6477137.305017</v>
      </c>
      <c r="N1322" s="18" t="n">
        <f aca="false">F1322/K1322</f>
        <v>465.782802442647</v>
      </c>
      <c r="O1322" s="18" t="n">
        <f aca="false">G1322/L1322</f>
        <v>558.462541528239</v>
      </c>
      <c r="P1322" s="18" t="n">
        <f aca="false">M1322/L1322</f>
        <v>537.968214702409</v>
      </c>
      <c r="Q1322" s="19" t="n">
        <f aca="false">IF(N1322=0,"n.a.",P1322/N1322-1)</f>
        <v>0.154976551047415</v>
      </c>
    </row>
    <row r="1323" customFormat="false" ht="15" hidden="false" customHeight="false" outlineLevel="0" collapsed="false">
      <c r="A1323" s="12" t="s">
        <v>3200</v>
      </c>
      <c r="B1323" s="12" t="s">
        <v>2963</v>
      </c>
      <c r="C1323" s="12" t="s">
        <v>2964</v>
      </c>
      <c r="D1323" s="12" t="s">
        <v>1723</v>
      </c>
      <c r="E1323" s="12" t="s">
        <v>3201</v>
      </c>
      <c r="F1323" s="13" t="n">
        <v>391004</v>
      </c>
      <c r="G1323" s="13" t="n">
        <v>895841</v>
      </c>
      <c r="H1323" s="14" t="n">
        <v>10464</v>
      </c>
      <c r="I1323" s="14" t="n">
        <v>10656</v>
      </c>
      <c r="J1323" s="15" t="n">
        <f aca="false">I1323/H1323</f>
        <v>1.01834862385321</v>
      </c>
      <c r="K1323" s="16" t="n">
        <f aca="false">ROUND(I1323*J1323^($F$8-1),0)</f>
        <v>10611</v>
      </c>
      <c r="L1323" s="16" t="n">
        <f aca="false">ROUND(I1323*J1323^($F$9-1),0)</f>
        <v>10646</v>
      </c>
      <c r="M1323" s="17" t="n">
        <f aca="false">G1323*$F$7</f>
        <v>862965.637960968</v>
      </c>
      <c r="N1323" s="18" t="n">
        <f aca="false">F1323/K1323</f>
        <v>36.8489303552917</v>
      </c>
      <c r="O1323" s="18" t="n">
        <f aca="false">G1323/L1323</f>
        <v>84.1481307533346</v>
      </c>
      <c r="P1323" s="18" t="n">
        <f aca="false">M1323/L1323</f>
        <v>81.0600824686237</v>
      </c>
      <c r="Q1323" s="19" t="n">
        <f aca="false">IF(N1323=0,"n.a.",P1323/N1323-1)</f>
        <v>1.19979472096082</v>
      </c>
    </row>
    <row r="1324" customFormat="false" ht="15" hidden="false" customHeight="false" outlineLevel="0" collapsed="false">
      <c r="A1324" s="12" t="s">
        <v>3202</v>
      </c>
      <c r="B1324" s="12" t="s">
        <v>2963</v>
      </c>
      <c r="C1324" s="12" t="s">
        <v>2964</v>
      </c>
      <c r="D1324" s="12" t="s">
        <v>1726</v>
      </c>
      <c r="E1324" s="12" t="s">
        <v>3203</v>
      </c>
      <c r="F1324" s="13" t="n">
        <v>89156</v>
      </c>
      <c r="G1324" s="13" t="n">
        <v>102385</v>
      </c>
      <c r="H1324" s="14" t="n">
        <v>11780</v>
      </c>
      <c r="I1324" s="14" t="n">
        <v>12566</v>
      </c>
      <c r="J1324" s="15" t="n">
        <f aca="false">I1324/H1324</f>
        <v>1.06672325976231</v>
      </c>
      <c r="K1324" s="16" t="n">
        <f aca="false">ROUND(I1324*J1324^($F$8-1),0)</f>
        <v>12380</v>
      </c>
      <c r="L1324" s="16" t="n">
        <f aca="false">ROUND(I1324*J1324^($F$9-1),0)</f>
        <v>12524</v>
      </c>
      <c r="M1324" s="17" t="n">
        <f aca="false">G1324*$F$7</f>
        <v>98627.6993826289</v>
      </c>
      <c r="N1324" s="18" t="n">
        <f aca="false">F1324/K1324</f>
        <v>7.2016155088853</v>
      </c>
      <c r="O1324" s="18" t="n">
        <f aca="false">G1324/L1324</f>
        <v>8.17510380070265</v>
      </c>
      <c r="P1324" s="18" t="n">
        <f aca="false">M1324/L1324</f>
        <v>7.87509576673818</v>
      </c>
      <c r="Q1324" s="19" t="n">
        <f aca="false">IF(N1324=0,"n.a.",P1324/N1324-1)</f>
        <v>0.0935179414982574</v>
      </c>
    </row>
    <row r="1325" customFormat="false" ht="15" hidden="false" customHeight="false" outlineLevel="0" collapsed="false">
      <c r="A1325" s="12" t="s">
        <v>3204</v>
      </c>
      <c r="B1325" s="12" t="s">
        <v>2963</v>
      </c>
      <c r="C1325" s="12" t="s">
        <v>2964</v>
      </c>
      <c r="D1325" s="12" t="s">
        <v>1729</v>
      </c>
      <c r="E1325" s="12" t="s">
        <v>3205</v>
      </c>
      <c r="F1325" s="13" t="n">
        <v>204330</v>
      </c>
      <c r="G1325" s="13" t="n">
        <v>333834</v>
      </c>
      <c r="H1325" s="14" t="n">
        <v>3759</v>
      </c>
      <c r="I1325" s="14" t="n">
        <v>3678</v>
      </c>
      <c r="J1325" s="15" t="n">
        <f aca="false">I1325/H1325</f>
        <v>0.978451715881884</v>
      </c>
      <c r="K1325" s="16" t="n">
        <f aca="false">ROUND(I1325*J1325^($F$8-1),0)</f>
        <v>3697</v>
      </c>
      <c r="L1325" s="16" t="n">
        <f aca="false">ROUND(I1325*J1325^($F$9-1),0)</f>
        <v>3682</v>
      </c>
      <c r="M1325" s="17" t="n">
        <f aca="false">G1325*$F$7</f>
        <v>321583.038489042</v>
      </c>
      <c r="N1325" s="18" t="n">
        <f aca="false">F1325/K1325</f>
        <v>55.2691371382202</v>
      </c>
      <c r="O1325" s="18" t="n">
        <f aca="false">G1325/L1325</f>
        <v>90.6664856056491</v>
      </c>
      <c r="P1325" s="18" t="n">
        <f aca="false">M1325/L1325</f>
        <v>87.3392282697017</v>
      </c>
      <c r="Q1325" s="19" t="n">
        <f aca="false">IF(N1325=0,"n.a.",P1325/N1325-1)</f>
        <v>0.58025315378597</v>
      </c>
    </row>
    <row r="1326" customFormat="false" ht="15" hidden="false" customHeight="false" outlineLevel="0" collapsed="false">
      <c r="A1326" s="12" t="s">
        <v>3206</v>
      </c>
      <c r="B1326" s="12" t="s">
        <v>2963</v>
      </c>
      <c r="C1326" s="12" t="s">
        <v>2964</v>
      </c>
      <c r="D1326" s="12" t="s">
        <v>1732</v>
      </c>
      <c r="E1326" s="12" t="s">
        <v>3207</v>
      </c>
      <c r="F1326" s="13" t="n">
        <v>93574192</v>
      </c>
      <c r="G1326" s="13" t="n">
        <v>92296546</v>
      </c>
      <c r="H1326" s="14" t="n">
        <v>137810</v>
      </c>
      <c r="I1326" s="14" t="n">
        <v>148187</v>
      </c>
      <c r="J1326" s="15" t="n">
        <f aca="false">I1326/H1326</f>
        <v>1.07529932515783</v>
      </c>
      <c r="K1326" s="16" t="n">
        <f aca="false">ROUND(I1326*J1326^($F$8-1),0)</f>
        <v>145724</v>
      </c>
      <c r="L1326" s="16" t="n">
        <f aca="false">ROUND(I1326*J1326^($F$9-1),0)</f>
        <v>147629</v>
      </c>
      <c r="M1326" s="17" t="n">
        <f aca="false">G1326*$F$7</f>
        <v>88909469.0915953</v>
      </c>
      <c r="N1326" s="18" t="n">
        <f aca="false">F1326/K1326</f>
        <v>642.133018583075</v>
      </c>
      <c r="O1326" s="18" t="n">
        <f aca="false">G1326/L1326</f>
        <v>625.192516375509</v>
      </c>
      <c r="P1326" s="18" t="n">
        <f aca="false">M1326/L1326</f>
        <v>602.249348648269</v>
      </c>
      <c r="Q1326" s="19" t="n">
        <f aca="false">IF(N1326=0,"n.a.",P1326/N1326-1)</f>
        <v>-0.0621112273946184</v>
      </c>
    </row>
    <row r="1327" customFormat="false" ht="15" hidden="false" customHeight="false" outlineLevel="0" collapsed="false">
      <c r="A1327" s="12" t="s">
        <v>3208</v>
      </c>
      <c r="B1327" s="12" t="s">
        <v>2963</v>
      </c>
      <c r="C1327" s="12" t="s">
        <v>2964</v>
      </c>
      <c r="D1327" s="12" t="s">
        <v>1735</v>
      </c>
      <c r="E1327" s="12" t="s">
        <v>3209</v>
      </c>
      <c r="F1327" s="13" t="n">
        <v>357889</v>
      </c>
      <c r="G1327" s="13" t="n">
        <v>612304</v>
      </c>
      <c r="H1327" s="14" t="n">
        <v>3488</v>
      </c>
      <c r="I1327" s="14" t="n">
        <v>3411</v>
      </c>
      <c r="J1327" s="15" t="n">
        <f aca="false">I1327/H1327</f>
        <v>0.977924311926605</v>
      </c>
      <c r="K1327" s="16" t="n">
        <f aca="false">ROUND(I1327*J1327^($F$8-1),0)</f>
        <v>3429</v>
      </c>
      <c r="L1327" s="16" t="n">
        <f aca="false">ROUND(I1327*J1327^($F$9-1),0)</f>
        <v>3415</v>
      </c>
      <c r="M1327" s="17" t="n">
        <f aca="false">G1327*$F$7</f>
        <v>589833.812011342</v>
      </c>
      <c r="N1327" s="18" t="n">
        <f aca="false">F1327/K1327</f>
        <v>104.371245261009</v>
      </c>
      <c r="O1327" s="18" t="n">
        <f aca="false">G1327/L1327</f>
        <v>179.298389458272</v>
      </c>
      <c r="P1327" s="18" t="n">
        <f aca="false">M1327/L1327</f>
        <v>172.718539388387</v>
      </c>
      <c r="Q1327" s="19" t="n">
        <f aca="false">IF(N1327=0,"n.a.",P1327/N1327-1)</f>
        <v>0.654847932076088</v>
      </c>
    </row>
    <row r="1328" customFormat="false" ht="15" hidden="false" customHeight="false" outlineLevel="0" collapsed="false">
      <c r="A1328" s="12" t="s">
        <v>3210</v>
      </c>
      <c r="B1328" s="12" t="s">
        <v>2963</v>
      </c>
      <c r="C1328" s="12" t="s">
        <v>2964</v>
      </c>
      <c r="D1328" s="12" t="s">
        <v>1738</v>
      </c>
      <c r="E1328" s="12" t="s">
        <v>3211</v>
      </c>
      <c r="F1328" s="13" t="n">
        <v>1525405</v>
      </c>
      <c r="G1328" s="13" t="n">
        <v>1707560</v>
      </c>
      <c r="H1328" s="14" t="n">
        <v>30624</v>
      </c>
      <c r="I1328" s="14" t="n">
        <v>29393</v>
      </c>
      <c r="J1328" s="15" t="n">
        <f aca="false">I1328/H1328</f>
        <v>0.959802769070011</v>
      </c>
      <c r="K1328" s="16" t="n">
        <f aca="false">ROUND(I1328*J1328^($F$8-1),0)</f>
        <v>29673</v>
      </c>
      <c r="L1328" s="16" t="n">
        <f aca="false">ROUND(I1328*J1328^($F$9-1),0)</f>
        <v>29456</v>
      </c>
      <c r="M1328" s="17" t="n">
        <f aca="false">G1328*$F$7</f>
        <v>1644896.36526641</v>
      </c>
      <c r="N1328" s="18" t="n">
        <f aca="false">F1328/K1328</f>
        <v>51.4071715027129</v>
      </c>
      <c r="O1328" s="18" t="n">
        <f aca="false">G1328/L1328</f>
        <v>57.9698533405758</v>
      </c>
      <c r="P1328" s="18" t="n">
        <f aca="false">M1328/L1328</f>
        <v>55.8424893151281</v>
      </c>
      <c r="Q1328" s="19" t="n">
        <f aca="false">IF(N1328=0,"n.a.",P1328/N1328-1)</f>
        <v>0.0862781919869131</v>
      </c>
    </row>
    <row r="1329" customFormat="false" ht="15" hidden="false" customHeight="false" outlineLevel="0" collapsed="false">
      <c r="A1329" s="12" t="s">
        <v>3212</v>
      </c>
      <c r="B1329" s="12" t="s">
        <v>2963</v>
      </c>
      <c r="C1329" s="12" t="s">
        <v>2964</v>
      </c>
      <c r="D1329" s="12" t="s">
        <v>1741</v>
      </c>
      <c r="E1329" s="12" t="s">
        <v>3213</v>
      </c>
      <c r="F1329" s="13" t="n">
        <v>1518423</v>
      </c>
      <c r="G1329" s="13" t="n">
        <v>1986334</v>
      </c>
      <c r="H1329" s="14" t="n">
        <v>34877</v>
      </c>
      <c r="I1329" s="14" t="n">
        <v>36586</v>
      </c>
      <c r="J1329" s="15" t="n">
        <f aca="false">I1329/H1329</f>
        <v>1.04900077414915</v>
      </c>
      <c r="K1329" s="16" t="n">
        <f aca="false">ROUND(I1329*J1329^($F$8-1),0)</f>
        <v>36184</v>
      </c>
      <c r="L1329" s="16" t="n">
        <f aca="false">ROUND(I1329*J1329^($F$9-1),0)</f>
        <v>36495</v>
      </c>
      <c r="M1329" s="17" t="n">
        <f aca="false">G1329*$F$7</f>
        <v>1913439.98266831</v>
      </c>
      <c r="N1329" s="18" t="n">
        <f aca="false">F1329/K1329</f>
        <v>41.963934335618</v>
      </c>
      <c r="O1329" s="18" t="n">
        <f aca="false">G1329/L1329</f>
        <v>54.4275654199205</v>
      </c>
      <c r="P1329" s="18" t="n">
        <f aca="false">M1329/L1329</f>
        <v>52.430195442343</v>
      </c>
      <c r="Q1329" s="19" t="n">
        <f aca="false">IF(N1329=0,"n.a.",P1329/N1329-1)</f>
        <v>0.249410863695914</v>
      </c>
    </row>
    <row r="1330" customFormat="false" ht="15" hidden="false" customHeight="false" outlineLevel="0" collapsed="false">
      <c r="A1330" s="12" t="s">
        <v>3214</v>
      </c>
      <c r="B1330" s="12" t="s">
        <v>2963</v>
      </c>
      <c r="C1330" s="12" t="s">
        <v>2964</v>
      </c>
      <c r="D1330" s="12" t="s">
        <v>1747</v>
      </c>
      <c r="E1330" s="12" t="s">
        <v>3215</v>
      </c>
      <c r="F1330" s="13" t="n">
        <v>280168</v>
      </c>
      <c r="G1330" s="13" t="n">
        <v>364162</v>
      </c>
      <c r="H1330" s="14" t="n">
        <v>13149</v>
      </c>
      <c r="I1330" s="14" t="n">
        <v>12866</v>
      </c>
      <c r="J1330" s="15" t="n">
        <f aca="false">I1330/H1330</f>
        <v>0.978477450756712</v>
      </c>
      <c r="K1330" s="16" t="n">
        <f aca="false">ROUND(I1330*J1330^($F$8-1),0)</f>
        <v>12931</v>
      </c>
      <c r="L1330" s="16" t="n">
        <f aca="false">ROUND(I1330*J1330^($F$9-1),0)</f>
        <v>12881</v>
      </c>
      <c r="M1330" s="17" t="n">
        <f aca="false">G1330*$F$7</f>
        <v>350798.068687571</v>
      </c>
      <c r="N1330" s="18" t="n">
        <f aca="false">F1330/K1330</f>
        <v>21.666383110355</v>
      </c>
      <c r="O1330" s="18" t="n">
        <f aca="false">G1330/L1330</f>
        <v>28.2712522319696</v>
      </c>
      <c r="P1330" s="18" t="n">
        <f aca="false">M1330/L1330</f>
        <v>27.2337604757061</v>
      </c>
      <c r="Q1330" s="19" t="n">
        <f aca="false">IF(N1330=0,"n.a.",P1330/N1330-1)</f>
        <v>0.256959241281502</v>
      </c>
    </row>
    <row r="1331" customFormat="false" ht="15" hidden="false" customHeight="false" outlineLevel="0" collapsed="false">
      <c r="A1331" s="12" t="s">
        <v>3216</v>
      </c>
      <c r="B1331" s="12" t="s">
        <v>2963</v>
      </c>
      <c r="C1331" s="12" t="s">
        <v>2964</v>
      </c>
      <c r="D1331" s="12" t="s">
        <v>1750</v>
      </c>
      <c r="E1331" s="12" t="s">
        <v>3217</v>
      </c>
      <c r="F1331" s="13" t="n">
        <v>45448</v>
      </c>
      <c r="G1331" s="13" t="n">
        <v>57010</v>
      </c>
      <c r="H1331" s="14" t="n">
        <v>749</v>
      </c>
      <c r="I1331" s="14" t="n">
        <v>734</v>
      </c>
      <c r="J1331" s="15" t="n">
        <f aca="false">I1331/H1331</f>
        <v>0.979973297730307</v>
      </c>
      <c r="K1331" s="16" t="n">
        <f aca="false">ROUND(I1331*J1331^($F$8-1),0)</f>
        <v>737</v>
      </c>
      <c r="L1331" s="16" t="n">
        <f aca="false">ROUND(I1331*J1331^($F$9-1),0)</f>
        <v>735</v>
      </c>
      <c r="M1331" s="17" t="n">
        <f aca="false">G1331*$F$7</f>
        <v>54917.8604463903</v>
      </c>
      <c r="N1331" s="18" t="n">
        <f aca="false">F1331/K1331</f>
        <v>61.6662143826323</v>
      </c>
      <c r="O1331" s="18" t="n">
        <f aca="false">G1331/L1331</f>
        <v>77.5646258503401</v>
      </c>
      <c r="P1331" s="18" t="n">
        <f aca="false">M1331/L1331</f>
        <v>74.7181774780821</v>
      </c>
      <c r="Q1331" s="19" t="n">
        <f aca="false">IF(N1331=0,"n.a.",P1331/N1331-1)</f>
        <v>0.211655007950768</v>
      </c>
    </row>
    <row r="1332" customFormat="false" ht="15" hidden="false" customHeight="false" outlineLevel="0" collapsed="false">
      <c r="A1332" s="12" t="s">
        <v>3218</v>
      </c>
      <c r="B1332" s="12" t="s">
        <v>2963</v>
      </c>
      <c r="C1332" s="12" t="s">
        <v>2964</v>
      </c>
      <c r="D1332" s="12" t="s">
        <v>1753</v>
      </c>
      <c r="E1332" s="12" t="s">
        <v>3219</v>
      </c>
      <c r="F1332" s="13" t="n">
        <v>387785</v>
      </c>
      <c r="G1332" s="13" t="n">
        <v>672321</v>
      </c>
      <c r="H1332" s="14" t="n">
        <v>6318</v>
      </c>
      <c r="I1332" s="14" t="n">
        <v>6589</v>
      </c>
      <c r="J1332" s="15" t="n">
        <f aca="false">I1332/H1332</f>
        <v>1.0428933206711</v>
      </c>
      <c r="K1332" s="16" t="n">
        <f aca="false">ROUND(I1332*J1332^($F$8-1),0)</f>
        <v>6525</v>
      </c>
      <c r="L1332" s="16" t="n">
        <f aca="false">ROUND(I1332*J1332^($F$9-1),0)</f>
        <v>6575</v>
      </c>
      <c r="M1332" s="17" t="n">
        <f aca="false">G1332*$F$7</f>
        <v>647648.322279909</v>
      </c>
      <c r="N1332" s="18" t="n">
        <f aca="false">F1332/K1332</f>
        <v>59.4306513409962</v>
      </c>
      <c r="O1332" s="18" t="n">
        <f aca="false">G1332/L1332</f>
        <v>102.254144486692</v>
      </c>
      <c r="P1332" s="18" t="n">
        <f aca="false">M1332/L1332</f>
        <v>98.5016459741306</v>
      </c>
      <c r="Q1332" s="19" t="n">
        <f aca="false">IF(N1332=0,"n.a.",P1332/N1332-1)</f>
        <v>0.657421612442983</v>
      </c>
    </row>
    <row r="1333" customFormat="false" ht="15" hidden="false" customHeight="false" outlineLevel="0" collapsed="false">
      <c r="A1333" s="12" t="s">
        <v>3220</v>
      </c>
      <c r="B1333" s="12" t="s">
        <v>2963</v>
      </c>
      <c r="C1333" s="12" t="s">
        <v>2964</v>
      </c>
      <c r="D1333" s="12" t="s">
        <v>1756</v>
      </c>
      <c r="E1333" s="12" t="s">
        <v>3221</v>
      </c>
      <c r="F1333" s="13" t="n">
        <v>1334721</v>
      </c>
      <c r="G1333" s="13" t="n">
        <v>1271191</v>
      </c>
      <c r="H1333" s="14" t="n">
        <v>11498</v>
      </c>
      <c r="I1333" s="14" t="n">
        <v>12177</v>
      </c>
      <c r="J1333" s="15" t="n">
        <f aca="false">I1333/H1333</f>
        <v>1.059053748478</v>
      </c>
      <c r="K1333" s="16" t="n">
        <f aca="false">ROUND(I1333*J1333^($F$8-1),0)</f>
        <v>12017</v>
      </c>
      <c r="L1333" s="16" t="n">
        <f aca="false">ROUND(I1333*J1333^($F$9-1),0)</f>
        <v>12141</v>
      </c>
      <c r="M1333" s="17" t="n">
        <f aca="false">G1333*$F$7</f>
        <v>1224541.13205942</v>
      </c>
      <c r="N1333" s="18" t="n">
        <f aca="false">F1333/K1333</f>
        <v>111.069401680952</v>
      </c>
      <c r="O1333" s="18" t="n">
        <f aca="false">G1333/L1333</f>
        <v>104.702330944733</v>
      </c>
      <c r="P1333" s="18" t="n">
        <f aca="false">M1333/L1333</f>
        <v>100.859989462105</v>
      </c>
      <c r="Q1333" s="19" t="n">
        <f aca="false">IF(N1333=0,"n.a.",P1333/N1333-1)</f>
        <v>-0.091919215052347</v>
      </c>
    </row>
    <row r="1334" customFormat="false" ht="15" hidden="false" customHeight="false" outlineLevel="0" collapsed="false">
      <c r="A1334" s="12" t="s">
        <v>3222</v>
      </c>
      <c r="B1334" s="12" t="s">
        <v>2963</v>
      </c>
      <c r="C1334" s="12" t="s">
        <v>2964</v>
      </c>
      <c r="D1334" s="12" t="s">
        <v>1759</v>
      </c>
      <c r="E1334" s="12" t="s">
        <v>3223</v>
      </c>
      <c r="F1334" s="13" t="n">
        <v>975583</v>
      </c>
      <c r="G1334" s="13" t="n">
        <v>1319719</v>
      </c>
      <c r="H1334" s="14" t="n">
        <v>30309</v>
      </c>
      <c r="I1334" s="14" t="n">
        <v>36277</v>
      </c>
      <c r="J1334" s="15" t="n">
        <f aca="false">I1334/H1334</f>
        <v>1.19690520967369</v>
      </c>
      <c r="K1334" s="16" t="n">
        <f aca="false">ROUND(I1334*J1334^($F$8-1),0)</f>
        <v>34802</v>
      </c>
      <c r="L1334" s="16" t="n">
        <f aca="false">ROUND(I1334*J1334^($F$9-1),0)</f>
        <v>35940</v>
      </c>
      <c r="M1334" s="17" t="n">
        <f aca="false">G1334*$F$7</f>
        <v>1271288.26294422</v>
      </c>
      <c r="N1334" s="18" t="n">
        <f aca="false">F1334/K1334</f>
        <v>28.032383196368</v>
      </c>
      <c r="O1334" s="18" t="n">
        <f aca="false">G1334/L1334</f>
        <v>36.720061213133</v>
      </c>
      <c r="P1334" s="18" t="n">
        <f aca="false">M1334/L1334</f>
        <v>35.3725170546527</v>
      </c>
      <c r="Q1334" s="19" t="n">
        <f aca="false">IF(N1334=0,"n.a.",P1334/N1334-1)</f>
        <v>0.261844803093148</v>
      </c>
    </row>
    <row r="1335" customFormat="false" ht="15" hidden="false" customHeight="false" outlineLevel="0" collapsed="false">
      <c r="A1335" s="12" t="s">
        <v>3224</v>
      </c>
      <c r="B1335" s="12" t="s">
        <v>2963</v>
      </c>
      <c r="C1335" s="12" t="s">
        <v>2964</v>
      </c>
      <c r="D1335" s="12" t="s">
        <v>1762</v>
      </c>
      <c r="E1335" s="12" t="s">
        <v>3225</v>
      </c>
      <c r="F1335" s="13" t="n">
        <v>388633</v>
      </c>
      <c r="G1335" s="13" t="n">
        <v>297588</v>
      </c>
      <c r="H1335" s="14" t="n">
        <v>6105</v>
      </c>
      <c r="I1335" s="14" t="n">
        <v>6546</v>
      </c>
      <c r="J1335" s="15" t="n">
        <f aca="false">I1335/H1335</f>
        <v>1.07223587223587</v>
      </c>
      <c r="K1335" s="16" t="n">
        <f aca="false">ROUND(I1335*J1335^($F$8-1),0)</f>
        <v>6441</v>
      </c>
      <c r="L1335" s="16" t="n">
        <f aca="false">ROUND(I1335*J1335^($F$9-1),0)</f>
        <v>6522</v>
      </c>
      <c r="M1335" s="17" t="n">
        <f aca="false">G1335*$F$7</f>
        <v>286667.185660768</v>
      </c>
      <c r="N1335" s="18" t="n">
        <f aca="false">F1335/K1335</f>
        <v>60.3373699736066</v>
      </c>
      <c r="O1335" s="18" t="n">
        <f aca="false">G1335/L1335</f>
        <v>45.6283348666053</v>
      </c>
      <c r="P1335" s="18" t="n">
        <f aca="false">M1335/L1335</f>
        <v>43.953876979572</v>
      </c>
      <c r="Q1335" s="19" t="n">
        <f aca="false">IF(N1335=0,"n.a.",P1335/N1335-1)</f>
        <v>-0.271531440651146</v>
      </c>
    </row>
    <row r="1336" customFormat="false" ht="15" hidden="false" customHeight="false" outlineLevel="0" collapsed="false">
      <c r="A1336" s="12" t="s">
        <v>3226</v>
      </c>
      <c r="B1336" s="12" t="s">
        <v>2963</v>
      </c>
      <c r="C1336" s="12" t="s">
        <v>2964</v>
      </c>
      <c r="D1336" s="12" t="s">
        <v>1765</v>
      </c>
      <c r="E1336" s="12" t="s">
        <v>3227</v>
      </c>
      <c r="F1336" s="13" t="n">
        <v>626428</v>
      </c>
      <c r="G1336" s="13" t="n">
        <v>936500</v>
      </c>
      <c r="H1336" s="14" t="n">
        <v>9313</v>
      </c>
      <c r="I1336" s="14" t="n">
        <v>9847</v>
      </c>
      <c r="J1336" s="15" t="n">
        <f aca="false">I1336/H1336</f>
        <v>1.05733920326425</v>
      </c>
      <c r="K1336" s="16" t="n">
        <f aca="false">ROUND(I1336*J1336^($F$8-1),0)</f>
        <v>9721</v>
      </c>
      <c r="L1336" s="16" t="n">
        <f aca="false">ROUND(I1336*J1336^($F$9-1),0)</f>
        <v>9819</v>
      </c>
      <c r="M1336" s="17" t="n">
        <f aca="false">G1336*$F$7</f>
        <v>902132.543554544</v>
      </c>
      <c r="N1336" s="18" t="n">
        <f aca="false">F1336/K1336</f>
        <v>64.4406954017076</v>
      </c>
      <c r="O1336" s="18" t="n">
        <f aca="false">G1336/L1336</f>
        <v>95.3763112333232</v>
      </c>
      <c r="P1336" s="18" t="n">
        <f aca="false">M1336/L1336</f>
        <v>91.8762138256996</v>
      </c>
      <c r="Q1336" s="19" t="n">
        <f aca="false">IF(N1336=0,"n.a.",P1336/N1336-1)</f>
        <v>0.425748329575986</v>
      </c>
    </row>
    <row r="1337" customFormat="false" ht="15" hidden="false" customHeight="false" outlineLevel="0" collapsed="false">
      <c r="A1337" s="12" t="s">
        <v>3228</v>
      </c>
      <c r="B1337" s="12" t="s">
        <v>2963</v>
      </c>
      <c r="C1337" s="12" t="s">
        <v>2964</v>
      </c>
      <c r="D1337" s="12" t="s">
        <v>1768</v>
      </c>
      <c r="E1337" s="12" t="s">
        <v>3229</v>
      </c>
      <c r="F1337" s="13" t="n">
        <v>574702</v>
      </c>
      <c r="G1337" s="13" t="n">
        <v>961825</v>
      </c>
      <c r="H1337" s="14" t="n">
        <v>12631</v>
      </c>
      <c r="I1337" s="14" t="n">
        <v>13278</v>
      </c>
      <c r="J1337" s="15" t="n">
        <f aca="false">I1337/H1337</f>
        <v>1.05122318106247</v>
      </c>
      <c r="K1337" s="16" t="n">
        <f aca="false">ROUND(I1337*J1337^($F$8-1),0)</f>
        <v>13126</v>
      </c>
      <c r="L1337" s="16" t="n">
        <f aca="false">ROUND(I1337*J1337^($F$9-1),0)</f>
        <v>13244</v>
      </c>
      <c r="M1337" s="17" t="n">
        <f aca="false">G1337*$F$7</f>
        <v>926528.172668819</v>
      </c>
      <c r="N1337" s="18" t="n">
        <f aca="false">F1337/K1337</f>
        <v>43.7834831631876</v>
      </c>
      <c r="O1337" s="18" t="n">
        <f aca="false">G1337/L1337</f>
        <v>72.6234521292661</v>
      </c>
      <c r="P1337" s="18" t="n">
        <f aca="false">M1337/L1337</f>
        <v>69.9583337865312</v>
      </c>
      <c r="Q1337" s="19" t="n">
        <f aca="false">IF(N1337=0,"n.a.",P1337/N1337-1)</f>
        <v>0.597824767065381</v>
      </c>
    </row>
    <row r="1338" customFormat="false" ht="15" hidden="false" customHeight="false" outlineLevel="0" collapsed="false">
      <c r="A1338" s="12" t="s">
        <v>3230</v>
      </c>
      <c r="B1338" s="12" t="s">
        <v>2963</v>
      </c>
      <c r="C1338" s="12" t="s">
        <v>2964</v>
      </c>
      <c r="D1338" s="12" t="s">
        <v>1771</v>
      </c>
      <c r="E1338" s="12" t="s">
        <v>3231</v>
      </c>
      <c r="F1338" s="13" t="n">
        <v>5561829</v>
      </c>
      <c r="G1338" s="13" t="n">
        <v>6083496</v>
      </c>
      <c r="H1338" s="14" t="n">
        <v>23595</v>
      </c>
      <c r="I1338" s="14" t="n">
        <v>26218</v>
      </c>
      <c r="J1338" s="15" t="n">
        <f aca="false">I1338/H1338</f>
        <v>1.11116762025853</v>
      </c>
      <c r="K1338" s="16" t="n">
        <f aca="false">ROUND(I1338*J1338^($F$8-1),0)</f>
        <v>25588</v>
      </c>
      <c r="L1338" s="16" t="n">
        <f aca="false">ROUND(I1338*J1338^($F$9-1),0)</f>
        <v>26075</v>
      </c>
      <c r="M1338" s="17" t="n">
        <f aca="false">G1338*$F$7</f>
        <v>5860245.29651243</v>
      </c>
      <c r="N1338" s="18" t="n">
        <f aca="false">F1338/K1338</f>
        <v>217.360833203064</v>
      </c>
      <c r="O1338" s="18" t="n">
        <f aca="false">G1338/L1338</f>
        <v>233.307612655801</v>
      </c>
      <c r="P1338" s="18" t="n">
        <f aca="false">M1338/L1338</f>
        <v>224.745744832692</v>
      </c>
      <c r="Q1338" s="19" t="n">
        <f aca="false">IF(N1338=0,"n.a.",P1338/N1338-1)</f>
        <v>0.0339753557290081</v>
      </c>
    </row>
    <row r="1339" customFormat="false" ht="15" hidden="false" customHeight="false" outlineLevel="0" collapsed="false">
      <c r="A1339" s="12" t="s">
        <v>3232</v>
      </c>
      <c r="B1339" s="12" t="s">
        <v>2963</v>
      </c>
      <c r="C1339" s="12" t="s">
        <v>2964</v>
      </c>
      <c r="D1339" s="12" t="s">
        <v>1774</v>
      </c>
      <c r="E1339" s="12" t="s">
        <v>3233</v>
      </c>
      <c r="F1339" s="13" t="n">
        <v>12806736</v>
      </c>
      <c r="G1339" s="13" t="n">
        <v>15008653</v>
      </c>
      <c r="H1339" s="14" t="n">
        <v>80632</v>
      </c>
      <c r="I1339" s="14" t="n">
        <v>84476</v>
      </c>
      <c r="J1339" s="15" t="n">
        <f aca="false">I1339/H1339</f>
        <v>1.04767338029566</v>
      </c>
      <c r="K1339" s="16" t="n">
        <f aca="false">ROUND(I1339*J1339^($F$8-1),0)</f>
        <v>83573</v>
      </c>
      <c r="L1339" s="16" t="n">
        <f aca="false">ROUND(I1339*J1339^($F$9-1),0)</f>
        <v>84272</v>
      </c>
      <c r="M1339" s="17" t="n">
        <f aca="false">G1339*$F$7</f>
        <v>14457868.9868847</v>
      </c>
      <c r="N1339" s="18" t="n">
        <f aca="false">F1339/K1339</f>
        <v>153.240113433765</v>
      </c>
      <c r="O1339" s="18" t="n">
        <f aca="false">G1339/L1339</f>
        <v>178.097743022594</v>
      </c>
      <c r="P1339" s="18" t="n">
        <f aca="false">M1339/L1339</f>
        <v>171.561953992841</v>
      </c>
      <c r="Q1339" s="19" t="n">
        <f aca="false">IF(N1339=0,"n.a.",P1339/N1339-1)</f>
        <v>0.119562953514754</v>
      </c>
    </row>
    <row r="1340" customFormat="false" ht="15" hidden="false" customHeight="false" outlineLevel="0" collapsed="false">
      <c r="A1340" s="12" t="s">
        <v>3234</v>
      </c>
      <c r="B1340" s="12" t="s">
        <v>2963</v>
      </c>
      <c r="C1340" s="12" t="s">
        <v>2964</v>
      </c>
      <c r="D1340" s="12" t="s">
        <v>1777</v>
      </c>
      <c r="E1340" s="12" t="s">
        <v>3235</v>
      </c>
      <c r="F1340" s="13" t="n">
        <v>761017</v>
      </c>
      <c r="G1340" s="13" t="n">
        <v>1434250</v>
      </c>
      <c r="H1340" s="14" t="n">
        <v>6136</v>
      </c>
      <c r="I1340" s="14" t="n">
        <v>5765</v>
      </c>
      <c r="J1340" s="15" t="n">
        <f aca="false">I1340/H1340</f>
        <v>0.939537157757497</v>
      </c>
      <c r="K1340" s="16" t="n">
        <f aca="false">ROUND(I1340*J1340^($F$8-1),0)</f>
        <v>5849</v>
      </c>
      <c r="L1340" s="16" t="n">
        <f aca="false">ROUND(I1340*J1340^($F$9-1),0)</f>
        <v>5784</v>
      </c>
      <c r="M1340" s="17" t="n">
        <f aca="false">G1340*$F$7</f>
        <v>1381616.23127934</v>
      </c>
      <c r="N1340" s="18" t="n">
        <f aca="false">F1340/K1340</f>
        <v>130.110617199521</v>
      </c>
      <c r="O1340" s="18" t="n">
        <f aca="false">G1340/L1340</f>
        <v>247.968533886584</v>
      </c>
      <c r="P1340" s="18" t="n">
        <f aca="false">M1340/L1340</f>
        <v>238.868643028932</v>
      </c>
      <c r="Q1340" s="19" t="n">
        <f aca="false">IF(N1340=0,"n.a.",P1340/N1340-1)</f>
        <v>0.835888939506245</v>
      </c>
    </row>
    <row r="1341" customFormat="false" ht="15" hidden="false" customHeight="false" outlineLevel="0" collapsed="false">
      <c r="A1341" s="12" t="s">
        <v>3236</v>
      </c>
      <c r="B1341" s="12" t="s">
        <v>2963</v>
      </c>
      <c r="C1341" s="12" t="s">
        <v>2964</v>
      </c>
      <c r="D1341" s="12" t="s">
        <v>1780</v>
      </c>
      <c r="E1341" s="12" t="s">
        <v>3237</v>
      </c>
      <c r="F1341" s="13" t="n">
        <v>86048789</v>
      </c>
      <c r="G1341" s="13" t="n">
        <v>93250413</v>
      </c>
      <c r="H1341" s="14" t="n">
        <v>326119</v>
      </c>
      <c r="I1341" s="14" t="n">
        <v>343104</v>
      </c>
      <c r="J1341" s="15" t="n">
        <f aca="false">I1341/H1341</f>
        <v>1.05208221538763</v>
      </c>
      <c r="K1341" s="16" t="n">
        <f aca="false">ROUND(I1341*J1341^($F$8-1),0)</f>
        <v>339106</v>
      </c>
      <c r="L1341" s="16" t="n">
        <f aca="false">ROUND(I1341*J1341^($F$9-1),0)</f>
        <v>342200</v>
      </c>
      <c r="M1341" s="17" t="n">
        <f aca="false">G1341*$F$7</f>
        <v>89828331.3050739</v>
      </c>
      <c r="N1341" s="18" t="n">
        <f aca="false">F1341/K1341</f>
        <v>253.751891738866</v>
      </c>
      <c r="O1341" s="18" t="n">
        <f aca="false">G1341/L1341</f>
        <v>272.502668030392</v>
      </c>
      <c r="P1341" s="18" t="n">
        <f aca="false">M1341/L1341</f>
        <v>262.502429295949</v>
      </c>
      <c r="Q1341" s="19" t="n">
        <f aca="false">IF(N1341=0,"n.a.",P1341/N1341-1)</f>
        <v>0.0344846199849744</v>
      </c>
    </row>
    <row r="1342" customFormat="false" ht="15" hidden="false" customHeight="false" outlineLevel="0" collapsed="false">
      <c r="A1342" s="12" t="s">
        <v>3238</v>
      </c>
      <c r="B1342" s="12" t="s">
        <v>2963</v>
      </c>
      <c r="C1342" s="12" t="s">
        <v>2964</v>
      </c>
      <c r="D1342" s="12" t="s">
        <v>1783</v>
      </c>
      <c r="E1342" s="12" t="s">
        <v>3239</v>
      </c>
      <c r="F1342" s="13" t="n">
        <v>905935</v>
      </c>
      <c r="G1342" s="13" t="n">
        <v>1228932</v>
      </c>
      <c r="H1342" s="14" t="n">
        <v>12672</v>
      </c>
      <c r="I1342" s="14" t="n">
        <v>12691</v>
      </c>
      <c r="J1342" s="15" t="n">
        <f aca="false">I1342/H1342</f>
        <v>1.00149936868687</v>
      </c>
      <c r="K1342" s="16" t="n">
        <f aca="false">ROUND(I1342*J1342^($F$8-1),0)</f>
        <v>12687</v>
      </c>
      <c r="L1342" s="16" t="n">
        <f aca="false">ROUND(I1342*J1342^($F$9-1),0)</f>
        <v>12690</v>
      </c>
      <c r="M1342" s="17" t="n">
        <f aca="false">G1342*$F$7</f>
        <v>1183832.94288903</v>
      </c>
      <c r="N1342" s="18" t="n">
        <f aca="false">F1342/K1342</f>
        <v>71.4065578939072</v>
      </c>
      <c r="O1342" s="18" t="n">
        <f aca="false">G1342/L1342</f>
        <v>96.8425531914894</v>
      </c>
      <c r="P1342" s="18" t="n">
        <f aca="false">M1342/L1342</f>
        <v>93.2886479817988</v>
      </c>
      <c r="Q1342" s="19" t="n">
        <f aca="false">IF(N1342=0,"n.a.",P1342/N1342-1)</f>
        <v>0.306443703957878</v>
      </c>
    </row>
    <row r="1343" customFormat="false" ht="15" hidden="false" customHeight="false" outlineLevel="0" collapsed="false">
      <c r="A1343" s="12" t="s">
        <v>3240</v>
      </c>
      <c r="B1343" s="12" t="s">
        <v>2963</v>
      </c>
      <c r="C1343" s="12" t="s">
        <v>2964</v>
      </c>
      <c r="D1343" s="12" t="s">
        <v>1786</v>
      </c>
      <c r="E1343" s="12" t="s">
        <v>3241</v>
      </c>
      <c r="F1343" s="13" t="n">
        <v>296692</v>
      </c>
      <c r="G1343" s="13" t="n">
        <v>501645</v>
      </c>
      <c r="H1343" s="14" t="n">
        <v>6743</v>
      </c>
      <c r="I1343" s="14" t="n">
        <v>6257</v>
      </c>
      <c r="J1343" s="15" t="n">
        <f aca="false">I1343/H1343</f>
        <v>0.927925255820851</v>
      </c>
      <c r="K1343" s="16" t="n">
        <f aca="false">ROUND(I1343*J1343^($F$8-1),0)</f>
        <v>6366</v>
      </c>
      <c r="L1343" s="16" t="n">
        <f aca="false">ROUND(I1343*J1343^($F$9-1),0)</f>
        <v>6281</v>
      </c>
      <c r="M1343" s="17" t="n">
        <f aca="false">G1343*$F$7</f>
        <v>483235.749932108</v>
      </c>
      <c r="N1343" s="18" t="n">
        <f aca="false">F1343/K1343</f>
        <v>46.6057178762174</v>
      </c>
      <c r="O1343" s="18" t="n">
        <f aca="false">G1343/L1343</f>
        <v>79.8670593854482</v>
      </c>
      <c r="P1343" s="18" t="n">
        <f aca="false">M1343/L1343</f>
        <v>76.9361168495635</v>
      </c>
      <c r="Q1343" s="19" t="n">
        <f aca="false">IF(N1343=0,"n.a.",P1343/N1343-1)</f>
        <v>0.650787078398882</v>
      </c>
    </row>
    <row r="1344" customFormat="false" ht="15" hidden="false" customHeight="false" outlineLevel="0" collapsed="false">
      <c r="A1344" s="12" t="s">
        <v>3242</v>
      </c>
      <c r="B1344" s="12" t="s">
        <v>2963</v>
      </c>
      <c r="C1344" s="12" t="s">
        <v>2964</v>
      </c>
      <c r="D1344" s="12" t="s">
        <v>1789</v>
      </c>
      <c r="E1344" s="12" t="s">
        <v>3243</v>
      </c>
      <c r="F1344" s="13" t="n">
        <v>12862</v>
      </c>
      <c r="G1344" s="13" t="n">
        <v>14443</v>
      </c>
      <c r="H1344" s="14" t="n">
        <v>3836</v>
      </c>
      <c r="I1344" s="14" t="n">
        <v>3537</v>
      </c>
      <c r="J1344" s="15" t="n">
        <f aca="false">I1344/H1344</f>
        <v>0.922054223149114</v>
      </c>
      <c r="K1344" s="16" t="n">
        <f aca="false">ROUND(I1344*J1344^($F$8-1),0)</f>
        <v>3604</v>
      </c>
      <c r="L1344" s="16" t="n">
        <f aca="false">ROUND(I1344*J1344^($F$9-1),0)</f>
        <v>3552</v>
      </c>
      <c r="M1344" s="17" t="n">
        <f aca="false">G1344*$F$7</f>
        <v>13912.9741874621</v>
      </c>
      <c r="N1344" s="18" t="n">
        <f aca="false">F1344/K1344</f>
        <v>3.56881243063263</v>
      </c>
      <c r="O1344" s="18" t="n">
        <f aca="false">G1344/L1344</f>
        <v>4.06615990990991</v>
      </c>
      <c r="P1344" s="18" t="n">
        <f aca="false">M1344/L1344</f>
        <v>3.91694093115488</v>
      </c>
      <c r="Q1344" s="19" t="n">
        <f aca="false">IF(N1344=0,"n.a.",P1344/N1344-1)</f>
        <v>0.0975474355374109</v>
      </c>
    </row>
    <row r="1345" customFormat="false" ht="15" hidden="false" customHeight="false" outlineLevel="0" collapsed="false">
      <c r="A1345" s="12" t="s">
        <v>3244</v>
      </c>
      <c r="B1345" s="12" t="s">
        <v>2963</v>
      </c>
      <c r="C1345" s="12" t="s">
        <v>2964</v>
      </c>
      <c r="D1345" s="12" t="s">
        <v>1792</v>
      </c>
      <c r="E1345" s="12" t="s">
        <v>3245</v>
      </c>
      <c r="F1345" s="13" t="n">
        <v>34104</v>
      </c>
      <c r="G1345" s="13" t="n">
        <v>164493</v>
      </c>
      <c r="H1345" s="14" t="n">
        <v>3621</v>
      </c>
      <c r="I1345" s="14" t="n">
        <v>3485</v>
      </c>
      <c r="J1345" s="15" t="n">
        <f aca="false">I1345/H1345</f>
        <v>0.962441314553991</v>
      </c>
      <c r="K1345" s="16" t="n">
        <f aca="false">ROUND(I1345*J1345^($F$8-1),0)</f>
        <v>3516</v>
      </c>
      <c r="L1345" s="16" t="n">
        <f aca="false">ROUND(I1345*J1345^($F$9-1),0)</f>
        <v>3492</v>
      </c>
      <c r="M1345" s="17" t="n">
        <f aca="false">G1345*$F$7</f>
        <v>158456.474625646</v>
      </c>
      <c r="N1345" s="18" t="n">
        <f aca="false">F1345/K1345</f>
        <v>9.69965870307167</v>
      </c>
      <c r="O1345" s="18" t="n">
        <f aca="false">G1345/L1345</f>
        <v>47.1056701030928</v>
      </c>
      <c r="P1345" s="18" t="n">
        <f aca="false">M1345/L1345</f>
        <v>45.3769973154771</v>
      </c>
      <c r="Q1345" s="19" t="n">
        <f aca="false">IF(N1345=0,"n.a.",P1345/N1345-1)</f>
        <v>3.6782055641924</v>
      </c>
    </row>
    <row r="1346" customFormat="false" ht="15" hidden="false" customHeight="false" outlineLevel="0" collapsed="false">
      <c r="A1346" s="12" t="s">
        <v>3246</v>
      </c>
      <c r="B1346" s="12" t="s">
        <v>2963</v>
      </c>
      <c r="C1346" s="12" t="s">
        <v>2964</v>
      </c>
      <c r="D1346" s="12" t="s">
        <v>1795</v>
      </c>
      <c r="E1346" s="12" t="s">
        <v>3247</v>
      </c>
      <c r="F1346" s="13" t="n">
        <v>1950409</v>
      </c>
      <c r="G1346" s="13" t="n">
        <v>2703983</v>
      </c>
      <c r="H1346" s="14" t="n">
        <v>22218</v>
      </c>
      <c r="I1346" s="14" t="n">
        <v>24511</v>
      </c>
      <c r="J1346" s="15" t="n">
        <f aca="false">I1346/H1346</f>
        <v>1.10320460887569</v>
      </c>
      <c r="K1346" s="16" t="n">
        <f aca="false">ROUND(I1346*J1346^($F$8-1),0)</f>
        <v>23961</v>
      </c>
      <c r="L1346" s="16" t="n">
        <f aca="false">ROUND(I1346*J1346^($F$9-1),0)</f>
        <v>24386</v>
      </c>
      <c r="M1346" s="17" t="n">
        <f aca="false">G1346*$F$7</f>
        <v>2604752.86867939</v>
      </c>
      <c r="N1346" s="18" t="n">
        <f aca="false">F1346/K1346</f>
        <v>81.3993155544426</v>
      </c>
      <c r="O1346" s="18" t="n">
        <f aca="false">G1346/L1346</f>
        <v>110.882596571803</v>
      </c>
      <c r="P1346" s="18" t="n">
        <f aca="false">M1346/L1346</f>
        <v>106.813453156704</v>
      </c>
      <c r="Q1346" s="19" t="n">
        <f aca="false">IF(N1346=0,"n.a.",P1346/N1346-1)</f>
        <v>0.312215617897471</v>
      </c>
    </row>
    <row r="1347" customFormat="false" ht="15" hidden="false" customHeight="false" outlineLevel="0" collapsed="false">
      <c r="A1347" s="12" t="s">
        <v>3248</v>
      </c>
      <c r="B1347" s="12" t="s">
        <v>2963</v>
      </c>
      <c r="C1347" s="12" t="s">
        <v>2964</v>
      </c>
      <c r="D1347" s="12" t="s">
        <v>1801</v>
      </c>
      <c r="E1347" s="12" t="s">
        <v>3249</v>
      </c>
      <c r="F1347" s="13" t="n">
        <v>647728</v>
      </c>
      <c r="G1347" s="13" t="n">
        <v>1230053</v>
      </c>
      <c r="H1347" s="14" t="n">
        <v>18854</v>
      </c>
      <c r="I1347" s="14" t="n">
        <v>20035</v>
      </c>
      <c r="J1347" s="15" t="n">
        <f aca="false">I1347/H1347</f>
        <v>1.06263922775008</v>
      </c>
      <c r="K1347" s="16" t="n">
        <f aca="false">ROUND(I1347*J1347^($F$8-1),0)</f>
        <v>19756</v>
      </c>
      <c r="L1347" s="16" t="n">
        <f aca="false">ROUND(I1347*J1347^($F$9-1),0)</f>
        <v>19972</v>
      </c>
      <c r="M1347" s="17" t="n">
        <f aca="false">G1347*$F$7</f>
        <v>1184912.80469503</v>
      </c>
      <c r="N1347" s="18" t="n">
        <f aca="false">F1347/K1347</f>
        <v>32.786394006884</v>
      </c>
      <c r="O1347" s="18" t="n">
        <f aca="false">G1347/L1347</f>
        <v>61.5888744241939</v>
      </c>
      <c r="P1347" s="18" t="n">
        <f aca="false">M1347/L1347</f>
        <v>59.3287004153331</v>
      </c>
      <c r="Q1347" s="19" t="n">
        <f aca="false">IF(N1347=0,"n.a.",P1347/N1347-1)</f>
        <v>0.809552474812452</v>
      </c>
    </row>
    <row r="1348" customFormat="false" ht="15" hidden="false" customHeight="false" outlineLevel="0" collapsed="false">
      <c r="A1348" s="12" t="s">
        <v>3250</v>
      </c>
      <c r="B1348" s="12" t="s">
        <v>2963</v>
      </c>
      <c r="C1348" s="12" t="s">
        <v>2964</v>
      </c>
      <c r="D1348" s="12" t="s">
        <v>1804</v>
      </c>
      <c r="E1348" s="12" t="s">
        <v>3251</v>
      </c>
      <c r="F1348" s="13" t="n">
        <v>10902464</v>
      </c>
      <c r="G1348" s="13" t="n">
        <v>15514066</v>
      </c>
      <c r="H1348" s="14" t="n">
        <v>84170</v>
      </c>
      <c r="I1348" s="14" t="n">
        <v>91227</v>
      </c>
      <c r="J1348" s="15" t="n">
        <f aca="false">I1348/H1348</f>
        <v>1.08384222407033</v>
      </c>
      <c r="K1348" s="16" t="n">
        <f aca="false">ROUND(I1348*J1348^($F$8-1),0)</f>
        <v>89547</v>
      </c>
      <c r="L1348" s="16" t="n">
        <f aca="false">ROUND(I1348*J1348^($F$9-1),0)</f>
        <v>90846</v>
      </c>
      <c r="M1348" s="17" t="n">
        <f aca="false">G1348*$F$7</f>
        <v>14944734.4596402</v>
      </c>
      <c r="N1348" s="18" t="n">
        <f aca="false">F1348/K1348</f>
        <v>121.751303784605</v>
      </c>
      <c r="O1348" s="18" t="n">
        <f aca="false">G1348/L1348</f>
        <v>170.773242630385</v>
      </c>
      <c r="P1348" s="18" t="n">
        <f aca="false">M1348/L1348</f>
        <v>164.506246391038</v>
      </c>
      <c r="Q1348" s="19" t="n">
        <f aca="false">IF(N1348=0,"n.a.",P1348/N1348-1)</f>
        <v>0.351166199271859</v>
      </c>
    </row>
    <row r="1349" customFormat="false" ht="15" hidden="false" customHeight="false" outlineLevel="0" collapsed="false">
      <c r="A1349" s="12" t="s">
        <v>3252</v>
      </c>
      <c r="B1349" s="12" t="s">
        <v>2963</v>
      </c>
      <c r="C1349" s="12" t="s">
        <v>2964</v>
      </c>
      <c r="D1349" s="12" t="s">
        <v>1807</v>
      </c>
      <c r="E1349" s="12" t="s">
        <v>3253</v>
      </c>
      <c r="F1349" s="13" t="n">
        <v>620</v>
      </c>
      <c r="G1349" s="13" t="n">
        <v>18186</v>
      </c>
      <c r="H1349" s="14" t="n">
        <v>1216</v>
      </c>
      <c r="I1349" s="14" t="n">
        <v>1138</v>
      </c>
      <c r="J1349" s="15" t="n">
        <f aca="false">I1349/H1349</f>
        <v>0.935855263157895</v>
      </c>
      <c r="K1349" s="16" t="n">
        <f aca="false">ROUND(I1349*J1349^($F$8-1),0)</f>
        <v>1156</v>
      </c>
      <c r="L1349" s="16" t="n">
        <f aca="false">ROUND(I1349*J1349^($F$9-1),0)</f>
        <v>1142</v>
      </c>
      <c r="M1349" s="17" t="n">
        <f aca="false">G1349*$F$7</f>
        <v>17518.6144549738</v>
      </c>
      <c r="N1349" s="18" t="n">
        <f aca="false">F1349/K1349</f>
        <v>0.536332179930796</v>
      </c>
      <c r="O1349" s="18" t="n">
        <f aca="false">G1349/L1349</f>
        <v>15.9246935201401</v>
      </c>
      <c r="P1349" s="18" t="n">
        <f aca="false">M1349/L1349</f>
        <v>15.3402928677529</v>
      </c>
      <c r="Q1349" s="19" t="n">
        <f aca="false">IF(N1349=0,"n.a.",P1349/N1349-1)</f>
        <v>27.6022234760037</v>
      </c>
    </row>
    <row r="1350" customFormat="false" ht="15" hidden="false" customHeight="false" outlineLevel="0" collapsed="false">
      <c r="A1350" s="12" t="s">
        <v>3254</v>
      </c>
      <c r="B1350" s="12" t="s">
        <v>2963</v>
      </c>
      <c r="C1350" s="12" t="s">
        <v>2964</v>
      </c>
      <c r="D1350" s="12" t="s">
        <v>1810</v>
      </c>
      <c r="E1350" s="12" t="s">
        <v>3255</v>
      </c>
      <c r="F1350" s="13" t="n">
        <v>817594</v>
      </c>
      <c r="G1350" s="13" t="n">
        <v>1277474</v>
      </c>
      <c r="H1350" s="14" t="n">
        <v>8918</v>
      </c>
      <c r="I1350" s="14" t="n">
        <v>9240</v>
      </c>
      <c r="J1350" s="15" t="n">
        <f aca="false">I1350/H1350</f>
        <v>1.03610675039246</v>
      </c>
      <c r="K1350" s="16" t="n">
        <f aca="false">ROUND(I1350*J1350^($F$8-1),0)</f>
        <v>9165</v>
      </c>
      <c r="L1350" s="16" t="n">
        <f aca="false">ROUND(I1350*J1350^($F$9-1),0)</f>
        <v>9223</v>
      </c>
      <c r="M1350" s="17" t="n">
        <f aca="false">G1350*$F$7</f>
        <v>1230593.56000512</v>
      </c>
      <c r="N1350" s="18" t="n">
        <f aca="false">F1350/K1350</f>
        <v>89.2082924168031</v>
      </c>
      <c r="O1350" s="18" t="n">
        <f aca="false">G1350/L1350</f>
        <v>138.509595576277</v>
      </c>
      <c r="P1350" s="18" t="n">
        <f aca="false">M1350/L1350</f>
        <v>133.426603058129</v>
      </c>
      <c r="Q1350" s="19" t="n">
        <f aca="false">IF(N1350=0,"n.a.",P1350/N1350-1)</f>
        <v>0.495674891239113</v>
      </c>
    </row>
    <row r="1351" customFormat="false" ht="15" hidden="false" customHeight="false" outlineLevel="0" collapsed="false">
      <c r="A1351" s="12" t="s">
        <v>3256</v>
      </c>
      <c r="B1351" s="12" t="s">
        <v>2963</v>
      </c>
      <c r="C1351" s="12" t="s">
        <v>2964</v>
      </c>
      <c r="D1351" s="12" t="s">
        <v>1813</v>
      </c>
      <c r="E1351" s="12" t="s">
        <v>3257</v>
      </c>
      <c r="F1351" s="13" t="n">
        <v>217803</v>
      </c>
      <c r="G1351" s="13" t="n">
        <v>299668</v>
      </c>
      <c r="H1351" s="14" t="n">
        <v>10339</v>
      </c>
      <c r="I1351" s="14" t="n">
        <v>10395</v>
      </c>
      <c r="J1351" s="15" t="n">
        <f aca="false">I1351/H1351</f>
        <v>1.0054163845633</v>
      </c>
      <c r="K1351" s="16" t="n">
        <f aca="false">ROUND(I1351*J1351^($F$8-1),0)</f>
        <v>10382</v>
      </c>
      <c r="L1351" s="16" t="n">
        <f aca="false">ROUND(I1351*J1351^($F$9-1),0)</f>
        <v>10392</v>
      </c>
      <c r="M1351" s="17" t="n">
        <f aca="false">G1351*$F$7</f>
        <v>288670.854310628</v>
      </c>
      <c r="N1351" s="18" t="n">
        <f aca="false">F1351/K1351</f>
        <v>20.9789057984974</v>
      </c>
      <c r="O1351" s="18" t="n">
        <f aca="false">G1351/L1351</f>
        <v>28.8364126250962</v>
      </c>
      <c r="P1351" s="18" t="n">
        <f aca="false">M1351/L1351</f>
        <v>27.7781807458264</v>
      </c>
      <c r="Q1351" s="19" t="n">
        <f aca="false">IF(N1351=0,"n.a.",P1351/N1351-1)</f>
        <v>0.324100551889412</v>
      </c>
    </row>
    <row r="1352" customFormat="false" ht="15" hidden="false" customHeight="false" outlineLevel="0" collapsed="false">
      <c r="A1352" s="12" t="s">
        <v>3258</v>
      </c>
      <c r="B1352" s="12" t="s">
        <v>2963</v>
      </c>
      <c r="C1352" s="12" t="s">
        <v>2964</v>
      </c>
      <c r="D1352" s="12" t="s">
        <v>3259</v>
      </c>
      <c r="E1352" s="12" t="s">
        <v>3260</v>
      </c>
      <c r="F1352" s="13" t="n">
        <v>277596</v>
      </c>
      <c r="G1352" s="13" t="n">
        <v>475851</v>
      </c>
      <c r="H1352" s="14" t="n">
        <v>7523</v>
      </c>
      <c r="I1352" s="14" t="n">
        <v>7108</v>
      </c>
      <c r="J1352" s="15" t="n">
        <f aca="false">I1352/H1352</f>
        <v>0.944835836767247</v>
      </c>
      <c r="K1352" s="16" t="n">
        <f aca="false">ROUND(I1352*J1352^($F$8-1),0)</f>
        <v>7202</v>
      </c>
      <c r="L1352" s="16" t="n">
        <f aca="false">ROUND(I1352*J1352^($F$9-1),0)</f>
        <v>7129</v>
      </c>
      <c r="M1352" s="17" t="n">
        <f aca="false">G1352*$F$7</f>
        <v>458388.332069379</v>
      </c>
      <c r="N1352" s="18" t="n">
        <f aca="false">F1352/K1352</f>
        <v>38.5442932518745</v>
      </c>
      <c r="O1352" s="18" t="n">
        <f aca="false">G1352/L1352</f>
        <v>66.7486323467527</v>
      </c>
      <c r="P1352" s="18" t="n">
        <f aca="false">M1352/L1352</f>
        <v>64.2991067568213</v>
      </c>
      <c r="Q1352" s="19" t="n">
        <f aca="false">IF(N1352=0,"n.a.",P1352/N1352-1)</f>
        <v>0.66818746258097</v>
      </c>
    </row>
    <row r="1353" customFormat="false" ht="15" hidden="false" customHeight="false" outlineLevel="0" collapsed="false">
      <c r="A1353" s="12" t="s">
        <v>3261</v>
      </c>
      <c r="B1353" s="12" t="s">
        <v>2963</v>
      </c>
      <c r="C1353" s="12" t="s">
        <v>2964</v>
      </c>
      <c r="D1353" s="12" t="s">
        <v>1816</v>
      </c>
      <c r="E1353" s="12" t="s">
        <v>3262</v>
      </c>
      <c r="F1353" s="13" t="n">
        <v>1289713</v>
      </c>
      <c r="G1353" s="13" t="n">
        <v>1561432</v>
      </c>
      <c r="H1353" s="14" t="n">
        <v>21602</v>
      </c>
      <c r="I1353" s="14" t="n">
        <v>21083</v>
      </c>
      <c r="J1353" s="15" t="n">
        <f aca="false">I1353/H1353</f>
        <v>0.975974446810481</v>
      </c>
      <c r="K1353" s="16" t="n">
        <f aca="false">ROUND(I1353*J1353^($F$8-1),0)</f>
        <v>21202</v>
      </c>
      <c r="L1353" s="16" t="n">
        <f aca="false">ROUND(I1353*J1353^($F$9-1),0)</f>
        <v>21110</v>
      </c>
      <c r="M1353" s="17" t="n">
        <f aca="false">G1353*$F$7</f>
        <v>1504130.9361959</v>
      </c>
      <c r="N1353" s="18" t="n">
        <f aca="false">F1353/K1353</f>
        <v>60.8297802094142</v>
      </c>
      <c r="O1353" s="18" t="n">
        <f aca="false">G1353/L1353</f>
        <v>73.9664613927049</v>
      </c>
      <c r="P1353" s="18" t="n">
        <f aca="false">M1353/L1353</f>
        <v>71.2520576123116</v>
      </c>
      <c r="Q1353" s="19" t="n">
        <f aca="false">IF(N1353=0,"n.a.",P1353/N1353-1)</f>
        <v>0.171335115251402</v>
      </c>
    </row>
    <row r="1354" customFormat="false" ht="15" hidden="false" customHeight="false" outlineLevel="0" collapsed="false">
      <c r="A1354" s="12" t="s">
        <v>3263</v>
      </c>
      <c r="B1354" s="12" t="s">
        <v>2963</v>
      </c>
      <c r="C1354" s="12" t="s">
        <v>2964</v>
      </c>
      <c r="D1354" s="12" t="s">
        <v>1819</v>
      </c>
      <c r="E1354" s="12" t="s">
        <v>3264</v>
      </c>
      <c r="F1354" s="13" t="n">
        <v>698054</v>
      </c>
      <c r="G1354" s="13" t="n">
        <v>688341</v>
      </c>
      <c r="H1354" s="14" t="n">
        <v>19200</v>
      </c>
      <c r="I1354" s="14" t="n">
        <v>20930</v>
      </c>
      <c r="J1354" s="15" t="n">
        <f aca="false">I1354/H1354</f>
        <v>1.09010416666667</v>
      </c>
      <c r="K1354" s="16" t="n">
        <f aca="false">ROUND(I1354*J1354^($F$8-1),0)</f>
        <v>20517</v>
      </c>
      <c r="L1354" s="16" t="n">
        <f aca="false">ROUND(I1354*J1354^($F$9-1),0)</f>
        <v>20836</v>
      </c>
      <c r="M1354" s="17" t="n">
        <f aca="false">G1354*$F$7</f>
        <v>663080.424092769</v>
      </c>
      <c r="N1354" s="18" t="n">
        <f aca="false">F1354/K1354</f>
        <v>34.0232002729444</v>
      </c>
      <c r="O1354" s="18" t="n">
        <f aca="false">G1354/L1354</f>
        <v>33.0361393741601</v>
      </c>
      <c r="P1354" s="18" t="n">
        <f aca="false">M1354/L1354</f>
        <v>31.8237869117282</v>
      </c>
      <c r="Q1354" s="19" t="n">
        <f aca="false">IF(N1354=0,"n.a.",P1354/N1354-1)</f>
        <v>-0.0646445173755498</v>
      </c>
    </row>
    <row r="1355" customFormat="false" ht="15" hidden="false" customHeight="false" outlineLevel="0" collapsed="false">
      <c r="A1355" s="12" t="s">
        <v>3265</v>
      </c>
      <c r="B1355" s="12" t="s">
        <v>2963</v>
      </c>
      <c r="C1355" s="12" t="s">
        <v>2964</v>
      </c>
      <c r="D1355" s="12" t="s">
        <v>1825</v>
      </c>
      <c r="E1355" s="12" t="s">
        <v>3266</v>
      </c>
      <c r="F1355" s="13" t="n">
        <v>3311356</v>
      </c>
      <c r="G1355" s="13" t="n">
        <v>3711607</v>
      </c>
      <c r="H1355" s="14" t="n">
        <v>27144</v>
      </c>
      <c r="I1355" s="14" t="n">
        <v>27243</v>
      </c>
      <c r="J1355" s="15" t="n">
        <f aca="false">I1355/H1355</f>
        <v>1.00364721485411</v>
      </c>
      <c r="K1355" s="16" t="n">
        <f aca="false">ROUND(I1355*J1355^($F$8-1),0)</f>
        <v>27220</v>
      </c>
      <c r="L1355" s="16" t="n">
        <f aca="false">ROUND(I1355*J1355^($F$9-1),0)</f>
        <v>27238</v>
      </c>
      <c r="M1355" s="17" t="n">
        <f aca="false">G1355*$F$7</f>
        <v>3575399.3204323</v>
      </c>
      <c r="N1355" s="18" t="n">
        <f aca="false">F1355/K1355</f>
        <v>121.651579720794</v>
      </c>
      <c r="O1355" s="18" t="n">
        <f aca="false">G1355/L1355</f>
        <v>136.265768411778</v>
      </c>
      <c r="P1355" s="18" t="n">
        <f aca="false">M1355/L1355</f>
        <v>131.26511933447</v>
      </c>
      <c r="Q1355" s="19" t="n">
        <f aca="false">IF(N1355=0,"n.a.",P1355/N1355-1)</f>
        <v>0.0790251933903456</v>
      </c>
    </row>
    <row r="1356" customFormat="false" ht="15" hidden="false" customHeight="false" outlineLevel="0" collapsed="false">
      <c r="A1356" s="12" t="s">
        <v>3267</v>
      </c>
      <c r="B1356" s="12" t="s">
        <v>2963</v>
      </c>
      <c r="C1356" s="12" t="s">
        <v>2964</v>
      </c>
      <c r="D1356" s="12" t="s">
        <v>1828</v>
      </c>
      <c r="E1356" s="12" t="s">
        <v>3268</v>
      </c>
      <c r="F1356" s="13" t="n">
        <v>1517342</v>
      </c>
      <c r="G1356" s="13" t="n">
        <v>2324693</v>
      </c>
      <c r="H1356" s="14" t="n">
        <v>6252</v>
      </c>
      <c r="I1356" s="14" t="n">
        <v>6486</v>
      </c>
      <c r="J1356" s="15" t="n">
        <f aca="false">I1356/H1356</f>
        <v>1.03742802303263</v>
      </c>
      <c r="K1356" s="16" t="n">
        <f aca="false">ROUND(I1356*J1356^($F$8-1),0)</f>
        <v>6431</v>
      </c>
      <c r="L1356" s="16" t="n">
        <f aca="false">ROUND(I1356*J1356^($F$9-1),0)</f>
        <v>6474</v>
      </c>
      <c r="M1356" s="17" t="n">
        <f aca="false">G1356*$F$7</f>
        <v>2239381.96377303</v>
      </c>
      <c r="N1356" s="18" t="n">
        <f aca="false">F1356/K1356</f>
        <v>235.941844192194</v>
      </c>
      <c r="O1356" s="18" t="n">
        <f aca="false">G1356/L1356</f>
        <v>359.08140253321</v>
      </c>
      <c r="P1356" s="18" t="n">
        <f aca="false">M1356/L1356</f>
        <v>345.903917790088</v>
      </c>
      <c r="Q1356" s="19" t="n">
        <f aca="false">IF(N1356=0,"n.a.",P1356/N1356-1)</f>
        <v>0.466055836659143</v>
      </c>
    </row>
    <row r="1357" customFormat="false" ht="15" hidden="false" customHeight="false" outlineLevel="0" collapsed="false">
      <c r="A1357" s="12" t="s">
        <v>3269</v>
      </c>
      <c r="B1357" s="12" t="s">
        <v>2963</v>
      </c>
      <c r="C1357" s="12" t="s">
        <v>2964</v>
      </c>
      <c r="D1357" s="12" t="s">
        <v>3270</v>
      </c>
      <c r="E1357" s="12" t="s">
        <v>3271</v>
      </c>
      <c r="F1357" s="13" t="n">
        <v>37325844</v>
      </c>
      <c r="G1357" s="13" t="n">
        <v>47122721</v>
      </c>
      <c r="H1357" s="14" t="n">
        <v>103196</v>
      </c>
      <c r="I1357" s="14" t="n">
        <v>108822</v>
      </c>
      <c r="J1357" s="15" t="n">
        <f aca="false">I1357/H1357</f>
        <v>1.0545176169619</v>
      </c>
      <c r="K1357" s="16" t="n">
        <f aca="false">ROUND(I1357*J1357^($F$8-1),0)</f>
        <v>107496</v>
      </c>
      <c r="L1357" s="16" t="n">
        <f aca="false">ROUND(I1357*J1357^($F$9-1),0)</f>
        <v>108522</v>
      </c>
      <c r="M1357" s="17" t="n">
        <f aca="false">G1357*$F$7</f>
        <v>45393422.4825853</v>
      </c>
      <c r="N1357" s="18" t="n">
        <f aca="false">F1357/K1357</f>
        <v>347.23007367716</v>
      </c>
      <c r="O1357" s="18" t="n">
        <f aca="false">G1357/L1357</f>
        <v>434.222747461344</v>
      </c>
      <c r="P1357" s="18" t="n">
        <f aca="false">M1357/L1357</f>
        <v>418.287743338542</v>
      </c>
      <c r="Q1357" s="19" t="n">
        <f aca="false">IF(N1357=0,"n.a.",P1357/N1357-1)</f>
        <v>0.204641461233132</v>
      </c>
    </row>
    <row r="1358" customFormat="false" ht="15" hidden="false" customHeight="false" outlineLevel="0" collapsed="false">
      <c r="A1358" s="12" t="s">
        <v>3272</v>
      </c>
      <c r="B1358" s="12" t="s">
        <v>2963</v>
      </c>
      <c r="C1358" s="12" t="s">
        <v>2964</v>
      </c>
      <c r="D1358" s="12" t="s">
        <v>1831</v>
      </c>
      <c r="E1358" s="12" t="s">
        <v>3273</v>
      </c>
      <c r="F1358" s="13" t="n">
        <v>903342</v>
      </c>
      <c r="G1358" s="13" t="n">
        <v>844254</v>
      </c>
      <c r="H1358" s="14" t="n">
        <v>14370</v>
      </c>
      <c r="I1358" s="14" t="n">
        <v>16163</v>
      </c>
      <c r="J1358" s="15" t="n">
        <f aca="false">I1358/H1358</f>
        <v>1.12477383437717</v>
      </c>
      <c r="K1358" s="16" t="n">
        <f aca="false">ROUND(I1358*J1358^($F$8-1),0)</f>
        <v>15730</v>
      </c>
      <c r="L1358" s="16" t="n">
        <f aca="false">ROUND(I1358*J1358^($F$9-1),0)</f>
        <v>16065</v>
      </c>
      <c r="M1358" s="17" t="n">
        <f aca="false">G1358*$F$7</f>
        <v>813271.765537745</v>
      </c>
      <c r="N1358" s="18" t="n">
        <f aca="false">F1358/K1358</f>
        <v>57.427972027972</v>
      </c>
      <c r="O1358" s="18" t="n">
        <f aca="false">G1358/L1358</f>
        <v>52.552380952381</v>
      </c>
      <c r="P1358" s="18" t="n">
        <f aca="false">M1358/L1358</f>
        <v>50.6238260527697</v>
      </c>
      <c r="Q1358" s="19" t="n">
        <f aca="false">IF(N1358=0,"n.a.",P1358/N1358-1)</f>
        <v>-0.1184813904257</v>
      </c>
    </row>
    <row r="1359" customFormat="false" ht="15" hidden="false" customHeight="false" outlineLevel="0" collapsed="false">
      <c r="A1359" s="12" t="s">
        <v>3274</v>
      </c>
      <c r="B1359" s="12" t="s">
        <v>2963</v>
      </c>
      <c r="C1359" s="12" t="s">
        <v>2964</v>
      </c>
      <c r="D1359" s="12" t="s">
        <v>3275</v>
      </c>
      <c r="E1359" s="12" t="s">
        <v>3276</v>
      </c>
      <c r="F1359" s="13" t="n">
        <v>853207</v>
      </c>
      <c r="G1359" s="13" t="n">
        <v>947902</v>
      </c>
      <c r="H1359" s="14" t="n">
        <v>9664</v>
      </c>
      <c r="I1359" s="14" t="n">
        <v>9744</v>
      </c>
      <c r="J1359" s="15" t="n">
        <f aca="false">I1359/H1359</f>
        <v>1.00827814569536</v>
      </c>
      <c r="K1359" s="16" t="n">
        <f aca="false">ROUND(I1359*J1359^($F$8-1),0)</f>
        <v>9725</v>
      </c>
      <c r="L1359" s="16" t="n">
        <f aca="false">ROUND(I1359*J1359^($F$9-1),0)</f>
        <v>9740</v>
      </c>
      <c r="M1359" s="17" t="n">
        <f aca="false">G1359*$F$7</f>
        <v>913116.115643822</v>
      </c>
      <c r="N1359" s="18" t="n">
        <f aca="false">F1359/K1359</f>
        <v>87.7333676092545</v>
      </c>
      <c r="O1359" s="18" t="n">
        <f aca="false">G1359/L1359</f>
        <v>97.3205338809035</v>
      </c>
      <c r="P1359" s="18" t="n">
        <f aca="false">M1359/L1359</f>
        <v>93.7490878484417</v>
      </c>
      <c r="Q1359" s="19" t="n">
        <f aca="false">IF(N1359=0,"n.a.",P1359/N1359-1)</f>
        <v>0.0685682130199301</v>
      </c>
    </row>
    <row r="1360" customFormat="false" ht="15" hidden="false" customHeight="false" outlineLevel="0" collapsed="false">
      <c r="A1360" s="12" t="s">
        <v>3277</v>
      </c>
      <c r="B1360" s="12" t="s">
        <v>2963</v>
      </c>
      <c r="C1360" s="12" t="s">
        <v>2964</v>
      </c>
      <c r="D1360" s="12" t="s">
        <v>1834</v>
      </c>
      <c r="E1360" s="12" t="s">
        <v>3278</v>
      </c>
      <c r="F1360" s="13" t="n">
        <v>3472516</v>
      </c>
      <c r="G1360" s="13" t="n">
        <v>5879633</v>
      </c>
      <c r="H1360" s="14" t="n">
        <v>54754</v>
      </c>
      <c r="I1360" s="14" t="n">
        <v>55175</v>
      </c>
      <c r="J1360" s="15" t="n">
        <f aca="false">I1360/H1360</f>
        <v>1.00768893596815</v>
      </c>
      <c r="K1360" s="16" t="n">
        <f aca="false">ROUND(I1360*J1360^($F$8-1),0)</f>
        <v>55078</v>
      </c>
      <c r="L1360" s="16" t="n">
        <f aca="false">ROUND(I1360*J1360^($F$9-1),0)</f>
        <v>55153</v>
      </c>
      <c r="M1360" s="17" t="n">
        <f aca="false">G1360*$F$7</f>
        <v>5663863.61287478</v>
      </c>
      <c r="N1360" s="18" t="n">
        <f aca="false">F1360/K1360</f>
        <v>63.0472420930317</v>
      </c>
      <c r="O1360" s="18" t="n">
        <f aca="false">G1360/L1360</f>
        <v>106.605860062009</v>
      </c>
      <c r="P1360" s="18" t="n">
        <f aca="false">M1360/L1360</f>
        <v>102.693663316135</v>
      </c>
      <c r="Q1360" s="19" t="n">
        <f aca="false">IF(N1360=0,"n.a.",P1360/N1360-1)</f>
        <v>0.6288367247627</v>
      </c>
    </row>
    <row r="1361" customFormat="false" ht="15" hidden="false" customHeight="false" outlineLevel="0" collapsed="false">
      <c r="A1361" s="12" t="s">
        <v>3279</v>
      </c>
      <c r="B1361" s="12" t="s">
        <v>2963</v>
      </c>
      <c r="C1361" s="12" t="s">
        <v>2964</v>
      </c>
      <c r="D1361" s="12" t="s">
        <v>1837</v>
      </c>
      <c r="E1361" s="12" t="s">
        <v>3280</v>
      </c>
      <c r="F1361" s="13" t="n">
        <v>400707</v>
      </c>
      <c r="G1361" s="13" t="n">
        <v>774281</v>
      </c>
      <c r="H1361" s="14" t="n">
        <v>15923</v>
      </c>
      <c r="I1361" s="14" t="n">
        <v>15622</v>
      </c>
      <c r="J1361" s="15" t="n">
        <f aca="false">I1361/H1361</f>
        <v>0.981096527036363</v>
      </c>
      <c r="K1361" s="16" t="n">
        <f aca="false">ROUND(I1361*J1361^($F$8-1),0)</f>
        <v>15691</v>
      </c>
      <c r="L1361" s="16" t="n">
        <f aca="false">ROUND(I1361*J1361^($F$9-1),0)</f>
        <v>15637</v>
      </c>
      <c r="M1361" s="17" t="n">
        <f aca="false">G1361*$F$7</f>
        <v>745866.618212446</v>
      </c>
      <c r="N1361" s="18" t="n">
        <f aca="false">F1361/K1361</f>
        <v>25.5373781148429</v>
      </c>
      <c r="O1361" s="18" t="n">
        <f aca="false">G1361/L1361</f>
        <v>49.5159557459871</v>
      </c>
      <c r="P1361" s="18" t="n">
        <f aca="false">M1361/L1361</f>
        <v>47.6988308634934</v>
      </c>
      <c r="Q1361" s="19" t="n">
        <f aca="false">IF(N1361=0,"n.a.",P1361/N1361-1)</f>
        <v>0.867804543167638</v>
      </c>
    </row>
    <row r="1362" customFormat="false" ht="15" hidden="false" customHeight="false" outlineLevel="0" collapsed="false">
      <c r="A1362" s="12" t="s">
        <v>3281</v>
      </c>
      <c r="B1362" s="12" t="s">
        <v>2963</v>
      </c>
      <c r="C1362" s="12" t="s">
        <v>2964</v>
      </c>
      <c r="D1362" s="12" t="s">
        <v>1840</v>
      </c>
      <c r="E1362" s="12" t="s">
        <v>3282</v>
      </c>
      <c r="F1362" s="13" t="n">
        <v>1052166</v>
      </c>
      <c r="G1362" s="13" t="n">
        <v>2086061</v>
      </c>
      <c r="H1362" s="14" t="n">
        <v>31639</v>
      </c>
      <c r="I1362" s="14" t="n">
        <v>32356</v>
      </c>
      <c r="J1362" s="15" t="n">
        <f aca="false">I1362/H1362</f>
        <v>1.0226619046114</v>
      </c>
      <c r="K1362" s="16" t="n">
        <f aca="false">ROUND(I1362*J1362^($F$8-1),0)</f>
        <v>32189</v>
      </c>
      <c r="L1362" s="16" t="n">
        <f aca="false">ROUND(I1362*J1362^($F$9-1),0)</f>
        <v>32318</v>
      </c>
      <c r="M1362" s="17" t="n">
        <f aca="false">G1362*$F$7</f>
        <v>2009507.22470895</v>
      </c>
      <c r="N1362" s="18" t="n">
        <f aca="false">F1362/K1362</f>
        <v>32.6871291434962</v>
      </c>
      <c r="O1362" s="18" t="n">
        <f aca="false">G1362/L1362</f>
        <v>64.5479608886689</v>
      </c>
      <c r="P1362" s="18" t="n">
        <f aca="false">M1362/L1362</f>
        <v>62.1791950216274</v>
      </c>
      <c r="Q1362" s="19" t="n">
        <f aca="false">IF(N1362=0,"n.a.",P1362/N1362-1)</f>
        <v>0.902253169700565</v>
      </c>
    </row>
    <row r="1363" customFormat="false" ht="15" hidden="false" customHeight="false" outlineLevel="0" collapsed="false">
      <c r="A1363" s="12" t="s">
        <v>3283</v>
      </c>
      <c r="B1363" s="12" t="s">
        <v>2963</v>
      </c>
      <c r="C1363" s="12" t="s">
        <v>2964</v>
      </c>
      <c r="D1363" s="12" t="s">
        <v>1843</v>
      </c>
      <c r="E1363" s="12" t="s">
        <v>3284</v>
      </c>
      <c r="F1363" s="13" t="n">
        <v>1930805</v>
      </c>
      <c r="G1363" s="13" t="n">
        <v>2881930</v>
      </c>
      <c r="H1363" s="14" t="n">
        <v>41546</v>
      </c>
      <c r="I1363" s="14" t="n">
        <v>44144</v>
      </c>
      <c r="J1363" s="15" t="n">
        <f aca="false">I1363/H1363</f>
        <v>1.06253309584557</v>
      </c>
      <c r="K1363" s="16" t="n">
        <f aca="false">ROUND(I1363*J1363^($F$8-1),0)</f>
        <v>43530</v>
      </c>
      <c r="L1363" s="16" t="n">
        <f aca="false">ROUND(I1363*J1363^($F$9-1),0)</f>
        <v>44005</v>
      </c>
      <c r="M1363" s="17" t="n">
        <f aca="false">G1363*$F$7</f>
        <v>2776169.61158158</v>
      </c>
      <c r="N1363" s="18" t="n">
        <f aca="false">F1363/K1363</f>
        <v>44.3557316793016</v>
      </c>
      <c r="O1363" s="18" t="n">
        <f aca="false">G1363/L1363</f>
        <v>65.4909669355755</v>
      </c>
      <c r="P1363" s="18" t="n">
        <f aca="false">M1363/L1363</f>
        <v>63.0875948547115</v>
      </c>
      <c r="Q1363" s="19" t="n">
        <f aca="false">IF(N1363=0,"n.a.",P1363/N1363-1)</f>
        <v>0.422309867659132</v>
      </c>
    </row>
    <row r="1364" customFormat="false" ht="15" hidden="false" customHeight="false" outlineLevel="0" collapsed="false">
      <c r="A1364" s="12" t="s">
        <v>3285</v>
      </c>
      <c r="B1364" s="12" t="s">
        <v>2963</v>
      </c>
      <c r="C1364" s="12" t="s">
        <v>2964</v>
      </c>
      <c r="D1364" s="12" t="s">
        <v>1846</v>
      </c>
      <c r="E1364" s="12" t="s">
        <v>3286</v>
      </c>
      <c r="F1364" s="13" t="n">
        <v>283038</v>
      </c>
      <c r="G1364" s="13" t="n">
        <v>497391</v>
      </c>
      <c r="H1364" s="14" t="n">
        <v>7425</v>
      </c>
      <c r="I1364" s="14" t="n">
        <v>7466</v>
      </c>
      <c r="J1364" s="15" t="n">
        <f aca="false">I1364/H1364</f>
        <v>1.00552188552189</v>
      </c>
      <c r="K1364" s="16" t="n">
        <f aca="false">ROUND(I1364*J1364^($F$8-1),0)</f>
        <v>7457</v>
      </c>
      <c r="L1364" s="16" t="n">
        <f aca="false">ROUND(I1364*J1364^($F$9-1),0)</f>
        <v>7464</v>
      </c>
      <c r="M1364" s="17" t="n">
        <f aca="false">G1364*$F$7</f>
        <v>479137.862222251</v>
      </c>
      <c r="N1364" s="18" t="n">
        <f aca="false">F1364/K1364</f>
        <v>37.9560144830361</v>
      </c>
      <c r="O1364" s="18" t="n">
        <f aca="false">G1364/L1364</f>
        <v>66.6386655948553</v>
      </c>
      <c r="P1364" s="18" t="n">
        <f aca="false">M1364/L1364</f>
        <v>64.1931755388868</v>
      </c>
      <c r="Q1364" s="19" t="n">
        <f aca="false">IF(N1364=0,"n.a.",P1364/N1364-1)</f>
        <v>0.691251740026</v>
      </c>
    </row>
    <row r="1365" customFormat="false" ht="15" hidden="false" customHeight="false" outlineLevel="0" collapsed="false">
      <c r="A1365" s="12" t="s">
        <v>3287</v>
      </c>
      <c r="B1365" s="12" t="s">
        <v>2963</v>
      </c>
      <c r="C1365" s="12" t="s">
        <v>2964</v>
      </c>
      <c r="D1365" s="12" t="s">
        <v>1849</v>
      </c>
      <c r="E1365" s="12" t="s">
        <v>3288</v>
      </c>
      <c r="F1365" s="13" t="n">
        <v>181400</v>
      </c>
      <c r="G1365" s="13" t="n">
        <v>299985</v>
      </c>
      <c r="H1365" s="14" t="n">
        <v>5390</v>
      </c>
      <c r="I1365" s="14" t="n">
        <v>5779</v>
      </c>
      <c r="J1365" s="15" t="n">
        <f aca="false">I1365/H1365</f>
        <v>1.0721706864564</v>
      </c>
      <c r="K1365" s="16" t="n">
        <f aca="false">ROUND(I1365*J1365^($F$8-1),0)</f>
        <v>5687</v>
      </c>
      <c r="L1365" s="16" t="n">
        <f aca="false">ROUND(I1365*J1365^($F$9-1),0)</f>
        <v>5758</v>
      </c>
      <c r="M1365" s="17" t="n">
        <f aca="false">G1365*$F$7</f>
        <v>288976.221119284</v>
      </c>
      <c r="N1365" s="18" t="n">
        <f aca="false">F1365/K1365</f>
        <v>31.8973096535959</v>
      </c>
      <c r="O1365" s="18" t="n">
        <f aca="false">G1365/L1365</f>
        <v>52.0988190343869</v>
      </c>
      <c r="P1365" s="18" t="n">
        <f aca="false">M1365/L1365</f>
        <v>50.1869088432241</v>
      </c>
      <c r="Q1365" s="19" t="n">
        <f aca="false">IF(N1365=0,"n.a.",P1365/N1365-1)</f>
        <v>0.573390025311001</v>
      </c>
    </row>
    <row r="1366" customFormat="false" ht="15" hidden="false" customHeight="false" outlineLevel="0" collapsed="false">
      <c r="A1366" s="12" t="s">
        <v>3289</v>
      </c>
      <c r="B1366" s="12" t="s">
        <v>2963</v>
      </c>
      <c r="C1366" s="12" t="s">
        <v>2964</v>
      </c>
      <c r="D1366" s="12" t="s">
        <v>1855</v>
      </c>
      <c r="E1366" s="12" t="s">
        <v>3290</v>
      </c>
      <c r="F1366" s="13" t="n">
        <v>91564</v>
      </c>
      <c r="G1366" s="13" t="n">
        <v>168433</v>
      </c>
      <c r="H1366" s="14" t="n">
        <v>6422</v>
      </c>
      <c r="I1366" s="14" t="n">
        <v>5731</v>
      </c>
      <c r="J1366" s="15" t="n">
        <f aca="false">I1366/H1366</f>
        <v>0.89240112114606</v>
      </c>
      <c r="K1366" s="16" t="n">
        <f aca="false">ROUND(I1366*J1366^($F$8-1),0)</f>
        <v>5884</v>
      </c>
      <c r="L1366" s="16" t="n">
        <f aca="false">ROUND(I1366*J1366^($F$9-1),0)</f>
        <v>5765</v>
      </c>
      <c r="M1366" s="17" t="n">
        <f aca="false">G1366*$F$7</f>
        <v>162251.885433553</v>
      </c>
      <c r="N1366" s="18" t="n">
        <f aca="false">F1366/K1366</f>
        <v>15.5615227736234</v>
      </c>
      <c r="O1366" s="18" t="n">
        <f aca="false">G1366/L1366</f>
        <v>29.2164787510841</v>
      </c>
      <c r="P1366" s="18" t="n">
        <f aca="false">M1366/L1366</f>
        <v>28.1442992946319</v>
      </c>
      <c r="Q1366" s="19" t="n">
        <f aca="false">IF(N1366=0,"n.a.",P1366/N1366-1)</f>
        <v>0.80858259850612</v>
      </c>
    </row>
    <row r="1367" customFormat="false" ht="15" hidden="false" customHeight="false" outlineLevel="0" collapsed="false">
      <c r="A1367" s="12" t="s">
        <v>3291</v>
      </c>
      <c r="B1367" s="12" t="s">
        <v>2963</v>
      </c>
      <c r="C1367" s="12" t="s">
        <v>2964</v>
      </c>
      <c r="D1367" s="12" t="s">
        <v>1858</v>
      </c>
      <c r="E1367" s="12" t="s">
        <v>3292</v>
      </c>
      <c r="F1367" s="13" t="n">
        <v>662581</v>
      </c>
      <c r="G1367" s="13" t="n">
        <v>973189</v>
      </c>
      <c r="H1367" s="14" t="n">
        <v>10344</v>
      </c>
      <c r="I1367" s="14" t="n">
        <v>10222</v>
      </c>
      <c r="J1367" s="15" t="n">
        <f aca="false">I1367/H1367</f>
        <v>0.988205723124517</v>
      </c>
      <c r="K1367" s="16" t="n">
        <f aca="false">ROUND(I1367*J1367^($F$8-1),0)</f>
        <v>10250</v>
      </c>
      <c r="L1367" s="16" t="n">
        <f aca="false">ROUND(I1367*J1367^($F$9-1),0)</f>
        <v>10228</v>
      </c>
      <c r="M1367" s="17" t="n">
        <f aca="false">G1367*$F$7</f>
        <v>937475.139273148</v>
      </c>
      <c r="N1367" s="18" t="n">
        <f aca="false">F1367/K1367</f>
        <v>64.6420487804878</v>
      </c>
      <c r="O1367" s="18" t="n">
        <f aca="false">G1367/L1367</f>
        <v>95.149491591709</v>
      </c>
      <c r="P1367" s="18" t="n">
        <f aca="false">M1367/L1367</f>
        <v>91.6577179578753</v>
      </c>
      <c r="Q1367" s="19" t="n">
        <f aca="false">IF(N1367=0,"n.a.",P1367/N1367-1)</f>
        <v>0.417927180326966</v>
      </c>
    </row>
    <row r="1368" customFormat="false" ht="15" hidden="false" customHeight="false" outlineLevel="0" collapsed="false">
      <c r="A1368" s="12" t="s">
        <v>3293</v>
      </c>
      <c r="B1368" s="12" t="s">
        <v>2963</v>
      </c>
      <c r="C1368" s="12" t="s">
        <v>2964</v>
      </c>
      <c r="D1368" s="12" t="s">
        <v>1861</v>
      </c>
      <c r="E1368" s="12" t="s">
        <v>3294</v>
      </c>
      <c r="F1368" s="13" t="n">
        <v>11079801</v>
      </c>
      <c r="G1368" s="13" t="n">
        <v>14955854</v>
      </c>
      <c r="H1368" s="14" t="n">
        <v>55526</v>
      </c>
      <c r="I1368" s="14" t="n">
        <v>58751</v>
      </c>
      <c r="J1368" s="15" t="n">
        <f aca="false">I1368/H1368</f>
        <v>1.05808089903829</v>
      </c>
      <c r="K1368" s="16" t="n">
        <f aca="false">ROUND(I1368*J1368^($F$8-1),0)</f>
        <v>57990</v>
      </c>
      <c r="L1368" s="16" t="n">
        <f aca="false">ROUND(I1368*J1368^($F$9-1),0)</f>
        <v>58579</v>
      </c>
      <c r="M1368" s="17" t="n">
        <f aca="false">G1368*$F$7</f>
        <v>14407007.5921521</v>
      </c>
      <c r="N1368" s="18" t="n">
        <f aca="false">F1368/K1368</f>
        <v>191.063993792033</v>
      </c>
      <c r="O1368" s="18" t="n">
        <f aca="false">G1368/L1368</f>
        <v>255.310845183428</v>
      </c>
      <c r="P1368" s="18" t="n">
        <f aca="false">M1368/L1368</f>
        <v>245.941507914988</v>
      </c>
      <c r="Q1368" s="19" t="n">
        <f aca="false">IF(N1368=0,"n.a.",P1368/N1368-1)</f>
        <v>0.287220595748076</v>
      </c>
    </row>
    <row r="1369" customFormat="false" ht="15" hidden="false" customHeight="false" outlineLevel="0" collapsed="false">
      <c r="A1369" s="12" t="s">
        <v>3295</v>
      </c>
      <c r="B1369" s="12" t="s">
        <v>2963</v>
      </c>
      <c r="C1369" s="12" t="s">
        <v>2964</v>
      </c>
      <c r="D1369" s="12" t="s">
        <v>1867</v>
      </c>
      <c r="E1369" s="12" t="s">
        <v>3296</v>
      </c>
      <c r="F1369" s="13" t="n">
        <v>735527</v>
      </c>
      <c r="G1369" s="13" t="n">
        <v>1210852</v>
      </c>
      <c r="H1369" s="14" t="n">
        <v>19315</v>
      </c>
      <c r="I1369" s="14" t="n">
        <v>20879</v>
      </c>
      <c r="J1369" s="15" t="n">
        <f aca="false">I1369/H1369</f>
        <v>1.08097333678488</v>
      </c>
      <c r="K1369" s="16" t="n">
        <f aca="false">ROUND(I1369*J1369^($F$8-1),0)</f>
        <v>20507</v>
      </c>
      <c r="L1369" s="16" t="n">
        <f aca="false">ROUND(I1369*J1369^($F$9-1),0)</f>
        <v>20795</v>
      </c>
      <c r="M1369" s="17" t="n">
        <f aca="false">G1369*$F$7</f>
        <v>1166416.43847102</v>
      </c>
      <c r="N1369" s="18" t="n">
        <f aca="false">F1369/K1369</f>
        <v>35.8671185448871</v>
      </c>
      <c r="O1369" s="18" t="n">
        <f aca="false">G1369/L1369</f>
        <v>58.2280355854773</v>
      </c>
      <c r="P1369" s="18" t="n">
        <f aca="false">M1369/L1369</f>
        <v>56.0911968488106</v>
      </c>
      <c r="Q1369" s="19" t="n">
        <f aca="false">IF(N1369=0,"n.a.",P1369/N1369-1)</f>
        <v>0.563861250203675</v>
      </c>
    </row>
    <row r="1370" customFormat="false" ht="15" hidden="false" customHeight="false" outlineLevel="0" collapsed="false">
      <c r="A1370" s="12" t="s">
        <v>3297</v>
      </c>
      <c r="B1370" s="12" t="s">
        <v>2963</v>
      </c>
      <c r="C1370" s="12" t="s">
        <v>2964</v>
      </c>
      <c r="D1370" s="12" t="s">
        <v>1873</v>
      </c>
      <c r="E1370" s="12" t="s">
        <v>3298</v>
      </c>
      <c r="F1370" s="13" t="n">
        <v>182793</v>
      </c>
      <c r="G1370" s="13" t="n">
        <v>278389</v>
      </c>
      <c r="H1370" s="14" t="n">
        <v>1187</v>
      </c>
      <c r="I1370" s="14" t="n">
        <v>1103</v>
      </c>
      <c r="J1370" s="15" t="n">
        <f aca="false">I1370/H1370</f>
        <v>0.929233361415333</v>
      </c>
      <c r="K1370" s="16" t="n">
        <f aca="false">ROUND(I1370*J1370^($F$8-1),0)</f>
        <v>1122</v>
      </c>
      <c r="L1370" s="16" t="n">
        <f aca="false">ROUND(I1370*J1370^($F$9-1),0)</f>
        <v>1107</v>
      </c>
      <c r="M1370" s="17" t="n">
        <f aca="false">G1370*$F$7</f>
        <v>268172.746041224</v>
      </c>
      <c r="N1370" s="18" t="n">
        <f aca="false">F1370/K1370</f>
        <v>162.917112299465</v>
      </c>
      <c r="O1370" s="18" t="n">
        <f aca="false">G1370/L1370</f>
        <v>251.480578139115</v>
      </c>
      <c r="P1370" s="18" t="n">
        <f aca="false">M1370/L1370</f>
        <v>242.251803108603</v>
      </c>
      <c r="Q1370" s="19" t="n">
        <f aca="false">IF(N1370=0,"n.a.",P1370/N1370-1)</f>
        <v>0.486963522059667</v>
      </c>
    </row>
    <row r="1371" customFormat="false" ht="15" hidden="false" customHeight="false" outlineLevel="0" collapsed="false">
      <c r="A1371" s="12" t="s">
        <v>3299</v>
      </c>
      <c r="B1371" s="12" t="s">
        <v>2963</v>
      </c>
      <c r="C1371" s="12" t="s">
        <v>2964</v>
      </c>
      <c r="D1371" s="12" t="s">
        <v>1876</v>
      </c>
      <c r="E1371" s="12" t="s">
        <v>3300</v>
      </c>
      <c r="F1371" s="13" t="n">
        <v>1163723</v>
      </c>
      <c r="G1371" s="13" t="n">
        <v>1396906</v>
      </c>
      <c r="H1371" s="14" t="n">
        <v>9868</v>
      </c>
      <c r="I1371" s="14" t="n">
        <v>9847</v>
      </c>
      <c r="J1371" s="15" t="n">
        <f aca="false">I1371/H1371</f>
        <v>0.997871909201459</v>
      </c>
      <c r="K1371" s="16" t="n">
        <f aca="false">ROUND(I1371*J1371^($F$8-1),0)</f>
        <v>9852</v>
      </c>
      <c r="L1371" s="16" t="n">
        <f aca="false">ROUND(I1371*J1371^($F$9-1),0)</f>
        <v>9848</v>
      </c>
      <c r="M1371" s="17" t="n">
        <f aca="false">G1371*$F$7</f>
        <v>1345642.67259648</v>
      </c>
      <c r="N1371" s="18" t="n">
        <f aca="false">F1371/K1371</f>
        <v>118.120483150629</v>
      </c>
      <c r="O1371" s="18" t="n">
        <f aca="false">G1371/L1371</f>
        <v>141.846669374492</v>
      </c>
      <c r="P1371" s="18" t="n">
        <f aca="false">M1371/L1371</f>
        <v>136.64121370801</v>
      </c>
      <c r="Q1371" s="19" t="n">
        <f aca="false">IF(N1371=0,"n.a.",P1371/N1371-1)</f>
        <v>0.156795248913455</v>
      </c>
    </row>
    <row r="1372" customFormat="false" ht="15" hidden="false" customHeight="false" outlineLevel="0" collapsed="false">
      <c r="A1372" s="12" t="s">
        <v>3301</v>
      </c>
      <c r="B1372" s="12" t="s">
        <v>2963</v>
      </c>
      <c r="C1372" s="12" t="s">
        <v>2964</v>
      </c>
      <c r="D1372" s="12" t="s">
        <v>1879</v>
      </c>
      <c r="E1372" s="12" t="s">
        <v>3302</v>
      </c>
      <c r="F1372" s="13" t="n">
        <v>220087</v>
      </c>
      <c r="G1372" s="13" t="n">
        <v>198956</v>
      </c>
      <c r="H1372" s="14" t="n">
        <v>5924</v>
      </c>
      <c r="I1372" s="14" t="n">
        <v>5376</v>
      </c>
      <c r="J1372" s="15" t="n">
        <f aca="false">I1372/H1372</f>
        <v>0.907494935854153</v>
      </c>
      <c r="K1372" s="16" t="n">
        <f aca="false">ROUND(I1372*J1372^($F$8-1),0)</f>
        <v>5498</v>
      </c>
      <c r="L1372" s="16" t="n">
        <f aca="false">ROUND(I1372*J1372^($F$9-1),0)</f>
        <v>5403</v>
      </c>
      <c r="M1372" s="17" t="n">
        <f aca="false">G1372*$F$7</f>
        <v>191654.759568006</v>
      </c>
      <c r="N1372" s="18" t="n">
        <f aca="false">F1372/K1372</f>
        <v>40.0303746817024</v>
      </c>
      <c r="O1372" s="18" t="n">
        <f aca="false">G1372/L1372</f>
        <v>36.8232463446234</v>
      </c>
      <c r="P1372" s="18" t="n">
        <f aca="false">M1372/L1372</f>
        <v>35.4719155224887</v>
      </c>
      <c r="Q1372" s="19" t="n">
        <f aca="false">IF(N1372=0,"n.a.",P1372/N1372-1)</f>
        <v>-0.113875006053776</v>
      </c>
    </row>
    <row r="1373" customFormat="false" ht="15" hidden="false" customHeight="false" outlineLevel="0" collapsed="false">
      <c r="A1373" s="12" t="s">
        <v>3303</v>
      </c>
      <c r="B1373" s="12" t="s">
        <v>2963</v>
      </c>
      <c r="C1373" s="12" t="s">
        <v>2964</v>
      </c>
      <c r="D1373" s="12" t="s">
        <v>1882</v>
      </c>
      <c r="E1373" s="12" t="s">
        <v>3304</v>
      </c>
      <c r="F1373" s="13" t="n">
        <v>239580</v>
      </c>
      <c r="G1373" s="13" t="n">
        <v>396660</v>
      </c>
      <c r="H1373" s="14" t="n">
        <v>6476</v>
      </c>
      <c r="I1373" s="14" t="n">
        <v>6852</v>
      </c>
      <c r="J1373" s="15" t="n">
        <f aca="false">I1373/H1373</f>
        <v>1.05806053119209</v>
      </c>
      <c r="K1373" s="16" t="n">
        <f aca="false">ROUND(I1373*J1373^($F$8-1),0)</f>
        <v>6763</v>
      </c>
      <c r="L1373" s="16" t="n">
        <f aca="false">ROUND(I1373*J1373^($F$9-1),0)</f>
        <v>6832</v>
      </c>
      <c r="M1373" s="17" t="n">
        <f aca="false">G1373*$F$7</f>
        <v>382103.464737155</v>
      </c>
      <c r="N1373" s="18" t="n">
        <f aca="false">F1373/K1373</f>
        <v>35.4251072009463</v>
      </c>
      <c r="O1373" s="18" t="n">
        <f aca="false">G1373/L1373</f>
        <v>58.0591334894614</v>
      </c>
      <c r="P1373" s="18" t="n">
        <f aca="false">M1373/L1373</f>
        <v>55.9284930821362</v>
      </c>
      <c r="Q1373" s="19" t="n">
        <f aca="false">IF(N1373=0,"n.a.",P1373/N1373-1)</f>
        <v>0.5787811950684</v>
      </c>
    </row>
    <row r="1374" customFormat="false" ht="15" hidden="false" customHeight="false" outlineLevel="0" collapsed="false">
      <c r="A1374" s="12" t="s">
        <v>3305</v>
      </c>
      <c r="B1374" s="12" t="s">
        <v>2963</v>
      </c>
      <c r="C1374" s="12" t="s">
        <v>2964</v>
      </c>
      <c r="D1374" s="12" t="s">
        <v>1885</v>
      </c>
      <c r="E1374" s="12" t="s">
        <v>482</v>
      </c>
      <c r="F1374" s="13" t="n">
        <v>1176118</v>
      </c>
      <c r="G1374" s="13" t="n">
        <v>2610354</v>
      </c>
      <c r="H1374" s="14" t="n">
        <v>28395</v>
      </c>
      <c r="I1374" s="14" t="n">
        <v>28848</v>
      </c>
      <c r="J1374" s="15" t="n">
        <f aca="false">I1374/H1374</f>
        <v>1.01595351294242</v>
      </c>
      <c r="K1374" s="16" t="n">
        <f aca="false">ROUND(I1374*J1374^($F$8-1),0)</f>
        <v>28743</v>
      </c>
      <c r="L1374" s="16" t="n">
        <f aca="false">ROUND(I1374*J1374^($F$9-1),0)</f>
        <v>28824</v>
      </c>
      <c r="M1374" s="17" t="n">
        <f aca="false">G1374*$F$7</f>
        <v>2514559.84367088</v>
      </c>
      <c r="N1374" s="18" t="n">
        <f aca="false">F1374/K1374</f>
        <v>40.9184149184149</v>
      </c>
      <c r="O1374" s="18" t="n">
        <f aca="false">G1374/L1374</f>
        <v>90.561823480433</v>
      </c>
      <c r="P1374" s="18" t="n">
        <f aca="false">M1374/L1374</f>
        <v>87.2384070105079</v>
      </c>
      <c r="Q1374" s="19" t="n">
        <f aca="false">IF(N1374=0,"n.a.",P1374/N1374-1)</f>
        <v>1.13200846573475</v>
      </c>
    </row>
    <row r="1375" customFormat="false" ht="15" hidden="false" customHeight="false" outlineLevel="0" collapsed="false">
      <c r="A1375" s="12" t="s">
        <v>3306</v>
      </c>
      <c r="B1375" s="12" t="s">
        <v>2963</v>
      </c>
      <c r="C1375" s="12" t="s">
        <v>2964</v>
      </c>
      <c r="D1375" s="12" t="s">
        <v>1888</v>
      </c>
      <c r="E1375" s="12" t="s">
        <v>3307</v>
      </c>
      <c r="F1375" s="13" t="n">
        <v>287321</v>
      </c>
      <c r="G1375" s="13" t="n">
        <v>464013</v>
      </c>
      <c r="H1375" s="14" t="n">
        <v>26513</v>
      </c>
      <c r="I1375" s="14" t="n">
        <v>25345</v>
      </c>
      <c r="J1375" s="15" t="n">
        <f aca="false">I1375/H1375</f>
        <v>0.955946139629616</v>
      </c>
      <c r="K1375" s="16" t="n">
        <f aca="false">ROUND(I1375*J1375^($F$8-1),0)</f>
        <v>25610</v>
      </c>
      <c r="L1375" s="16" t="n">
        <f aca="false">ROUND(I1375*J1375^($F$9-1),0)</f>
        <v>25404</v>
      </c>
      <c r="M1375" s="17" t="n">
        <f aca="false">G1375*$F$7</f>
        <v>446984.760205419</v>
      </c>
      <c r="N1375" s="18" t="n">
        <f aca="false">F1375/K1375</f>
        <v>11.2190941038657</v>
      </c>
      <c r="O1375" s="18" t="n">
        <f aca="false">G1375/L1375</f>
        <v>18.2653519130846</v>
      </c>
      <c r="P1375" s="18" t="n">
        <f aca="false">M1375/L1375</f>
        <v>17.5950543302401</v>
      </c>
      <c r="Q1375" s="19" t="n">
        <f aca="false">IF(N1375=0,"n.a.",P1375/N1375-1)</f>
        <v>0.568313285132128</v>
      </c>
    </row>
    <row r="1376" customFormat="false" ht="15" hidden="false" customHeight="false" outlineLevel="0" collapsed="false">
      <c r="A1376" s="12" t="s">
        <v>3308</v>
      </c>
      <c r="B1376" s="12" t="s">
        <v>2963</v>
      </c>
      <c r="C1376" s="12" t="s">
        <v>2964</v>
      </c>
      <c r="D1376" s="12" t="s">
        <v>1891</v>
      </c>
      <c r="E1376" s="12" t="s">
        <v>3309</v>
      </c>
      <c r="F1376" s="13" t="n">
        <v>276229</v>
      </c>
      <c r="G1376" s="13" t="n">
        <v>430699</v>
      </c>
      <c r="H1376" s="14" t="n">
        <v>1550</v>
      </c>
      <c r="I1376" s="14" t="n">
        <v>1515</v>
      </c>
      <c r="J1376" s="15" t="n">
        <f aca="false">I1376/H1376</f>
        <v>0.97741935483871</v>
      </c>
      <c r="K1376" s="16" t="n">
        <f aca="false">ROUND(I1376*J1376^($F$8-1),0)</f>
        <v>1523</v>
      </c>
      <c r="L1376" s="16" t="n">
        <f aca="false">ROUND(I1376*J1376^($F$9-1),0)</f>
        <v>1517</v>
      </c>
      <c r="M1376" s="17" t="n">
        <f aca="false">G1376*$F$7</f>
        <v>414893.309531659</v>
      </c>
      <c r="N1376" s="18" t="n">
        <f aca="false">F1376/K1376</f>
        <v>181.371634931057</v>
      </c>
      <c r="O1376" s="18" t="n">
        <f aca="false">G1376/L1376</f>
        <v>283.914963744232</v>
      </c>
      <c r="P1376" s="18" t="n">
        <f aca="false">M1376/L1376</f>
        <v>273.495919269386</v>
      </c>
      <c r="Q1376" s="19" t="n">
        <f aca="false">IF(N1376=0,"n.a.",P1376/N1376-1)</f>
        <v>0.507931046513129</v>
      </c>
    </row>
    <row r="1377" customFormat="false" ht="15" hidden="false" customHeight="false" outlineLevel="0" collapsed="false">
      <c r="A1377" s="12" t="s">
        <v>3310</v>
      </c>
      <c r="B1377" s="12" t="s">
        <v>2963</v>
      </c>
      <c r="C1377" s="12" t="s">
        <v>2964</v>
      </c>
      <c r="D1377" s="12" t="s">
        <v>1897</v>
      </c>
      <c r="E1377" s="12" t="s">
        <v>3311</v>
      </c>
      <c r="F1377" s="13" t="n">
        <v>155141</v>
      </c>
      <c r="G1377" s="13" t="n">
        <v>125554</v>
      </c>
      <c r="H1377" s="14" t="n">
        <v>1312</v>
      </c>
      <c r="I1377" s="14" t="n">
        <v>1209</v>
      </c>
      <c r="J1377" s="15" t="n">
        <f aca="false">I1377/H1377</f>
        <v>0.921493902439024</v>
      </c>
      <c r="K1377" s="16" t="n">
        <f aca="false">ROUND(I1377*J1377^($F$8-1),0)</f>
        <v>1232</v>
      </c>
      <c r="L1377" s="16" t="n">
        <f aca="false">ROUND(I1377*J1377^($F$9-1),0)</f>
        <v>1214</v>
      </c>
      <c r="M1377" s="17" t="n">
        <f aca="false">G1377*$F$7</f>
        <v>120946.448877146</v>
      </c>
      <c r="N1377" s="18" t="n">
        <f aca="false">F1377/K1377</f>
        <v>125.926136363636</v>
      </c>
      <c r="O1377" s="18" t="n">
        <f aca="false">G1377/L1377</f>
        <v>103.421746293245</v>
      </c>
      <c r="P1377" s="18" t="n">
        <f aca="false">M1377/L1377</f>
        <v>99.6263994045684</v>
      </c>
      <c r="Q1377" s="19" t="n">
        <f aca="false">IF(N1377=0,"n.a.",P1377/N1377-1)</f>
        <v>-0.208850503307132</v>
      </c>
    </row>
    <row r="1378" customFormat="false" ht="15" hidden="false" customHeight="false" outlineLevel="0" collapsed="false">
      <c r="A1378" s="12" t="s">
        <v>3312</v>
      </c>
      <c r="B1378" s="12" t="s">
        <v>2963</v>
      </c>
      <c r="C1378" s="12" t="s">
        <v>2964</v>
      </c>
      <c r="D1378" s="12" t="s">
        <v>1900</v>
      </c>
      <c r="E1378" s="12" t="s">
        <v>3313</v>
      </c>
      <c r="F1378" s="13" t="n">
        <v>3108723</v>
      </c>
      <c r="G1378" s="13" t="n">
        <v>4435651</v>
      </c>
      <c r="H1378" s="14" t="n">
        <v>42929</v>
      </c>
      <c r="I1378" s="14" t="n">
        <v>47364</v>
      </c>
      <c r="J1378" s="15" t="n">
        <f aca="false">I1378/H1378</f>
        <v>1.10331011670433</v>
      </c>
      <c r="K1378" s="16" t="n">
        <f aca="false">ROUND(I1378*J1378^($F$8-1),0)</f>
        <v>46301</v>
      </c>
      <c r="L1378" s="16" t="n">
        <f aca="false">ROUND(I1378*J1378^($F$9-1),0)</f>
        <v>47123</v>
      </c>
      <c r="M1378" s="17" t="n">
        <f aca="false">G1378*$F$7</f>
        <v>4272872.52423946</v>
      </c>
      <c r="N1378" s="18" t="n">
        <f aca="false">F1378/K1378</f>
        <v>67.1415952139263</v>
      </c>
      <c r="O1378" s="18" t="n">
        <f aca="false">G1378/L1378</f>
        <v>94.1292150329987</v>
      </c>
      <c r="P1378" s="18" t="n">
        <f aca="false">M1378/L1378</f>
        <v>90.6748832680318</v>
      </c>
      <c r="Q1378" s="19" t="n">
        <f aca="false">IF(N1378=0,"n.a.",P1378/N1378-1)</f>
        <v>0.350502367111235</v>
      </c>
    </row>
    <row r="1379" customFormat="false" ht="15" hidden="false" customHeight="false" outlineLevel="0" collapsed="false">
      <c r="A1379" s="12" t="s">
        <v>3314</v>
      </c>
      <c r="B1379" s="12" t="s">
        <v>2963</v>
      </c>
      <c r="C1379" s="12" t="s">
        <v>2964</v>
      </c>
      <c r="D1379" s="12" t="s">
        <v>3315</v>
      </c>
      <c r="E1379" s="12" t="s">
        <v>3316</v>
      </c>
      <c r="F1379" s="13" t="n">
        <v>302643</v>
      </c>
      <c r="G1379" s="13" t="n">
        <v>432895</v>
      </c>
      <c r="H1379" s="14" t="n">
        <v>3399</v>
      </c>
      <c r="I1379" s="14" t="n">
        <v>3358</v>
      </c>
      <c r="J1379" s="15" t="n">
        <f aca="false">I1379/H1379</f>
        <v>0.987937628714328</v>
      </c>
      <c r="K1379" s="16" t="n">
        <f aca="false">ROUND(I1379*J1379^($F$8-1),0)</f>
        <v>3367</v>
      </c>
      <c r="L1379" s="16" t="n">
        <f aca="false">ROUND(I1379*J1379^($F$9-1),0)</f>
        <v>3360</v>
      </c>
      <c r="M1379" s="17" t="n">
        <f aca="false">G1379*$F$7</f>
        <v>417008.721240838</v>
      </c>
      <c r="N1379" s="18" t="n">
        <f aca="false">F1379/K1379</f>
        <v>89.8850608850609</v>
      </c>
      <c r="O1379" s="18" t="n">
        <f aca="false">G1379/L1379</f>
        <v>128.837797619048</v>
      </c>
      <c r="P1379" s="18" t="n">
        <f aca="false">M1379/L1379</f>
        <v>124.109738464535</v>
      </c>
      <c r="Q1379" s="19" t="n">
        <f aca="false">IF(N1379=0,"n.a.",P1379/N1379-1)</f>
        <v>0.380760465003616</v>
      </c>
    </row>
    <row r="1380" customFormat="false" ht="15" hidden="false" customHeight="false" outlineLevel="0" collapsed="false">
      <c r="A1380" s="12" t="s">
        <v>3317</v>
      </c>
      <c r="B1380" s="12" t="s">
        <v>2963</v>
      </c>
      <c r="C1380" s="12" t="s">
        <v>2964</v>
      </c>
      <c r="D1380" s="12" t="s">
        <v>1903</v>
      </c>
      <c r="E1380" s="12" t="s">
        <v>3318</v>
      </c>
      <c r="F1380" s="13" t="n">
        <v>96251</v>
      </c>
      <c r="G1380" s="13" t="n">
        <v>20285</v>
      </c>
      <c r="H1380" s="14" t="n">
        <v>3375</v>
      </c>
      <c r="I1380" s="14" t="n">
        <v>3209</v>
      </c>
      <c r="J1380" s="15" t="n">
        <f aca="false">I1380/H1380</f>
        <v>0.950814814814815</v>
      </c>
      <c r="K1380" s="16" t="n">
        <f aca="false">ROUND(I1380*J1380^($F$8-1),0)</f>
        <v>3247</v>
      </c>
      <c r="L1380" s="16" t="n">
        <f aca="false">ROUND(I1380*J1380^($F$9-1),0)</f>
        <v>3217</v>
      </c>
      <c r="M1380" s="17" t="n">
        <f aca="false">G1380*$F$7</f>
        <v>19540.585847308</v>
      </c>
      <c r="N1380" s="18" t="n">
        <f aca="false">F1380/K1380</f>
        <v>29.6430551278103</v>
      </c>
      <c r="O1380" s="18" t="n">
        <f aca="false">G1380/L1380</f>
        <v>6.30556419023935</v>
      </c>
      <c r="P1380" s="18" t="n">
        <f aca="false">M1380/L1380</f>
        <v>6.07416408060553</v>
      </c>
      <c r="Q1380" s="19" t="n">
        <f aca="false">IF(N1380=0,"n.a.",P1380/N1380-1)</f>
        <v>-0.79508980925158</v>
      </c>
    </row>
    <row r="1381" customFormat="false" ht="15" hidden="false" customHeight="false" outlineLevel="0" collapsed="false">
      <c r="A1381" s="12" t="s">
        <v>3319</v>
      </c>
      <c r="B1381" s="12" t="s">
        <v>2963</v>
      </c>
      <c r="C1381" s="12" t="s">
        <v>2964</v>
      </c>
      <c r="D1381" s="12" t="s">
        <v>1906</v>
      </c>
      <c r="E1381" s="12" t="s">
        <v>3320</v>
      </c>
      <c r="F1381" s="13" t="n">
        <v>233413</v>
      </c>
      <c r="G1381" s="13" t="n">
        <v>374536</v>
      </c>
      <c r="H1381" s="14" t="n">
        <v>13025</v>
      </c>
      <c r="I1381" s="14" t="n">
        <v>14139</v>
      </c>
      <c r="J1381" s="15" t="n">
        <f aca="false">I1381/H1381</f>
        <v>1.08552783109405</v>
      </c>
      <c r="K1381" s="16" t="n">
        <f aca="false">ROUND(I1381*J1381^($F$8-1),0)</f>
        <v>13874</v>
      </c>
      <c r="L1381" s="16" t="n">
        <f aca="false">ROUND(I1381*J1381^($F$9-1),0)</f>
        <v>14079</v>
      </c>
      <c r="M1381" s="17" t="n">
        <f aca="false">G1381*$F$7</f>
        <v>360791.366078745</v>
      </c>
      <c r="N1381" s="18" t="n">
        <f aca="false">F1381/K1381</f>
        <v>16.8237710826005</v>
      </c>
      <c r="O1381" s="18" t="n">
        <f aca="false">G1381/L1381</f>
        <v>26.6024575609063</v>
      </c>
      <c r="P1381" s="18" t="n">
        <f aca="false">M1381/L1381</f>
        <v>25.6262068384647</v>
      </c>
      <c r="Q1381" s="19" t="n">
        <f aca="false">IF(N1381=0,"n.a.",P1381/N1381-1)</f>
        <v>0.52321418977032</v>
      </c>
    </row>
    <row r="1382" customFormat="false" ht="15" hidden="false" customHeight="false" outlineLevel="0" collapsed="false">
      <c r="A1382" s="12" t="s">
        <v>3321</v>
      </c>
      <c r="B1382" s="12" t="s">
        <v>2963</v>
      </c>
      <c r="C1382" s="12" t="s">
        <v>2964</v>
      </c>
      <c r="D1382" s="12" t="s">
        <v>3322</v>
      </c>
      <c r="E1382" s="12" t="s">
        <v>3323</v>
      </c>
      <c r="F1382" s="13" t="n">
        <v>653596</v>
      </c>
      <c r="G1382" s="13" t="n">
        <v>659460</v>
      </c>
      <c r="H1382" s="14" t="n">
        <v>7178</v>
      </c>
      <c r="I1382" s="14" t="n">
        <v>7035</v>
      </c>
      <c r="J1382" s="15" t="n">
        <f aca="false">I1382/H1382</f>
        <v>0.98007801616049</v>
      </c>
      <c r="K1382" s="16" t="n">
        <f aca="false">ROUND(I1382*J1382^($F$8-1),0)</f>
        <v>7068</v>
      </c>
      <c r="L1382" s="16" t="n">
        <f aca="false">ROUND(I1382*J1382^($F$9-1),0)</f>
        <v>7042</v>
      </c>
      <c r="M1382" s="17" t="n">
        <f aca="false">G1382*$F$7</f>
        <v>635259.292229023</v>
      </c>
      <c r="N1382" s="18" t="n">
        <f aca="false">F1382/K1382</f>
        <v>92.4725523486135</v>
      </c>
      <c r="O1382" s="18" t="n">
        <f aca="false">G1382/L1382</f>
        <v>93.6466912808861</v>
      </c>
      <c r="P1382" s="18" t="n">
        <f aca="false">M1382/L1382</f>
        <v>90.2100670589353</v>
      </c>
      <c r="Q1382" s="19" t="n">
        <f aca="false">IF(N1382=0,"n.a.",P1382/N1382-1)</f>
        <v>-0.0244665604248577</v>
      </c>
    </row>
    <row r="1383" customFormat="false" ht="15" hidden="false" customHeight="false" outlineLevel="0" collapsed="false">
      <c r="A1383" s="12" t="s">
        <v>3324</v>
      </c>
      <c r="B1383" s="12" t="s">
        <v>2963</v>
      </c>
      <c r="C1383" s="12" t="s">
        <v>2964</v>
      </c>
      <c r="D1383" s="12" t="s">
        <v>1909</v>
      </c>
      <c r="E1383" s="12" t="s">
        <v>3325</v>
      </c>
      <c r="F1383" s="13" t="n">
        <v>207738</v>
      </c>
      <c r="G1383" s="13" t="n">
        <v>230373</v>
      </c>
      <c r="H1383" s="14" t="n">
        <v>7926</v>
      </c>
      <c r="I1383" s="14" t="n">
        <v>8188</v>
      </c>
      <c r="J1383" s="15" t="n">
        <f aca="false">I1383/H1383</f>
        <v>1.03305576583396</v>
      </c>
      <c r="K1383" s="16" t="n">
        <f aca="false">ROUND(I1383*J1383^($F$8-1),0)</f>
        <v>8127</v>
      </c>
      <c r="L1383" s="16" t="n">
        <f aca="false">ROUND(I1383*J1383^($F$9-1),0)</f>
        <v>8174</v>
      </c>
      <c r="M1383" s="17" t="n">
        <f aca="false">G1383*$F$7</f>
        <v>221918.825901005</v>
      </c>
      <c r="N1383" s="18" t="n">
        <f aca="false">F1383/K1383</f>
        <v>25.5614617940199</v>
      </c>
      <c r="O1383" s="18" t="n">
        <f aca="false">G1383/L1383</f>
        <v>28.1836310252019</v>
      </c>
      <c r="P1383" s="18" t="n">
        <f aca="false">M1383/L1383</f>
        <v>27.1493547713488</v>
      </c>
      <c r="Q1383" s="19" t="n">
        <f aca="false">IF(N1383=0,"n.a.",P1383/N1383-1)</f>
        <v>0.0621205856740288</v>
      </c>
    </row>
    <row r="1384" customFormat="false" ht="15" hidden="false" customHeight="false" outlineLevel="0" collapsed="false">
      <c r="A1384" s="12" t="s">
        <v>3326</v>
      </c>
      <c r="B1384" s="12" t="s">
        <v>2963</v>
      </c>
      <c r="C1384" s="12" t="s">
        <v>2964</v>
      </c>
      <c r="D1384" s="12" t="s">
        <v>1912</v>
      </c>
      <c r="E1384" s="12" t="s">
        <v>3327</v>
      </c>
      <c r="F1384" s="13" t="n">
        <v>1037372</v>
      </c>
      <c r="G1384" s="13" t="n">
        <v>1872021</v>
      </c>
      <c r="H1384" s="14" t="n">
        <v>26392</v>
      </c>
      <c r="I1384" s="14" t="n">
        <v>26396</v>
      </c>
      <c r="J1384" s="15" t="n">
        <f aca="false">I1384/H1384</f>
        <v>1.00015156107912</v>
      </c>
      <c r="K1384" s="16" t="n">
        <f aca="false">ROUND(I1384*J1384^($F$8-1),0)</f>
        <v>26395</v>
      </c>
      <c r="L1384" s="16" t="n">
        <f aca="false">ROUND(I1384*J1384^($F$9-1),0)</f>
        <v>26396</v>
      </c>
      <c r="M1384" s="17" t="n">
        <f aca="false">G1384*$F$7</f>
        <v>1803322.01422052</v>
      </c>
      <c r="N1384" s="18" t="n">
        <f aca="false">F1384/K1384</f>
        <v>39.3018374692177</v>
      </c>
      <c r="O1384" s="18" t="n">
        <f aca="false">G1384/L1384</f>
        <v>70.9206319139264</v>
      </c>
      <c r="P1384" s="18" t="n">
        <f aca="false">M1384/L1384</f>
        <v>68.3180032664239</v>
      </c>
      <c r="Q1384" s="19" t="n">
        <f aca="false">IF(N1384=0,"n.a.",P1384/N1384-1)</f>
        <v>0.738290310724849</v>
      </c>
    </row>
    <row r="1385" customFormat="false" ht="15" hidden="false" customHeight="false" outlineLevel="0" collapsed="false">
      <c r="A1385" s="12" t="s">
        <v>3328</v>
      </c>
      <c r="B1385" s="12" t="s">
        <v>2963</v>
      </c>
      <c r="C1385" s="12" t="s">
        <v>2964</v>
      </c>
      <c r="D1385" s="12" t="s">
        <v>1915</v>
      </c>
      <c r="E1385" s="12" t="s">
        <v>3329</v>
      </c>
      <c r="F1385" s="13" t="n">
        <v>212116</v>
      </c>
      <c r="G1385" s="13" t="n">
        <v>327529</v>
      </c>
      <c r="H1385" s="14" t="n">
        <v>4569</v>
      </c>
      <c r="I1385" s="14" t="n">
        <v>4543</v>
      </c>
      <c r="J1385" s="15" t="n">
        <f aca="false">I1385/H1385</f>
        <v>0.994309476909608</v>
      </c>
      <c r="K1385" s="16" t="n">
        <f aca="false">ROUND(I1385*J1385^($F$8-1),0)</f>
        <v>4549</v>
      </c>
      <c r="L1385" s="16" t="n">
        <f aca="false">ROUND(I1385*J1385^($F$9-1),0)</f>
        <v>4544</v>
      </c>
      <c r="M1385" s="17" t="n">
        <f aca="false">G1385*$F$7</f>
        <v>315509.417894155</v>
      </c>
      <c r="N1385" s="18" t="n">
        <f aca="false">F1385/K1385</f>
        <v>46.6291492635744</v>
      </c>
      <c r="O1385" s="18" t="n">
        <f aca="false">G1385/L1385</f>
        <v>72.0794454225352</v>
      </c>
      <c r="P1385" s="18" t="n">
        <f aca="false">M1385/L1385</f>
        <v>69.4342909098053</v>
      </c>
      <c r="Q1385" s="19" t="n">
        <f aca="false">IF(N1385=0,"n.a.",P1385/N1385-1)</f>
        <v>0.489074795624583</v>
      </c>
    </row>
    <row r="1386" customFormat="false" ht="15" hidden="false" customHeight="false" outlineLevel="0" collapsed="false">
      <c r="A1386" s="12" t="s">
        <v>3330</v>
      </c>
      <c r="B1386" s="12" t="s">
        <v>2963</v>
      </c>
      <c r="C1386" s="12" t="s">
        <v>2964</v>
      </c>
      <c r="D1386" s="12" t="s">
        <v>3331</v>
      </c>
      <c r="E1386" s="12" t="s">
        <v>3332</v>
      </c>
      <c r="F1386" s="13" t="n">
        <v>6574608</v>
      </c>
      <c r="G1386" s="13" t="n">
        <v>7873675</v>
      </c>
      <c r="H1386" s="14" t="n">
        <v>57766</v>
      </c>
      <c r="I1386" s="14" t="n">
        <v>59283</v>
      </c>
      <c r="J1386" s="15" t="n">
        <f aca="false">I1386/H1386</f>
        <v>1.02626112245958</v>
      </c>
      <c r="K1386" s="16" t="n">
        <f aca="false">ROUND(I1386*J1386^($F$8-1),0)</f>
        <v>58929</v>
      </c>
      <c r="L1386" s="16" t="n">
        <f aca="false">ROUND(I1386*J1386^($F$9-1),0)</f>
        <v>59203</v>
      </c>
      <c r="M1386" s="17" t="n">
        <f aca="false">G1386*$F$7</f>
        <v>7584728.7291744</v>
      </c>
      <c r="N1386" s="18" t="n">
        <f aca="false">F1386/K1386</f>
        <v>111.568294048771</v>
      </c>
      <c r="O1386" s="18" t="n">
        <f aca="false">G1386/L1386</f>
        <v>132.99452730436</v>
      </c>
      <c r="P1386" s="18" t="n">
        <f aca="false">M1386/L1386</f>
        <v>128.113925462804</v>
      </c>
      <c r="Q1386" s="19" t="n">
        <f aca="false">IF(N1386=0,"n.a.",P1386/N1386-1)</f>
        <v>0.14830047868977</v>
      </c>
    </row>
    <row r="1387" customFormat="false" ht="15" hidden="false" customHeight="false" outlineLevel="0" collapsed="false">
      <c r="A1387" s="12" t="s">
        <v>3333</v>
      </c>
      <c r="B1387" s="12" t="s">
        <v>2963</v>
      </c>
      <c r="C1387" s="12" t="s">
        <v>2964</v>
      </c>
      <c r="D1387" s="12" t="s">
        <v>1918</v>
      </c>
      <c r="E1387" s="12" t="s">
        <v>3334</v>
      </c>
      <c r="F1387" s="13" t="n">
        <v>33108442</v>
      </c>
      <c r="G1387" s="13" t="n">
        <v>33952697</v>
      </c>
      <c r="H1387" s="14" t="n">
        <v>87209</v>
      </c>
      <c r="I1387" s="14" t="n">
        <v>88278</v>
      </c>
      <c r="J1387" s="15" t="n">
        <f aca="false">I1387/H1387</f>
        <v>1.01225790916075</v>
      </c>
      <c r="K1387" s="16" t="n">
        <f aca="false">ROUND(I1387*J1387^($F$8-1),0)</f>
        <v>88030</v>
      </c>
      <c r="L1387" s="16" t="n">
        <f aca="false">ROUND(I1387*J1387^($F$9-1),0)</f>
        <v>88222</v>
      </c>
      <c r="M1387" s="17" t="n">
        <f aca="false">G1387*$F$7</f>
        <v>32706708.921673</v>
      </c>
      <c r="N1387" s="18" t="n">
        <f aca="false">F1387/K1387</f>
        <v>376.104078155174</v>
      </c>
      <c r="O1387" s="18" t="n">
        <f aca="false">G1387/L1387</f>
        <v>384.85521751944</v>
      </c>
      <c r="P1387" s="18" t="n">
        <f aca="false">M1387/L1387</f>
        <v>370.731891383929</v>
      </c>
      <c r="Q1387" s="19" t="n">
        <f aca="false">IF(N1387=0,"n.a.",P1387/N1387-1)</f>
        <v>-0.0142837769736415</v>
      </c>
    </row>
    <row r="1388" customFormat="false" ht="15" hidden="false" customHeight="false" outlineLevel="0" collapsed="false">
      <c r="A1388" s="12" t="s">
        <v>3335</v>
      </c>
      <c r="B1388" s="12" t="s">
        <v>2963</v>
      </c>
      <c r="C1388" s="12" t="s">
        <v>2964</v>
      </c>
      <c r="D1388" s="12" t="s">
        <v>1921</v>
      </c>
      <c r="E1388" s="12" t="s">
        <v>3336</v>
      </c>
      <c r="F1388" s="13" t="n">
        <v>14890</v>
      </c>
      <c r="G1388" s="13" t="n">
        <v>20966</v>
      </c>
      <c r="H1388" s="14" t="n">
        <v>8555</v>
      </c>
      <c r="I1388" s="14" t="n">
        <v>9188</v>
      </c>
      <c r="J1388" s="15" t="n">
        <f aca="false">I1388/H1388</f>
        <v>1.0739918176505</v>
      </c>
      <c r="K1388" s="16" t="n">
        <f aca="false">ROUND(I1388*J1388^($F$8-1),0)</f>
        <v>9038</v>
      </c>
      <c r="L1388" s="16" t="n">
        <f aca="false">ROUND(I1388*J1388^($F$9-1),0)</f>
        <v>9154</v>
      </c>
      <c r="M1388" s="17" t="n">
        <f aca="false">G1388*$F$7</f>
        <v>20196.5946696899</v>
      </c>
      <c r="N1388" s="18" t="n">
        <f aca="false">F1388/K1388</f>
        <v>1.64748838238548</v>
      </c>
      <c r="O1388" s="18" t="n">
        <f aca="false">G1388/L1388</f>
        <v>2.29036486781735</v>
      </c>
      <c r="P1388" s="18" t="n">
        <f aca="false">M1388/L1388</f>
        <v>2.20631359730062</v>
      </c>
      <c r="Q1388" s="19" t="n">
        <f aca="false">IF(N1388=0,"n.a.",P1388/N1388-1)</f>
        <v>0.339198273499195</v>
      </c>
    </row>
    <row r="1389" customFormat="false" ht="15" hidden="false" customHeight="false" outlineLevel="0" collapsed="false">
      <c r="A1389" s="12" t="s">
        <v>3337</v>
      </c>
      <c r="B1389" s="12" t="s">
        <v>2963</v>
      </c>
      <c r="C1389" s="12" t="s">
        <v>2964</v>
      </c>
      <c r="D1389" s="12" t="s">
        <v>1923</v>
      </c>
      <c r="E1389" s="12" t="s">
        <v>3338</v>
      </c>
      <c r="F1389" s="13" t="n">
        <v>293436</v>
      </c>
      <c r="G1389" s="13" t="n">
        <v>426528</v>
      </c>
      <c r="H1389" s="14" t="n">
        <v>5675</v>
      </c>
      <c r="I1389" s="14" t="n">
        <v>5440</v>
      </c>
      <c r="J1389" s="15" t="n">
        <f aca="false">I1389/H1389</f>
        <v>0.958590308370044</v>
      </c>
      <c r="K1389" s="16" t="n">
        <f aca="false">ROUND(I1389*J1389^($F$8-1),0)</f>
        <v>5493</v>
      </c>
      <c r="L1389" s="16" t="n">
        <f aca="false">ROUND(I1389*J1389^($F$9-1),0)</f>
        <v>5452</v>
      </c>
      <c r="M1389" s="17" t="n">
        <f aca="false">G1389*$F$7</f>
        <v>410875.375907349</v>
      </c>
      <c r="N1389" s="18" t="n">
        <f aca="false">F1389/K1389</f>
        <v>53.4199890770071</v>
      </c>
      <c r="O1389" s="18" t="n">
        <f aca="false">G1389/L1389</f>
        <v>78.2333088774762</v>
      </c>
      <c r="P1389" s="18" t="n">
        <f aca="false">M1389/L1389</f>
        <v>75.3623213329694</v>
      </c>
      <c r="Q1389" s="19" t="n">
        <f aca="false">IF(N1389=0,"n.a.",P1389/N1389-1)</f>
        <v>0.41075134299132</v>
      </c>
    </row>
    <row r="1390" customFormat="false" ht="15" hidden="false" customHeight="false" outlineLevel="0" collapsed="false">
      <c r="A1390" s="12" t="s">
        <v>3339</v>
      </c>
      <c r="B1390" s="12" t="s">
        <v>2963</v>
      </c>
      <c r="C1390" s="12" t="s">
        <v>2964</v>
      </c>
      <c r="D1390" s="12" t="s">
        <v>1926</v>
      </c>
      <c r="E1390" s="12" t="s">
        <v>236</v>
      </c>
      <c r="F1390" s="13" t="n">
        <v>1331438</v>
      </c>
      <c r="G1390" s="13" t="n">
        <v>1717007</v>
      </c>
      <c r="H1390" s="14" t="n">
        <v>16739</v>
      </c>
      <c r="I1390" s="14" t="n">
        <v>16522</v>
      </c>
      <c r="J1390" s="15" t="n">
        <f aca="false">I1390/H1390</f>
        <v>0.987036262620228</v>
      </c>
      <c r="K1390" s="16" t="n">
        <f aca="false">ROUND(I1390*J1390^($F$8-1),0)</f>
        <v>16572</v>
      </c>
      <c r="L1390" s="16" t="n">
        <f aca="false">ROUND(I1390*J1390^($F$9-1),0)</f>
        <v>16533</v>
      </c>
      <c r="M1390" s="17" t="n">
        <f aca="false">G1390*$F$7</f>
        <v>1653996.68148527</v>
      </c>
      <c r="N1390" s="18" t="n">
        <f aca="false">F1390/K1390</f>
        <v>80.3426261163408</v>
      </c>
      <c r="O1390" s="18" t="n">
        <f aca="false">G1390/L1390</f>
        <v>103.853323655719</v>
      </c>
      <c r="P1390" s="18" t="n">
        <f aca="false">M1390/L1390</f>
        <v>100.042138842634</v>
      </c>
      <c r="Q1390" s="19" t="n">
        <f aca="false">IF(N1390=0,"n.a.",P1390/N1390-1)</f>
        <v>0.245193786642814</v>
      </c>
    </row>
    <row r="1391" customFormat="false" ht="15" hidden="false" customHeight="false" outlineLevel="0" collapsed="false">
      <c r="A1391" s="12" t="s">
        <v>3340</v>
      </c>
      <c r="B1391" s="12" t="s">
        <v>2963</v>
      </c>
      <c r="C1391" s="12" t="s">
        <v>2964</v>
      </c>
      <c r="D1391" s="12" t="s">
        <v>1929</v>
      </c>
      <c r="E1391" s="12" t="s">
        <v>3341</v>
      </c>
      <c r="F1391" s="13" t="n">
        <v>2247681</v>
      </c>
      <c r="G1391" s="13" t="n">
        <v>2284938</v>
      </c>
      <c r="H1391" s="14" t="n">
        <v>20717</v>
      </c>
      <c r="I1391" s="14" t="n">
        <v>22593</v>
      </c>
      <c r="J1391" s="15" t="n">
        <f aca="false">I1391/H1391</f>
        <v>1.09055365159048</v>
      </c>
      <c r="K1391" s="16" t="n">
        <f aca="false">ROUND(I1391*J1391^($F$8-1),0)</f>
        <v>22145</v>
      </c>
      <c r="L1391" s="16" t="n">
        <f aca="false">ROUND(I1391*J1391^($F$9-1),0)</f>
        <v>22491</v>
      </c>
      <c r="M1391" s="17" t="n">
        <f aca="false">G1391*$F$7</f>
        <v>2201085.88340036</v>
      </c>
      <c r="N1391" s="18" t="n">
        <f aca="false">F1391/K1391</f>
        <v>101.498351772409</v>
      </c>
      <c r="O1391" s="18" t="n">
        <f aca="false">G1391/L1391</f>
        <v>101.59343737495</v>
      </c>
      <c r="P1391" s="18" t="n">
        <f aca="false">M1391/L1391</f>
        <v>97.8651853363726</v>
      </c>
      <c r="Q1391" s="19" t="n">
        <f aca="false">IF(N1391=0,"n.a.",P1391/N1391-1)</f>
        <v>-0.0357953244815564</v>
      </c>
    </row>
    <row r="1392" customFormat="false" ht="15" hidden="false" customHeight="false" outlineLevel="0" collapsed="false">
      <c r="A1392" s="12" t="s">
        <v>3342</v>
      </c>
      <c r="B1392" s="12" t="s">
        <v>2963</v>
      </c>
      <c r="C1392" s="12" t="s">
        <v>2964</v>
      </c>
      <c r="D1392" s="12" t="s">
        <v>1932</v>
      </c>
      <c r="E1392" s="12" t="s">
        <v>3343</v>
      </c>
      <c r="F1392" s="13" t="n">
        <v>354694</v>
      </c>
      <c r="G1392" s="13" t="n">
        <v>336744</v>
      </c>
      <c r="H1392" s="14" t="n">
        <v>11939</v>
      </c>
      <c r="I1392" s="14" t="n">
        <v>13102</v>
      </c>
      <c r="J1392" s="15" t="n">
        <f aca="false">I1392/H1392</f>
        <v>1.09741184353798</v>
      </c>
      <c r="K1392" s="16" t="n">
        <f aca="false">ROUND(I1392*J1392^($F$8-1),0)</f>
        <v>12824</v>
      </c>
      <c r="L1392" s="16" t="n">
        <f aca="false">ROUND(I1392*J1392^($F$9-1),0)</f>
        <v>13039</v>
      </c>
      <c r="M1392" s="17" t="n">
        <f aca="false">G1392*$F$7</f>
        <v>324386.247994374</v>
      </c>
      <c r="N1392" s="18" t="n">
        <f aca="false">F1392/K1392</f>
        <v>27.6586088583905</v>
      </c>
      <c r="O1392" s="18" t="n">
        <f aca="false">G1392/L1392</f>
        <v>25.8259068947005</v>
      </c>
      <c r="P1392" s="18" t="n">
        <f aca="false">M1392/L1392</f>
        <v>24.8781538457224</v>
      </c>
      <c r="Q1392" s="19" t="n">
        <f aca="false">IF(N1392=0,"n.a.",P1392/N1392-1)</f>
        <v>-0.100527652236734</v>
      </c>
    </row>
    <row r="1393" customFormat="false" ht="15" hidden="false" customHeight="false" outlineLevel="0" collapsed="false">
      <c r="A1393" s="12" t="s">
        <v>3344</v>
      </c>
      <c r="B1393" s="12" t="s">
        <v>2963</v>
      </c>
      <c r="C1393" s="12" t="s">
        <v>2964</v>
      </c>
      <c r="D1393" s="12" t="s">
        <v>1935</v>
      </c>
      <c r="E1393" s="12" t="s">
        <v>3345</v>
      </c>
      <c r="F1393" s="13" t="n">
        <v>652818</v>
      </c>
      <c r="G1393" s="13" t="n">
        <v>1258773</v>
      </c>
      <c r="H1393" s="14" t="n">
        <v>18333</v>
      </c>
      <c r="I1393" s="14" t="n">
        <v>19212</v>
      </c>
      <c r="J1393" s="15" t="n">
        <f aca="false">I1393/H1393</f>
        <v>1.04794632629684</v>
      </c>
      <c r="K1393" s="16" t="n">
        <f aca="false">ROUND(I1393*J1393^($F$8-1),0)</f>
        <v>19005</v>
      </c>
      <c r="L1393" s="16" t="n">
        <f aca="false">ROUND(I1393*J1393^($F$9-1),0)</f>
        <v>19165</v>
      </c>
      <c r="M1393" s="17" t="n">
        <f aca="false">G1393*$F$7</f>
        <v>1212578.84489886</v>
      </c>
      <c r="N1393" s="18" t="n">
        <f aca="false">F1393/K1393</f>
        <v>34.3498026835043</v>
      </c>
      <c r="O1393" s="18" t="n">
        <f aca="false">G1393/L1393</f>
        <v>65.6808244195147</v>
      </c>
      <c r="P1393" s="18" t="n">
        <f aca="false">M1393/L1393</f>
        <v>63.2704849934183</v>
      </c>
      <c r="Q1393" s="19" t="n">
        <f aca="false">IF(N1393=0,"n.a.",P1393/N1393-1)</f>
        <v>0.841946097227581</v>
      </c>
    </row>
    <row r="1394" customFormat="false" ht="15" hidden="false" customHeight="false" outlineLevel="0" collapsed="false">
      <c r="A1394" s="12" t="s">
        <v>3346</v>
      </c>
      <c r="B1394" s="12" t="s">
        <v>2963</v>
      </c>
      <c r="C1394" s="12" t="s">
        <v>2964</v>
      </c>
      <c r="D1394" s="12" t="s">
        <v>1941</v>
      </c>
      <c r="E1394" s="12" t="s">
        <v>3347</v>
      </c>
      <c r="F1394" s="13" t="n">
        <v>38749</v>
      </c>
      <c r="G1394" s="13" t="n">
        <v>68637</v>
      </c>
      <c r="H1394" s="14" t="n">
        <v>2430</v>
      </c>
      <c r="I1394" s="14" t="n">
        <v>2360</v>
      </c>
      <c r="J1394" s="15" t="n">
        <f aca="false">I1394/H1394</f>
        <v>0.97119341563786</v>
      </c>
      <c r="K1394" s="16" t="n">
        <f aca="false">ROUND(I1394*J1394^($F$8-1),0)</f>
        <v>2376</v>
      </c>
      <c r="L1394" s="16" t="n">
        <f aca="false">ROUND(I1394*J1394^($F$9-1),0)</f>
        <v>2364</v>
      </c>
      <c r="M1394" s="17" t="n">
        <f aca="false">G1394*$F$7</f>
        <v>66118.175538658</v>
      </c>
      <c r="N1394" s="18" t="n">
        <f aca="false">F1394/K1394</f>
        <v>16.3085016835017</v>
      </c>
      <c r="O1394" s="18" t="n">
        <f aca="false">G1394/L1394</f>
        <v>29.0342639593909</v>
      </c>
      <c r="P1394" s="18" t="n">
        <f aca="false">M1394/L1394</f>
        <v>27.9687713784509</v>
      </c>
      <c r="Q1394" s="19" t="n">
        <f aca="false">IF(N1394=0,"n.a.",P1394/N1394-1)</f>
        <v>0.714981052290367</v>
      </c>
    </row>
    <row r="1395" customFormat="false" ht="15" hidden="false" customHeight="false" outlineLevel="0" collapsed="false">
      <c r="A1395" s="12" t="s">
        <v>3348</v>
      </c>
      <c r="B1395" s="12" t="s">
        <v>3349</v>
      </c>
      <c r="C1395" s="12" t="s">
        <v>3350</v>
      </c>
      <c r="D1395" s="12" t="s">
        <v>46</v>
      </c>
      <c r="E1395" s="12" t="s">
        <v>3351</v>
      </c>
      <c r="F1395" s="13" t="n">
        <v>30332029</v>
      </c>
      <c r="G1395" s="13" t="n">
        <v>32631133</v>
      </c>
      <c r="H1395" s="14" t="n">
        <v>66793</v>
      </c>
      <c r="I1395" s="14" t="n">
        <v>72991</v>
      </c>
      <c r="J1395" s="15" t="n">
        <f aca="false">I1395/H1395</f>
        <v>1.09279415507613</v>
      </c>
      <c r="K1395" s="16" t="n">
        <f aca="false">ROUND(I1395*J1395^($F$8-1),0)</f>
        <v>71511</v>
      </c>
      <c r="L1395" s="16" t="n">
        <f aca="false">ROUND(I1395*J1395^($F$9-1),0)</f>
        <v>72655</v>
      </c>
      <c r="M1395" s="17" t="n">
        <f aca="false">G1395*$F$7</f>
        <v>31433643.3661042</v>
      </c>
      <c r="N1395" s="18" t="n">
        <f aca="false">F1395/K1395</f>
        <v>424.158926598705</v>
      </c>
      <c r="O1395" s="18" t="n">
        <f aca="false">G1395/L1395</f>
        <v>449.124396118643</v>
      </c>
      <c r="P1395" s="18" t="n">
        <f aca="false">M1395/L1395</f>
        <v>432.642534802894</v>
      </c>
      <c r="Q1395" s="19" t="n">
        <f aca="false">IF(N1395=0,"n.a.",P1395/N1395-1)</f>
        <v>0.0200010129981654</v>
      </c>
    </row>
    <row r="1396" customFormat="false" ht="15" hidden="false" customHeight="false" outlineLevel="0" collapsed="false">
      <c r="A1396" s="12" t="s">
        <v>3352</v>
      </c>
      <c r="B1396" s="12" t="s">
        <v>3349</v>
      </c>
      <c r="C1396" s="12" t="s">
        <v>3350</v>
      </c>
      <c r="D1396" s="12" t="s">
        <v>51</v>
      </c>
      <c r="E1396" s="12" t="s">
        <v>3353</v>
      </c>
      <c r="F1396" s="13" t="n">
        <v>2663633</v>
      </c>
      <c r="G1396" s="13" t="n">
        <v>3238337</v>
      </c>
      <c r="H1396" s="14" t="n">
        <v>13065</v>
      </c>
      <c r="I1396" s="14" t="n">
        <v>12680</v>
      </c>
      <c r="J1396" s="15" t="n">
        <f aca="false">I1396/H1396</f>
        <v>0.970531955606583</v>
      </c>
      <c r="K1396" s="16" t="n">
        <f aca="false">ROUND(I1396*J1396^($F$8-1),0)</f>
        <v>12768</v>
      </c>
      <c r="L1396" s="16" t="n">
        <f aca="false">ROUND(I1396*J1396^($F$9-1),0)</f>
        <v>12700</v>
      </c>
      <c r="M1396" s="17" t="n">
        <f aca="false">G1396*$F$7</f>
        <v>3119497.27143277</v>
      </c>
      <c r="N1396" s="18" t="n">
        <f aca="false">F1396/K1396</f>
        <v>208.617872807018</v>
      </c>
      <c r="O1396" s="18" t="n">
        <f aca="false">G1396/L1396</f>
        <v>254.987165354331</v>
      </c>
      <c r="P1396" s="18" t="n">
        <f aca="false">M1396/L1396</f>
        <v>245.629706412029</v>
      </c>
      <c r="Q1396" s="19" t="n">
        <f aca="false">IF(N1396=0,"n.a.",P1396/N1396-1)</f>
        <v>0.177414490460507</v>
      </c>
    </row>
    <row r="1397" customFormat="false" ht="15" hidden="false" customHeight="false" outlineLevel="0" collapsed="false">
      <c r="A1397" s="12" t="s">
        <v>3354</v>
      </c>
      <c r="B1397" s="12" t="s">
        <v>3349</v>
      </c>
      <c r="C1397" s="12" t="s">
        <v>3350</v>
      </c>
      <c r="D1397" s="12" t="s">
        <v>54</v>
      </c>
      <c r="E1397" s="12" t="s">
        <v>3355</v>
      </c>
      <c r="F1397" s="13" t="n">
        <v>39960783</v>
      </c>
      <c r="G1397" s="13" t="n">
        <v>31011591</v>
      </c>
      <c r="H1397" s="14" t="n">
        <v>69039</v>
      </c>
      <c r="I1397" s="14" t="n">
        <v>69396</v>
      </c>
      <c r="J1397" s="15" t="n">
        <f aca="false">I1397/H1397</f>
        <v>1.00517099030983</v>
      </c>
      <c r="K1397" s="16" t="n">
        <f aca="false">ROUND(I1397*J1397^($F$8-1),0)</f>
        <v>69313</v>
      </c>
      <c r="L1397" s="16" t="n">
        <f aca="false">ROUND(I1397*J1397^($F$9-1),0)</f>
        <v>69377</v>
      </c>
      <c r="M1397" s="17" t="n">
        <f aca="false">G1397*$F$7</f>
        <v>29873534.9370029</v>
      </c>
      <c r="N1397" s="18" t="n">
        <f aca="false">F1397/K1397</f>
        <v>576.526524605774</v>
      </c>
      <c r="O1397" s="18" t="n">
        <f aca="false">G1397/L1397</f>
        <v>447.001037807919</v>
      </c>
      <c r="P1397" s="18" t="n">
        <f aca="false">M1397/L1397</f>
        <v>430.597098995386</v>
      </c>
      <c r="Q1397" s="19" t="n">
        <f aca="false">IF(N1397=0,"n.a.",P1397/N1397-1)</f>
        <v>-0.25311832046266</v>
      </c>
    </row>
    <row r="1398" customFormat="false" ht="15" hidden="false" customHeight="false" outlineLevel="0" collapsed="false">
      <c r="A1398" s="12" t="s">
        <v>3356</v>
      </c>
      <c r="B1398" s="12" t="s">
        <v>3349</v>
      </c>
      <c r="C1398" s="12" t="s">
        <v>3350</v>
      </c>
      <c r="D1398" s="12" t="s">
        <v>57</v>
      </c>
      <c r="E1398" s="12" t="s">
        <v>3357</v>
      </c>
      <c r="F1398" s="13" t="n">
        <v>242126164</v>
      </c>
      <c r="G1398" s="13" t="n">
        <v>195944787</v>
      </c>
      <c r="H1398" s="14" t="n">
        <v>66905</v>
      </c>
      <c r="I1398" s="14" t="n">
        <v>74622</v>
      </c>
      <c r="J1398" s="15" t="n">
        <f aca="false">I1398/H1398</f>
        <v>1.11534265002616</v>
      </c>
      <c r="K1398" s="16" t="n">
        <f aca="false">ROUND(I1398*J1398^($F$8-1),0)</f>
        <v>72765</v>
      </c>
      <c r="L1398" s="16" t="n">
        <f aca="false">ROUND(I1398*J1398^($F$9-1),0)</f>
        <v>74200</v>
      </c>
      <c r="M1398" s="17" t="n">
        <f aca="false">G1398*$F$7</f>
        <v>188754051.353511</v>
      </c>
      <c r="N1398" s="18" t="n">
        <f aca="false">F1398/K1398</f>
        <v>3327.50860990861</v>
      </c>
      <c r="O1398" s="18" t="n">
        <f aca="false">G1398/L1398</f>
        <v>2640.76532345014</v>
      </c>
      <c r="P1398" s="18" t="n">
        <f aca="false">M1398/L1398</f>
        <v>2543.85513953519</v>
      </c>
      <c r="Q1398" s="19" t="n">
        <f aca="false">IF(N1398=0,"n.a.",P1398/N1398-1)</f>
        <v>-0.235507571051766</v>
      </c>
    </row>
    <row r="1399" customFormat="false" ht="15" hidden="false" customHeight="false" outlineLevel="0" collapsed="false">
      <c r="A1399" s="12" t="s">
        <v>3358</v>
      </c>
      <c r="B1399" s="12" t="s">
        <v>3349</v>
      </c>
      <c r="C1399" s="12" t="s">
        <v>3350</v>
      </c>
      <c r="D1399" s="12" t="s">
        <v>60</v>
      </c>
      <c r="E1399" s="12" t="s">
        <v>3359</v>
      </c>
      <c r="F1399" s="13" t="n">
        <v>996424608</v>
      </c>
      <c r="G1399" s="13" t="n">
        <v>1030113038</v>
      </c>
      <c r="H1399" s="14" t="n">
        <v>212084</v>
      </c>
      <c r="I1399" s="14" t="n">
        <v>242362</v>
      </c>
      <c r="J1399" s="15" t="n">
        <f aca="false">I1399/H1399</f>
        <v>1.14276418777466</v>
      </c>
      <c r="K1399" s="16" t="n">
        <f aca="false">ROUND(I1399*J1399^($F$8-1),0)</f>
        <v>235008</v>
      </c>
      <c r="L1399" s="16" t="n">
        <f aca="false">ROUND(I1399*J1399^($F$9-1),0)</f>
        <v>240687</v>
      </c>
      <c r="M1399" s="17" t="n">
        <f aca="false">G1399*$F$7</f>
        <v>992310192.33277</v>
      </c>
      <c r="N1399" s="18" t="n">
        <f aca="false">F1399/K1399</f>
        <v>4239.96037581699</v>
      </c>
      <c r="O1399" s="18" t="n">
        <f aca="false">G1399/L1399</f>
        <v>4279.88648327496</v>
      </c>
      <c r="P1399" s="18" t="n">
        <f aca="false">M1399/L1399</f>
        <v>4122.82421706519</v>
      </c>
      <c r="Q1399" s="19" t="n">
        <f aca="false">IF(N1399=0,"n.a.",P1399/N1399-1)</f>
        <v>-0.0276267107164255</v>
      </c>
    </row>
    <row r="1400" customFormat="false" ht="15" hidden="false" customHeight="false" outlineLevel="0" collapsed="false">
      <c r="A1400" s="12" t="s">
        <v>3360</v>
      </c>
      <c r="B1400" s="12" t="s">
        <v>3349</v>
      </c>
      <c r="C1400" s="12" t="s">
        <v>3350</v>
      </c>
      <c r="D1400" s="12" t="s">
        <v>63</v>
      </c>
      <c r="E1400" s="12" t="s">
        <v>3361</v>
      </c>
      <c r="F1400" s="13" t="n">
        <v>40686056</v>
      </c>
      <c r="G1400" s="13" t="n">
        <v>34957412</v>
      </c>
      <c r="H1400" s="14" t="n">
        <v>45112</v>
      </c>
      <c r="I1400" s="14" t="n">
        <v>52896</v>
      </c>
      <c r="J1400" s="15" t="n">
        <f aca="false">I1400/H1400</f>
        <v>1.17254832417095</v>
      </c>
      <c r="K1400" s="16" t="n">
        <f aca="false">ROUND(I1400*J1400^($F$8-1),0)</f>
        <v>50987</v>
      </c>
      <c r="L1400" s="16" t="n">
        <f aca="false">ROUND(I1400*J1400^($F$9-1),0)</f>
        <v>52460</v>
      </c>
      <c r="M1400" s="17" t="n">
        <f aca="false">G1400*$F$7</f>
        <v>33674553.1272228</v>
      </c>
      <c r="N1400" s="18" t="n">
        <f aca="false">F1400/K1400</f>
        <v>797.969207837292</v>
      </c>
      <c r="O1400" s="18" t="n">
        <f aca="false">G1400/L1400</f>
        <v>666.363171940526</v>
      </c>
      <c r="P1400" s="18" t="n">
        <f aca="false">M1400/L1400</f>
        <v>641.909133191437</v>
      </c>
      <c r="Q1400" s="19" t="n">
        <f aca="false">IF(N1400=0,"n.a.",P1400/N1400-1)</f>
        <v>-0.195571549770472</v>
      </c>
    </row>
    <row r="1401" customFormat="false" ht="15" hidden="false" customHeight="false" outlineLevel="0" collapsed="false">
      <c r="A1401" s="12" t="s">
        <v>3362</v>
      </c>
      <c r="B1401" s="12" t="s">
        <v>3349</v>
      </c>
      <c r="C1401" s="12" t="s">
        <v>3350</v>
      </c>
      <c r="D1401" s="12" t="s">
        <v>66</v>
      </c>
      <c r="E1401" s="12" t="s">
        <v>3363</v>
      </c>
      <c r="F1401" s="13" t="n">
        <v>75243000</v>
      </c>
      <c r="G1401" s="13" t="n">
        <v>76482738</v>
      </c>
      <c r="H1401" s="14" t="n">
        <v>36805</v>
      </c>
      <c r="I1401" s="14" t="n">
        <v>39496</v>
      </c>
      <c r="J1401" s="15" t="n">
        <f aca="false">I1401/H1401</f>
        <v>1.07311506588779</v>
      </c>
      <c r="K1401" s="16" t="n">
        <f aca="false">ROUND(I1401*J1401^($F$8-1),0)</f>
        <v>38858</v>
      </c>
      <c r="L1401" s="16" t="n">
        <f aca="false">ROUND(I1401*J1401^($F$9-1),0)</f>
        <v>39351</v>
      </c>
      <c r="M1401" s="17" t="n">
        <f aca="false">G1401*$F$7</f>
        <v>73675992.493279</v>
      </c>
      <c r="N1401" s="18" t="n">
        <f aca="false">F1401/K1401</f>
        <v>1936.35802151423</v>
      </c>
      <c r="O1401" s="18" t="n">
        <f aca="false">G1401/L1401</f>
        <v>1943.60341541511</v>
      </c>
      <c r="P1401" s="18" t="n">
        <f aca="false">M1401/L1401</f>
        <v>1872.27751501306</v>
      </c>
      <c r="Q1401" s="19" t="n">
        <f aca="false">IF(N1401=0,"n.a.",P1401/N1401-1)</f>
        <v>-0.033093315280125</v>
      </c>
    </row>
    <row r="1402" customFormat="false" ht="15" hidden="false" customHeight="false" outlineLevel="0" collapsed="false">
      <c r="A1402" s="12" t="s">
        <v>3364</v>
      </c>
      <c r="B1402" s="12" t="s">
        <v>3349</v>
      </c>
      <c r="C1402" s="12" t="s">
        <v>3350</v>
      </c>
      <c r="D1402" s="12" t="s">
        <v>69</v>
      </c>
      <c r="E1402" s="12" t="s">
        <v>3365</v>
      </c>
      <c r="F1402" s="13" t="n">
        <v>11180278</v>
      </c>
      <c r="G1402" s="13" t="n">
        <v>14781944</v>
      </c>
      <c r="H1402" s="14" t="n">
        <v>27222</v>
      </c>
      <c r="I1402" s="14" t="n">
        <v>27760</v>
      </c>
      <c r="J1402" s="15" t="n">
        <f aca="false">I1402/H1402</f>
        <v>1.01976342664022</v>
      </c>
      <c r="K1402" s="16" t="n">
        <f aca="false">ROUND(I1402*J1402^($F$8-1),0)</f>
        <v>27635</v>
      </c>
      <c r="L1402" s="16" t="n">
        <f aca="false">ROUND(I1402*J1402^($F$9-1),0)</f>
        <v>27732</v>
      </c>
      <c r="M1402" s="17" t="n">
        <f aca="false">G1402*$F$7</f>
        <v>14239479.7003746</v>
      </c>
      <c r="N1402" s="18" t="n">
        <f aca="false">F1402/K1402</f>
        <v>404.569495205356</v>
      </c>
      <c r="O1402" s="18" t="n">
        <f aca="false">G1402/L1402</f>
        <v>533.028414827636</v>
      </c>
      <c r="P1402" s="18" t="n">
        <f aca="false">M1402/L1402</f>
        <v>513.467463593488</v>
      </c>
      <c r="Q1402" s="19" t="n">
        <f aca="false">IF(N1402=0,"n.a.",P1402/N1402-1)</f>
        <v>0.269169993483709</v>
      </c>
    </row>
    <row r="1403" customFormat="false" ht="15" hidden="false" customHeight="false" outlineLevel="0" collapsed="false">
      <c r="A1403" s="12" t="s">
        <v>3366</v>
      </c>
      <c r="B1403" s="12" t="s">
        <v>3349</v>
      </c>
      <c r="C1403" s="12" t="s">
        <v>3350</v>
      </c>
      <c r="D1403" s="12" t="s">
        <v>75</v>
      </c>
      <c r="E1403" s="12" t="s">
        <v>3367</v>
      </c>
      <c r="F1403" s="13" t="n">
        <v>2367236562</v>
      </c>
      <c r="G1403" s="13" t="n">
        <v>2554080206</v>
      </c>
      <c r="H1403" s="14" t="n">
        <v>231511</v>
      </c>
      <c r="I1403" s="14" t="n">
        <v>327130</v>
      </c>
      <c r="J1403" s="15" t="n">
        <f aca="false">I1403/H1403</f>
        <v>1.4130214115096</v>
      </c>
      <c r="K1403" s="16" t="n">
        <f aca="false">ROUND(I1403*J1403^($F$8-1),0)</f>
        <v>302033</v>
      </c>
      <c r="L1403" s="16" t="n">
        <f aca="false">ROUND(I1403*J1403^($F$9-1),0)</f>
        <v>321306</v>
      </c>
      <c r="M1403" s="17" t="n">
        <f aca="false">G1403*$F$7</f>
        <v>2460351172.11008</v>
      </c>
      <c r="N1403" s="18" t="n">
        <f aca="false">F1403/K1403</f>
        <v>7837.67522754136</v>
      </c>
      <c r="O1403" s="18" t="n">
        <f aca="false">G1403/L1403</f>
        <v>7949.05854854874</v>
      </c>
      <c r="P1403" s="18" t="n">
        <f aca="false">M1403/L1403</f>
        <v>7657.34587001203</v>
      </c>
      <c r="Q1403" s="19" t="n">
        <f aca="false">IF(N1403=0,"n.a.",P1403/N1403-1)</f>
        <v>-0.0230080160626792</v>
      </c>
    </row>
    <row r="1404" customFormat="false" ht="15" hidden="false" customHeight="false" outlineLevel="0" collapsed="false">
      <c r="A1404" s="12" t="s">
        <v>3368</v>
      </c>
      <c r="B1404" s="12" t="s">
        <v>3349</v>
      </c>
      <c r="C1404" s="12" t="s">
        <v>3350</v>
      </c>
      <c r="D1404" s="12" t="s">
        <v>129</v>
      </c>
      <c r="E1404" s="12" t="s">
        <v>3369</v>
      </c>
      <c r="F1404" s="13" t="n">
        <v>87560845</v>
      </c>
      <c r="G1404" s="13" t="n">
        <v>126463618</v>
      </c>
      <c r="H1404" s="14" t="n">
        <v>77382</v>
      </c>
      <c r="I1404" s="14" t="n">
        <v>80686</v>
      </c>
      <c r="J1404" s="15" t="n">
        <f aca="false">I1404/H1404</f>
        <v>1.04269726809852</v>
      </c>
      <c r="K1404" s="16" t="n">
        <f aca="false">ROUND(I1404*J1404^($F$8-1),0)</f>
        <v>79911</v>
      </c>
      <c r="L1404" s="16" t="n">
        <f aca="false">ROUND(I1404*J1404^($F$9-1),0)</f>
        <v>80511</v>
      </c>
      <c r="M1404" s="17" t="n">
        <f aca="false">G1404*$F$7</f>
        <v>121822685.930006</v>
      </c>
      <c r="N1404" s="18" t="n">
        <f aca="false">F1404/K1404</f>
        <v>1095.72956163732</v>
      </c>
      <c r="O1404" s="18" t="n">
        <f aca="false">G1404/L1404</f>
        <v>1570.76198283464</v>
      </c>
      <c r="P1404" s="18" t="n">
        <f aca="false">M1404/L1404</f>
        <v>1513.11852951777</v>
      </c>
      <c r="Q1404" s="19" t="n">
        <f aca="false">IF(N1404=0,"n.a.",P1404/N1404-1)</f>
        <v>0.380923343216879</v>
      </c>
    </row>
    <row r="1405" customFormat="false" ht="15" hidden="false" customHeight="false" outlineLevel="0" collapsed="false">
      <c r="A1405" s="12" t="s">
        <v>3370</v>
      </c>
      <c r="B1405" s="12" t="s">
        <v>3349</v>
      </c>
      <c r="C1405" s="12" t="s">
        <v>3350</v>
      </c>
      <c r="D1405" s="12" t="s">
        <v>132</v>
      </c>
      <c r="E1405" s="12" t="s">
        <v>3371</v>
      </c>
      <c r="F1405" s="13" t="n">
        <v>2407094</v>
      </c>
      <c r="G1405" s="13" t="n">
        <v>2924367</v>
      </c>
      <c r="H1405" s="14" t="n">
        <v>19141</v>
      </c>
      <c r="I1405" s="14" t="n">
        <v>20142</v>
      </c>
      <c r="J1405" s="15" t="n">
        <f aca="false">I1405/H1405</f>
        <v>1.05229611828013</v>
      </c>
      <c r="K1405" s="16" t="n">
        <f aca="false">ROUND(I1405*J1405^($F$8-1),0)</f>
        <v>19906</v>
      </c>
      <c r="L1405" s="16" t="n">
        <f aca="false">ROUND(I1405*J1405^($F$9-1),0)</f>
        <v>20089</v>
      </c>
      <c r="M1405" s="17" t="n">
        <f aca="false">G1405*$F$7</f>
        <v>2817049.26854989</v>
      </c>
      <c r="N1405" s="18" t="n">
        <f aca="false">F1405/K1405</f>
        <v>120.923038279916</v>
      </c>
      <c r="O1405" s="18" t="n">
        <f aca="false">G1405/L1405</f>
        <v>145.570561003534</v>
      </c>
      <c r="P1405" s="18" t="n">
        <f aca="false">M1405/L1405</f>
        <v>140.228446839061</v>
      </c>
      <c r="Q1405" s="19" t="n">
        <f aca="false">IF(N1405=0,"n.a.",P1405/N1405-1)</f>
        <v>0.159650376253832</v>
      </c>
    </row>
    <row r="1406" customFormat="false" ht="15" hidden="false" customHeight="false" outlineLevel="0" collapsed="false">
      <c r="A1406" s="12" t="s">
        <v>3372</v>
      </c>
      <c r="B1406" s="12" t="s">
        <v>3349</v>
      </c>
      <c r="C1406" s="12" t="s">
        <v>3350</v>
      </c>
      <c r="D1406" s="12" t="s">
        <v>163</v>
      </c>
      <c r="E1406" s="12" t="s">
        <v>3350</v>
      </c>
      <c r="F1406" s="13" t="n">
        <v>3419019480</v>
      </c>
      <c r="G1406" s="13" t="n">
        <v>3902969021</v>
      </c>
      <c r="H1406" s="14" t="n">
        <v>1045631</v>
      </c>
      <c r="I1406" s="14" t="n">
        <v>1091777</v>
      </c>
      <c r="J1406" s="15" t="n">
        <f aca="false">I1406/H1406</f>
        <v>1.04413220342549</v>
      </c>
      <c r="K1406" s="16" t="n">
        <f aca="false">ROUND(I1406*J1406^($F$8-1),0)</f>
        <v>1080945</v>
      </c>
      <c r="L1406" s="16" t="n">
        <f aca="false">ROUND(I1406*J1406^($F$9-1),0)</f>
        <v>1089330</v>
      </c>
      <c r="M1406" s="17" t="n">
        <f aca="false">G1406*$F$7</f>
        <v>3759738783.0532</v>
      </c>
      <c r="N1406" s="18" t="n">
        <f aca="false">F1406/K1406</f>
        <v>3162.99116051233</v>
      </c>
      <c r="O1406" s="18" t="n">
        <f aca="false">G1406/L1406</f>
        <v>3582.90786171316</v>
      </c>
      <c r="P1406" s="18" t="n">
        <f aca="false">M1406/L1406</f>
        <v>3451.42315281246</v>
      </c>
      <c r="Q1406" s="19" t="n">
        <f aca="false">IF(N1406=0,"n.a.",P1406/N1406-1)</f>
        <v>0.0911896295825914</v>
      </c>
    </row>
    <row r="1407" customFormat="false" ht="15" hidden="false" customHeight="false" outlineLevel="0" collapsed="false">
      <c r="A1407" s="12" t="s">
        <v>3373</v>
      </c>
      <c r="B1407" s="12" t="s">
        <v>3349</v>
      </c>
      <c r="C1407" s="12" t="s">
        <v>3350</v>
      </c>
      <c r="D1407" s="12" t="s">
        <v>166</v>
      </c>
      <c r="E1407" s="12" t="s">
        <v>3374</v>
      </c>
      <c r="F1407" s="13" t="n">
        <v>3162217</v>
      </c>
      <c r="G1407" s="13" t="n">
        <v>3876708</v>
      </c>
      <c r="H1407" s="14" t="n">
        <v>8353</v>
      </c>
      <c r="I1407" s="14" t="n">
        <v>8778</v>
      </c>
      <c r="J1407" s="15" t="n">
        <f aca="false">I1407/H1407</f>
        <v>1.05087992338082</v>
      </c>
      <c r="K1407" s="16" t="n">
        <f aca="false">ROUND(I1407*J1407^($F$8-1),0)</f>
        <v>8678</v>
      </c>
      <c r="L1407" s="16" t="n">
        <f aca="false">ROUND(I1407*J1407^($F$9-1),0)</f>
        <v>8755</v>
      </c>
      <c r="M1407" s="17" t="n">
        <f aca="false">G1407*$F$7</f>
        <v>3734441.48281714</v>
      </c>
      <c r="N1407" s="18" t="n">
        <f aca="false">F1407/K1407</f>
        <v>364.394676192671</v>
      </c>
      <c r="O1407" s="18" t="n">
        <f aca="false">G1407/L1407</f>
        <v>442.799314677327</v>
      </c>
      <c r="P1407" s="18" t="n">
        <f aca="false">M1407/L1407</f>
        <v>426.549569710695</v>
      </c>
      <c r="Q1407" s="19" t="n">
        <f aca="false">IF(N1407=0,"n.a.",P1407/N1407-1)</f>
        <v>0.170570256863907</v>
      </c>
    </row>
    <row r="1408" customFormat="false" ht="15" hidden="false" customHeight="false" outlineLevel="0" collapsed="false">
      <c r="A1408" s="12" t="s">
        <v>3375</v>
      </c>
      <c r="B1408" s="12" t="s">
        <v>3349</v>
      </c>
      <c r="C1408" s="12" t="s">
        <v>3350</v>
      </c>
      <c r="D1408" s="12" t="s">
        <v>169</v>
      </c>
      <c r="E1408" s="12" t="s">
        <v>1886</v>
      </c>
      <c r="F1408" s="13" t="n">
        <v>622304315</v>
      </c>
      <c r="G1408" s="13" t="n">
        <v>646696873</v>
      </c>
      <c r="H1408" s="14" t="n">
        <v>296955</v>
      </c>
      <c r="I1408" s="14" t="n">
        <v>323961</v>
      </c>
      <c r="J1408" s="15" t="n">
        <f aca="false">I1408/H1408</f>
        <v>1.09094307218265</v>
      </c>
      <c r="K1408" s="16" t="n">
        <f aca="false">ROUND(I1408*J1408^($F$8-1),0)</f>
        <v>317515</v>
      </c>
      <c r="L1408" s="16" t="n">
        <f aca="false">ROUND(I1408*J1408^($F$9-1),0)</f>
        <v>322499</v>
      </c>
      <c r="M1408" s="17" t="n">
        <f aca="false">G1408*$F$7</f>
        <v>622964543.457832</v>
      </c>
      <c r="N1408" s="18" t="n">
        <f aca="false">F1408/K1408</f>
        <v>1959.92099585846</v>
      </c>
      <c r="O1408" s="18" t="n">
        <f aca="false">G1408/L1408</f>
        <v>2005.2678395902</v>
      </c>
      <c r="P1408" s="18" t="n">
        <f aca="false">M1408/L1408</f>
        <v>1931.67899267233</v>
      </c>
      <c r="Q1408" s="19" t="n">
        <f aca="false">IF(N1408=0,"n.a.",P1408/N1408-1)</f>
        <v>-0.0144097661312963</v>
      </c>
    </row>
    <row r="1409" customFormat="false" ht="15" hidden="false" customHeight="false" outlineLevel="0" collapsed="false">
      <c r="A1409" s="12" t="s">
        <v>3376</v>
      </c>
      <c r="B1409" s="12" t="s">
        <v>3349</v>
      </c>
      <c r="C1409" s="12" t="s">
        <v>3350</v>
      </c>
      <c r="D1409" s="12" t="s">
        <v>172</v>
      </c>
      <c r="E1409" s="12" t="s">
        <v>3377</v>
      </c>
      <c r="F1409" s="13" t="n">
        <v>134415312</v>
      </c>
      <c r="G1409" s="13" t="n">
        <v>141745023</v>
      </c>
      <c r="H1409" s="14" t="n">
        <v>72144</v>
      </c>
      <c r="I1409" s="14" t="n">
        <v>84432</v>
      </c>
      <c r="J1409" s="15" t="n">
        <f aca="false">I1409/H1409</f>
        <v>1.17032601463739</v>
      </c>
      <c r="K1409" s="16" t="n">
        <f aca="false">ROUND(I1409*J1409^($F$8-1),0)</f>
        <v>81421</v>
      </c>
      <c r="L1409" s="16" t="n">
        <f aca="false">ROUND(I1409*J1409^($F$9-1),0)</f>
        <v>83745</v>
      </c>
      <c r="M1409" s="17" t="n">
        <f aca="false">G1409*$F$7</f>
        <v>136543297.52823</v>
      </c>
      <c r="N1409" s="18" t="n">
        <f aca="false">F1409/K1409</f>
        <v>1650.86785964309</v>
      </c>
      <c r="O1409" s="18" t="n">
        <f aca="false">G1409/L1409</f>
        <v>1692.57893605588</v>
      </c>
      <c r="P1409" s="18" t="n">
        <f aca="false">M1409/L1409</f>
        <v>1630.46507287874</v>
      </c>
      <c r="Q1409" s="19" t="n">
        <f aca="false">IF(N1409=0,"n.a.",P1409/N1409-1)</f>
        <v>-0.0123588248721264</v>
      </c>
    </row>
    <row r="1410" customFormat="false" ht="15" hidden="false" customHeight="false" outlineLevel="0" collapsed="false">
      <c r="A1410" s="12" t="s">
        <v>3378</v>
      </c>
      <c r="B1410" s="12" t="s">
        <v>3349</v>
      </c>
      <c r="C1410" s="12" t="s">
        <v>3350</v>
      </c>
      <c r="D1410" s="12" t="s">
        <v>175</v>
      </c>
      <c r="E1410" s="12" t="s">
        <v>812</v>
      </c>
      <c r="F1410" s="13" t="n">
        <v>7369136</v>
      </c>
      <c r="G1410" s="13" t="n">
        <v>8302512</v>
      </c>
      <c r="H1410" s="14" t="n">
        <v>27916</v>
      </c>
      <c r="I1410" s="14" t="n">
        <v>28993</v>
      </c>
      <c r="J1410" s="15" t="n">
        <f aca="false">I1410/H1410</f>
        <v>1.03858002579166</v>
      </c>
      <c r="K1410" s="16" t="n">
        <f aca="false">ROUND(I1410*J1410^($F$8-1),0)</f>
        <v>28741</v>
      </c>
      <c r="L1410" s="16" t="n">
        <f aca="false">ROUND(I1410*J1410^($F$9-1),0)</f>
        <v>28936</v>
      </c>
      <c r="M1410" s="17" t="n">
        <f aca="false">G1410*$F$7</f>
        <v>7997828.36994354</v>
      </c>
      <c r="N1410" s="18" t="n">
        <f aca="false">F1410/K1410</f>
        <v>256.398037646568</v>
      </c>
      <c r="O1410" s="18" t="n">
        <f aca="false">G1410/L1410</f>
        <v>286.926734863146</v>
      </c>
      <c r="P1410" s="18" t="n">
        <f aca="false">M1410/L1410</f>
        <v>276.397165121079</v>
      </c>
      <c r="Q1410" s="19" t="n">
        <f aca="false">IF(N1410=0,"n.a.",P1410/N1410-1)</f>
        <v>0.0780003141134766</v>
      </c>
    </row>
    <row r="1411" customFormat="false" ht="15" hidden="false" customHeight="false" outlineLevel="0" collapsed="false">
      <c r="A1411" s="12" t="s">
        <v>3379</v>
      </c>
      <c r="B1411" s="12" t="s">
        <v>3380</v>
      </c>
      <c r="C1411" s="12" t="s">
        <v>3381</v>
      </c>
      <c r="D1411" s="12" t="s">
        <v>46</v>
      </c>
      <c r="E1411" s="12" t="s">
        <v>3382</v>
      </c>
      <c r="F1411" s="13" t="n">
        <v>152857574</v>
      </c>
      <c r="G1411" s="13" t="n">
        <v>178400159</v>
      </c>
      <c r="H1411" s="14" t="n">
        <v>88376</v>
      </c>
      <c r="I1411" s="14" t="n">
        <v>93109</v>
      </c>
      <c r="J1411" s="15" t="n">
        <f aca="false">I1411/H1411</f>
        <v>1.05355526387254</v>
      </c>
      <c r="K1411" s="16" t="n">
        <f aca="false">ROUND(I1411*J1411^($F$8-1),0)</f>
        <v>91994</v>
      </c>
      <c r="L1411" s="16" t="n">
        <f aca="false">ROUND(I1411*J1411^($F$9-1),0)</f>
        <v>92857</v>
      </c>
      <c r="M1411" s="17" t="n">
        <f aca="false">G1411*$F$7</f>
        <v>171853271.979931</v>
      </c>
      <c r="N1411" s="18" t="n">
        <f aca="false">F1411/K1411</f>
        <v>1661.6037350262</v>
      </c>
      <c r="O1411" s="18" t="n">
        <f aca="false">G1411/L1411</f>
        <v>1921.23543728529</v>
      </c>
      <c r="P1411" s="18" t="n">
        <f aca="false">M1411/L1411</f>
        <v>1850.73039167678</v>
      </c>
      <c r="Q1411" s="19" t="n">
        <f aca="false">IF(N1411=0,"n.a.",P1411/N1411-1)</f>
        <v>0.113821757055451</v>
      </c>
    </row>
    <row r="1412" customFormat="false" ht="15" hidden="false" customHeight="false" outlineLevel="0" collapsed="false">
      <c r="A1412" s="12" t="s">
        <v>3383</v>
      </c>
      <c r="B1412" s="12" t="s">
        <v>3380</v>
      </c>
      <c r="C1412" s="12" t="s">
        <v>3381</v>
      </c>
      <c r="D1412" s="12" t="s">
        <v>48</v>
      </c>
      <c r="E1412" s="12" t="s">
        <v>3384</v>
      </c>
      <c r="F1412" s="13" t="n">
        <v>17909176</v>
      </c>
      <c r="G1412" s="13" t="n">
        <v>13449714</v>
      </c>
      <c r="H1412" s="14" t="n">
        <v>83864</v>
      </c>
      <c r="I1412" s="14" t="n">
        <v>81651</v>
      </c>
      <c r="J1412" s="15" t="n">
        <f aca="false">I1412/H1412</f>
        <v>0.973612038538586</v>
      </c>
      <c r="K1412" s="16" t="n">
        <f aca="false">ROUND(I1412*J1412^($F$8-1),0)</f>
        <v>82157</v>
      </c>
      <c r="L1412" s="16" t="n">
        <f aca="false">ROUND(I1412*J1412^($F$9-1),0)</f>
        <v>81765</v>
      </c>
      <c r="M1412" s="17" t="n">
        <f aca="false">G1412*$F$7</f>
        <v>12956139.5631619</v>
      </c>
      <c r="N1412" s="18" t="n">
        <f aca="false">F1412/K1412</f>
        <v>217.987219591757</v>
      </c>
      <c r="O1412" s="18" t="n">
        <f aca="false">G1412/L1412</f>
        <v>164.492313337002</v>
      </c>
      <c r="P1412" s="18" t="n">
        <f aca="false">M1412/L1412</f>
        <v>158.455813161646</v>
      </c>
      <c r="Q1412" s="19" t="n">
        <f aca="false">IF(N1412=0,"n.a.",P1412/N1412-1)</f>
        <v>-0.273095856452507</v>
      </c>
    </row>
    <row r="1413" customFormat="false" ht="15" hidden="false" customHeight="false" outlineLevel="0" collapsed="false">
      <c r="A1413" s="12" t="s">
        <v>3385</v>
      </c>
      <c r="B1413" s="12" t="s">
        <v>3380</v>
      </c>
      <c r="C1413" s="12" t="s">
        <v>3381</v>
      </c>
      <c r="D1413" s="12" t="s">
        <v>51</v>
      </c>
      <c r="E1413" s="12" t="s">
        <v>3386</v>
      </c>
      <c r="F1413" s="13" t="n">
        <v>225293815</v>
      </c>
      <c r="G1413" s="13" t="n">
        <v>242470757</v>
      </c>
      <c r="H1413" s="14" t="n">
        <v>22639</v>
      </c>
      <c r="I1413" s="14" t="n">
        <v>31292</v>
      </c>
      <c r="J1413" s="15" t="n">
        <f aca="false">I1413/H1413</f>
        <v>1.38221652899863</v>
      </c>
      <c r="K1413" s="16" t="n">
        <f aca="false">ROUND(I1413*J1413^($F$8-1),0)</f>
        <v>29039</v>
      </c>
      <c r="L1413" s="16" t="n">
        <f aca="false">ROUND(I1413*J1413^($F$9-1),0)</f>
        <v>30770</v>
      </c>
      <c r="M1413" s="17" t="n">
        <f aca="false">G1413*$F$7</f>
        <v>233572622.263754</v>
      </c>
      <c r="N1413" s="18" t="n">
        <f aca="false">F1413/K1413</f>
        <v>7758.31864044905</v>
      </c>
      <c r="O1413" s="18" t="n">
        <f aca="false">G1413/L1413</f>
        <v>7880.102599935</v>
      </c>
      <c r="P1413" s="18" t="n">
        <f aca="false">M1413/L1413</f>
        <v>7590.92045056075</v>
      </c>
      <c r="Q1413" s="19" t="n">
        <f aca="false">IF(N1413=0,"n.a.",P1413/N1413-1)</f>
        <v>-0.0215766066909849</v>
      </c>
    </row>
    <row r="1414" customFormat="false" ht="15" hidden="false" customHeight="false" outlineLevel="0" collapsed="false">
      <c r="A1414" s="12" t="s">
        <v>3387</v>
      </c>
      <c r="B1414" s="12" t="s">
        <v>3380</v>
      </c>
      <c r="C1414" s="12" t="s">
        <v>3381</v>
      </c>
      <c r="D1414" s="12" t="s">
        <v>54</v>
      </c>
      <c r="E1414" s="12" t="s">
        <v>3388</v>
      </c>
      <c r="F1414" s="13" t="n">
        <v>140839401</v>
      </c>
      <c r="G1414" s="13" t="n">
        <v>157398075</v>
      </c>
      <c r="H1414" s="14" t="n">
        <v>232061</v>
      </c>
      <c r="I1414" s="14" t="n">
        <v>238429</v>
      </c>
      <c r="J1414" s="15" t="n">
        <f aca="false">I1414/H1414</f>
        <v>1.02744106075558</v>
      </c>
      <c r="K1414" s="16" t="n">
        <f aca="false">ROUND(I1414*J1414^($F$8-1),0)</f>
        <v>236943</v>
      </c>
      <c r="L1414" s="16" t="n">
        <f aca="false">ROUND(I1414*J1414^($F$9-1),0)</f>
        <v>238094</v>
      </c>
      <c r="M1414" s="17" t="n">
        <f aca="false">G1414*$F$7</f>
        <v>151621917.512375</v>
      </c>
      <c r="N1414" s="18" t="n">
        <f aca="false">F1414/K1414</f>
        <v>594.402033400438</v>
      </c>
      <c r="O1414" s="18" t="n">
        <f aca="false">G1414/L1414</f>
        <v>661.075352591834</v>
      </c>
      <c r="P1414" s="18" t="n">
        <f aca="false">M1414/L1414</f>
        <v>636.815364991872</v>
      </c>
      <c r="Q1414" s="19" t="n">
        <f aca="false">IF(N1414=0,"n.a.",P1414/N1414-1)</f>
        <v>0.0713546206240185</v>
      </c>
    </row>
    <row r="1415" customFormat="false" ht="15" hidden="false" customHeight="false" outlineLevel="0" collapsed="false">
      <c r="A1415" s="12" t="s">
        <v>3389</v>
      </c>
      <c r="B1415" s="12" t="s">
        <v>3380</v>
      </c>
      <c r="C1415" s="12" t="s">
        <v>3381</v>
      </c>
      <c r="D1415" s="12" t="s">
        <v>57</v>
      </c>
      <c r="E1415" s="12" t="s">
        <v>3390</v>
      </c>
      <c r="F1415" s="13" t="n">
        <v>2338005214</v>
      </c>
      <c r="G1415" s="13" t="n">
        <v>2310922524</v>
      </c>
      <c r="H1415" s="14" t="n">
        <v>909366</v>
      </c>
      <c r="I1415" s="14" t="n">
        <v>1024359</v>
      </c>
      <c r="J1415" s="15" t="n">
        <f aca="false">I1415/H1415</f>
        <v>1.12645403500901</v>
      </c>
      <c r="K1415" s="16" t="n">
        <f aca="false">ROUND(I1415*J1415^($F$8-1),0)</f>
        <v>996581</v>
      </c>
      <c r="L1415" s="16" t="n">
        <f aca="false">ROUND(I1415*J1415^($F$9-1),0)</f>
        <v>1018041</v>
      </c>
      <c r="M1415" s="17" t="n">
        <f aca="false">G1415*$F$7</f>
        <v>2226116833.4582</v>
      </c>
      <c r="N1415" s="18" t="n">
        <f aca="false">F1415/K1415</f>
        <v>2346.02627784395</v>
      </c>
      <c r="O1415" s="18" t="n">
        <f aca="false">G1415/L1415</f>
        <v>2269.96999531453</v>
      </c>
      <c r="P1415" s="18" t="n">
        <f aca="false">M1415/L1415</f>
        <v>2186.66717102573</v>
      </c>
      <c r="Q1415" s="19" t="n">
        <f aca="false">IF(N1415=0,"n.a.",P1415/N1415-1)</f>
        <v>-0.0679272471596845</v>
      </c>
    </row>
    <row r="1416" customFormat="false" ht="15" hidden="false" customHeight="false" outlineLevel="0" collapsed="false">
      <c r="A1416" s="12" t="s">
        <v>3391</v>
      </c>
      <c r="B1416" s="12" t="s">
        <v>3380</v>
      </c>
      <c r="C1416" s="12" t="s">
        <v>3381</v>
      </c>
      <c r="D1416" s="12" t="s">
        <v>60</v>
      </c>
      <c r="E1416" s="12" t="s">
        <v>3392</v>
      </c>
      <c r="F1416" s="13" t="n">
        <v>1169707</v>
      </c>
      <c r="G1416" s="13" t="n">
        <v>1600141</v>
      </c>
      <c r="H1416" s="14" t="n">
        <v>39099</v>
      </c>
      <c r="I1416" s="14" t="n">
        <v>44809</v>
      </c>
      <c r="J1416" s="15" t="n">
        <f aca="false">I1416/H1416</f>
        <v>1.14603954065321</v>
      </c>
      <c r="K1416" s="16" t="n">
        <f aca="false">ROUND(I1416*J1416^($F$8-1),0)</f>
        <v>43421</v>
      </c>
      <c r="L1416" s="16" t="n">
        <f aca="false">ROUND(I1416*J1416^($F$9-1),0)</f>
        <v>44493</v>
      </c>
      <c r="M1416" s="17" t="n">
        <f aca="false">G1416*$F$7</f>
        <v>1541419.40243023</v>
      </c>
      <c r="N1416" s="18" t="n">
        <f aca="false">F1416/K1416</f>
        <v>26.938739319684</v>
      </c>
      <c r="O1416" s="18" t="n">
        <f aca="false">G1416/L1416</f>
        <v>35.9638819589598</v>
      </c>
      <c r="P1416" s="18" t="n">
        <f aca="false">M1416/L1416</f>
        <v>34.6440878886618</v>
      </c>
      <c r="Q1416" s="19" t="n">
        <f aca="false">IF(N1416=0,"n.a.",P1416/N1416-1)</f>
        <v>0.286032262962935</v>
      </c>
    </row>
    <row r="1417" customFormat="false" ht="15" hidden="false" customHeight="false" outlineLevel="0" collapsed="false">
      <c r="A1417" s="12" t="s">
        <v>3393</v>
      </c>
      <c r="B1417" s="12" t="s">
        <v>3380</v>
      </c>
      <c r="C1417" s="12" t="s">
        <v>3381</v>
      </c>
      <c r="D1417" s="12" t="s">
        <v>63</v>
      </c>
      <c r="E1417" s="12" t="s">
        <v>1191</v>
      </c>
      <c r="F1417" s="13" t="n">
        <v>13778844</v>
      </c>
      <c r="G1417" s="13" t="n">
        <v>19671151</v>
      </c>
      <c r="H1417" s="14" t="n">
        <v>29158</v>
      </c>
      <c r="I1417" s="14" t="n">
        <v>30714</v>
      </c>
      <c r="J1417" s="15" t="n">
        <f aca="false">I1417/H1417</f>
        <v>1.05336442828726</v>
      </c>
      <c r="K1417" s="16" t="n">
        <f aca="false">ROUND(I1417*J1417^($F$8-1),0)</f>
        <v>30348</v>
      </c>
      <c r="L1417" s="16" t="n">
        <f aca="false">ROUND(I1417*J1417^($F$9-1),0)</f>
        <v>30631</v>
      </c>
      <c r="M1417" s="17" t="n">
        <f aca="false">G1417*$F$7</f>
        <v>18949263.7333428</v>
      </c>
      <c r="N1417" s="18" t="n">
        <f aca="false">F1417/K1417</f>
        <v>454.028074337683</v>
      </c>
      <c r="O1417" s="18" t="n">
        <f aca="false">G1417/L1417</f>
        <v>642.197479677451</v>
      </c>
      <c r="P1417" s="18" t="n">
        <f aca="false">M1417/L1417</f>
        <v>618.630267811785</v>
      </c>
      <c r="Q1417" s="19" t="n">
        <f aca="false">IF(N1417=0,"n.a.",P1417/N1417-1)</f>
        <v>0.362537479018708</v>
      </c>
    </row>
    <row r="1418" customFormat="false" ht="15" hidden="false" customHeight="false" outlineLevel="0" collapsed="false">
      <c r="A1418" s="12" t="s">
        <v>3394</v>
      </c>
      <c r="B1418" s="12" t="s">
        <v>3380</v>
      </c>
      <c r="C1418" s="12" t="s">
        <v>3381</v>
      </c>
      <c r="D1418" s="12" t="s">
        <v>66</v>
      </c>
      <c r="E1418" s="12" t="s">
        <v>3395</v>
      </c>
      <c r="F1418" s="13" t="n">
        <v>1443795812</v>
      </c>
      <c r="G1418" s="13" t="n">
        <v>1553163789</v>
      </c>
      <c r="H1418" s="14" t="n">
        <v>333104</v>
      </c>
      <c r="I1418" s="14" t="n">
        <v>394326</v>
      </c>
      <c r="J1418" s="15" t="n">
        <f aca="false">I1418/H1418</f>
        <v>1.18379244920505</v>
      </c>
      <c r="K1418" s="16" t="n">
        <f aca="false">ROUND(I1418*J1418^($F$8-1),0)</f>
        <v>379260</v>
      </c>
      <c r="L1418" s="16" t="n">
        <f aca="false">ROUND(I1418*J1418^($F$9-1),0)</f>
        <v>390884</v>
      </c>
      <c r="M1418" s="17" t="n">
        <f aca="false">G1418*$F$7</f>
        <v>1496166150.05594</v>
      </c>
      <c r="N1418" s="18" t="n">
        <f aca="false">F1418/K1418</f>
        <v>3806.87605336708</v>
      </c>
      <c r="O1418" s="18" t="n">
        <f aca="false">G1418/L1418</f>
        <v>3973.46473378291</v>
      </c>
      <c r="P1418" s="18" t="n">
        <f aca="false">M1418/L1418</f>
        <v>3827.6474607708</v>
      </c>
      <c r="Q1418" s="19" t="n">
        <f aca="false">IF(N1418=0,"n.a.",P1418/N1418-1)</f>
        <v>0.00545628675915211</v>
      </c>
    </row>
    <row r="1419" customFormat="false" ht="15" hidden="false" customHeight="false" outlineLevel="0" collapsed="false">
      <c r="A1419" s="12" t="s">
        <v>3396</v>
      </c>
      <c r="B1419" s="12" t="s">
        <v>3380</v>
      </c>
      <c r="C1419" s="12" t="s">
        <v>3381</v>
      </c>
      <c r="D1419" s="12" t="s">
        <v>69</v>
      </c>
      <c r="E1419" s="12" t="s">
        <v>3397</v>
      </c>
      <c r="F1419" s="13" t="n">
        <v>503688712</v>
      </c>
      <c r="G1419" s="13" t="n">
        <v>529258096</v>
      </c>
      <c r="H1419" s="14" t="n">
        <v>46645</v>
      </c>
      <c r="I1419" s="14" t="n">
        <v>75327</v>
      </c>
      <c r="J1419" s="15" t="n">
        <f aca="false">I1419/H1419</f>
        <v>1.61489977489549</v>
      </c>
      <c r="K1419" s="16" t="n">
        <f aca="false">ROUND(I1419*J1419^($F$8-1),0)</f>
        <v>67436</v>
      </c>
      <c r="L1419" s="16" t="n">
        <f aca="false">ROUND(I1419*J1419^($F$9-1),0)</f>
        <v>73474</v>
      </c>
      <c r="M1419" s="17" t="n">
        <f aca="false">G1419*$F$7</f>
        <v>509835507.038244</v>
      </c>
      <c r="N1419" s="18" t="n">
        <f aca="false">F1419/K1419</f>
        <v>7469.13684085652</v>
      </c>
      <c r="O1419" s="18" t="n">
        <f aca="false">G1419/L1419</f>
        <v>7203.33854152489</v>
      </c>
      <c r="P1419" s="18" t="n">
        <f aca="false">M1419/L1419</f>
        <v>6938.99212018188</v>
      </c>
      <c r="Q1419" s="19" t="n">
        <f aca="false">IF(N1419=0,"n.a.",P1419/N1419-1)</f>
        <v>-0.0709780436441757</v>
      </c>
    </row>
    <row r="1420" customFormat="false" ht="15" hidden="false" customHeight="false" outlineLevel="0" collapsed="false">
      <c r="A1420" s="12" t="s">
        <v>3398</v>
      </c>
      <c r="B1420" s="12" t="s">
        <v>3380</v>
      </c>
      <c r="C1420" s="12" t="s">
        <v>3381</v>
      </c>
      <c r="D1420" s="12" t="s">
        <v>72</v>
      </c>
      <c r="E1420" s="12" t="s">
        <v>3399</v>
      </c>
      <c r="F1420" s="13" t="n">
        <v>23494407</v>
      </c>
      <c r="G1420" s="13" t="n">
        <v>25297901</v>
      </c>
      <c r="H1420" s="14" t="n">
        <v>41744</v>
      </c>
      <c r="I1420" s="14" t="n">
        <v>49927</v>
      </c>
      <c r="J1420" s="15" t="n">
        <f aca="false">I1420/H1420</f>
        <v>1.1960281717133</v>
      </c>
      <c r="K1420" s="16" t="n">
        <f aca="false">ROUND(I1420*J1420^($F$8-1),0)</f>
        <v>47906</v>
      </c>
      <c r="L1420" s="16" t="n">
        <f aca="false">ROUND(I1420*J1420^($F$9-1),0)</f>
        <v>49465</v>
      </c>
      <c r="M1420" s="17" t="n">
        <f aca="false">G1420*$F$7</f>
        <v>24369524.5869952</v>
      </c>
      <c r="N1420" s="18" t="n">
        <f aca="false">F1420/K1420</f>
        <v>490.427232496973</v>
      </c>
      <c r="O1420" s="18" t="n">
        <f aca="false">G1420/L1420</f>
        <v>511.430324471849</v>
      </c>
      <c r="P1420" s="18" t="n">
        <f aca="false">M1420/L1420</f>
        <v>492.661974871025</v>
      </c>
      <c r="Q1420" s="19" t="n">
        <f aca="false">IF(N1420=0,"n.a.",P1420/N1420-1)</f>
        <v>0.00455672569949561</v>
      </c>
    </row>
    <row r="1421" customFormat="false" ht="15" hidden="false" customHeight="false" outlineLevel="0" collapsed="false">
      <c r="A1421" s="12" t="s">
        <v>3400</v>
      </c>
      <c r="B1421" s="12" t="s">
        <v>3380</v>
      </c>
      <c r="C1421" s="12" t="s">
        <v>3381</v>
      </c>
      <c r="D1421" s="12" t="s">
        <v>75</v>
      </c>
      <c r="E1421" s="12" t="s">
        <v>3401</v>
      </c>
      <c r="F1421" s="13" t="n">
        <v>252700403</v>
      </c>
      <c r="G1421" s="13" t="n">
        <v>179899308</v>
      </c>
      <c r="H1421" s="14" t="n">
        <v>26872</v>
      </c>
      <c r="I1421" s="14" t="n">
        <v>31131</v>
      </c>
      <c r="J1421" s="15" t="n">
        <f aca="false">I1421/H1421</f>
        <v>1.15849211074725</v>
      </c>
      <c r="K1421" s="16" t="n">
        <f aca="false">ROUND(I1421*J1421^($F$8-1),0)</f>
        <v>30091</v>
      </c>
      <c r="L1421" s="16" t="n">
        <f aca="false">ROUND(I1421*J1421^($F$9-1),0)</f>
        <v>30894</v>
      </c>
      <c r="M1421" s="17" t="n">
        <f aca="false">G1421*$F$7</f>
        <v>173297405.562992</v>
      </c>
      <c r="N1421" s="18" t="n">
        <f aca="false">F1421/K1421</f>
        <v>8397.87321790569</v>
      </c>
      <c r="O1421" s="18" t="n">
        <f aca="false">G1421/L1421</f>
        <v>5823.11477956885</v>
      </c>
      <c r="P1421" s="18" t="n">
        <f aca="false">M1421/L1421</f>
        <v>5609.41948478644</v>
      </c>
      <c r="Q1421" s="19" t="n">
        <f aca="false">IF(N1421=0,"n.a.",P1421/N1421-1)</f>
        <v>-0.332042847131079</v>
      </c>
    </row>
    <row r="1422" customFormat="false" ht="15" hidden="false" customHeight="false" outlineLevel="0" collapsed="false">
      <c r="A1422" s="12" t="s">
        <v>3402</v>
      </c>
      <c r="B1422" s="12" t="s">
        <v>3403</v>
      </c>
      <c r="C1422" s="12" t="s">
        <v>3404</v>
      </c>
      <c r="D1422" s="12" t="s">
        <v>132</v>
      </c>
      <c r="E1422" s="12" t="s">
        <v>3405</v>
      </c>
      <c r="F1422" s="13" t="n">
        <v>44084889</v>
      </c>
      <c r="G1422" s="13" t="n">
        <v>50131459</v>
      </c>
      <c r="H1422" s="14" t="n">
        <v>178889</v>
      </c>
      <c r="I1422" s="14" t="n">
        <v>170179</v>
      </c>
      <c r="J1422" s="15" t="n">
        <f aca="false">I1422/H1422</f>
        <v>0.951310589248081</v>
      </c>
      <c r="K1422" s="16" t="n">
        <f aca="false">ROUND(I1422*J1422^($F$8-1),0)</f>
        <v>172152</v>
      </c>
      <c r="L1422" s="16" t="n">
        <f aca="false">ROUND(I1422*J1422^($F$9-1),0)</f>
        <v>170621</v>
      </c>
      <c r="M1422" s="17" t="n">
        <f aca="false">G1422*$F$7</f>
        <v>48291746.5240473</v>
      </c>
      <c r="N1422" s="18" t="n">
        <f aca="false">F1422/K1422</f>
        <v>256.081189878712</v>
      </c>
      <c r="O1422" s="18" t="n">
        <f aca="false">G1422/L1422</f>
        <v>293.817636750459</v>
      </c>
      <c r="P1422" s="18" t="n">
        <f aca="false">M1422/L1422</f>
        <v>283.035186313803</v>
      </c>
      <c r="Q1422" s="19" t="n">
        <f aca="false">IF(N1422=0,"n.a.",P1422/N1422-1)</f>
        <v>0.10525566695413</v>
      </c>
    </row>
    <row r="1423" customFormat="false" ht="15" hidden="false" customHeight="false" outlineLevel="0" collapsed="false">
      <c r="A1423" s="12" t="s">
        <v>3406</v>
      </c>
      <c r="B1423" s="12" t="s">
        <v>3403</v>
      </c>
      <c r="C1423" s="12" t="s">
        <v>3404</v>
      </c>
      <c r="D1423" s="12" t="s">
        <v>181</v>
      </c>
      <c r="E1423" s="12" t="s">
        <v>3407</v>
      </c>
      <c r="F1423" s="13" t="n">
        <v>24865947</v>
      </c>
      <c r="G1423" s="13" t="n">
        <v>24942300</v>
      </c>
      <c r="H1423" s="14" t="n">
        <v>101960</v>
      </c>
      <c r="I1423" s="14" t="n">
        <v>115397</v>
      </c>
      <c r="J1423" s="15" t="n">
        <f aca="false">I1423/H1423</f>
        <v>1.13178697528443</v>
      </c>
      <c r="K1423" s="16" t="n">
        <f aca="false">ROUND(I1423*J1423^($F$8-1),0)</f>
        <v>112145</v>
      </c>
      <c r="L1423" s="16" t="n">
        <f aca="false">ROUND(I1423*J1423^($F$9-1),0)</f>
        <v>114657</v>
      </c>
      <c r="M1423" s="17" t="n">
        <f aca="false">G1423*$F$7</f>
        <v>24026973.3487459</v>
      </c>
      <c r="N1423" s="18" t="n">
        <f aca="false">F1423/K1423</f>
        <v>221.730322350528</v>
      </c>
      <c r="O1423" s="18" t="n">
        <f aca="false">G1423/L1423</f>
        <v>217.538397132316</v>
      </c>
      <c r="P1423" s="18" t="n">
        <f aca="false">M1423/L1423</f>
        <v>209.55522426669</v>
      </c>
      <c r="Q1423" s="19" t="n">
        <f aca="false">IF(N1423=0,"n.a.",P1423/N1423-1)</f>
        <v>-0.0549094862388333</v>
      </c>
    </row>
    <row r="1424" customFormat="false" ht="15" hidden="false" customHeight="false" outlineLevel="0" collapsed="false">
      <c r="A1424" s="12" t="s">
        <v>3408</v>
      </c>
      <c r="B1424" s="12" t="s">
        <v>3403</v>
      </c>
      <c r="C1424" s="12" t="s">
        <v>3404</v>
      </c>
      <c r="D1424" s="12" t="s">
        <v>193</v>
      </c>
      <c r="E1424" s="12" t="s">
        <v>3409</v>
      </c>
      <c r="F1424" s="13" t="n">
        <v>18756979</v>
      </c>
      <c r="G1424" s="13" t="n">
        <v>17739578</v>
      </c>
      <c r="H1424" s="14" t="n">
        <v>97557</v>
      </c>
      <c r="I1424" s="14" t="n">
        <v>95501</v>
      </c>
      <c r="J1424" s="15" t="n">
        <f aca="false">I1424/H1424</f>
        <v>0.978925141199504</v>
      </c>
      <c r="K1424" s="16" t="n">
        <f aca="false">ROUND(I1424*J1424^($F$8-1),0)</f>
        <v>95972</v>
      </c>
      <c r="L1424" s="16" t="n">
        <f aca="false">ROUND(I1424*J1424^($F$9-1),0)</f>
        <v>95607</v>
      </c>
      <c r="M1424" s="17" t="n">
        <f aca="false">G1424*$F$7</f>
        <v>17088575.1443932</v>
      </c>
      <c r="N1424" s="18" t="n">
        <f aca="false">F1424/K1424</f>
        <v>195.442201892219</v>
      </c>
      <c r="O1424" s="18" t="n">
        <f aca="false">G1424/L1424</f>
        <v>185.546853263882</v>
      </c>
      <c r="P1424" s="18" t="n">
        <f aca="false">M1424/L1424</f>
        <v>178.737698540831</v>
      </c>
      <c r="Q1424" s="19" t="n">
        <f aca="false">IF(N1424=0,"n.a.",P1424/N1424-1)</f>
        <v>-0.0854702985826982</v>
      </c>
    </row>
    <row r="1425" customFormat="false" ht="15" hidden="false" customHeight="false" outlineLevel="0" collapsed="false">
      <c r="A1425" s="12" t="s">
        <v>3410</v>
      </c>
      <c r="B1425" s="12" t="s">
        <v>3403</v>
      </c>
      <c r="C1425" s="12" t="s">
        <v>3404</v>
      </c>
      <c r="D1425" s="12" t="s">
        <v>205</v>
      </c>
      <c r="E1425" s="12" t="s">
        <v>3404</v>
      </c>
      <c r="F1425" s="13" t="n">
        <v>1164906681</v>
      </c>
      <c r="G1425" s="13" t="n">
        <v>1074097251</v>
      </c>
      <c r="H1425" s="14" t="n">
        <v>907903</v>
      </c>
      <c r="I1425" s="14" t="n">
        <v>771315</v>
      </c>
      <c r="J1425" s="15" t="n">
        <f aca="false">(I1425+170650)/(H1425)</f>
        <v>1.03751722375628</v>
      </c>
      <c r="K1425" s="16" t="n">
        <f aca="false">ROUND(I1425*J1425^($F$8-1),0)</f>
        <v>764784</v>
      </c>
      <c r="L1425" s="16" t="n">
        <f aca="false">ROUND(I1425*J1425^($F$9-1),0)</f>
        <v>769840</v>
      </c>
      <c r="M1425" s="17" t="n">
        <f aca="false">G1425*$F$7</f>
        <v>1034680283.04279</v>
      </c>
      <c r="N1425" s="18" t="n">
        <f aca="false">F1425/K1425</f>
        <v>1523.18390682859</v>
      </c>
      <c r="O1425" s="18" t="n">
        <f aca="false">G1425/L1425</f>
        <v>1395.22141094253</v>
      </c>
      <c r="P1425" s="18" t="n">
        <f aca="false">M1425/L1425</f>
        <v>1344.01990419151</v>
      </c>
      <c r="Q1425" s="19" t="n">
        <f aca="false">IF(N1425=0,"n.a.",P1425/N1425-1)</f>
        <v>-0.117624668849162</v>
      </c>
    </row>
    <row r="1426" customFormat="false" ht="15" hidden="false" customHeight="false" outlineLevel="0" collapsed="false">
      <c r="A1426" s="12" t="s">
        <v>3411</v>
      </c>
      <c r="B1426" s="12" t="s">
        <v>3403</v>
      </c>
      <c r="C1426" s="12" t="s">
        <v>3404</v>
      </c>
      <c r="D1426" s="12" t="s">
        <v>226</v>
      </c>
      <c r="E1426" s="12" t="s">
        <v>3412</v>
      </c>
      <c r="F1426" s="13" t="n">
        <v>160805923</v>
      </c>
      <c r="G1426" s="13" t="n">
        <v>158866156</v>
      </c>
      <c r="H1426" s="14" t="n">
        <v>331903</v>
      </c>
      <c r="I1426" s="14" t="n">
        <v>350401</v>
      </c>
      <c r="J1426" s="15" t="n">
        <f aca="false">I1426/H1426</f>
        <v>1.05573315095073</v>
      </c>
      <c r="K1426" s="16" t="n">
        <f aca="false">ROUND(I1426*J1426^($F$8-1),0)</f>
        <v>346041</v>
      </c>
      <c r="L1426" s="16" t="n">
        <f aca="false">ROUND(I1426*J1426^($F$9-1),0)</f>
        <v>349415</v>
      </c>
      <c r="M1426" s="17" t="n">
        <f aca="false">G1426*$F$7</f>
        <v>153036123.221584</v>
      </c>
      <c r="N1426" s="18" t="n">
        <f aca="false">F1426/K1426</f>
        <v>464.701937053702</v>
      </c>
      <c r="O1426" s="18" t="n">
        <f aca="false">G1426/L1426</f>
        <v>454.663239986835</v>
      </c>
      <c r="P1426" s="18" t="n">
        <f aca="false">M1426/L1426</f>
        <v>437.978115483261</v>
      </c>
      <c r="Q1426" s="19" t="n">
        <f aca="false">IF(N1426=0,"n.a.",P1426/N1426-1)</f>
        <v>-0.0575074460413811</v>
      </c>
    </row>
    <row r="1427" customFormat="false" ht="15" hidden="false" customHeight="false" outlineLevel="0" collapsed="false">
      <c r="A1427" s="12" t="s">
        <v>3413</v>
      </c>
      <c r="B1427" s="12" t="s">
        <v>3403</v>
      </c>
      <c r="C1427" s="12" t="s">
        <v>3404</v>
      </c>
      <c r="D1427" s="12" t="s">
        <v>232</v>
      </c>
      <c r="E1427" s="12" t="s">
        <v>3414</v>
      </c>
      <c r="F1427" s="13" t="n">
        <v>8047212</v>
      </c>
      <c r="G1427" s="13" t="n">
        <v>9098809</v>
      </c>
      <c r="H1427" s="14" t="n">
        <v>94937</v>
      </c>
      <c r="I1427" s="14" t="n">
        <v>90604</v>
      </c>
      <c r="J1427" s="15" t="n">
        <f aca="false">I1427/H1427</f>
        <v>0.954359206631766</v>
      </c>
      <c r="K1427" s="16" t="n">
        <f aca="false">ROUND(I1427*J1427^($F$8-1),0)</f>
        <v>91587</v>
      </c>
      <c r="L1427" s="16" t="n">
        <f aca="false">ROUND(I1427*J1427^($F$9-1),0)</f>
        <v>90824</v>
      </c>
      <c r="M1427" s="17" t="n">
        <f aca="false">G1427*$F$7</f>
        <v>8764903.05017296</v>
      </c>
      <c r="N1427" s="18" t="n">
        <f aca="false">F1427/K1427</f>
        <v>87.8641291886403</v>
      </c>
      <c r="O1427" s="18" t="n">
        <f aca="false">G1427/L1427</f>
        <v>100.180668105347</v>
      </c>
      <c r="P1427" s="18" t="n">
        <f aca="false">M1427/L1427</f>
        <v>96.5042615407047</v>
      </c>
      <c r="Q1427" s="19" t="n">
        <f aca="false">IF(N1427=0,"n.a.",P1427/N1427-1)</f>
        <v>0.0983351503264134</v>
      </c>
    </row>
    <row r="1428" customFormat="false" ht="15" hidden="false" customHeight="false" outlineLevel="0" collapsed="false">
      <c r="A1428" s="12" t="s">
        <v>3415</v>
      </c>
      <c r="B1428" s="12" t="s">
        <v>3403</v>
      </c>
      <c r="C1428" s="12" t="s">
        <v>3404</v>
      </c>
      <c r="D1428" s="12" t="s">
        <v>352</v>
      </c>
      <c r="E1428" s="12" t="s">
        <v>3416</v>
      </c>
      <c r="F1428" s="13" t="n">
        <v>3243541</v>
      </c>
      <c r="G1428" s="13" t="n">
        <v>3974643</v>
      </c>
      <c r="H1428" s="14" t="n">
        <v>49692</v>
      </c>
      <c r="I1428" s="14" t="n">
        <v>51038</v>
      </c>
      <c r="J1428" s="15" t="n">
        <f aca="false">I1428/H1428</f>
        <v>1.02708685502697</v>
      </c>
      <c r="K1428" s="16" t="n">
        <f aca="false">ROUND(I1428*J1428^($F$8-1),0)</f>
        <v>50724</v>
      </c>
      <c r="L1428" s="16" t="n">
        <f aca="false">ROUND(I1428*J1428^($F$9-1),0)</f>
        <v>50967</v>
      </c>
      <c r="M1428" s="17" t="n">
        <f aca="false">G1428*$F$7</f>
        <v>3828782.48725175</v>
      </c>
      <c r="N1428" s="18" t="n">
        <f aca="false">F1428/K1428</f>
        <v>63.9448978787162</v>
      </c>
      <c r="O1428" s="18" t="n">
        <f aca="false">G1428/L1428</f>
        <v>77.9846371181353</v>
      </c>
      <c r="P1428" s="18" t="n">
        <f aca="false">M1428/L1428</f>
        <v>75.1227752712883</v>
      </c>
      <c r="Q1428" s="19" t="n">
        <f aca="false">IF(N1428=0,"n.a.",P1428/N1428-1)</f>
        <v>0.174804836091428</v>
      </c>
    </row>
    <row r="1429" customFormat="false" ht="15" hidden="false" customHeight="false" outlineLevel="0" collapsed="false">
      <c r="A1429" s="12" t="s">
        <v>3417</v>
      </c>
      <c r="B1429" s="12" t="s">
        <v>3418</v>
      </c>
      <c r="C1429" s="12" t="s">
        <v>3419</v>
      </c>
      <c r="D1429" s="12" t="s">
        <v>46</v>
      </c>
      <c r="E1429" s="12" t="s">
        <v>3420</v>
      </c>
      <c r="F1429" s="13" t="n">
        <v>429141977</v>
      </c>
      <c r="G1429" s="13" t="n">
        <v>478454646</v>
      </c>
      <c r="H1429" s="14" t="n">
        <v>457633</v>
      </c>
      <c r="I1429" s="14" t="n">
        <v>481719</v>
      </c>
      <c r="J1429" s="15" t="n">
        <f aca="false">J1439</f>
        <v>1.06022951893188</v>
      </c>
      <c r="K1429" s="16" t="n">
        <f aca="false">ROUND(I1429*J1429^($F$8-1),0)</f>
        <v>475258</v>
      </c>
      <c r="L1429" s="16" t="n">
        <f aca="false">ROUND(I1429*J1429^($F$9-1),0)</f>
        <v>480257</v>
      </c>
      <c r="M1429" s="17" t="n">
        <f aca="false">G1429*$F$7</f>
        <v>460896430.081654</v>
      </c>
      <c r="N1429" s="18" t="n">
        <f aca="false">F1429/K1429</f>
        <v>902.966340387747</v>
      </c>
      <c r="O1429" s="18" t="n">
        <f aca="false">G1429/L1429</f>
        <v>996.24710519576</v>
      </c>
      <c r="P1429" s="18" t="n">
        <f aca="false">M1429/L1429</f>
        <v>959.687063554834</v>
      </c>
      <c r="Q1429" s="19" t="n">
        <f aca="false">IF(N1429=0,"n.a.",P1429/N1429-1)</f>
        <v>0.0628159884040973</v>
      </c>
    </row>
    <row r="1430" customFormat="false" ht="15" hidden="false" customHeight="false" outlineLevel="0" collapsed="false">
      <c r="A1430" s="12" t="s">
        <v>3421</v>
      </c>
      <c r="B1430" s="12" t="s">
        <v>3418</v>
      </c>
      <c r="C1430" s="12" t="s">
        <v>3419</v>
      </c>
      <c r="D1430" s="12" t="s">
        <v>48</v>
      </c>
      <c r="E1430" s="12" t="s">
        <v>3422</v>
      </c>
      <c r="F1430" s="13" t="n">
        <v>35912331</v>
      </c>
      <c r="G1430" s="13" t="n">
        <v>23917389</v>
      </c>
      <c r="H1430" s="14" t="n">
        <v>43662</v>
      </c>
      <c r="I1430" s="14" t="n">
        <v>45322</v>
      </c>
      <c r="J1430" s="15" t="n">
        <f aca="false">I1430/H1430</f>
        <v>1.03801933031011</v>
      </c>
      <c r="K1430" s="16" t="n">
        <f aca="false">ROUND(I1430*J1430^($F$8-1),0)</f>
        <v>44933</v>
      </c>
      <c r="L1430" s="16" t="n">
        <f aca="false">ROUND(I1430*J1430^($F$9-1),0)</f>
        <v>45234</v>
      </c>
      <c r="M1430" s="17" t="n">
        <f aca="false">G1430*$F$7</f>
        <v>23039674.2912477</v>
      </c>
      <c r="N1430" s="18" t="n">
        <f aca="false">F1430/K1430</f>
        <v>799.241782209067</v>
      </c>
      <c r="O1430" s="18" t="n">
        <f aca="false">G1430/L1430</f>
        <v>528.748043507096</v>
      </c>
      <c r="P1430" s="18" t="n">
        <f aca="false">M1430/L1430</f>
        <v>509.344172331602</v>
      </c>
      <c r="Q1430" s="19" t="n">
        <f aca="false">IF(N1430=0,"n.a.",P1430/N1430-1)</f>
        <v>-0.362715784297714</v>
      </c>
    </row>
    <row r="1431" customFormat="false" ht="15" hidden="false" customHeight="false" outlineLevel="0" collapsed="false">
      <c r="A1431" s="12" t="s">
        <v>3423</v>
      </c>
      <c r="B1431" s="12" t="s">
        <v>3418</v>
      </c>
      <c r="C1431" s="12" t="s">
        <v>3419</v>
      </c>
      <c r="D1431" s="12" t="s">
        <v>51</v>
      </c>
      <c r="E1431" s="12" t="s">
        <v>3424</v>
      </c>
      <c r="F1431" s="13" t="n">
        <v>1621421</v>
      </c>
      <c r="G1431" s="13" t="n">
        <v>2693660</v>
      </c>
      <c r="H1431" s="14" t="n">
        <v>26498</v>
      </c>
      <c r="I1431" s="14" t="n">
        <v>19734</v>
      </c>
      <c r="J1431" s="15" t="n">
        <f aca="false">I1431/H1431</f>
        <v>0.744735451732206</v>
      </c>
      <c r="K1431" s="16" t="n">
        <f aca="false">ROUND(I1431*J1431^($F$8-1),0)</f>
        <v>21124</v>
      </c>
      <c r="L1431" s="16" t="n">
        <f aca="false">ROUND(I1431*J1431^($F$9-1),0)</f>
        <v>20039</v>
      </c>
      <c r="M1431" s="17" t="n">
        <f aca="false">G1431*$F$7</f>
        <v>2594808.69970222</v>
      </c>
      <c r="N1431" s="18" t="n">
        <f aca="false">F1431/K1431</f>
        <v>76.7572902859307</v>
      </c>
      <c r="O1431" s="18" t="n">
        <f aca="false">G1431/L1431</f>
        <v>134.420879285393</v>
      </c>
      <c r="P1431" s="18" t="n">
        <f aca="false">M1431/L1431</f>
        <v>129.487933514757</v>
      </c>
      <c r="Q1431" s="19" t="n">
        <f aca="false">IF(N1431=0,"n.a.",P1431/N1431-1)</f>
        <v>0.686978957078844</v>
      </c>
    </row>
    <row r="1432" customFormat="false" ht="15" hidden="false" customHeight="false" outlineLevel="0" collapsed="false">
      <c r="A1432" s="12" t="s">
        <v>3425</v>
      </c>
      <c r="B1432" s="12" t="s">
        <v>3418</v>
      </c>
      <c r="C1432" s="12" t="s">
        <v>3419</v>
      </c>
      <c r="D1432" s="12" t="s">
        <v>54</v>
      </c>
      <c r="E1432" s="12" t="s">
        <v>3426</v>
      </c>
      <c r="F1432" s="13" t="n">
        <v>4312006</v>
      </c>
      <c r="G1432" s="13" t="n">
        <v>3883067</v>
      </c>
      <c r="H1432" s="14" t="n">
        <v>24829</v>
      </c>
      <c r="I1432" s="14" t="n">
        <v>23618</v>
      </c>
      <c r="J1432" s="15" t="n">
        <f aca="false">I1432/H1432</f>
        <v>0.951226388497322</v>
      </c>
      <c r="K1432" s="16" t="n">
        <f aca="false">ROUND(I1432*J1432^($F$8-1),0)</f>
        <v>23892</v>
      </c>
      <c r="L1432" s="16" t="n">
        <f aca="false">ROUND(I1432*J1432^($F$9-1),0)</f>
        <v>23679</v>
      </c>
      <c r="M1432" s="17" t="n">
        <f aca="false">G1432*$F$7</f>
        <v>3740567.12173274</v>
      </c>
      <c r="N1432" s="18" t="n">
        <f aca="false">F1432/K1432</f>
        <v>180.479072492885</v>
      </c>
      <c r="O1432" s="18" t="n">
        <f aca="false">G1432/L1432</f>
        <v>163.987795092698</v>
      </c>
      <c r="P1432" s="18" t="n">
        <f aca="false">M1432/L1432</f>
        <v>157.969809609052</v>
      </c>
      <c r="Q1432" s="19" t="n">
        <f aca="false">IF(N1432=0,"n.a.",P1432/N1432-1)</f>
        <v>-0.124719517741982</v>
      </c>
    </row>
    <row r="1433" customFormat="false" ht="15" hidden="false" customHeight="false" outlineLevel="0" collapsed="false">
      <c r="A1433" s="12" t="s">
        <v>3427</v>
      </c>
      <c r="B1433" s="12" t="s">
        <v>3418</v>
      </c>
      <c r="C1433" s="12" t="s">
        <v>3419</v>
      </c>
      <c r="D1433" s="12" t="s">
        <v>57</v>
      </c>
      <c r="E1433" s="12" t="s">
        <v>3428</v>
      </c>
      <c r="F1433" s="13" t="n">
        <v>4559053</v>
      </c>
      <c r="G1433" s="13" t="n">
        <v>3945922</v>
      </c>
      <c r="H1433" s="14" t="n">
        <v>16856</v>
      </c>
      <c r="I1433" s="14" t="n">
        <v>16247</v>
      </c>
      <c r="J1433" s="15" t="n">
        <f aca="false">I1433/H1433</f>
        <v>0.963870431893688</v>
      </c>
      <c r="K1433" s="16" t="n">
        <f aca="false">ROUND(I1433*J1433^($F$8-1),0)</f>
        <v>16386</v>
      </c>
      <c r="L1433" s="16" t="n">
        <f aca="false">ROUND(I1433*J1433^($F$9-1),0)</f>
        <v>16278</v>
      </c>
      <c r="M1433" s="17" t="n">
        <f aca="false">G1433*$F$7</f>
        <v>3801115.48374568</v>
      </c>
      <c r="N1433" s="18" t="n">
        <f aca="false">F1433/K1433</f>
        <v>278.228548761138</v>
      </c>
      <c r="O1433" s="18" t="n">
        <f aca="false">G1433/L1433</f>
        <v>242.408281115616</v>
      </c>
      <c r="P1433" s="18" t="n">
        <f aca="false">M1433/L1433</f>
        <v>233.512439104662</v>
      </c>
      <c r="Q1433" s="19" t="n">
        <f aca="false">IF(N1433=0,"n.a.",P1433/N1433-1)</f>
        <v>-0.16071718684363</v>
      </c>
    </row>
    <row r="1434" customFormat="false" ht="15" hidden="false" customHeight="false" outlineLevel="0" collapsed="false">
      <c r="A1434" s="12" t="s">
        <v>3429</v>
      </c>
      <c r="B1434" s="12" t="s">
        <v>3418</v>
      </c>
      <c r="C1434" s="12" t="s">
        <v>3419</v>
      </c>
      <c r="D1434" s="12" t="s">
        <v>60</v>
      </c>
      <c r="E1434" s="12" t="s">
        <v>3430</v>
      </c>
      <c r="F1434" s="13" t="n">
        <v>1482607161</v>
      </c>
      <c r="G1434" s="13" t="n">
        <v>1472976041</v>
      </c>
      <c r="H1434" s="14" t="n">
        <v>991401</v>
      </c>
      <c r="I1434" s="14" t="n">
        <v>943091</v>
      </c>
      <c r="J1434" s="15" t="n">
        <f aca="false">(I1434+37266)/(H1434)</f>
        <v>0.988860208936646</v>
      </c>
      <c r="K1434" s="16" t="n">
        <f aca="false">ROUND(I1434*J1434^($F$8-1),0)</f>
        <v>945533</v>
      </c>
      <c r="L1434" s="16" t="n">
        <f aca="false">ROUND(I1434*J1434^($F$9-1),0)</f>
        <v>943640</v>
      </c>
      <c r="M1434" s="17" t="n">
        <f aca="false">G1434*$F$7</f>
        <v>1418921113.14707</v>
      </c>
      <c r="N1434" s="18" t="n">
        <f aca="false">F1434/K1434</f>
        <v>1568.01207467111</v>
      </c>
      <c r="O1434" s="18" t="n">
        <f aca="false">G1434/L1434</f>
        <v>1560.95125365606</v>
      </c>
      <c r="P1434" s="18" t="n">
        <f aca="false">M1434/L1434</f>
        <v>1503.66783216806</v>
      </c>
      <c r="Q1434" s="19" t="n">
        <f aca="false">IF(N1434=0,"n.a.",P1434/N1434-1)</f>
        <v>-0.0410355529414811</v>
      </c>
    </row>
    <row r="1435" customFormat="false" ht="15" hidden="false" customHeight="false" outlineLevel="0" collapsed="false">
      <c r="A1435" s="12" t="s">
        <v>3431</v>
      </c>
      <c r="B1435" s="12" t="s">
        <v>3418</v>
      </c>
      <c r="C1435" s="12" t="s">
        <v>3419</v>
      </c>
      <c r="D1435" s="12" t="s">
        <v>63</v>
      </c>
      <c r="E1435" s="12" t="s">
        <v>3432</v>
      </c>
      <c r="F1435" s="13" t="n">
        <v>4312006</v>
      </c>
      <c r="G1435" s="13" t="n">
        <v>4239581</v>
      </c>
      <c r="H1435" s="14" t="n">
        <v>29298</v>
      </c>
      <c r="I1435" s="14" t="n">
        <v>28486</v>
      </c>
      <c r="J1435" s="15" t="n">
        <f aca="false">I1435/H1435</f>
        <v>0.972284797597106</v>
      </c>
      <c r="K1435" s="16" t="n">
        <f aca="false">ROUND(I1435*J1435^($F$8-1),0)</f>
        <v>28671</v>
      </c>
      <c r="L1435" s="16" t="n">
        <f aca="false">ROUND(I1435*J1435^($F$9-1),0)</f>
        <v>28528</v>
      </c>
      <c r="M1435" s="17" t="n">
        <f aca="false">G1435*$F$7</f>
        <v>4083997.85492314</v>
      </c>
      <c r="N1435" s="18" t="n">
        <f aca="false">F1435/K1435</f>
        <v>150.396079662377</v>
      </c>
      <c r="O1435" s="18" t="n">
        <f aca="false">G1435/L1435</f>
        <v>148.611224060572</v>
      </c>
      <c r="P1435" s="18" t="n">
        <f aca="false">M1435/L1435</f>
        <v>143.157524359336</v>
      </c>
      <c r="Q1435" s="19" t="n">
        <f aca="false">IF(N1435=0,"n.a.",P1435/N1435-1)</f>
        <v>-0.0481299467332555</v>
      </c>
    </row>
    <row r="1436" customFormat="false" ht="15" hidden="false" customHeight="false" outlineLevel="0" collapsed="false">
      <c r="A1436" s="12" t="s">
        <v>3433</v>
      </c>
      <c r="B1436" s="12" t="s">
        <v>3418</v>
      </c>
      <c r="C1436" s="12" t="s">
        <v>3419</v>
      </c>
      <c r="D1436" s="12" t="s">
        <v>66</v>
      </c>
      <c r="E1436" s="12" t="s">
        <v>3434</v>
      </c>
      <c r="F1436" s="13" t="n">
        <v>24709254</v>
      </c>
      <c r="G1436" s="13" t="n">
        <v>25297366</v>
      </c>
      <c r="H1436" s="14" t="n">
        <v>47114</v>
      </c>
      <c r="I1436" s="14" t="n">
        <v>44910</v>
      </c>
      <c r="J1436" s="15" t="n">
        <f aca="false">I1436/H1436</f>
        <v>0.953219849726196</v>
      </c>
      <c r="K1436" s="16" t="n">
        <f aca="false">ROUND(I1436*J1436^($F$8-1),0)</f>
        <v>45410</v>
      </c>
      <c r="L1436" s="16" t="n">
        <f aca="false">ROUND(I1436*J1436^($F$9-1),0)</f>
        <v>45022</v>
      </c>
      <c r="M1436" s="17" t="n">
        <f aca="false">G1436*$F$7</f>
        <v>24369009.2202992</v>
      </c>
      <c r="N1436" s="18" t="n">
        <f aca="false">F1436/K1436</f>
        <v>544.136842105263</v>
      </c>
      <c r="O1436" s="18" t="n">
        <f aca="false">G1436/L1436</f>
        <v>561.888987606059</v>
      </c>
      <c r="P1436" s="18" t="n">
        <f aca="false">M1436/L1436</f>
        <v>541.268917869025</v>
      </c>
      <c r="Q1436" s="19" t="n">
        <f aca="false">IF(N1436=0,"n.a.",P1436/N1436-1)</f>
        <v>-0.00527059374465844</v>
      </c>
    </row>
    <row r="1437" customFormat="false" ht="15" hidden="false" customHeight="false" outlineLevel="0" collapsed="false">
      <c r="A1437" s="12" t="s">
        <v>3435</v>
      </c>
      <c r="B1437" s="12" t="s">
        <v>3418</v>
      </c>
      <c r="C1437" s="12" t="s">
        <v>3419</v>
      </c>
      <c r="D1437" s="12" t="s">
        <v>69</v>
      </c>
      <c r="E1437" s="12" t="s">
        <v>3436</v>
      </c>
      <c r="F1437" s="13" t="n">
        <v>20471542</v>
      </c>
      <c r="G1437" s="13" t="n">
        <v>20781752</v>
      </c>
      <c r="H1437" s="14" t="n">
        <v>59776</v>
      </c>
      <c r="I1437" s="14" t="n">
        <v>58874</v>
      </c>
      <c r="J1437" s="15" t="n">
        <f aca="false">I1437/H1437</f>
        <v>0.984910331905782</v>
      </c>
      <c r="K1437" s="16" t="n">
        <f aca="false">ROUND(I1437*J1437^($F$8-1),0)</f>
        <v>59081</v>
      </c>
      <c r="L1437" s="16" t="n">
        <f aca="false">ROUND(I1437*J1437^($F$9-1),0)</f>
        <v>58921</v>
      </c>
      <c r="M1437" s="17" t="n">
        <f aca="false">G1437*$F$7</f>
        <v>20019108.1594017</v>
      </c>
      <c r="N1437" s="18" t="n">
        <f aca="false">F1437/K1437</f>
        <v>346.499585315076</v>
      </c>
      <c r="O1437" s="18" t="n">
        <f aca="false">G1437/L1437</f>
        <v>352.705351233007</v>
      </c>
      <c r="P1437" s="18" t="n">
        <f aca="false">M1437/L1437</f>
        <v>339.76185331888</v>
      </c>
      <c r="Q1437" s="19" t="n">
        <f aca="false">IF(N1437=0,"n.a.",P1437/N1437-1)</f>
        <v>-0.0194451372577227</v>
      </c>
    </row>
    <row r="1438" customFormat="false" ht="15" hidden="false" customHeight="false" outlineLevel="0" collapsed="false">
      <c r="A1438" s="12" t="s">
        <v>3437</v>
      </c>
      <c r="B1438" s="12" t="s">
        <v>3418</v>
      </c>
      <c r="C1438" s="12" t="s">
        <v>3419</v>
      </c>
      <c r="D1438" s="12" t="s">
        <v>72</v>
      </c>
      <c r="E1438" s="12" t="s">
        <v>3438</v>
      </c>
      <c r="F1438" s="13" t="n">
        <v>36499556</v>
      </c>
      <c r="G1438" s="13" t="n">
        <v>34897719</v>
      </c>
      <c r="H1438" s="14" t="n">
        <v>96185</v>
      </c>
      <c r="I1438" s="14" t="n">
        <v>97508</v>
      </c>
      <c r="J1438" s="15" t="n">
        <f aca="false">I1438/H1438</f>
        <v>1.01375474346312</v>
      </c>
      <c r="K1438" s="16" t="n">
        <f aca="false">ROUND(I1438*J1438^($F$8-1),0)</f>
        <v>97201</v>
      </c>
      <c r="L1438" s="16" t="n">
        <f aca="false">ROUND(I1438*J1438^($F$9-1),0)</f>
        <v>97439</v>
      </c>
      <c r="M1438" s="17" t="n">
        <f aca="false">G1438*$F$7</f>
        <v>33617050.7268785</v>
      </c>
      <c r="N1438" s="18" t="n">
        <f aca="false">F1438/K1438</f>
        <v>375.50597216078</v>
      </c>
      <c r="O1438" s="18" t="n">
        <f aca="false">G1438/L1438</f>
        <v>358.14939603239</v>
      </c>
      <c r="P1438" s="18" t="n">
        <f aca="false">M1438/L1438</f>
        <v>345.006113844339</v>
      </c>
      <c r="Q1438" s="19" t="n">
        <f aca="false">IF(N1438=0,"n.a.",P1438/N1438-1)</f>
        <v>-0.0812233641476743</v>
      </c>
    </row>
    <row r="1439" customFormat="false" ht="15" hidden="false" customHeight="false" outlineLevel="0" collapsed="false">
      <c r="A1439" s="12" t="s">
        <v>3439</v>
      </c>
      <c r="B1439" s="12" t="s">
        <v>3418</v>
      </c>
      <c r="C1439" s="12" t="s">
        <v>3419</v>
      </c>
      <c r="D1439" s="12" t="s">
        <v>75</v>
      </c>
      <c r="E1439" s="12" t="s">
        <v>3440</v>
      </c>
      <c r="F1439" s="13" t="n">
        <v>178224976</v>
      </c>
      <c r="G1439" s="13" t="n">
        <v>181850285</v>
      </c>
      <c r="H1439" s="14" t="n">
        <v>284528</v>
      </c>
      <c r="I1439" s="14" t="n">
        <v>263913</v>
      </c>
      <c r="J1439" s="15" t="n">
        <f aca="false">(I1439+I1429+41229)/(H1439+H1429)</f>
        <v>1.06022951893188</v>
      </c>
      <c r="K1439" s="16" t="n">
        <f aca="false">ROUND(I1439*J1439^($F$8-1),0)</f>
        <v>260373</v>
      </c>
      <c r="L1439" s="16" t="n">
        <f aca="false">ROUND(I1439*J1439^($F$9-1),0)</f>
        <v>263112</v>
      </c>
      <c r="M1439" s="17" t="n">
        <f aca="false">G1439*$F$7</f>
        <v>175176786.06852</v>
      </c>
      <c r="N1439" s="18" t="n">
        <f aca="false">F1439/K1439</f>
        <v>684.49868457943</v>
      </c>
      <c r="O1439" s="18" t="n">
        <f aca="false">G1439/L1439</f>
        <v>691.151619842501</v>
      </c>
      <c r="P1439" s="18" t="n">
        <f aca="false">M1439/L1439</f>
        <v>665.787900470217</v>
      </c>
      <c r="Q1439" s="19" t="n">
        <f aca="false">IF(N1439=0,"n.a.",P1439/N1439-1)</f>
        <v>-0.0273350183583034</v>
      </c>
    </row>
    <row r="1440" customFormat="false" ht="15" hidden="false" customHeight="false" outlineLevel="0" collapsed="false">
      <c r="A1440" s="12" t="s">
        <v>3441</v>
      </c>
      <c r="B1440" s="12" t="s">
        <v>3418</v>
      </c>
      <c r="C1440" s="12" t="s">
        <v>3419</v>
      </c>
      <c r="D1440" s="12" t="s">
        <v>129</v>
      </c>
      <c r="E1440" s="12" t="s">
        <v>3442</v>
      </c>
      <c r="F1440" s="13" t="n">
        <v>1149176465</v>
      </c>
      <c r="G1440" s="13" t="n">
        <v>1128421133</v>
      </c>
      <c r="H1440" s="14" t="n">
        <v>498785</v>
      </c>
      <c r="I1440" s="14" t="n">
        <v>539070</v>
      </c>
      <c r="J1440" s="15" t="n">
        <f aca="false">I1440/H1440</f>
        <v>1.0807662620167</v>
      </c>
      <c r="K1440" s="16" t="n">
        <f aca="false">ROUND(I1440*J1440^($F$8-1),0)</f>
        <v>529489</v>
      </c>
      <c r="L1440" s="16" t="n">
        <f aca="false">ROUND(I1440*J1440^($F$9-1),0)</f>
        <v>536899</v>
      </c>
      <c r="M1440" s="17" t="n">
        <f aca="false">G1440*$F$7</f>
        <v>1087010600.01494</v>
      </c>
      <c r="N1440" s="18" t="n">
        <f aca="false">F1440/K1440</f>
        <v>2170.3500261573</v>
      </c>
      <c r="O1440" s="18" t="n">
        <f aca="false">G1440/L1440</f>
        <v>2101.73819098192</v>
      </c>
      <c r="P1440" s="18" t="n">
        <f aca="false">M1440/L1440</f>
        <v>2024.60909782834</v>
      </c>
      <c r="Q1440" s="19" t="n">
        <f aca="false">IF(N1440=0,"n.a.",P1440/N1440-1)</f>
        <v>-0.0671508865263516</v>
      </c>
    </row>
    <row r="1441" customFormat="false" ht="15" hidden="false" customHeight="false" outlineLevel="0" collapsed="false">
      <c r="A1441" s="12" t="s">
        <v>3443</v>
      </c>
      <c r="B1441" s="12" t="s">
        <v>3418</v>
      </c>
      <c r="C1441" s="12" t="s">
        <v>3419</v>
      </c>
      <c r="D1441" s="12" t="s">
        <v>132</v>
      </c>
      <c r="E1441" s="12" t="s">
        <v>3444</v>
      </c>
      <c r="F1441" s="13" t="n">
        <v>14460637</v>
      </c>
      <c r="G1441" s="13" t="n">
        <v>16923639</v>
      </c>
      <c r="H1441" s="14" t="n">
        <v>40317</v>
      </c>
      <c r="I1441" s="14" t="n">
        <v>40510</v>
      </c>
      <c r="J1441" s="15" t="n">
        <f aca="false">I1441/H1441</f>
        <v>1.00478706252945</v>
      </c>
      <c r="K1441" s="16" t="n">
        <f aca="false">ROUND(I1441*J1441^($F$8-1),0)</f>
        <v>40465</v>
      </c>
      <c r="L1441" s="16" t="n">
        <f aca="false">ROUND(I1441*J1441^($F$9-1),0)</f>
        <v>40500</v>
      </c>
      <c r="M1441" s="17" t="n">
        <f aca="false">G1441*$F$7</f>
        <v>16302579.2816539</v>
      </c>
      <c r="N1441" s="18" t="n">
        <f aca="false">F1441/K1441</f>
        <v>357.361596441369</v>
      </c>
      <c r="O1441" s="18" t="n">
        <f aca="false">G1441/L1441</f>
        <v>417.86762962963</v>
      </c>
      <c r="P1441" s="18" t="n">
        <f aca="false">M1441/L1441</f>
        <v>402.532821769232</v>
      </c>
      <c r="Q1441" s="19" t="n">
        <f aca="false">IF(N1441=0,"n.a.",P1441/N1441-1)</f>
        <v>0.126402013472296</v>
      </c>
    </row>
    <row r="1442" customFormat="false" ht="15" hidden="false" customHeight="false" outlineLevel="0" collapsed="false">
      <c r="A1442" s="12" t="s">
        <v>3445</v>
      </c>
      <c r="B1442" s="12" t="s">
        <v>3418</v>
      </c>
      <c r="C1442" s="12" t="s">
        <v>3419</v>
      </c>
      <c r="D1442" s="12" t="s">
        <v>163</v>
      </c>
      <c r="E1442" s="12" t="s">
        <v>3446</v>
      </c>
      <c r="F1442" s="13" t="n">
        <v>13240398</v>
      </c>
      <c r="G1442" s="13" t="n">
        <v>15899868</v>
      </c>
      <c r="H1442" s="14" t="n">
        <v>52307</v>
      </c>
      <c r="I1442" s="14" t="n">
        <v>50577</v>
      </c>
      <c r="J1442" s="15" t="n">
        <f aca="false">I1442/H1442</f>
        <v>0.966926032844552</v>
      </c>
      <c r="K1442" s="16" t="n">
        <f aca="false">ROUND(I1442*J1442^($F$8-1),0)</f>
        <v>50971</v>
      </c>
      <c r="L1442" s="16" t="n">
        <f aca="false">ROUND(I1442*J1442^($F$9-1),0)</f>
        <v>50665</v>
      </c>
      <c r="M1442" s="17" t="n">
        <f aca="false">G1442*$F$7</f>
        <v>15316378.3887042</v>
      </c>
      <c r="N1442" s="18" t="n">
        <f aca="false">F1442/K1442</f>
        <v>259.763355633596</v>
      </c>
      <c r="O1442" s="18" t="n">
        <f aca="false">G1442/L1442</f>
        <v>313.823507352216</v>
      </c>
      <c r="P1442" s="18" t="n">
        <f aca="false">M1442/L1442</f>
        <v>302.306886187787</v>
      </c>
      <c r="Q1442" s="19" t="n">
        <f aca="false">IF(N1442=0,"n.a.",P1442/N1442-1)</f>
        <v>0.16377802962401</v>
      </c>
    </row>
    <row r="1443" customFormat="false" ht="15" hidden="false" customHeight="false" outlineLevel="0" collapsed="false">
      <c r="A1443" s="12" t="s">
        <v>3447</v>
      </c>
      <c r="B1443" s="12" t="s">
        <v>3418</v>
      </c>
      <c r="C1443" s="12" t="s">
        <v>3419</v>
      </c>
      <c r="D1443" s="12" t="s">
        <v>166</v>
      </c>
      <c r="E1443" s="12" t="s">
        <v>3448</v>
      </c>
      <c r="F1443" s="13" t="n">
        <v>55877350</v>
      </c>
      <c r="G1443" s="13" t="n">
        <v>61314575</v>
      </c>
      <c r="H1443" s="14" t="n">
        <v>79350</v>
      </c>
      <c r="I1443" s="14" t="n">
        <v>83984</v>
      </c>
      <c r="J1443" s="15" t="n">
        <f aca="false">I1443/H1443</f>
        <v>1.05839949590422</v>
      </c>
      <c r="K1443" s="16" t="n">
        <f aca="false">ROUND(I1443*J1443^($F$8-1),0)</f>
        <v>82891</v>
      </c>
      <c r="L1443" s="16" t="n">
        <f aca="false">ROUND(I1443*J1443^($F$9-1),0)</f>
        <v>83737</v>
      </c>
      <c r="M1443" s="17" t="n">
        <f aca="false">G1443*$F$7</f>
        <v>59064467.1668082</v>
      </c>
      <c r="N1443" s="18" t="n">
        <f aca="false">F1443/K1443</f>
        <v>674.106356540517</v>
      </c>
      <c r="O1443" s="18" t="n">
        <f aca="false">G1443/L1443</f>
        <v>732.22798762793</v>
      </c>
      <c r="P1443" s="18" t="n">
        <f aca="false">M1443/L1443</f>
        <v>705.356857384527</v>
      </c>
      <c r="Q1443" s="19" t="n">
        <f aca="false">IF(N1443=0,"n.a.",P1443/N1443-1)</f>
        <v>0.0463584129430059</v>
      </c>
    </row>
    <row r="1444" customFormat="false" ht="15" hidden="false" customHeight="false" outlineLevel="0" collapsed="false">
      <c r="A1444" s="12" t="s">
        <v>3449</v>
      </c>
      <c r="B1444" s="12" t="s">
        <v>3418</v>
      </c>
      <c r="C1444" s="12" t="s">
        <v>3419</v>
      </c>
      <c r="D1444" s="12" t="s">
        <v>169</v>
      </c>
      <c r="E1444" s="12" t="s">
        <v>3450</v>
      </c>
      <c r="F1444" s="13" t="n">
        <v>3536977</v>
      </c>
      <c r="G1444" s="13" t="n">
        <v>4499974</v>
      </c>
      <c r="H1444" s="14" t="n">
        <v>18366</v>
      </c>
      <c r="I1444" s="14" t="n">
        <v>20201</v>
      </c>
      <c r="J1444" s="15" t="n">
        <f aca="false">I1444/H1444</f>
        <v>1.09991288250027</v>
      </c>
      <c r="K1444" s="16" t="n">
        <f aca="false">ROUND(I1444*J1444^($F$8-1),0)</f>
        <v>19762</v>
      </c>
      <c r="L1444" s="16" t="n">
        <f aca="false">ROUND(I1444*J1444^($F$9-1),0)</f>
        <v>20101</v>
      </c>
      <c r="M1444" s="17" t="n">
        <f aca="false">G1444*$F$7</f>
        <v>4334835.01393413</v>
      </c>
      <c r="N1444" s="18" t="n">
        <f aca="false">F1444/K1444</f>
        <v>178.97869648821</v>
      </c>
      <c r="O1444" s="18" t="n">
        <f aca="false">G1444/L1444</f>
        <v>223.868165762897</v>
      </c>
      <c r="P1444" s="18" t="n">
        <f aca="false">M1444/L1444</f>
        <v>215.652704538786</v>
      </c>
      <c r="Q1444" s="19" t="n">
        <f aca="false">IF(N1444=0,"n.a.",P1444/N1444-1)</f>
        <v>0.204907113361349</v>
      </c>
    </row>
    <row r="1445" customFormat="false" ht="15" hidden="false" customHeight="false" outlineLevel="0" collapsed="false">
      <c r="A1445" s="12" t="s">
        <v>3451</v>
      </c>
      <c r="B1445" s="12" t="s">
        <v>3418</v>
      </c>
      <c r="C1445" s="12" t="s">
        <v>3419</v>
      </c>
      <c r="D1445" s="12" t="s">
        <v>172</v>
      </c>
      <c r="E1445" s="12" t="s">
        <v>3419</v>
      </c>
      <c r="F1445" s="13" t="n">
        <v>23904190</v>
      </c>
      <c r="G1445" s="13" t="n">
        <v>21843331</v>
      </c>
      <c r="H1445" s="14" t="n">
        <v>78664</v>
      </c>
      <c r="I1445" s="14" t="n">
        <v>77385</v>
      </c>
      <c r="J1445" s="15" t="n">
        <f aca="false">I1445/H1445</f>
        <v>0.983740974270314</v>
      </c>
      <c r="K1445" s="16" t="n">
        <f aca="false">ROUND(I1445*J1445^($F$8-1),0)</f>
        <v>77678</v>
      </c>
      <c r="L1445" s="16" t="n">
        <f aca="false">ROUND(I1445*J1445^($F$9-1),0)</f>
        <v>77451</v>
      </c>
      <c r="M1445" s="17" t="n">
        <f aca="false">G1445*$F$7</f>
        <v>21041729.5832716</v>
      </c>
      <c r="N1445" s="18" t="n">
        <f aca="false">F1445/K1445</f>
        <v>307.734364942455</v>
      </c>
      <c r="O1445" s="18" t="n">
        <f aca="false">G1445/L1445</f>
        <v>282.027746575254</v>
      </c>
      <c r="P1445" s="18" t="n">
        <f aca="false">M1445/L1445</f>
        <v>271.677958751618</v>
      </c>
      <c r="Q1445" s="19" t="n">
        <f aca="false">IF(N1445=0,"n.a.",P1445/N1445-1)</f>
        <v>-0.117167304982592</v>
      </c>
    </row>
    <row r="1446" customFormat="false" ht="15" hidden="false" customHeight="false" outlineLevel="0" collapsed="false">
      <c r="A1446" s="12" t="s">
        <v>3452</v>
      </c>
      <c r="B1446" s="12" t="s">
        <v>3418</v>
      </c>
      <c r="C1446" s="12" t="s">
        <v>3419</v>
      </c>
      <c r="D1446" s="12" t="s">
        <v>175</v>
      </c>
      <c r="E1446" s="12" t="s">
        <v>3453</v>
      </c>
      <c r="F1446" s="13" t="n">
        <v>124840773</v>
      </c>
      <c r="G1446" s="13" t="n">
        <v>120283121</v>
      </c>
      <c r="H1446" s="14" t="n">
        <v>141308</v>
      </c>
      <c r="I1446" s="14" t="n">
        <v>148219</v>
      </c>
      <c r="J1446" s="15" t="n">
        <f aca="false">I1446/H1446</f>
        <v>1.04890735131769</v>
      </c>
      <c r="K1446" s="16" t="n">
        <f aca="false">ROUND(I1446*J1446^($F$8-1),0)</f>
        <v>146594</v>
      </c>
      <c r="L1446" s="16" t="n">
        <f aca="false">ROUND(I1446*J1446^($F$9-1),0)</f>
        <v>147852</v>
      </c>
      <c r="M1446" s="17" t="n">
        <f aca="false">G1446*$F$7</f>
        <v>115868999.353347</v>
      </c>
      <c r="N1446" s="18" t="n">
        <f aca="false">F1446/K1446</f>
        <v>851.609022197362</v>
      </c>
      <c r="O1446" s="18" t="n">
        <f aca="false">G1446/L1446</f>
        <v>813.537327868409</v>
      </c>
      <c r="P1446" s="18" t="n">
        <f aca="false">M1446/L1446</f>
        <v>783.682326605974</v>
      </c>
      <c r="Q1446" s="19" t="n">
        <f aca="false">IF(N1446=0,"n.a.",P1446/N1446-1)</f>
        <v>-0.0797627712023525</v>
      </c>
    </row>
    <row r="1447" customFormat="false" ht="15" hidden="false" customHeight="false" outlineLevel="0" collapsed="false">
      <c r="A1447" s="12" t="s">
        <v>3454</v>
      </c>
      <c r="B1447" s="12" t="s">
        <v>3455</v>
      </c>
      <c r="C1447" s="12" t="s">
        <v>3456</v>
      </c>
      <c r="D1447" s="12" t="s">
        <v>46</v>
      </c>
      <c r="E1447" s="12" t="s">
        <v>3457</v>
      </c>
      <c r="F1447" s="13" t="n">
        <v>338685</v>
      </c>
      <c r="G1447" s="13" t="n">
        <v>224724</v>
      </c>
      <c r="H1447" s="14" t="n">
        <v>2563</v>
      </c>
      <c r="I1447" s="14" t="n">
        <v>2366</v>
      </c>
      <c r="J1447" s="15" t="n">
        <f aca="false">I1447/H1447</f>
        <v>0.923136948888022</v>
      </c>
      <c r="K1447" s="16" t="n">
        <f aca="false">ROUND(I1447*J1447^($F$8-1),0)</f>
        <v>2410</v>
      </c>
      <c r="L1447" s="16" t="n">
        <f aca="false">ROUND(I1447*J1447^($F$9-1),0)</f>
        <v>2376</v>
      </c>
      <c r="M1447" s="17" t="n">
        <f aca="false">G1447*$F$7</f>
        <v>216477.131572612</v>
      </c>
      <c r="N1447" s="18" t="n">
        <f aca="false">F1447/K1447</f>
        <v>140.533195020747</v>
      </c>
      <c r="O1447" s="18" t="n">
        <f aca="false">G1447/L1447</f>
        <v>94.5808080808081</v>
      </c>
      <c r="P1447" s="18" t="n">
        <f aca="false">M1447/L1447</f>
        <v>91.109903860527</v>
      </c>
      <c r="Q1447" s="19" t="n">
        <f aca="false">IF(N1447=0,"n.a.",P1447/N1447-1)</f>
        <v>-0.351684106754447</v>
      </c>
    </row>
    <row r="1448" customFormat="false" ht="15" hidden="false" customHeight="false" outlineLevel="0" collapsed="false">
      <c r="A1448" s="12" t="s">
        <v>3458</v>
      </c>
      <c r="B1448" s="12" t="s">
        <v>3455</v>
      </c>
      <c r="C1448" s="12" t="s">
        <v>3456</v>
      </c>
      <c r="D1448" s="12" t="s">
        <v>48</v>
      </c>
      <c r="E1448" s="12" t="s">
        <v>3459</v>
      </c>
      <c r="F1448" s="13" t="n">
        <v>29563019</v>
      </c>
      <c r="G1448" s="13" t="n">
        <v>40901509</v>
      </c>
      <c r="H1448" s="14" t="n">
        <v>91527</v>
      </c>
      <c r="I1448" s="14" t="n">
        <v>96141</v>
      </c>
      <c r="J1448" s="15" t="n">
        <f aca="false">I1448/H1448</f>
        <v>1.05041135402668</v>
      </c>
      <c r="K1448" s="16" t="n">
        <f aca="false">ROUND(I1448*J1448^($F$8-1),0)</f>
        <v>95055</v>
      </c>
      <c r="L1448" s="16" t="n">
        <f aca="false">ROUND(I1448*J1448^($F$9-1),0)</f>
        <v>95896</v>
      </c>
      <c r="M1448" s="17" t="n">
        <f aca="false">G1448*$F$7</f>
        <v>39400515.0554075</v>
      </c>
      <c r="N1448" s="18" t="n">
        <f aca="false">F1448/K1448</f>
        <v>311.009615485771</v>
      </c>
      <c r="O1448" s="18" t="n">
        <f aca="false">G1448/L1448</f>
        <v>426.519448152165</v>
      </c>
      <c r="P1448" s="18" t="n">
        <f aca="false">M1448/L1448</f>
        <v>410.867137893212</v>
      </c>
      <c r="Q1448" s="19" t="n">
        <f aca="false">IF(N1448=0,"n.a.",P1448/N1448-1)</f>
        <v>0.321075354057691</v>
      </c>
    </row>
    <row r="1449" customFormat="false" ht="15" hidden="false" customHeight="false" outlineLevel="0" collapsed="false">
      <c r="A1449" s="12" t="s">
        <v>3460</v>
      </c>
      <c r="B1449" s="12" t="s">
        <v>3455</v>
      </c>
      <c r="C1449" s="12" t="s">
        <v>3456</v>
      </c>
      <c r="D1449" s="12" t="s">
        <v>51</v>
      </c>
      <c r="E1449" s="12" t="s">
        <v>3461</v>
      </c>
      <c r="F1449" s="13" t="n">
        <v>8155029</v>
      </c>
      <c r="G1449" s="13" t="n">
        <v>11530723</v>
      </c>
      <c r="H1449" s="14" t="n">
        <v>24958</v>
      </c>
      <c r="I1449" s="14" t="n">
        <v>25143</v>
      </c>
      <c r="J1449" s="15" t="n">
        <f aca="false">I1449/H1449</f>
        <v>1.00741245292091</v>
      </c>
      <c r="K1449" s="16" t="n">
        <f aca="false">ROUND(I1449*J1449^($F$8-1),0)</f>
        <v>25100</v>
      </c>
      <c r="L1449" s="16" t="n">
        <f aca="false">ROUND(I1449*J1449^($F$9-1),0)</f>
        <v>25133</v>
      </c>
      <c r="M1449" s="17" t="n">
        <f aca="false">G1449*$F$7</f>
        <v>11107571.2429395</v>
      </c>
      <c r="N1449" s="18" t="n">
        <f aca="false">F1449/K1449</f>
        <v>324.901553784861</v>
      </c>
      <c r="O1449" s="18" t="n">
        <f aca="false">G1449/L1449</f>
        <v>458.788166951816</v>
      </c>
      <c r="P1449" s="18" t="n">
        <f aca="false">M1449/L1449</f>
        <v>441.95166684994</v>
      </c>
      <c r="Q1449" s="19" t="n">
        <f aca="false">IF(N1449=0,"n.a.",P1449/N1449-1)</f>
        <v>0.360263321924851</v>
      </c>
    </row>
    <row r="1450" customFormat="false" ht="15" hidden="false" customHeight="false" outlineLevel="0" collapsed="false">
      <c r="A1450" s="12" t="s">
        <v>3462</v>
      </c>
      <c r="B1450" s="12" t="s">
        <v>3455</v>
      </c>
      <c r="C1450" s="12" t="s">
        <v>3456</v>
      </c>
      <c r="D1450" s="12" t="s">
        <v>54</v>
      </c>
      <c r="E1450" s="12" t="s">
        <v>3463</v>
      </c>
      <c r="F1450" s="13" t="n">
        <v>2809491</v>
      </c>
      <c r="G1450" s="13" t="n">
        <v>3406131</v>
      </c>
      <c r="H1450" s="14" t="n">
        <v>9468</v>
      </c>
      <c r="I1450" s="14" t="n">
        <v>9727</v>
      </c>
      <c r="J1450" s="15" t="n">
        <f aca="false">I1450/H1450</f>
        <v>1.02735530207013</v>
      </c>
      <c r="K1450" s="16" t="n">
        <f aca="false">ROUND(I1450*J1450^($F$8-1),0)</f>
        <v>9667</v>
      </c>
      <c r="L1450" s="16" t="n">
        <f aca="false">ROUND(I1450*J1450^($F$9-1),0)</f>
        <v>9713</v>
      </c>
      <c r="M1450" s="17" t="n">
        <f aca="false">G1450*$F$7</f>
        <v>3281133.60673784</v>
      </c>
      <c r="N1450" s="18" t="n">
        <f aca="false">F1450/K1450</f>
        <v>290.626978380056</v>
      </c>
      <c r="O1450" s="18" t="n">
        <f aca="false">G1450/L1450</f>
        <v>350.6775455575</v>
      </c>
      <c r="P1450" s="18" t="n">
        <f aca="false">M1450/L1450</f>
        <v>337.808463578486</v>
      </c>
      <c r="Q1450" s="19" t="n">
        <f aca="false">IF(N1450=0,"n.a.",P1450/N1450-1)</f>
        <v>0.162343790178799</v>
      </c>
    </row>
    <row r="1451" customFormat="false" ht="15" hidden="false" customHeight="false" outlineLevel="0" collapsed="false">
      <c r="A1451" s="12" t="s">
        <v>3464</v>
      </c>
      <c r="B1451" s="12" t="s">
        <v>3455</v>
      </c>
      <c r="C1451" s="12" t="s">
        <v>3456</v>
      </c>
      <c r="D1451" s="12" t="s">
        <v>57</v>
      </c>
      <c r="E1451" s="12" t="s">
        <v>3465</v>
      </c>
      <c r="F1451" s="13" t="n">
        <v>130380</v>
      </c>
      <c r="G1451" s="13" t="n">
        <v>240071</v>
      </c>
      <c r="H1451" s="14" t="n">
        <v>1177</v>
      </c>
      <c r="I1451" s="14" t="n">
        <v>1044</v>
      </c>
      <c r="J1451" s="15" t="n">
        <f aca="false">I1451/H1451</f>
        <v>0.887000849617672</v>
      </c>
      <c r="K1451" s="16" t="n">
        <f aca="false">ROUND(I1451*J1451^($F$8-1),0)</f>
        <v>1073</v>
      </c>
      <c r="L1451" s="16" t="n">
        <f aca="false">ROUND(I1451*J1451^($F$9-1),0)</f>
        <v>1051</v>
      </c>
      <c r="M1451" s="17" t="n">
        <f aca="false">G1451*$F$7</f>
        <v>231260.930980975</v>
      </c>
      <c r="N1451" s="18" t="n">
        <f aca="false">F1451/K1451</f>
        <v>121.509785647717</v>
      </c>
      <c r="O1451" s="18" t="n">
        <f aca="false">G1451/L1451</f>
        <v>228.421503330162</v>
      </c>
      <c r="P1451" s="18" t="n">
        <f aca="false">M1451/L1451</f>
        <v>220.03894479636</v>
      </c>
      <c r="Q1451" s="19" t="n">
        <f aca="false">IF(N1451=0,"n.a.",P1451/N1451-1)</f>
        <v>0.810874273404623</v>
      </c>
    </row>
    <row r="1452" customFormat="false" ht="15" hidden="false" customHeight="false" outlineLevel="0" collapsed="false">
      <c r="A1452" s="12" t="s">
        <v>3466</v>
      </c>
      <c r="B1452" s="12" t="s">
        <v>3455</v>
      </c>
      <c r="C1452" s="12" t="s">
        <v>3456</v>
      </c>
      <c r="D1452" s="12" t="s">
        <v>60</v>
      </c>
      <c r="E1452" s="12" t="s">
        <v>3467</v>
      </c>
      <c r="F1452" s="13" t="n">
        <v>1219554</v>
      </c>
      <c r="G1452" s="13" t="n">
        <v>2107953</v>
      </c>
      <c r="H1452" s="14" t="n">
        <v>2788</v>
      </c>
      <c r="I1452" s="14" t="n">
        <v>2544</v>
      </c>
      <c r="J1452" s="15" t="n">
        <f aca="false">I1452/H1452</f>
        <v>0.912482065997131</v>
      </c>
      <c r="K1452" s="16" t="n">
        <f aca="false">ROUND(I1452*J1452^($F$8-1),0)</f>
        <v>2598</v>
      </c>
      <c r="L1452" s="16" t="n">
        <f aca="false">ROUND(I1452*J1452^($F$9-1),0)</f>
        <v>2556</v>
      </c>
      <c r="M1452" s="17" t="n">
        <f aca="false">G1452*$F$7</f>
        <v>2030595.83724873</v>
      </c>
      <c r="N1452" s="18" t="n">
        <f aca="false">F1452/K1452</f>
        <v>469.420323325635</v>
      </c>
      <c r="O1452" s="18" t="n">
        <f aca="false">G1452/L1452</f>
        <v>824.707746478873</v>
      </c>
      <c r="P1452" s="18" t="n">
        <f aca="false">M1452/L1452</f>
        <v>794.44281582501</v>
      </c>
      <c r="Q1452" s="19" t="n">
        <f aca="false">IF(N1452=0,"n.a.",P1452/N1452-1)</f>
        <v>0.692391181951251</v>
      </c>
    </row>
    <row r="1453" customFormat="false" ht="15" hidden="false" customHeight="false" outlineLevel="0" collapsed="false">
      <c r="A1453" s="12" t="s">
        <v>3468</v>
      </c>
      <c r="B1453" s="12" t="s">
        <v>3455</v>
      </c>
      <c r="C1453" s="12" t="s">
        <v>3456</v>
      </c>
      <c r="D1453" s="12" t="s">
        <v>63</v>
      </c>
      <c r="E1453" s="12" t="s">
        <v>3469</v>
      </c>
      <c r="F1453" s="13" t="n">
        <v>48326</v>
      </c>
      <c r="G1453" s="13" t="n">
        <v>51902</v>
      </c>
      <c r="H1453" s="14" t="n">
        <v>626</v>
      </c>
      <c r="I1453" s="14" t="n">
        <v>480</v>
      </c>
      <c r="J1453" s="15" t="n">
        <f aca="false">I1453/H1453</f>
        <v>0.766773162939297</v>
      </c>
      <c r="K1453" s="16" t="n">
        <f aca="false">ROUND(I1453*J1453^($F$8-1),0)</f>
        <v>510</v>
      </c>
      <c r="L1453" s="16" t="n">
        <f aca="false">ROUND(I1453*J1453^($F$9-1),0)</f>
        <v>487</v>
      </c>
      <c r="M1453" s="17" t="n">
        <f aca="false">G1453*$F$7</f>
        <v>49997.3126274084</v>
      </c>
      <c r="N1453" s="18" t="n">
        <f aca="false">F1453/K1453</f>
        <v>94.756862745098</v>
      </c>
      <c r="O1453" s="18" t="n">
        <f aca="false">G1453/L1453</f>
        <v>106.574948665298</v>
      </c>
      <c r="P1453" s="18" t="n">
        <f aca="false">M1453/L1453</f>
        <v>102.66388629858</v>
      </c>
      <c r="Q1453" s="19" t="n">
        <f aca="false">IF(N1453=0,"n.a.",P1453/N1453-1)</f>
        <v>0.0834453919686238</v>
      </c>
    </row>
    <row r="1454" customFormat="false" ht="15" hidden="false" customHeight="false" outlineLevel="0" collapsed="false">
      <c r="A1454" s="12" t="s">
        <v>3470</v>
      </c>
      <c r="B1454" s="12" t="s">
        <v>3455</v>
      </c>
      <c r="C1454" s="12" t="s">
        <v>3456</v>
      </c>
      <c r="D1454" s="12" t="s">
        <v>66</v>
      </c>
      <c r="E1454" s="12" t="s">
        <v>3471</v>
      </c>
      <c r="F1454" s="13" t="n">
        <v>263003</v>
      </c>
      <c r="G1454" s="13" t="n">
        <v>190515</v>
      </c>
      <c r="H1454" s="14" t="n">
        <v>979</v>
      </c>
      <c r="I1454" s="14" t="n">
        <v>912</v>
      </c>
      <c r="J1454" s="15" t="n">
        <f aca="false">I1454/H1454</f>
        <v>0.931562819203269</v>
      </c>
      <c r="K1454" s="16" t="n">
        <f aca="false">ROUND(I1454*J1454^($F$8-1),0)</f>
        <v>927</v>
      </c>
      <c r="L1454" s="16" t="n">
        <f aca="false">ROUND(I1454*J1454^($F$9-1),0)</f>
        <v>915</v>
      </c>
      <c r="M1454" s="17" t="n">
        <f aca="false">G1454*$F$7</f>
        <v>183523.525398072</v>
      </c>
      <c r="N1454" s="18" t="n">
        <f aca="false">F1454/K1454</f>
        <v>283.714131607336</v>
      </c>
      <c r="O1454" s="18" t="n">
        <f aca="false">G1454/L1454</f>
        <v>208.213114754098</v>
      </c>
      <c r="P1454" s="18" t="n">
        <f aca="false">M1454/L1454</f>
        <v>200.572158904996</v>
      </c>
      <c r="Q1454" s="19" t="n">
        <f aca="false">IF(N1454=0,"n.a.",P1454/N1454-1)</f>
        <v>-0.293048401330284</v>
      </c>
    </row>
    <row r="1455" customFormat="false" ht="15" hidden="false" customHeight="false" outlineLevel="0" collapsed="false">
      <c r="A1455" s="12" t="s">
        <v>3472</v>
      </c>
      <c r="B1455" s="12" t="s">
        <v>3455</v>
      </c>
      <c r="C1455" s="12" t="s">
        <v>3456</v>
      </c>
      <c r="D1455" s="12" t="s">
        <v>69</v>
      </c>
      <c r="E1455" s="12" t="s">
        <v>3473</v>
      </c>
      <c r="F1455" s="13" t="n">
        <v>205663</v>
      </c>
      <c r="G1455" s="13" t="n">
        <v>286195</v>
      </c>
      <c r="H1455" s="14" t="n">
        <v>757</v>
      </c>
      <c r="I1455" s="14" t="n">
        <v>644</v>
      </c>
      <c r="J1455" s="15" t="n">
        <f aca="false">I1455/H1455</f>
        <v>0.850726552179657</v>
      </c>
      <c r="K1455" s="16" t="n">
        <f aca="false">ROUND(I1455*J1455^($F$8-1),0)</f>
        <v>668</v>
      </c>
      <c r="L1455" s="16" t="n">
        <f aca="false">ROUND(I1455*J1455^($F$9-1),0)</f>
        <v>649</v>
      </c>
      <c r="M1455" s="17" t="n">
        <f aca="false">G1455*$F$7</f>
        <v>275692.28329161</v>
      </c>
      <c r="N1455" s="18" t="n">
        <f aca="false">F1455/K1455</f>
        <v>307.87874251497</v>
      </c>
      <c r="O1455" s="18" t="n">
        <f aca="false">G1455/L1455</f>
        <v>440.97842835131</v>
      </c>
      <c r="P1455" s="18" t="n">
        <f aca="false">M1455/L1455</f>
        <v>424.795505842234</v>
      </c>
      <c r="Q1455" s="19" t="n">
        <f aca="false">IF(N1455=0,"n.a.",P1455/N1455-1)</f>
        <v>0.379749385658152</v>
      </c>
    </row>
    <row r="1456" customFormat="false" ht="15" hidden="false" customHeight="false" outlineLevel="0" collapsed="false">
      <c r="A1456" s="12" t="s">
        <v>3474</v>
      </c>
      <c r="B1456" s="12" t="s">
        <v>3455</v>
      </c>
      <c r="C1456" s="12" t="s">
        <v>3456</v>
      </c>
      <c r="D1456" s="12" t="s">
        <v>72</v>
      </c>
      <c r="E1456" s="12" t="s">
        <v>3475</v>
      </c>
      <c r="F1456" s="13" t="n">
        <v>298213</v>
      </c>
      <c r="G1456" s="13" t="n">
        <v>335011</v>
      </c>
      <c r="H1456" s="14" t="n">
        <v>1221</v>
      </c>
      <c r="I1456" s="14" t="n">
        <v>1156</v>
      </c>
      <c r="J1456" s="15" t="n">
        <f aca="false">I1456/H1456</f>
        <v>0.946764946764947</v>
      </c>
      <c r="K1456" s="16" t="n">
        <f aca="false">ROUND(I1456*J1456^($F$8-1),0)</f>
        <v>1171</v>
      </c>
      <c r="L1456" s="16" t="n">
        <f aca="false">ROUND(I1456*J1456^($F$9-1),0)</f>
        <v>1159</v>
      </c>
      <c r="M1456" s="17" t="n">
        <f aca="false">G1456*$F$7</f>
        <v>322716.845220236</v>
      </c>
      <c r="N1456" s="18" t="n">
        <f aca="false">F1456/K1456</f>
        <v>254.665243381725</v>
      </c>
      <c r="O1456" s="18" t="n">
        <f aca="false">G1456/L1456</f>
        <v>289.051768766178</v>
      </c>
      <c r="P1456" s="18" t="n">
        <f aca="false">M1456/L1456</f>
        <v>278.444215030402</v>
      </c>
      <c r="Q1456" s="19" t="n">
        <f aca="false">IF(N1456=0,"n.a.",P1456/N1456-1)</f>
        <v>0.0933734471689738</v>
      </c>
    </row>
    <row r="1457" customFormat="false" ht="15" hidden="false" customHeight="false" outlineLevel="0" collapsed="false">
      <c r="A1457" s="12" t="s">
        <v>3476</v>
      </c>
      <c r="B1457" s="12" t="s">
        <v>3455</v>
      </c>
      <c r="C1457" s="12" t="s">
        <v>3456</v>
      </c>
      <c r="D1457" s="12" t="s">
        <v>75</v>
      </c>
      <c r="E1457" s="12" t="s">
        <v>3477</v>
      </c>
      <c r="F1457" s="13" t="n">
        <v>538527</v>
      </c>
      <c r="G1457" s="13" t="n">
        <v>675976</v>
      </c>
      <c r="H1457" s="14" t="n">
        <v>1475</v>
      </c>
      <c r="I1457" s="14" t="n">
        <v>1368</v>
      </c>
      <c r="J1457" s="15" t="n">
        <f aca="false">I1457/H1457</f>
        <v>0.927457627118644</v>
      </c>
      <c r="K1457" s="16" t="n">
        <f aca="false">ROUND(I1457*J1457^($F$8-1),0)</f>
        <v>1392</v>
      </c>
      <c r="L1457" s="16" t="n">
        <f aca="false">ROUND(I1457*J1457^($F$9-1),0)</f>
        <v>1373</v>
      </c>
      <c r="M1457" s="17" t="n">
        <f aca="false">G1457*$F$7</f>
        <v>651169.191950696</v>
      </c>
      <c r="N1457" s="18" t="n">
        <f aca="false">F1457/K1457</f>
        <v>386.872844827586</v>
      </c>
      <c r="O1457" s="18" t="n">
        <f aca="false">G1457/L1457</f>
        <v>492.335032774945</v>
      </c>
      <c r="P1457" s="18" t="n">
        <f aca="false">M1457/L1457</f>
        <v>474.267437691694</v>
      </c>
      <c r="Q1457" s="19" t="n">
        <f aca="false">IF(N1457=0,"n.a.",P1457/N1457-1)</f>
        <v>0.225900044504431</v>
      </c>
    </row>
    <row r="1458" customFormat="false" ht="15" hidden="false" customHeight="false" outlineLevel="0" collapsed="false">
      <c r="A1458" s="12" t="s">
        <v>3478</v>
      </c>
      <c r="B1458" s="12" t="s">
        <v>3455</v>
      </c>
      <c r="C1458" s="12" t="s">
        <v>3456</v>
      </c>
      <c r="D1458" s="12" t="s">
        <v>129</v>
      </c>
      <c r="E1458" s="12" t="s">
        <v>3479</v>
      </c>
      <c r="F1458" s="13" t="n">
        <v>8457130</v>
      </c>
      <c r="G1458" s="13" t="n">
        <v>6472290</v>
      </c>
      <c r="H1458" s="14" t="n">
        <v>22764</v>
      </c>
      <c r="I1458" s="14" t="n">
        <v>21275</v>
      </c>
      <c r="J1458" s="15" t="n">
        <f aca="false">I1458/H1458</f>
        <v>0.934589703039888</v>
      </c>
      <c r="K1458" s="16" t="n">
        <f aca="false">ROUND(I1458*J1458^($F$8-1),0)</f>
        <v>21610</v>
      </c>
      <c r="L1458" s="16" t="n">
        <f aca="false">ROUND(I1458*J1458^($F$9-1),0)</f>
        <v>21350</v>
      </c>
      <c r="M1458" s="17" t="n">
        <f aca="false">G1458*$F$7</f>
        <v>6234771.42586507</v>
      </c>
      <c r="N1458" s="18" t="n">
        <f aca="false">F1458/K1458</f>
        <v>391.35261453031</v>
      </c>
      <c r="O1458" s="18" t="n">
        <f aca="false">G1458/L1458</f>
        <v>303.151756440281</v>
      </c>
      <c r="P1458" s="18" t="n">
        <f aca="false">M1458/L1458</f>
        <v>292.026764677521</v>
      </c>
      <c r="Q1458" s="19" t="n">
        <f aca="false">IF(N1458=0,"n.a.",P1458/N1458-1)</f>
        <v>-0.253801421441881</v>
      </c>
    </row>
    <row r="1459" customFormat="false" ht="15" hidden="false" customHeight="false" outlineLevel="0" collapsed="false">
      <c r="A1459" s="12" t="s">
        <v>3480</v>
      </c>
      <c r="B1459" s="12" t="s">
        <v>3455</v>
      </c>
      <c r="C1459" s="12" t="s">
        <v>3456</v>
      </c>
      <c r="D1459" s="12" t="s">
        <v>132</v>
      </c>
      <c r="E1459" s="12" t="s">
        <v>3481</v>
      </c>
      <c r="F1459" s="13" t="n">
        <v>1187590</v>
      </c>
      <c r="G1459" s="13" t="n">
        <v>596705</v>
      </c>
      <c r="H1459" s="14" t="n">
        <v>1825</v>
      </c>
      <c r="I1459" s="14" t="n">
        <v>1749</v>
      </c>
      <c r="J1459" s="15" t="n">
        <f aca="false">I1459/H1459</f>
        <v>0.958356164383562</v>
      </c>
      <c r="K1459" s="16" t="n">
        <f aca="false">ROUND(I1459*J1459^($F$8-1),0)</f>
        <v>1766</v>
      </c>
      <c r="L1459" s="16" t="n">
        <f aca="false">ROUND(I1459*J1459^($F$9-1),0)</f>
        <v>1753</v>
      </c>
      <c r="M1459" s="17" t="n">
        <f aca="false">G1459*$F$7</f>
        <v>574807.260439631</v>
      </c>
      <c r="N1459" s="18" t="n">
        <f aca="false">F1459/K1459</f>
        <v>672.474518686297</v>
      </c>
      <c r="O1459" s="18" t="n">
        <f aca="false">G1459/L1459</f>
        <v>340.390758699373</v>
      </c>
      <c r="P1459" s="18" t="n">
        <f aca="false">M1459/L1459</f>
        <v>327.899178801843</v>
      </c>
      <c r="Q1459" s="19" t="n">
        <f aca="false">IF(N1459=0,"n.a.",P1459/N1459-1)</f>
        <v>-0.512399102582495</v>
      </c>
    </row>
    <row r="1460" customFormat="false" ht="15" hidden="false" customHeight="false" outlineLevel="0" collapsed="false">
      <c r="A1460" s="12" t="s">
        <v>3482</v>
      </c>
      <c r="B1460" s="12" t="s">
        <v>3455</v>
      </c>
      <c r="C1460" s="12" t="s">
        <v>3456</v>
      </c>
      <c r="D1460" s="12" t="s">
        <v>163</v>
      </c>
      <c r="E1460" s="12" t="s">
        <v>3483</v>
      </c>
      <c r="F1460" s="13" t="n">
        <v>159959</v>
      </c>
      <c r="G1460" s="13" t="n">
        <v>278191</v>
      </c>
      <c r="H1460" s="14" t="n">
        <v>3177</v>
      </c>
      <c r="I1460" s="14" t="n">
        <v>2724</v>
      </c>
      <c r="J1460" s="15" t="n">
        <f aca="false">I1460/H1460</f>
        <v>0.857412653446648</v>
      </c>
      <c r="K1460" s="16" t="n">
        <f aca="false">ROUND(I1460*J1460^($F$8-1),0)</f>
        <v>2822</v>
      </c>
      <c r="L1460" s="16" t="n">
        <f aca="false">ROUND(I1460*J1460^($F$9-1),0)</f>
        <v>2746</v>
      </c>
      <c r="M1460" s="17" t="n">
        <f aca="false">G1460*$F$7</f>
        <v>267982.012198593</v>
      </c>
      <c r="N1460" s="18" t="n">
        <f aca="false">F1460/K1460</f>
        <v>56.6828490432318</v>
      </c>
      <c r="O1460" s="18" t="n">
        <f aca="false">G1460/L1460</f>
        <v>101.307720320466</v>
      </c>
      <c r="P1460" s="18" t="n">
        <f aca="false">M1460/L1460</f>
        <v>97.5899534590651</v>
      </c>
      <c r="Q1460" s="19" t="n">
        <f aca="false">IF(N1460=0,"n.a.",P1460/N1460-1)</f>
        <v>0.721683985655585</v>
      </c>
    </row>
    <row r="1461" customFormat="false" ht="15" hidden="false" customHeight="false" outlineLevel="0" collapsed="false">
      <c r="A1461" s="12" t="s">
        <v>3484</v>
      </c>
      <c r="B1461" s="12" t="s">
        <v>3455</v>
      </c>
      <c r="C1461" s="12" t="s">
        <v>3456</v>
      </c>
      <c r="D1461" s="12" t="s">
        <v>166</v>
      </c>
      <c r="E1461" s="12" t="s">
        <v>3485</v>
      </c>
      <c r="F1461" s="13" t="n">
        <v>516487</v>
      </c>
      <c r="G1461" s="13" t="n">
        <v>503059</v>
      </c>
      <c r="H1461" s="14" t="n">
        <v>1169</v>
      </c>
      <c r="I1461" s="14" t="n">
        <v>1268</v>
      </c>
      <c r="J1461" s="15" t="n">
        <f aca="false">I1461/H1461</f>
        <v>1.0846877673225</v>
      </c>
      <c r="K1461" s="16" t="n">
        <f aca="false">ROUND(I1461*J1461^($F$8-1),0)</f>
        <v>1244</v>
      </c>
      <c r="L1461" s="16" t="n">
        <f aca="false">ROUND(I1461*J1461^($F$9-1),0)</f>
        <v>1263</v>
      </c>
      <c r="M1461" s="17" t="n">
        <f aca="false">G1461*$F$7</f>
        <v>484597.859293118</v>
      </c>
      <c r="N1461" s="18" t="n">
        <f aca="false">F1461/K1461</f>
        <v>415.182475884244</v>
      </c>
      <c r="O1461" s="18" t="n">
        <f aca="false">G1461/L1461</f>
        <v>398.304829770388</v>
      </c>
      <c r="P1461" s="18" t="n">
        <f aca="false">M1461/L1461</f>
        <v>383.687932932002</v>
      </c>
      <c r="Q1461" s="19" t="n">
        <f aca="false">IF(N1461=0,"n.a.",P1461/N1461-1)</f>
        <v>-0.0758571105034388</v>
      </c>
    </row>
    <row r="1462" customFormat="false" ht="15" hidden="false" customHeight="false" outlineLevel="0" collapsed="false">
      <c r="A1462" s="12" t="s">
        <v>3486</v>
      </c>
      <c r="B1462" s="12" t="s">
        <v>3455</v>
      </c>
      <c r="C1462" s="12" t="s">
        <v>3456</v>
      </c>
      <c r="D1462" s="12" t="s">
        <v>169</v>
      </c>
      <c r="E1462" s="12" t="s">
        <v>3487</v>
      </c>
      <c r="F1462" s="13" t="n">
        <v>663940</v>
      </c>
      <c r="G1462" s="13" t="n">
        <v>732123</v>
      </c>
      <c r="H1462" s="14" t="n">
        <v>4987</v>
      </c>
      <c r="I1462" s="14" t="n">
        <v>4492</v>
      </c>
      <c r="J1462" s="15" t="n">
        <f aca="false">I1462/H1462</f>
        <v>0.90074192901544</v>
      </c>
      <c r="K1462" s="16" t="n">
        <f aca="false">ROUND(I1462*J1462^($F$8-1),0)</f>
        <v>4602</v>
      </c>
      <c r="L1462" s="16" t="n">
        <f aca="false">ROUND(I1462*J1462^($F$9-1),0)</f>
        <v>4516</v>
      </c>
      <c r="M1462" s="17" t="n">
        <f aca="false">G1462*$F$7</f>
        <v>705255.722567841</v>
      </c>
      <c r="N1462" s="18" t="n">
        <f aca="false">F1462/K1462</f>
        <v>144.272055627988</v>
      </c>
      <c r="O1462" s="18" t="n">
        <f aca="false">G1462/L1462</f>
        <v>162.117581930912</v>
      </c>
      <c r="P1462" s="18" t="n">
        <f aca="false">M1462/L1462</f>
        <v>156.168229089425</v>
      </c>
      <c r="Q1462" s="19" t="n">
        <f aca="false">IF(N1462=0,"n.a.",P1462/N1462-1)</f>
        <v>0.0824565326227249</v>
      </c>
    </row>
    <row r="1463" customFormat="false" ht="15" hidden="false" customHeight="false" outlineLevel="0" collapsed="false">
      <c r="A1463" s="12" t="s">
        <v>3488</v>
      </c>
      <c r="B1463" s="12" t="s">
        <v>3455</v>
      </c>
      <c r="C1463" s="12" t="s">
        <v>3456</v>
      </c>
      <c r="D1463" s="12" t="s">
        <v>172</v>
      </c>
      <c r="E1463" s="12" t="s">
        <v>3489</v>
      </c>
      <c r="F1463" s="13" t="n">
        <v>46426042</v>
      </c>
      <c r="G1463" s="13" t="n">
        <v>50674133</v>
      </c>
      <c r="H1463" s="14" t="n">
        <v>87427</v>
      </c>
      <c r="I1463" s="14" t="n">
        <v>96428</v>
      </c>
      <c r="J1463" s="15" t="n">
        <f aca="false">I1463/H1463</f>
        <v>1.10295446486783</v>
      </c>
      <c r="K1463" s="16" t="n">
        <f aca="false">ROUND(I1463*J1463^($F$8-1),0)</f>
        <v>94271</v>
      </c>
      <c r="L1463" s="16" t="n">
        <f aca="false">ROUND(I1463*J1463^($F$9-1),0)</f>
        <v>95938</v>
      </c>
      <c r="M1463" s="17" t="n">
        <f aca="false">G1463*$F$7</f>
        <v>48814505.6014002</v>
      </c>
      <c r="N1463" s="18" t="n">
        <f aca="false">F1463/K1463</f>
        <v>492.474270984714</v>
      </c>
      <c r="O1463" s="18" t="n">
        <f aca="false">G1463/L1463</f>
        <v>528.196679105256</v>
      </c>
      <c r="P1463" s="18" t="n">
        <f aca="false">M1463/L1463</f>
        <v>508.813041770729</v>
      </c>
      <c r="Q1463" s="19" t="n">
        <f aca="false">IF(N1463=0,"n.a.",P1463/N1463-1)</f>
        <v>0.0331769023249573</v>
      </c>
    </row>
    <row r="1464" customFormat="false" ht="15" hidden="false" customHeight="false" outlineLevel="0" collapsed="false">
      <c r="A1464" s="12" t="s">
        <v>3490</v>
      </c>
      <c r="B1464" s="12" t="s">
        <v>3455</v>
      </c>
      <c r="C1464" s="12" t="s">
        <v>3456</v>
      </c>
      <c r="D1464" s="12" t="s">
        <v>175</v>
      </c>
      <c r="E1464" s="12" t="s">
        <v>3491</v>
      </c>
      <c r="F1464" s="13" t="n">
        <v>345594729</v>
      </c>
      <c r="G1464" s="13" t="n">
        <v>387292413</v>
      </c>
      <c r="H1464" s="14" t="n">
        <v>435640</v>
      </c>
      <c r="I1464" s="14" t="n">
        <v>443114</v>
      </c>
      <c r="J1464" s="15" t="n">
        <f aca="false">I1464/H1464</f>
        <v>1.01715636764301</v>
      </c>
      <c r="K1464" s="16" t="n">
        <f aca="false">ROUND(I1464*J1464^($F$8-1),0)</f>
        <v>441377</v>
      </c>
      <c r="L1464" s="16" t="n">
        <f aca="false">ROUND(I1464*J1464^($F$9-1),0)</f>
        <v>442723</v>
      </c>
      <c r="M1464" s="17" t="n">
        <f aca="false">G1464*$F$7</f>
        <v>373079647.238726</v>
      </c>
      <c r="N1464" s="18" t="n">
        <f aca="false">F1464/K1464</f>
        <v>782.992156365194</v>
      </c>
      <c r="O1464" s="18" t="n">
        <f aca="false">G1464/L1464</f>
        <v>874.79623376242</v>
      </c>
      <c r="P1464" s="18" t="n">
        <f aca="false">M1464/L1464</f>
        <v>842.693167598535</v>
      </c>
      <c r="Q1464" s="19" t="n">
        <f aca="false">IF(N1464=0,"n.a.",P1464/N1464-1)</f>
        <v>0.0762472660141134</v>
      </c>
    </row>
    <row r="1465" customFormat="false" ht="15" hidden="false" customHeight="false" outlineLevel="0" collapsed="false">
      <c r="A1465" s="12" t="s">
        <v>3492</v>
      </c>
      <c r="B1465" s="12" t="s">
        <v>3455</v>
      </c>
      <c r="C1465" s="12" t="s">
        <v>3456</v>
      </c>
      <c r="D1465" s="12" t="s">
        <v>178</v>
      </c>
      <c r="E1465" s="12" t="s">
        <v>3493</v>
      </c>
      <c r="F1465" s="13" t="n">
        <v>18989819</v>
      </c>
      <c r="G1465" s="13" t="n">
        <v>33923733</v>
      </c>
      <c r="H1465" s="14" t="n">
        <v>39408</v>
      </c>
      <c r="I1465" s="14" t="n">
        <v>37957</v>
      </c>
      <c r="J1465" s="15" t="n">
        <f aca="false">I1465/H1465</f>
        <v>0.963180064961429</v>
      </c>
      <c r="K1465" s="16" t="n">
        <f aca="false">ROUND(I1465*J1465^($F$8-1),0)</f>
        <v>38287</v>
      </c>
      <c r="L1465" s="16" t="n">
        <f aca="false">ROUND(I1465*J1465^($F$9-1),0)</f>
        <v>38031</v>
      </c>
      <c r="M1465" s="17" t="n">
        <f aca="false">G1465*$F$7</f>
        <v>32678807.8357237</v>
      </c>
      <c r="N1465" s="18" t="n">
        <f aca="false">F1465/K1465</f>
        <v>495.986078825711</v>
      </c>
      <c r="O1465" s="18" t="n">
        <f aca="false">G1465/L1465</f>
        <v>892.002129841445</v>
      </c>
      <c r="P1465" s="18" t="n">
        <f aca="false">M1465/L1465</f>
        <v>859.267645755402</v>
      </c>
      <c r="Q1465" s="19" t="n">
        <f aca="false">IF(N1465=0,"n.a.",P1465/N1465-1)</f>
        <v>0.732443071365612</v>
      </c>
    </row>
    <row r="1466" customFormat="false" ht="15" hidden="false" customHeight="false" outlineLevel="0" collapsed="false">
      <c r="A1466" s="12" t="s">
        <v>3494</v>
      </c>
      <c r="B1466" s="12" t="s">
        <v>3455</v>
      </c>
      <c r="C1466" s="12" t="s">
        <v>3456</v>
      </c>
      <c r="D1466" s="12" t="s">
        <v>181</v>
      </c>
      <c r="E1466" s="12" t="s">
        <v>3495</v>
      </c>
      <c r="F1466" s="13" t="n">
        <v>4485733</v>
      </c>
      <c r="G1466" s="13" t="n">
        <v>963586</v>
      </c>
      <c r="H1466" s="14" t="n">
        <v>4917</v>
      </c>
      <c r="I1466" s="14" t="n">
        <v>4554</v>
      </c>
      <c r="J1466" s="15" t="n">
        <f aca="false">I1466/H1466</f>
        <v>0.926174496644295</v>
      </c>
      <c r="K1466" s="16" t="n">
        <f aca="false">ROUND(I1466*J1466^($F$8-1),0)</f>
        <v>4635</v>
      </c>
      <c r="L1466" s="16" t="n">
        <f aca="false">ROUND(I1466*J1466^($F$9-1),0)</f>
        <v>4572</v>
      </c>
      <c r="M1466" s="17" t="n">
        <f aca="false">G1466*$F$7</f>
        <v>928224.547905551</v>
      </c>
      <c r="N1466" s="18" t="n">
        <f aca="false">F1466/K1466</f>
        <v>967.795685005394</v>
      </c>
      <c r="O1466" s="18" t="n">
        <f aca="false">G1466/L1466</f>
        <v>210.758092738408</v>
      </c>
      <c r="P1466" s="18" t="n">
        <f aca="false">M1466/L1466</f>
        <v>203.023741886604</v>
      </c>
      <c r="Q1466" s="19" t="n">
        <f aca="false">IF(N1466=0,"n.a.",P1466/N1466-1)</f>
        <v>-0.790220451452548</v>
      </c>
    </row>
    <row r="1467" customFormat="false" ht="15" hidden="false" customHeight="false" outlineLevel="0" collapsed="false">
      <c r="A1467" s="12" t="s">
        <v>3496</v>
      </c>
      <c r="B1467" s="12" t="s">
        <v>3455</v>
      </c>
      <c r="C1467" s="12" t="s">
        <v>3456</v>
      </c>
      <c r="D1467" s="12" t="s">
        <v>184</v>
      </c>
      <c r="E1467" s="12" t="s">
        <v>3497</v>
      </c>
      <c r="F1467" s="13" t="n">
        <v>3758132</v>
      </c>
      <c r="G1467" s="13" t="n">
        <v>4494168</v>
      </c>
      <c r="H1467" s="14" t="n">
        <v>1847</v>
      </c>
      <c r="I1467" s="14" t="n">
        <v>1717</v>
      </c>
      <c r="J1467" s="15" t="n">
        <f aca="false">I1467/H1467</f>
        <v>0.929615592853276</v>
      </c>
      <c r="K1467" s="16" t="n">
        <f aca="false">ROUND(I1467*J1467^($F$8-1),0)</f>
        <v>1746</v>
      </c>
      <c r="L1467" s="16" t="n">
        <f aca="false">ROUND(I1467*J1467^($F$9-1),0)</f>
        <v>1724</v>
      </c>
      <c r="M1467" s="17" t="n">
        <f aca="false">G1467*$F$7</f>
        <v>4329242.08115477</v>
      </c>
      <c r="N1467" s="18" t="n">
        <f aca="false">F1467/K1467</f>
        <v>2152.42382588774</v>
      </c>
      <c r="O1467" s="18" t="n">
        <f aca="false">G1467/L1467</f>
        <v>2606.82598607889</v>
      </c>
      <c r="P1467" s="18" t="n">
        <f aca="false">M1467/L1467</f>
        <v>2511.16129997376</v>
      </c>
      <c r="Q1467" s="19" t="n">
        <f aca="false">IF(N1467=0,"n.a.",P1467/N1467-1)</f>
        <v>0.166666745541186</v>
      </c>
    </row>
    <row r="1468" customFormat="false" ht="15" hidden="false" customHeight="false" outlineLevel="0" collapsed="false">
      <c r="A1468" s="12" t="s">
        <v>3498</v>
      </c>
      <c r="B1468" s="12" t="s">
        <v>3455</v>
      </c>
      <c r="C1468" s="12" t="s">
        <v>3456</v>
      </c>
      <c r="D1468" s="12" t="s">
        <v>187</v>
      </c>
      <c r="E1468" s="12" t="s">
        <v>3499</v>
      </c>
      <c r="F1468" s="13" t="n">
        <v>756640</v>
      </c>
      <c r="G1468" s="13" t="n">
        <v>1016999</v>
      </c>
      <c r="H1468" s="14" t="n">
        <v>863</v>
      </c>
      <c r="I1468" s="14" t="n">
        <v>878</v>
      </c>
      <c r="J1468" s="15" t="n">
        <f aca="false">I1468/H1468</f>
        <v>1.01738122827346</v>
      </c>
      <c r="K1468" s="16" t="n">
        <f aca="false">ROUND(I1468*J1468^($F$8-1),0)</f>
        <v>875</v>
      </c>
      <c r="L1468" s="16" t="n">
        <f aca="false">ROUND(I1468*J1468^($F$9-1),0)</f>
        <v>877</v>
      </c>
      <c r="M1468" s="17" t="n">
        <f aca="false">G1468*$F$7</f>
        <v>979677.410210814</v>
      </c>
      <c r="N1468" s="18" t="n">
        <f aca="false">F1468/K1468</f>
        <v>864.731428571429</v>
      </c>
      <c r="O1468" s="18" t="n">
        <f aca="false">G1468/L1468</f>
        <v>1159.63397947548</v>
      </c>
      <c r="P1468" s="18" t="n">
        <f aca="false">M1468/L1468</f>
        <v>1117.07800480138</v>
      </c>
      <c r="Q1468" s="19" t="n">
        <f aca="false">IF(N1468=0,"n.a.",P1468/N1468-1)</f>
        <v>0.291820752539136</v>
      </c>
    </row>
    <row r="1469" customFormat="false" ht="15" hidden="false" customHeight="false" outlineLevel="0" collapsed="false">
      <c r="A1469" s="12" t="s">
        <v>3500</v>
      </c>
      <c r="B1469" s="12" t="s">
        <v>3455</v>
      </c>
      <c r="C1469" s="12" t="s">
        <v>3456</v>
      </c>
      <c r="D1469" s="12" t="s">
        <v>190</v>
      </c>
      <c r="E1469" s="12" t="s">
        <v>3501</v>
      </c>
      <c r="F1469" s="13" t="n">
        <v>2701300</v>
      </c>
      <c r="G1469" s="13" t="n">
        <v>2539664</v>
      </c>
      <c r="H1469" s="14" t="n">
        <v>5829</v>
      </c>
      <c r="I1469" s="14" t="n">
        <v>5869</v>
      </c>
      <c r="J1469" s="15" t="n">
        <f aca="false">I1469/H1469</f>
        <v>1.00686224052153</v>
      </c>
      <c r="K1469" s="16" t="n">
        <f aca="false">ROUND(I1469*J1469^($F$8-1),0)</f>
        <v>5860</v>
      </c>
      <c r="L1469" s="16" t="n">
        <f aca="false">ROUND(I1469*J1469^($F$9-1),0)</f>
        <v>5867</v>
      </c>
      <c r="M1469" s="17" t="n">
        <f aca="false">G1469*$F$7</f>
        <v>2446464.00864272</v>
      </c>
      <c r="N1469" s="18" t="n">
        <f aca="false">F1469/K1469</f>
        <v>460.972696245734</v>
      </c>
      <c r="O1469" s="18" t="n">
        <f aca="false">G1469/L1469</f>
        <v>432.872677688768</v>
      </c>
      <c r="P1469" s="18" t="n">
        <f aca="false">M1469/L1469</f>
        <v>416.987218108526</v>
      </c>
      <c r="Q1469" s="19" t="n">
        <f aca="false">IF(N1469=0,"n.a.",P1469/N1469-1)</f>
        <v>-0.0954188360730166</v>
      </c>
    </row>
    <row r="1470" customFormat="false" ht="15" hidden="false" customHeight="false" outlineLevel="0" collapsed="false">
      <c r="A1470" s="12" t="s">
        <v>3502</v>
      </c>
      <c r="B1470" s="12" t="s">
        <v>3455</v>
      </c>
      <c r="C1470" s="12" t="s">
        <v>3456</v>
      </c>
      <c r="D1470" s="12" t="s">
        <v>193</v>
      </c>
      <c r="E1470" s="12" t="s">
        <v>3503</v>
      </c>
      <c r="F1470" s="13" t="n">
        <v>32665</v>
      </c>
      <c r="G1470" s="13" t="n">
        <v>52052</v>
      </c>
      <c r="H1470" s="14" t="n">
        <v>753</v>
      </c>
      <c r="I1470" s="14" t="n">
        <v>734</v>
      </c>
      <c r="J1470" s="15" t="n">
        <f aca="false">I1470/H1470</f>
        <v>0.974767596281541</v>
      </c>
      <c r="K1470" s="16" t="n">
        <f aca="false">ROUND(I1470*J1470^($F$8-1),0)</f>
        <v>738</v>
      </c>
      <c r="L1470" s="16" t="n">
        <f aca="false">ROUND(I1470*J1470^($F$9-1),0)</f>
        <v>735</v>
      </c>
      <c r="M1470" s="17" t="n">
        <f aca="false">G1470*$F$7</f>
        <v>50141.8079627348</v>
      </c>
      <c r="N1470" s="18" t="n">
        <f aca="false">F1470/K1470</f>
        <v>44.2615176151762</v>
      </c>
      <c r="O1470" s="18" t="n">
        <f aca="false">G1470/L1470</f>
        <v>70.8190476190476</v>
      </c>
      <c r="P1470" s="18" t="n">
        <f aca="false">M1470/L1470</f>
        <v>68.2201468880745</v>
      </c>
      <c r="Q1470" s="19" t="n">
        <f aca="false">IF(N1470=0,"n.a.",P1470/N1470-1)</f>
        <v>0.541297058117221</v>
      </c>
    </row>
    <row r="1471" customFormat="false" ht="15" hidden="false" customHeight="false" outlineLevel="0" collapsed="false">
      <c r="A1471" s="12" t="s">
        <v>3504</v>
      </c>
      <c r="B1471" s="12" t="s">
        <v>3455</v>
      </c>
      <c r="C1471" s="12" t="s">
        <v>3456</v>
      </c>
      <c r="D1471" s="12" t="s">
        <v>196</v>
      </c>
      <c r="E1471" s="12" t="s">
        <v>3505</v>
      </c>
      <c r="F1471" s="13" t="n">
        <v>24029351</v>
      </c>
      <c r="G1471" s="13" t="n">
        <v>18803367</v>
      </c>
      <c r="H1471" s="14" t="n">
        <v>50290</v>
      </c>
      <c r="I1471" s="14" t="n">
        <v>50998</v>
      </c>
      <c r="J1471" s="15" t="n">
        <f aca="false">I1471/H1471</f>
        <v>1.01407834559555</v>
      </c>
      <c r="K1471" s="16" t="n">
        <f aca="false">ROUND(I1471*J1471^($F$8-1),0)</f>
        <v>50834</v>
      </c>
      <c r="L1471" s="16" t="n">
        <f aca="false">ROUND(I1471*J1471^($F$9-1),0)</f>
        <v>50961</v>
      </c>
      <c r="M1471" s="17" t="n">
        <f aca="false">G1471*$F$7</f>
        <v>18113325.4662035</v>
      </c>
      <c r="N1471" s="18" t="n">
        <f aca="false">F1471/K1471</f>
        <v>472.70234488728</v>
      </c>
      <c r="O1471" s="18" t="n">
        <f aca="false">G1471/L1471</f>
        <v>368.975628421734</v>
      </c>
      <c r="P1471" s="18" t="n">
        <f aca="false">M1471/L1471</f>
        <v>355.435047707139</v>
      </c>
      <c r="Q1471" s="19" t="n">
        <f aca="false">IF(N1471=0,"n.a.",P1471/N1471-1)</f>
        <v>-0.248078518011381</v>
      </c>
    </row>
    <row r="1472" customFormat="false" ht="15" hidden="false" customHeight="false" outlineLevel="0" collapsed="false">
      <c r="A1472" s="12" t="s">
        <v>3506</v>
      </c>
      <c r="B1472" s="12" t="s">
        <v>3455</v>
      </c>
      <c r="C1472" s="12" t="s">
        <v>3456</v>
      </c>
      <c r="D1472" s="12" t="s">
        <v>199</v>
      </c>
      <c r="E1472" s="12" t="s">
        <v>3507</v>
      </c>
      <c r="F1472" s="13" t="n">
        <v>5788826</v>
      </c>
      <c r="G1472" s="13" t="n">
        <v>5821690</v>
      </c>
      <c r="H1472" s="14" t="n">
        <v>61252</v>
      </c>
      <c r="I1472" s="14" t="n">
        <v>62225</v>
      </c>
      <c r="J1472" s="15" t="n">
        <f aca="false">I1472/H1472</f>
        <v>1.01588519558545</v>
      </c>
      <c r="K1472" s="16" t="n">
        <f aca="false">ROUND(I1472*J1472^($F$8-1),0)</f>
        <v>61999</v>
      </c>
      <c r="L1472" s="16" t="n">
        <f aca="false">ROUND(I1472*J1472^($F$9-1),0)</f>
        <v>62174</v>
      </c>
      <c r="M1472" s="17" t="n">
        <f aca="false">G1472*$F$7</f>
        <v>5608046.99144266</v>
      </c>
      <c r="N1472" s="18" t="n">
        <f aca="false">F1472/K1472</f>
        <v>93.3696672526976</v>
      </c>
      <c r="O1472" s="18" t="n">
        <f aca="false">G1472/L1472</f>
        <v>93.6354424679126</v>
      </c>
      <c r="P1472" s="18" t="n">
        <f aca="false">M1472/L1472</f>
        <v>90.1992310522512</v>
      </c>
      <c r="Q1472" s="19" t="n">
        <f aca="false">IF(N1472=0,"n.a.",P1472/N1472-1)</f>
        <v>-0.0339557405925625</v>
      </c>
    </row>
    <row r="1473" customFormat="false" ht="15" hidden="false" customHeight="false" outlineLevel="0" collapsed="false">
      <c r="A1473" s="12" t="s">
        <v>3508</v>
      </c>
      <c r="B1473" s="12" t="s">
        <v>3455</v>
      </c>
      <c r="C1473" s="12" t="s">
        <v>3456</v>
      </c>
      <c r="D1473" s="12" t="s">
        <v>202</v>
      </c>
      <c r="E1473" s="12" t="s">
        <v>3509</v>
      </c>
      <c r="F1473" s="13" t="n">
        <v>1235631</v>
      </c>
      <c r="G1473" s="13" t="n">
        <v>1574281</v>
      </c>
      <c r="H1473" s="14" t="n">
        <v>9041</v>
      </c>
      <c r="I1473" s="14" t="n">
        <v>9572</v>
      </c>
      <c r="J1473" s="15" t="n">
        <f aca="false">I1473/H1473</f>
        <v>1.05873244110165</v>
      </c>
      <c r="K1473" s="16" t="n">
        <f aca="false">ROUND(I1473*J1473^($F$8-1),0)</f>
        <v>9447</v>
      </c>
      <c r="L1473" s="16" t="n">
        <f aca="false">ROUND(I1473*J1473^($F$9-1),0)</f>
        <v>9544</v>
      </c>
      <c r="M1473" s="17" t="n">
        <f aca="false">G1473*$F$7</f>
        <v>1516508.40661996</v>
      </c>
      <c r="N1473" s="18" t="n">
        <f aca="false">F1473/K1473</f>
        <v>130.796125754208</v>
      </c>
      <c r="O1473" s="18" t="n">
        <f aca="false">G1473/L1473</f>
        <v>164.949811399832</v>
      </c>
      <c r="P1473" s="18" t="n">
        <f aca="false">M1473/L1473</f>
        <v>158.896522068311</v>
      </c>
      <c r="Q1473" s="19" t="n">
        <f aca="false">IF(N1473=0,"n.a.",P1473/N1473-1)</f>
        <v>0.214841197719491</v>
      </c>
    </row>
    <row r="1474" customFormat="false" ht="15" hidden="false" customHeight="false" outlineLevel="0" collapsed="false">
      <c r="A1474" s="12" t="s">
        <v>3510</v>
      </c>
      <c r="B1474" s="12" t="s">
        <v>3455</v>
      </c>
      <c r="C1474" s="12" t="s">
        <v>3456</v>
      </c>
      <c r="D1474" s="12" t="s">
        <v>205</v>
      </c>
      <c r="E1474" s="12" t="s">
        <v>3511</v>
      </c>
      <c r="F1474" s="13" t="n">
        <v>276373</v>
      </c>
      <c r="G1474" s="13" t="n">
        <v>450898</v>
      </c>
      <c r="H1474" s="14" t="n">
        <v>1009</v>
      </c>
      <c r="I1474" s="14" t="n">
        <v>795</v>
      </c>
      <c r="J1474" s="15" t="n">
        <f aca="false">I1474/H1474</f>
        <v>0.78790882061447</v>
      </c>
      <c r="K1474" s="16" t="n">
        <f aca="false">ROUND(I1474*J1474^($F$8-1),0)</f>
        <v>840</v>
      </c>
      <c r="L1474" s="16" t="n">
        <f aca="false">ROUND(I1474*J1474^($F$9-1),0)</f>
        <v>805</v>
      </c>
      <c r="M1474" s="17" t="n">
        <f aca="false">G1474*$F$7</f>
        <v>434351.051386713</v>
      </c>
      <c r="N1474" s="18" t="n">
        <f aca="false">F1474/K1474</f>
        <v>329.015476190476</v>
      </c>
      <c r="O1474" s="18" t="n">
        <f aca="false">G1474/L1474</f>
        <v>560.121739130435</v>
      </c>
      <c r="P1474" s="18" t="n">
        <f aca="false">M1474/L1474</f>
        <v>539.566523461755</v>
      </c>
      <c r="Q1474" s="19" t="n">
        <f aca="false">IF(N1474=0,"n.a.",P1474/N1474-1)</f>
        <v>0.639942685095413</v>
      </c>
    </row>
    <row r="1475" customFormat="false" ht="15" hidden="false" customHeight="false" outlineLevel="0" collapsed="false">
      <c r="A1475" s="12" t="s">
        <v>3512</v>
      </c>
      <c r="B1475" s="12" t="s">
        <v>3455</v>
      </c>
      <c r="C1475" s="12" t="s">
        <v>3456</v>
      </c>
      <c r="D1475" s="12" t="s">
        <v>208</v>
      </c>
      <c r="E1475" s="12" t="s">
        <v>3513</v>
      </c>
      <c r="F1475" s="13" t="n">
        <v>202348620</v>
      </c>
      <c r="G1475" s="13" t="n">
        <v>206502059</v>
      </c>
      <c r="H1475" s="14" t="n">
        <v>155867</v>
      </c>
      <c r="I1475" s="14" t="n">
        <v>160821</v>
      </c>
      <c r="J1475" s="15" t="n">
        <f aca="false">I1475/H1475</f>
        <v>1.03178350773416</v>
      </c>
      <c r="K1475" s="16" t="n">
        <f aca="false">ROUND(I1475*J1475^($F$8-1),0)</f>
        <v>159663</v>
      </c>
      <c r="L1475" s="16" t="n">
        <f aca="false">ROUND(I1475*J1475^($F$9-1),0)</f>
        <v>160560</v>
      </c>
      <c r="M1475" s="17" t="n">
        <f aca="false">G1475*$F$7</f>
        <v>198923895.071992</v>
      </c>
      <c r="N1475" s="18" t="n">
        <f aca="false">F1475/K1475</f>
        <v>1267.34822720355</v>
      </c>
      <c r="O1475" s="18" t="n">
        <f aca="false">G1475/L1475</f>
        <v>1286.13639138017</v>
      </c>
      <c r="P1475" s="18" t="n">
        <f aca="false">M1475/L1475</f>
        <v>1238.9380609865</v>
      </c>
      <c r="Q1475" s="19" t="n">
        <f aca="false">IF(N1475=0,"n.a.",P1475/N1475-1)</f>
        <v>-0.0224170165762083</v>
      </c>
    </row>
    <row r="1476" customFormat="false" ht="15" hidden="false" customHeight="false" outlineLevel="0" collapsed="false">
      <c r="A1476" s="12" t="s">
        <v>3514</v>
      </c>
      <c r="B1476" s="12" t="s">
        <v>3455</v>
      </c>
      <c r="C1476" s="12" t="s">
        <v>3456</v>
      </c>
      <c r="D1476" s="12" t="s">
        <v>211</v>
      </c>
      <c r="E1476" s="12" t="s">
        <v>3515</v>
      </c>
      <c r="F1476" s="13" t="n">
        <v>1970500240</v>
      </c>
      <c r="G1476" s="13" t="n">
        <v>2111546388</v>
      </c>
      <c r="H1476" s="14" t="n">
        <v>927042</v>
      </c>
      <c r="I1476" s="14" t="n">
        <v>962020</v>
      </c>
      <c r="J1476" s="15" t="n">
        <f aca="false">I1476/H1476</f>
        <v>1.0377307608501</v>
      </c>
      <c r="K1476" s="16" t="n">
        <f aca="false">ROUND(I1476*J1476^($F$8-1),0)</f>
        <v>953829</v>
      </c>
      <c r="L1476" s="16" t="n">
        <f aca="false">ROUND(I1476*J1476^($F$9-1),0)</f>
        <v>960170</v>
      </c>
      <c r="M1476" s="17" t="n">
        <f aca="false">G1476*$F$7</f>
        <v>2034057355.94218</v>
      </c>
      <c r="N1476" s="18" t="n">
        <f aca="false">F1476/K1476</f>
        <v>2065.88417840095</v>
      </c>
      <c r="O1476" s="18" t="n">
        <f aca="false">G1476/L1476</f>
        <v>2199.13805680244</v>
      </c>
      <c r="P1476" s="18" t="n">
        <f aca="false">M1476/L1476</f>
        <v>2118.43460631157</v>
      </c>
      <c r="Q1476" s="19" t="n">
        <f aca="false">IF(N1476=0,"n.a.",P1476/N1476-1)</f>
        <v>0.0254372575481427</v>
      </c>
    </row>
    <row r="1477" customFormat="false" ht="15" hidden="false" customHeight="false" outlineLevel="0" collapsed="false">
      <c r="A1477" s="12" t="s">
        <v>3516</v>
      </c>
      <c r="B1477" s="12" t="s">
        <v>3455</v>
      </c>
      <c r="C1477" s="12" t="s">
        <v>3456</v>
      </c>
      <c r="D1477" s="12" t="s">
        <v>214</v>
      </c>
      <c r="E1477" s="12" t="s">
        <v>3517</v>
      </c>
      <c r="F1477" s="13" t="n">
        <v>568146</v>
      </c>
      <c r="G1477" s="13" t="n">
        <v>245531</v>
      </c>
      <c r="H1477" s="14" t="n">
        <v>1186</v>
      </c>
      <c r="I1477" s="14" t="n">
        <v>1148</v>
      </c>
      <c r="J1477" s="15" t="n">
        <f aca="false">I1477/H1477</f>
        <v>0.967959527824621</v>
      </c>
      <c r="K1477" s="16" t="n">
        <f aca="false">ROUND(I1477*J1477^($F$8-1),0)</f>
        <v>1157</v>
      </c>
      <c r="L1477" s="16" t="n">
        <f aca="false">ROUND(I1477*J1477^($F$9-1),0)</f>
        <v>1150</v>
      </c>
      <c r="M1477" s="17" t="n">
        <f aca="false">G1477*$F$7</f>
        <v>236520.561186856</v>
      </c>
      <c r="N1477" s="18" t="n">
        <f aca="false">F1477/K1477</f>
        <v>491.05099394987</v>
      </c>
      <c r="O1477" s="18" t="n">
        <f aca="false">G1477/L1477</f>
        <v>213.505217391304</v>
      </c>
      <c r="P1477" s="18" t="n">
        <f aca="false">M1477/L1477</f>
        <v>205.670053205962</v>
      </c>
      <c r="Q1477" s="19" t="n">
        <f aca="false">IF(N1477=0,"n.a.",P1477/N1477-1)</f>
        <v>-0.581163553806068</v>
      </c>
    </row>
    <row r="1478" customFormat="false" ht="15" hidden="false" customHeight="false" outlineLevel="0" collapsed="false">
      <c r="A1478" s="12" t="s">
        <v>3518</v>
      </c>
      <c r="B1478" s="12" t="s">
        <v>3455</v>
      </c>
      <c r="C1478" s="12" t="s">
        <v>3456</v>
      </c>
      <c r="D1478" s="12" t="s">
        <v>217</v>
      </c>
      <c r="E1478" s="12" t="s">
        <v>3519</v>
      </c>
      <c r="F1478" s="13" t="n">
        <v>391629</v>
      </c>
      <c r="G1478" s="13" t="n">
        <v>303389</v>
      </c>
      <c r="H1478" s="14" t="n">
        <v>888</v>
      </c>
      <c r="I1478" s="14" t="n">
        <v>810</v>
      </c>
      <c r="J1478" s="15" t="n">
        <f aca="false">I1478/H1478</f>
        <v>0.912162162162162</v>
      </c>
      <c r="K1478" s="16" t="n">
        <f aca="false">ROUND(I1478*J1478^($F$8-1),0)</f>
        <v>827</v>
      </c>
      <c r="L1478" s="16" t="n">
        <f aca="false">ROUND(I1478*J1478^($F$9-1),0)</f>
        <v>814</v>
      </c>
      <c r="M1478" s="17" t="n">
        <f aca="false">G1478*$F$7</f>
        <v>292255.301928958</v>
      </c>
      <c r="N1478" s="18" t="n">
        <f aca="false">F1478/K1478</f>
        <v>473.553808948005</v>
      </c>
      <c r="O1478" s="18" t="n">
        <f aca="false">G1478/L1478</f>
        <v>372.713759213759</v>
      </c>
      <c r="P1478" s="18" t="n">
        <f aca="false">M1478/L1478</f>
        <v>359.035997455723</v>
      </c>
      <c r="Q1478" s="19" t="n">
        <f aca="false">IF(N1478=0,"n.a.",P1478/N1478-1)</f>
        <v>-0.241826397187433</v>
      </c>
    </row>
    <row r="1479" customFormat="false" ht="15" hidden="false" customHeight="false" outlineLevel="0" collapsed="false">
      <c r="A1479" s="12" t="s">
        <v>3520</v>
      </c>
      <c r="B1479" s="12" t="s">
        <v>3455</v>
      </c>
      <c r="C1479" s="12" t="s">
        <v>3456</v>
      </c>
      <c r="D1479" s="12" t="s">
        <v>220</v>
      </c>
      <c r="E1479" s="12" t="s">
        <v>3521</v>
      </c>
      <c r="F1479" s="13" t="n">
        <v>24310570</v>
      </c>
      <c r="G1479" s="13" t="n">
        <v>20264881</v>
      </c>
      <c r="H1479" s="14" t="n">
        <v>77352</v>
      </c>
      <c r="I1479" s="14" t="n">
        <v>80862</v>
      </c>
      <c r="J1479" s="15" t="n">
        <f aca="false">I1479/H1479</f>
        <v>1.04537697797083</v>
      </c>
      <c r="K1479" s="16" t="n">
        <f aca="false">ROUND(I1479*J1479^($F$8-1),0)</f>
        <v>80038</v>
      </c>
      <c r="L1479" s="16" t="n">
        <f aca="false">ROUND(I1479*J1479^($F$9-1),0)</f>
        <v>80676</v>
      </c>
      <c r="M1479" s="17" t="n">
        <f aca="false">G1479*$F$7</f>
        <v>19521205.1696318</v>
      </c>
      <c r="N1479" s="18" t="n">
        <f aca="false">F1479/K1479</f>
        <v>303.737849521477</v>
      </c>
      <c r="O1479" s="18" t="n">
        <f aca="false">G1479/L1479</f>
        <v>251.188469929099</v>
      </c>
      <c r="P1479" s="18" t="n">
        <f aca="false">M1479/L1479</f>
        <v>241.970414616884</v>
      </c>
      <c r="Q1479" s="19" t="n">
        <f aca="false">IF(N1479=0,"n.a.",P1479/N1479-1)</f>
        <v>-0.203357714561765</v>
      </c>
    </row>
    <row r="1480" customFormat="false" ht="15" hidden="false" customHeight="false" outlineLevel="0" collapsed="false">
      <c r="A1480" s="12" t="s">
        <v>3522</v>
      </c>
      <c r="B1480" s="12" t="s">
        <v>3455</v>
      </c>
      <c r="C1480" s="12" t="s">
        <v>3456</v>
      </c>
      <c r="D1480" s="12" t="s">
        <v>223</v>
      </c>
      <c r="E1480" s="12" t="s">
        <v>3523</v>
      </c>
      <c r="F1480" s="13" t="n">
        <v>267796</v>
      </c>
      <c r="G1480" s="13" t="n">
        <v>362388</v>
      </c>
      <c r="H1480" s="14" t="n">
        <v>943</v>
      </c>
      <c r="I1480" s="14" t="n">
        <v>923</v>
      </c>
      <c r="J1480" s="15" t="n">
        <f aca="false">I1480/H1480</f>
        <v>0.978791092258749</v>
      </c>
      <c r="K1480" s="16" t="n">
        <f aca="false">ROUND(I1480*J1480^($F$8-1),0)</f>
        <v>928</v>
      </c>
      <c r="L1480" s="16" t="n">
        <f aca="false">ROUND(I1480*J1480^($F$9-1),0)</f>
        <v>924</v>
      </c>
      <c r="M1480" s="17" t="n">
        <f aca="false">G1480*$F$7</f>
        <v>349089.170521777</v>
      </c>
      <c r="N1480" s="18" t="n">
        <f aca="false">F1480/K1480</f>
        <v>288.573275862069</v>
      </c>
      <c r="O1480" s="18" t="n">
        <f aca="false">G1480/L1480</f>
        <v>392.194805194805</v>
      </c>
      <c r="P1480" s="18" t="n">
        <f aca="false">M1480/L1480</f>
        <v>377.802132599326</v>
      </c>
      <c r="Q1480" s="19" t="n">
        <f aca="false">IF(N1480=0,"n.a.",P1480/N1480-1)</f>
        <v>0.309206930096694</v>
      </c>
    </row>
    <row r="1481" customFormat="false" ht="15" hidden="false" customHeight="false" outlineLevel="0" collapsed="false">
      <c r="A1481" s="12" t="s">
        <v>3524</v>
      </c>
      <c r="B1481" s="12" t="s">
        <v>3455</v>
      </c>
      <c r="C1481" s="12" t="s">
        <v>3456</v>
      </c>
      <c r="D1481" s="12" t="s">
        <v>226</v>
      </c>
      <c r="E1481" s="12" t="s">
        <v>3525</v>
      </c>
      <c r="F1481" s="13" t="n">
        <v>2714658</v>
      </c>
      <c r="G1481" s="13" t="n">
        <v>2733965</v>
      </c>
      <c r="H1481" s="14" t="n">
        <v>11821</v>
      </c>
      <c r="I1481" s="14" t="n">
        <v>12496</v>
      </c>
      <c r="J1481" s="15" t="n">
        <f aca="false">I1481/H1481</f>
        <v>1.05710176803993</v>
      </c>
      <c r="K1481" s="16" t="n">
        <f aca="false">ROUND(I1481*J1481^($F$8-1),0)</f>
        <v>12337</v>
      </c>
      <c r="L1481" s="16" t="n">
        <f aca="false">ROUND(I1481*J1481^($F$9-1),0)</f>
        <v>12460</v>
      </c>
      <c r="M1481" s="17" t="n">
        <f aca="false">G1481*$F$7</f>
        <v>2633634.59630443</v>
      </c>
      <c r="N1481" s="18" t="n">
        <f aca="false">F1481/K1481</f>
        <v>220.041987517225</v>
      </c>
      <c r="O1481" s="18" t="n">
        <f aca="false">G1481/L1481</f>
        <v>219.419341894061</v>
      </c>
      <c r="P1481" s="18" t="n">
        <f aca="false">M1481/L1481</f>
        <v>211.367142560548</v>
      </c>
      <c r="Q1481" s="19" t="n">
        <f aca="false">IF(N1481=0,"n.a.",P1481/N1481-1)</f>
        <v>-0.0394235893547243</v>
      </c>
    </row>
    <row r="1482" customFormat="false" ht="15" hidden="false" customHeight="false" outlineLevel="0" collapsed="false">
      <c r="A1482" s="12" t="s">
        <v>3526</v>
      </c>
      <c r="B1482" s="12" t="s">
        <v>3455</v>
      </c>
      <c r="C1482" s="12" t="s">
        <v>3456</v>
      </c>
      <c r="D1482" s="12" t="s">
        <v>229</v>
      </c>
      <c r="E1482" s="12" t="s">
        <v>3527</v>
      </c>
      <c r="F1482" s="13" t="n">
        <v>10218582</v>
      </c>
      <c r="G1482" s="13" t="n">
        <v>10218583</v>
      </c>
      <c r="H1482" s="14" t="n">
        <v>32928</v>
      </c>
      <c r="I1482" s="14" t="n">
        <v>31260</v>
      </c>
      <c r="J1482" s="15" t="n">
        <f aca="false">I1482/H1482</f>
        <v>0.949344023323615</v>
      </c>
      <c r="K1482" s="16" t="n">
        <f aca="false">ROUND(I1482*J1482^($F$8-1),0)</f>
        <v>31637</v>
      </c>
      <c r="L1482" s="16" t="n">
        <f aca="false">ROUND(I1482*J1482^($F$9-1),0)</f>
        <v>31345</v>
      </c>
      <c r="M1482" s="17" t="n">
        <f aca="false">G1482*$F$7</f>
        <v>9843583.84763825</v>
      </c>
      <c r="N1482" s="18" t="n">
        <f aca="false">F1482/K1482</f>
        <v>322.994658153428</v>
      </c>
      <c r="O1482" s="18" t="n">
        <f aca="false">G1482/L1482</f>
        <v>326.003605040676</v>
      </c>
      <c r="P1482" s="18" t="n">
        <f aca="false">M1482/L1482</f>
        <v>314.040001519804</v>
      </c>
      <c r="Q1482" s="19" t="n">
        <f aca="false">IF(N1482=0,"n.a.",P1482/N1482-1)</f>
        <v>-0.0277238536538595</v>
      </c>
    </row>
    <row r="1483" customFormat="false" ht="15" hidden="false" customHeight="false" outlineLevel="0" collapsed="false">
      <c r="A1483" s="12" t="s">
        <v>3528</v>
      </c>
      <c r="B1483" s="12" t="s">
        <v>3455</v>
      </c>
      <c r="C1483" s="12" t="s">
        <v>3456</v>
      </c>
      <c r="D1483" s="12" t="s">
        <v>232</v>
      </c>
      <c r="E1483" s="12" t="s">
        <v>353</v>
      </c>
      <c r="F1483" s="13" t="n">
        <v>96836</v>
      </c>
      <c r="G1483" s="13" t="n">
        <v>17505</v>
      </c>
      <c r="H1483" s="14" t="n">
        <v>1101</v>
      </c>
      <c r="I1483" s="14" t="n">
        <v>1136</v>
      </c>
      <c r="J1483" s="15" t="n">
        <f aca="false">I1483/H1483</f>
        <v>1.03178928247048</v>
      </c>
      <c r="K1483" s="16" t="n">
        <f aca="false">ROUND(I1483*J1483^($F$8-1),0)</f>
        <v>1128</v>
      </c>
      <c r="L1483" s="16" t="n">
        <f aca="false">ROUND(I1483*J1483^($F$9-1),0)</f>
        <v>1134</v>
      </c>
      <c r="M1483" s="17" t="n">
        <f aca="false">G1483*$F$7</f>
        <v>16862.6056325919</v>
      </c>
      <c r="N1483" s="18" t="n">
        <f aca="false">F1483/K1483</f>
        <v>85.8475177304965</v>
      </c>
      <c r="O1483" s="18" t="n">
        <f aca="false">G1483/L1483</f>
        <v>15.4365079365079</v>
      </c>
      <c r="P1483" s="18" t="n">
        <f aca="false">M1483/L1483</f>
        <v>14.8700226036965</v>
      </c>
      <c r="Q1483" s="19" t="n">
        <f aca="false">IF(N1483=0,"n.a.",P1483/N1483-1)</f>
        <v>-0.826785642767466</v>
      </c>
    </row>
    <row r="1484" customFormat="false" ht="15" hidden="false" customHeight="false" outlineLevel="0" collapsed="false">
      <c r="A1484" s="12" t="s">
        <v>3529</v>
      </c>
      <c r="B1484" s="12" t="s">
        <v>3455</v>
      </c>
      <c r="C1484" s="12" t="s">
        <v>3456</v>
      </c>
      <c r="D1484" s="12" t="s">
        <v>235</v>
      </c>
      <c r="E1484" s="12" t="s">
        <v>3530</v>
      </c>
      <c r="F1484" s="13" t="n">
        <v>1500777</v>
      </c>
      <c r="G1484" s="13" t="n">
        <v>1824625</v>
      </c>
      <c r="H1484" s="14" t="n">
        <v>5173</v>
      </c>
      <c r="I1484" s="14" t="n">
        <v>5449</v>
      </c>
      <c r="J1484" s="15" t="n">
        <f aca="false">I1484/H1484</f>
        <v>1.05335395321864</v>
      </c>
      <c r="K1484" s="16" t="n">
        <f aca="false">ROUND(I1484*J1484^($F$8-1),0)</f>
        <v>5384</v>
      </c>
      <c r="L1484" s="16" t="n">
        <f aca="false">ROUND(I1484*J1484^($F$9-1),0)</f>
        <v>5434</v>
      </c>
      <c r="M1484" s="17" t="n">
        <f aca="false">G1484*$F$7</f>
        <v>1757665.34146632</v>
      </c>
      <c r="N1484" s="18" t="n">
        <f aca="false">F1484/K1484</f>
        <v>278.747585438336</v>
      </c>
      <c r="O1484" s="18" t="n">
        <f aca="false">G1484/L1484</f>
        <v>335.779352226721</v>
      </c>
      <c r="P1484" s="18" t="n">
        <f aca="false">M1484/L1484</f>
        <v>323.457000637895</v>
      </c>
      <c r="Q1484" s="19" t="n">
        <f aca="false">IF(N1484=0,"n.a.",P1484/N1484-1)</f>
        <v>0.160393910244111</v>
      </c>
    </row>
    <row r="1485" customFormat="false" ht="15" hidden="false" customHeight="false" outlineLevel="0" collapsed="false">
      <c r="A1485" s="12" t="s">
        <v>3531</v>
      </c>
      <c r="B1485" s="12" t="s">
        <v>3455</v>
      </c>
      <c r="C1485" s="12" t="s">
        <v>3456</v>
      </c>
      <c r="D1485" s="12" t="s">
        <v>317</v>
      </c>
      <c r="E1485" s="12" t="s">
        <v>3532</v>
      </c>
      <c r="F1485" s="13" t="n">
        <v>856339</v>
      </c>
      <c r="G1485" s="13" t="n">
        <v>810257</v>
      </c>
      <c r="H1485" s="14" t="n">
        <v>5757</v>
      </c>
      <c r="I1485" s="14" t="n">
        <v>7089</v>
      </c>
      <c r="J1485" s="15" t="n">
        <f aca="false">I1485/H1485</f>
        <v>1.2313705054716</v>
      </c>
      <c r="K1485" s="16" t="n">
        <f aca="false">ROUND(I1485*J1485^($F$8-1),0)</f>
        <v>6756</v>
      </c>
      <c r="L1485" s="16" t="n">
        <f aca="false">ROUND(I1485*J1485^($F$9-1),0)</f>
        <v>7013</v>
      </c>
      <c r="M1485" s="17" t="n">
        <f aca="false">G1485*$F$7</f>
        <v>780522.379437132</v>
      </c>
      <c r="N1485" s="18" t="n">
        <f aca="false">F1485/K1485</f>
        <v>126.752368265246</v>
      </c>
      <c r="O1485" s="18" t="n">
        <f aca="false">G1485/L1485</f>
        <v>115.53643233994</v>
      </c>
      <c r="P1485" s="18" t="n">
        <f aca="false">M1485/L1485</f>
        <v>111.296503555844</v>
      </c>
      <c r="Q1485" s="19" t="n">
        <f aca="false">IF(N1485=0,"n.a.",P1485/N1485-1)</f>
        <v>-0.121937482675342</v>
      </c>
    </row>
    <row r="1486" customFormat="false" ht="15" hidden="false" customHeight="false" outlineLevel="0" collapsed="false">
      <c r="A1486" s="12" t="s">
        <v>3533</v>
      </c>
      <c r="B1486" s="12" t="s">
        <v>3455</v>
      </c>
      <c r="C1486" s="12" t="s">
        <v>3456</v>
      </c>
      <c r="D1486" s="12" t="s">
        <v>320</v>
      </c>
      <c r="E1486" s="12" t="s">
        <v>3534</v>
      </c>
      <c r="F1486" s="13" t="n">
        <v>486682</v>
      </c>
      <c r="G1486" s="13" t="n">
        <v>251948</v>
      </c>
      <c r="H1486" s="14" t="n">
        <v>1531</v>
      </c>
      <c r="I1486" s="14" t="n">
        <v>1593</v>
      </c>
      <c r="J1486" s="15" t="n">
        <f aca="false">I1486/H1486</f>
        <v>1.04049640757675</v>
      </c>
      <c r="K1486" s="16" t="n">
        <f aca="false">ROUND(I1486*J1486^($F$8-1),0)</f>
        <v>1578</v>
      </c>
      <c r="L1486" s="16" t="n">
        <f aca="false">ROUND(I1486*J1486^($F$9-1),0)</f>
        <v>1590</v>
      </c>
      <c r="M1486" s="17" t="n">
        <f aca="false">G1486*$F$7</f>
        <v>242702.07163212</v>
      </c>
      <c r="N1486" s="18" t="n">
        <f aca="false">F1486/K1486</f>
        <v>308.416983523447</v>
      </c>
      <c r="O1486" s="18" t="n">
        <f aca="false">G1486/L1486</f>
        <v>158.45786163522</v>
      </c>
      <c r="P1486" s="18" t="n">
        <f aca="false">M1486/L1486</f>
        <v>152.642812347245</v>
      </c>
      <c r="Q1486" s="19" t="n">
        <f aca="false">IF(N1486=0,"n.a.",P1486/N1486-1)</f>
        <v>-0.505076501937707</v>
      </c>
    </row>
    <row r="1487" customFormat="false" ht="15" hidden="false" customHeight="false" outlineLevel="0" collapsed="false">
      <c r="A1487" s="12" t="s">
        <v>3535</v>
      </c>
      <c r="B1487" s="12" t="s">
        <v>3455</v>
      </c>
      <c r="C1487" s="12" t="s">
        <v>3456</v>
      </c>
      <c r="D1487" s="12" t="s">
        <v>323</v>
      </c>
      <c r="E1487" s="12" t="s">
        <v>3536</v>
      </c>
      <c r="F1487" s="13" t="n">
        <v>12908807</v>
      </c>
      <c r="G1487" s="13" t="n">
        <v>10063050</v>
      </c>
      <c r="H1487" s="14" t="n">
        <v>14287</v>
      </c>
      <c r="I1487" s="14" t="n">
        <v>12805</v>
      </c>
      <c r="J1487" s="15" t="n">
        <f aca="false">I1487/H1487</f>
        <v>0.896269335759782</v>
      </c>
      <c r="K1487" s="16" t="n">
        <f aca="false">ROUND(I1487*J1487^($F$8-1),0)</f>
        <v>13133</v>
      </c>
      <c r="L1487" s="16" t="n">
        <f aca="false">ROUND(I1487*J1487^($F$9-1),0)</f>
        <v>12878</v>
      </c>
      <c r="M1487" s="17" t="n">
        <f aca="false">G1487*$F$7</f>
        <v>9693758.56104277</v>
      </c>
      <c r="N1487" s="18" t="n">
        <f aca="false">F1487/K1487</f>
        <v>982.929033731821</v>
      </c>
      <c r="O1487" s="18" t="n">
        <f aca="false">G1487/L1487</f>
        <v>781.414039447119</v>
      </c>
      <c r="P1487" s="18" t="n">
        <f aca="false">M1487/L1487</f>
        <v>752.737891057833</v>
      </c>
      <c r="Q1487" s="19" t="n">
        <f aca="false">IF(N1487=0,"n.a.",P1487/N1487-1)</f>
        <v>-0.234188974762539</v>
      </c>
    </row>
    <row r="1488" customFormat="false" ht="15" hidden="false" customHeight="false" outlineLevel="0" collapsed="false">
      <c r="A1488" s="12" t="s">
        <v>3537</v>
      </c>
      <c r="B1488" s="12" t="s">
        <v>3455</v>
      </c>
      <c r="C1488" s="12" t="s">
        <v>3456</v>
      </c>
      <c r="D1488" s="12" t="s">
        <v>326</v>
      </c>
      <c r="E1488" s="12" t="s">
        <v>3538</v>
      </c>
      <c r="F1488" s="13" t="n">
        <v>84384803</v>
      </c>
      <c r="G1488" s="13" t="n">
        <v>125357891</v>
      </c>
      <c r="H1488" s="14" t="n">
        <v>163999</v>
      </c>
      <c r="I1488" s="14" t="n">
        <v>169624</v>
      </c>
      <c r="J1488" s="15" t="n">
        <f aca="false">I1488/H1488</f>
        <v>1.03429898962799</v>
      </c>
      <c r="K1488" s="16" t="n">
        <f aca="false">ROUND(I1488*J1488^($F$8-1),0)</f>
        <v>168308</v>
      </c>
      <c r="L1488" s="16" t="n">
        <f aca="false">ROUND(I1488*J1488^($F$9-1),0)</f>
        <v>169327</v>
      </c>
      <c r="M1488" s="17" t="n">
        <f aca="false">G1488*$F$7</f>
        <v>120757536.639042</v>
      </c>
      <c r="N1488" s="18" t="n">
        <f aca="false">F1488/K1488</f>
        <v>501.371313306557</v>
      </c>
      <c r="O1488" s="18" t="n">
        <f aca="false">G1488/L1488</f>
        <v>740.330195420695</v>
      </c>
      <c r="P1488" s="18" t="n">
        <f aca="false">M1488/L1488</f>
        <v>713.161732263859</v>
      </c>
      <c r="Q1488" s="19" t="n">
        <f aca="false">IF(N1488=0,"n.a.",P1488/N1488-1)</f>
        <v>0.422422291296522</v>
      </c>
    </row>
    <row r="1489" customFormat="false" ht="15" hidden="false" customHeight="false" outlineLevel="0" collapsed="false">
      <c r="A1489" s="12" t="s">
        <v>3539</v>
      </c>
      <c r="B1489" s="12" t="s">
        <v>3455</v>
      </c>
      <c r="C1489" s="12" t="s">
        <v>3456</v>
      </c>
      <c r="D1489" s="12" t="s">
        <v>600</v>
      </c>
      <c r="E1489" s="12" t="s">
        <v>3540</v>
      </c>
      <c r="F1489" s="13" t="n">
        <v>194954585</v>
      </c>
      <c r="G1489" s="13" t="n">
        <v>212657534</v>
      </c>
      <c r="H1489" s="14" t="n">
        <v>263110</v>
      </c>
      <c r="I1489" s="14" t="n">
        <v>291186</v>
      </c>
      <c r="J1489" s="15" t="n">
        <f aca="false">I1489/H1489</f>
        <v>1.1067082208962</v>
      </c>
      <c r="K1489" s="16" t="n">
        <f aca="false">ROUND(I1489*J1489^($F$8-1),0)</f>
        <v>284449</v>
      </c>
      <c r="L1489" s="16" t="n">
        <f aca="false">ROUND(I1489*J1489^($F$9-1),0)</f>
        <v>289656</v>
      </c>
      <c r="M1489" s="17" t="n">
        <f aca="false">G1489*$F$7</f>
        <v>204853477.900114</v>
      </c>
      <c r="N1489" s="18" t="n">
        <f aca="false">F1489/K1489</f>
        <v>685.376236161843</v>
      </c>
      <c r="O1489" s="18" t="n">
        <f aca="false">G1489/L1489</f>
        <v>734.172722125556</v>
      </c>
      <c r="P1489" s="18" t="n">
        <f aca="false">M1489/L1489</f>
        <v>707.230224473562</v>
      </c>
      <c r="Q1489" s="19" t="n">
        <f aca="false">IF(N1489=0,"n.a.",P1489/N1489-1)</f>
        <v>0.0318861191250277</v>
      </c>
    </row>
    <row r="1490" customFormat="false" ht="15" hidden="false" customHeight="false" outlineLevel="0" collapsed="false">
      <c r="A1490" s="12" t="s">
        <v>3541</v>
      </c>
      <c r="B1490" s="12" t="s">
        <v>3455</v>
      </c>
      <c r="C1490" s="12" t="s">
        <v>3456</v>
      </c>
      <c r="D1490" s="12" t="s">
        <v>329</v>
      </c>
      <c r="E1490" s="12" t="s">
        <v>3542</v>
      </c>
      <c r="F1490" s="13" t="n">
        <v>1688</v>
      </c>
      <c r="G1490" s="13" t="n">
        <v>7050</v>
      </c>
      <c r="H1490" s="14" t="n">
        <v>365</v>
      </c>
      <c r="I1490" s="14" t="n">
        <v>420</v>
      </c>
      <c r="J1490" s="15" t="n">
        <f aca="false">I1490/H1490</f>
        <v>1.15068493150685</v>
      </c>
      <c r="K1490" s="16" t="n">
        <f aca="false">ROUND(I1490*J1490^($F$8-1),0)</f>
        <v>407</v>
      </c>
      <c r="L1490" s="16" t="n">
        <f aca="false">ROUND(I1490*J1490^($F$9-1),0)</f>
        <v>417</v>
      </c>
      <c r="M1490" s="17" t="n">
        <f aca="false">G1490*$F$7</f>
        <v>6791.2807603412</v>
      </c>
      <c r="N1490" s="18" t="n">
        <f aca="false">F1490/K1490</f>
        <v>4.14742014742015</v>
      </c>
      <c r="O1490" s="18" t="n">
        <f aca="false">G1490/L1490</f>
        <v>16.9064748201439</v>
      </c>
      <c r="P1490" s="18" t="n">
        <f aca="false">M1490/L1490</f>
        <v>16.2860449888278</v>
      </c>
      <c r="Q1490" s="19" t="n">
        <f aca="false">IF(N1490=0,"n.a.",P1490/N1490-1)</f>
        <v>2.92678928344368</v>
      </c>
    </row>
    <row r="1491" customFormat="false" ht="15" hidden="false" customHeight="false" outlineLevel="0" collapsed="false">
      <c r="A1491" s="12" t="s">
        <v>3543</v>
      </c>
      <c r="B1491" s="12" t="s">
        <v>3455</v>
      </c>
      <c r="C1491" s="12" t="s">
        <v>3456</v>
      </c>
      <c r="D1491" s="12" t="s">
        <v>332</v>
      </c>
      <c r="E1491" s="12" t="s">
        <v>3544</v>
      </c>
      <c r="F1491" s="13" t="n">
        <v>1295978</v>
      </c>
      <c r="G1491" s="13" t="n">
        <v>1173369</v>
      </c>
      <c r="H1491" s="14" t="n">
        <v>2438</v>
      </c>
      <c r="I1491" s="14" t="n">
        <v>2098</v>
      </c>
      <c r="J1491" s="15" t="n">
        <f aca="false">I1491/H1491</f>
        <v>0.860541427399508</v>
      </c>
      <c r="K1491" s="16" t="n">
        <f aca="false">ROUND(I1491*J1491^($F$8-1),0)</f>
        <v>2172</v>
      </c>
      <c r="L1491" s="16" t="n">
        <f aca="false">ROUND(I1491*J1491^($F$9-1),0)</f>
        <v>2114</v>
      </c>
      <c r="M1491" s="17" t="n">
        <f aca="false">G1491*$F$7</f>
        <v>1130308.98077742</v>
      </c>
      <c r="N1491" s="18" t="n">
        <f aca="false">F1491/K1491</f>
        <v>596.674953959484</v>
      </c>
      <c r="O1491" s="18" t="n">
        <f aca="false">G1491/L1491</f>
        <v>555.046830652791</v>
      </c>
      <c r="P1491" s="18" t="n">
        <f aca="false">M1491/L1491</f>
        <v>534.677852780235</v>
      </c>
      <c r="Q1491" s="19" t="n">
        <f aca="false">IF(N1491=0,"n.a.",P1491/N1491-1)</f>
        <v>-0.103904313006339</v>
      </c>
    </row>
    <row r="1492" customFormat="false" ht="15" hidden="false" customHeight="false" outlineLevel="0" collapsed="false">
      <c r="A1492" s="12" t="s">
        <v>3545</v>
      </c>
      <c r="B1492" s="12" t="s">
        <v>3455</v>
      </c>
      <c r="C1492" s="12" t="s">
        <v>3456</v>
      </c>
      <c r="D1492" s="12" t="s">
        <v>335</v>
      </c>
      <c r="E1492" s="12" t="s">
        <v>3546</v>
      </c>
      <c r="F1492" s="13" t="n">
        <v>709878</v>
      </c>
      <c r="G1492" s="13" t="n">
        <v>63295</v>
      </c>
      <c r="H1492" s="14" t="n">
        <v>496</v>
      </c>
      <c r="I1492" s="14" t="n">
        <v>321</v>
      </c>
      <c r="J1492" s="15" t="n">
        <f aca="false">I1492/H1492</f>
        <v>0.647177419354839</v>
      </c>
      <c r="K1492" s="16" t="n">
        <f aca="false">ROUND(I1492*J1492^($F$8-1),0)</f>
        <v>355</v>
      </c>
      <c r="L1492" s="16" t="n">
        <f aca="false">ROUND(I1492*J1492^($F$9-1),0)</f>
        <v>328</v>
      </c>
      <c r="M1492" s="17" t="n">
        <f aca="false">G1492*$F$7</f>
        <v>60972.2149965669</v>
      </c>
      <c r="N1492" s="18" t="n">
        <f aca="false">F1492/K1492</f>
        <v>1999.65633802817</v>
      </c>
      <c r="O1492" s="18" t="n">
        <f aca="false">G1492/L1492</f>
        <v>192.97256097561</v>
      </c>
      <c r="P1492" s="18" t="n">
        <f aca="false">M1492/L1492</f>
        <v>185.890899379777</v>
      </c>
      <c r="Q1492" s="19" t="n">
        <f aca="false">IF(N1492=0,"n.a.",P1492/N1492-1)</f>
        <v>-0.907038576657086</v>
      </c>
    </row>
    <row r="1493" customFormat="false" ht="15" hidden="false" customHeight="false" outlineLevel="0" collapsed="false">
      <c r="A1493" s="12" t="s">
        <v>3547</v>
      </c>
      <c r="B1493" s="12" t="s">
        <v>3455</v>
      </c>
      <c r="C1493" s="12" t="s">
        <v>3456</v>
      </c>
      <c r="D1493" s="12" t="s">
        <v>607</v>
      </c>
      <c r="E1493" s="12" t="s">
        <v>3548</v>
      </c>
      <c r="F1493" s="13" t="n">
        <v>5698271</v>
      </c>
      <c r="G1493" s="13" t="n">
        <v>4411772</v>
      </c>
      <c r="H1493" s="14" t="n">
        <v>9089</v>
      </c>
      <c r="I1493" s="14" t="n">
        <v>9265</v>
      </c>
      <c r="J1493" s="15" t="n">
        <f aca="false">I1493/H1493</f>
        <v>1.01936406645396</v>
      </c>
      <c r="K1493" s="16" t="n">
        <f aca="false">ROUND(I1493*J1493^($F$8-1),0)</f>
        <v>9224</v>
      </c>
      <c r="L1493" s="16" t="n">
        <f aca="false">ROUND(I1493*J1493^($F$9-1),0)</f>
        <v>9256</v>
      </c>
      <c r="M1493" s="17" t="n">
        <f aca="false">G1493*$F$7</f>
        <v>4249869.83015773</v>
      </c>
      <c r="N1493" s="18" t="n">
        <f aca="false">F1493/K1493</f>
        <v>617.765719861232</v>
      </c>
      <c r="O1493" s="18" t="n">
        <f aca="false">G1493/L1493</f>
        <v>476.63915298185</v>
      </c>
      <c r="P1493" s="18" t="n">
        <f aca="false">M1493/L1493</f>
        <v>459.147561598718</v>
      </c>
      <c r="Q1493" s="19" t="n">
        <f aca="false">IF(N1493=0,"n.a.",P1493/N1493-1)</f>
        <v>-0.256761023091641</v>
      </c>
    </row>
    <row r="1494" customFormat="false" ht="15" hidden="false" customHeight="false" outlineLevel="0" collapsed="false">
      <c r="A1494" s="12" t="s">
        <v>3549</v>
      </c>
      <c r="B1494" s="12" t="s">
        <v>3455</v>
      </c>
      <c r="C1494" s="12" t="s">
        <v>3456</v>
      </c>
      <c r="D1494" s="12" t="s">
        <v>338</v>
      </c>
      <c r="E1494" s="12" t="s">
        <v>3550</v>
      </c>
      <c r="F1494" s="13" t="n">
        <v>203539576</v>
      </c>
      <c r="G1494" s="13" t="n">
        <v>204787468</v>
      </c>
      <c r="H1494" s="14" t="n">
        <v>62544</v>
      </c>
      <c r="I1494" s="14" t="n">
        <v>75424</v>
      </c>
      <c r="J1494" s="15" t="n">
        <f aca="false">I1494/H1494</f>
        <v>1.20593502174469</v>
      </c>
      <c r="K1494" s="16" t="n">
        <f aca="false">ROUND(I1494*J1494^($F$8-1),0)</f>
        <v>72233</v>
      </c>
      <c r="L1494" s="16" t="n">
        <f aca="false">ROUND(I1494*J1494^($F$9-1),0)</f>
        <v>74694</v>
      </c>
      <c r="M1494" s="17" t="n">
        <f aca="false">G1494*$F$7</f>
        <v>197272225.728708</v>
      </c>
      <c r="N1494" s="18" t="n">
        <f aca="false">F1494/K1494</f>
        <v>2817.81977766395</v>
      </c>
      <c r="O1494" s="18" t="n">
        <f aca="false">G1494/L1494</f>
        <v>2741.68565078855</v>
      </c>
      <c r="P1494" s="18" t="n">
        <f aca="false">M1494/L1494</f>
        <v>2641.07191646863</v>
      </c>
      <c r="Q1494" s="19" t="n">
        <f aca="false">IF(N1494=0,"n.a.",P1494/N1494-1)</f>
        <v>-0.0627250410392992</v>
      </c>
    </row>
    <row r="1495" customFormat="false" ht="15" hidden="false" customHeight="false" outlineLevel="0" collapsed="false">
      <c r="A1495" s="12" t="s">
        <v>3551</v>
      </c>
      <c r="B1495" s="12" t="s">
        <v>3455</v>
      </c>
      <c r="C1495" s="12" t="s">
        <v>3456</v>
      </c>
      <c r="D1495" s="12" t="s">
        <v>612</v>
      </c>
      <c r="E1495" s="12" t="s">
        <v>3552</v>
      </c>
      <c r="F1495" s="13" t="n">
        <v>362542</v>
      </c>
      <c r="G1495" s="13" t="n">
        <v>416567</v>
      </c>
      <c r="H1495" s="14" t="n">
        <v>3056</v>
      </c>
      <c r="I1495" s="14" t="n">
        <v>3176</v>
      </c>
      <c r="J1495" s="15" t="n">
        <f aca="false">I1495/H1495</f>
        <v>1.03926701570681</v>
      </c>
      <c r="K1495" s="16" t="n">
        <f aca="false">ROUND(I1495*J1495^($F$8-1),0)</f>
        <v>3148</v>
      </c>
      <c r="L1495" s="16" t="n">
        <f aca="false">ROUND(I1495*J1495^($F$9-1),0)</f>
        <v>3170</v>
      </c>
      <c r="M1495" s="17" t="n">
        <f aca="false">G1495*$F$7</f>
        <v>401279.92233944</v>
      </c>
      <c r="N1495" s="18" t="n">
        <f aca="false">F1495/K1495</f>
        <v>115.16581956798</v>
      </c>
      <c r="O1495" s="18" t="n">
        <f aca="false">G1495/L1495</f>
        <v>131.409148264984</v>
      </c>
      <c r="P1495" s="18" t="n">
        <f aca="false">M1495/L1495</f>
        <v>126.586726290044</v>
      </c>
      <c r="Q1495" s="19" t="n">
        <f aca="false">IF(N1495=0,"n.a.",P1495/N1495-1)</f>
        <v>0.0991692393186423</v>
      </c>
    </row>
    <row r="1496" customFormat="false" ht="15" hidden="false" customHeight="false" outlineLevel="0" collapsed="false">
      <c r="A1496" s="12" t="s">
        <v>3553</v>
      </c>
      <c r="B1496" s="12" t="s">
        <v>3455</v>
      </c>
      <c r="C1496" s="12" t="s">
        <v>3456</v>
      </c>
      <c r="D1496" s="12" t="s">
        <v>340</v>
      </c>
      <c r="E1496" s="12" t="s">
        <v>401</v>
      </c>
      <c r="F1496" s="13" t="n">
        <v>161021</v>
      </c>
      <c r="G1496" s="13" t="n">
        <v>182002</v>
      </c>
      <c r="H1496" s="14" t="n">
        <v>1496</v>
      </c>
      <c r="I1496" s="14" t="n">
        <v>1275</v>
      </c>
      <c r="J1496" s="15" t="n">
        <f aca="false">I1496/H1496</f>
        <v>0.852272727272727</v>
      </c>
      <c r="K1496" s="16" t="n">
        <f aca="false">ROUND(I1496*J1496^($F$8-1),0)</f>
        <v>1323</v>
      </c>
      <c r="L1496" s="16" t="n">
        <f aca="false">ROUND(I1496*J1496^($F$9-1),0)</f>
        <v>1286</v>
      </c>
      <c r="M1496" s="17" t="n">
        <f aca="false">G1496*$F$7</f>
        <v>175322.93346718</v>
      </c>
      <c r="N1496" s="18" t="n">
        <f aca="false">F1496/K1496</f>
        <v>121.708994708995</v>
      </c>
      <c r="O1496" s="18" t="n">
        <f aca="false">G1496/L1496</f>
        <v>141.52566096423</v>
      </c>
      <c r="P1496" s="18" t="n">
        <f aca="false">M1496/L1496</f>
        <v>136.331985588787</v>
      </c>
      <c r="Q1496" s="19" t="n">
        <f aca="false">IF(N1496=0,"n.a.",P1496/N1496-1)</f>
        <v>0.120147166729589</v>
      </c>
    </row>
    <row r="1497" customFormat="false" ht="15" hidden="false" customHeight="false" outlineLevel="0" collapsed="false">
      <c r="A1497" s="12" t="s">
        <v>3554</v>
      </c>
      <c r="B1497" s="12" t="s">
        <v>3455</v>
      </c>
      <c r="C1497" s="12" t="s">
        <v>3456</v>
      </c>
      <c r="D1497" s="12" t="s">
        <v>343</v>
      </c>
      <c r="E1497" s="12" t="s">
        <v>3446</v>
      </c>
      <c r="F1497" s="13" t="n">
        <v>178194</v>
      </c>
      <c r="G1497" s="13" t="n">
        <v>355602</v>
      </c>
      <c r="H1497" s="14" t="n">
        <v>4830</v>
      </c>
      <c r="I1497" s="14" t="n">
        <v>4438</v>
      </c>
      <c r="J1497" s="15" t="n">
        <f aca="false">I1497/H1497</f>
        <v>0.918840579710145</v>
      </c>
      <c r="K1497" s="16" t="n">
        <f aca="false">ROUND(I1497*J1497^($F$8-1),0)</f>
        <v>4526</v>
      </c>
      <c r="L1497" s="16" t="n">
        <f aca="false">ROUND(I1497*J1497^($F$9-1),0)</f>
        <v>4458</v>
      </c>
      <c r="M1497" s="17" t="n">
        <f aca="false">G1497*$F$7</f>
        <v>342552.20155161</v>
      </c>
      <c r="N1497" s="18" t="n">
        <f aca="false">F1497/K1497</f>
        <v>39.3711886875829</v>
      </c>
      <c r="O1497" s="18" t="n">
        <f aca="false">G1497/L1497</f>
        <v>79.7671601615074</v>
      </c>
      <c r="P1497" s="18" t="n">
        <f aca="false">M1497/L1497</f>
        <v>76.8398837038157</v>
      </c>
      <c r="Q1497" s="19" t="n">
        <f aca="false">IF(N1497=0,"n.a.",P1497/N1497-1)</f>
        <v>0.951678023072997</v>
      </c>
    </row>
    <row r="1498" customFormat="false" ht="15" hidden="false" customHeight="false" outlineLevel="0" collapsed="false">
      <c r="A1498" s="12" t="s">
        <v>3555</v>
      </c>
      <c r="B1498" s="12" t="s">
        <v>3455</v>
      </c>
      <c r="C1498" s="12" t="s">
        <v>3456</v>
      </c>
      <c r="D1498" s="12" t="s">
        <v>346</v>
      </c>
      <c r="E1498" s="12" t="s">
        <v>3556</v>
      </c>
      <c r="F1498" s="13" t="n">
        <v>2537264</v>
      </c>
      <c r="G1498" s="13" t="n">
        <v>2409068</v>
      </c>
      <c r="H1498" s="14" t="n">
        <v>5257</v>
      </c>
      <c r="I1498" s="14" t="n">
        <v>5221</v>
      </c>
      <c r="J1498" s="15" t="n">
        <f aca="false">I1498/H1498</f>
        <v>0.993151987825756</v>
      </c>
      <c r="K1498" s="16" t="n">
        <f aca="false">ROUND(I1498*J1498^($F$8-1),0)</f>
        <v>5229</v>
      </c>
      <c r="L1498" s="16" t="n">
        <f aca="false">ROUND(I1498*J1498^($F$9-1),0)</f>
        <v>5223</v>
      </c>
      <c r="M1498" s="17" t="n">
        <f aca="false">G1498*$F$7</f>
        <v>2320660.58989414</v>
      </c>
      <c r="N1498" s="18" t="n">
        <f aca="false">F1498/K1498</f>
        <v>485.229298144961</v>
      </c>
      <c r="O1498" s="18" t="n">
        <f aca="false">G1498/L1498</f>
        <v>461.242197970515</v>
      </c>
      <c r="P1498" s="18" t="n">
        <f aca="false">M1498/L1498</f>
        <v>444.315640416262</v>
      </c>
      <c r="Q1498" s="19" t="n">
        <f aca="false">IF(N1498=0,"n.a.",P1498/N1498-1)</f>
        <v>-0.084318193244127</v>
      </c>
    </row>
    <row r="1499" customFormat="false" ht="15" hidden="false" customHeight="false" outlineLevel="0" collapsed="false">
      <c r="A1499" s="12" t="s">
        <v>3557</v>
      </c>
      <c r="B1499" s="12" t="s">
        <v>3455</v>
      </c>
      <c r="C1499" s="12" t="s">
        <v>3456</v>
      </c>
      <c r="D1499" s="12" t="s">
        <v>349</v>
      </c>
      <c r="E1499" s="12" t="s">
        <v>3558</v>
      </c>
      <c r="F1499" s="13" t="n">
        <v>168538</v>
      </c>
      <c r="G1499" s="13" t="n">
        <v>95091</v>
      </c>
      <c r="H1499" s="14" t="n">
        <v>369</v>
      </c>
      <c r="I1499" s="14" t="n">
        <v>341</v>
      </c>
      <c r="J1499" s="15" t="n">
        <f aca="false">I1499/H1499</f>
        <v>0.924119241192412</v>
      </c>
      <c r="K1499" s="16" t="n">
        <f aca="false">ROUND(I1499*J1499^($F$8-1),0)</f>
        <v>347</v>
      </c>
      <c r="L1499" s="16" t="n">
        <f aca="false">ROUND(I1499*J1499^($F$9-1),0)</f>
        <v>342</v>
      </c>
      <c r="M1499" s="17" t="n">
        <f aca="false">G1499*$F$7</f>
        <v>91601.3728768234</v>
      </c>
      <c r="N1499" s="18" t="n">
        <f aca="false">F1499/K1499</f>
        <v>485.700288184438</v>
      </c>
      <c r="O1499" s="18" t="n">
        <f aca="false">G1499/L1499</f>
        <v>278.043859649123</v>
      </c>
      <c r="P1499" s="18" t="n">
        <f aca="false">M1499/L1499</f>
        <v>267.840271569659</v>
      </c>
      <c r="Q1499" s="19" t="n">
        <f aca="false">IF(N1499=0,"n.a.",P1499/N1499-1)</f>
        <v>-0.448548254787219</v>
      </c>
    </row>
    <row r="1500" customFormat="false" ht="15" hidden="false" customHeight="false" outlineLevel="0" collapsed="false">
      <c r="A1500" s="12" t="s">
        <v>3559</v>
      </c>
      <c r="B1500" s="12" t="s">
        <v>3455</v>
      </c>
      <c r="C1500" s="12" t="s">
        <v>3456</v>
      </c>
      <c r="D1500" s="12" t="s">
        <v>352</v>
      </c>
      <c r="E1500" s="12" t="s">
        <v>3560</v>
      </c>
      <c r="F1500" s="13" t="n">
        <v>43277</v>
      </c>
      <c r="G1500" s="13" t="n">
        <v>152423</v>
      </c>
      <c r="H1500" s="14" t="n">
        <v>537</v>
      </c>
      <c r="I1500" s="14" t="n">
        <v>514</v>
      </c>
      <c r="J1500" s="15" t="n">
        <f aca="false">I1500/H1500</f>
        <v>0.957169459962756</v>
      </c>
      <c r="K1500" s="16" t="n">
        <f aca="false">ROUND(I1500*J1500^($F$8-1),0)</f>
        <v>519</v>
      </c>
      <c r="L1500" s="16" t="n">
        <f aca="false">ROUND(I1500*J1500^($F$9-1),0)</f>
        <v>515</v>
      </c>
      <c r="M1500" s="17" t="n">
        <f aca="false">G1500*$F$7</f>
        <v>146829.416643048</v>
      </c>
      <c r="N1500" s="18" t="n">
        <f aca="false">F1500/K1500</f>
        <v>83.3853564547206</v>
      </c>
      <c r="O1500" s="18" t="n">
        <f aca="false">G1500/L1500</f>
        <v>295.966990291262</v>
      </c>
      <c r="P1500" s="18" t="n">
        <f aca="false">M1500/L1500</f>
        <v>285.105663384559</v>
      </c>
      <c r="Q1500" s="19" t="n">
        <f aca="false">IF(N1500=0,"n.a.",P1500/N1500-1)</f>
        <v>2.41913347266645</v>
      </c>
    </row>
    <row r="1501" customFormat="false" ht="15" hidden="false" customHeight="false" outlineLevel="0" collapsed="false">
      <c r="A1501" s="12" t="s">
        <v>3561</v>
      </c>
      <c r="B1501" s="12" t="s">
        <v>3455</v>
      </c>
      <c r="C1501" s="12" t="s">
        <v>3456</v>
      </c>
      <c r="D1501" s="12" t="s">
        <v>355</v>
      </c>
      <c r="E1501" s="12" t="s">
        <v>3562</v>
      </c>
      <c r="F1501" s="13" t="n">
        <v>75453148</v>
      </c>
      <c r="G1501" s="13" t="n">
        <v>87602330</v>
      </c>
      <c r="H1501" s="14" t="n">
        <v>197663</v>
      </c>
      <c r="I1501" s="14" t="n">
        <v>201687</v>
      </c>
      <c r="J1501" s="15" t="n">
        <f aca="false">I1501/H1501</f>
        <v>1.02035788184941</v>
      </c>
      <c r="K1501" s="16" t="n">
        <f aca="false">ROUND(I1501*J1501^($F$8-1),0)</f>
        <v>200751</v>
      </c>
      <c r="L1501" s="16" t="n">
        <f aca="false">ROUND(I1501*J1501^($F$9-1),0)</f>
        <v>201476</v>
      </c>
      <c r="M1501" s="17" t="n">
        <f aca="false">G1501*$F$7</f>
        <v>84387520.3248313</v>
      </c>
      <c r="N1501" s="18" t="n">
        <f aca="false">F1501/K1501</f>
        <v>375.854406702831</v>
      </c>
      <c r="O1501" s="18" t="n">
        <f aca="false">G1501/L1501</f>
        <v>434.802805296909</v>
      </c>
      <c r="P1501" s="18" t="n">
        <f aca="false">M1501/L1501</f>
        <v>418.846514348266</v>
      </c>
      <c r="Q1501" s="19" t="n">
        <f aca="false">IF(N1501=0,"n.a.",P1501/N1501-1)</f>
        <v>0.114385003551195</v>
      </c>
    </row>
    <row r="1502" customFormat="false" ht="15" hidden="false" customHeight="false" outlineLevel="0" collapsed="false">
      <c r="A1502" s="12" t="s">
        <v>3563</v>
      </c>
      <c r="B1502" s="12" t="s">
        <v>3455</v>
      </c>
      <c r="C1502" s="12" t="s">
        <v>3456</v>
      </c>
      <c r="D1502" s="12" t="s">
        <v>358</v>
      </c>
      <c r="E1502" s="12" t="s">
        <v>3564</v>
      </c>
      <c r="F1502" s="13" t="n">
        <v>1365816</v>
      </c>
      <c r="G1502" s="13" t="n">
        <v>1348449</v>
      </c>
      <c r="H1502" s="14" t="n">
        <v>10683</v>
      </c>
      <c r="I1502" s="14" t="n">
        <v>10179</v>
      </c>
      <c r="J1502" s="15" t="n">
        <f aca="false">I1502/H1502</f>
        <v>0.952822240943555</v>
      </c>
      <c r="K1502" s="16" t="n">
        <f aca="false">ROUND(I1502*J1502^($F$8-1),0)</f>
        <v>10293</v>
      </c>
      <c r="L1502" s="16" t="n">
        <f aca="false">ROUND(I1502*J1502^($F$9-1),0)</f>
        <v>10205</v>
      </c>
      <c r="M1502" s="17" t="n">
        <f aca="false">G1502*$F$7</f>
        <v>1298963.9361704</v>
      </c>
      <c r="N1502" s="18" t="n">
        <f aca="false">F1502/K1502</f>
        <v>132.69367531332</v>
      </c>
      <c r="O1502" s="18" t="n">
        <f aca="false">G1502/L1502</f>
        <v>132.136109750123</v>
      </c>
      <c r="P1502" s="18" t="n">
        <f aca="false">M1502/L1502</f>
        <v>127.287009913807</v>
      </c>
      <c r="Q1502" s="19" t="n">
        <f aca="false">IF(N1502=0,"n.a.",P1502/N1502-1)</f>
        <v>-0.0407454642185942</v>
      </c>
    </row>
    <row r="1503" customFormat="false" ht="15" hidden="false" customHeight="false" outlineLevel="0" collapsed="false">
      <c r="A1503" s="12" t="s">
        <v>3565</v>
      </c>
      <c r="B1503" s="12" t="s">
        <v>3455</v>
      </c>
      <c r="C1503" s="12" t="s">
        <v>3456</v>
      </c>
      <c r="D1503" s="12" t="s">
        <v>361</v>
      </c>
      <c r="E1503" s="12" t="s">
        <v>3566</v>
      </c>
      <c r="F1503" s="13" t="n">
        <v>257865</v>
      </c>
      <c r="G1503" s="13" t="n">
        <v>287505</v>
      </c>
      <c r="H1503" s="14" t="n">
        <v>1458</v>
      </c>
      <c r="I1503" s="14" t="n">
        <v>1296</v>
      </c>
      <c r="J1503" s="15" t="n">
        <f aca="false">I1503/H1503</f>
        <v>0.888888888888889</v>
      </c>
      <c r="K1503" s="16" t="n">
        <f aca="false">ROUND(I1503*J1503^($F$8-1),0)</f>
        <v>1332</v>
      </c>
      <c r="L1503" s="16" t="n">
        <f aca="false">ROUND(I1503*J1503^($F$9-1),0)</f>
        <v>1304</v>
      </c>
      <c r="M1503" s="17" t="n">
        <f aca="false">G1503*$F$7</f>
        <v>276954.209220127</v>
      </c>
      <c r="N1503" s="18" t="n">
        <f aca="false">F1503/K1503</f>
        <v>193.592342342342</v>
      </c>
      <c r="O1503" s="18" t="n">
        <f aca="false">G1503/L1503</f>
        <v>220.479294478528</v>
      </c>
      <c r="P1503" s="18" t="n">
        <f aca="false">M1503/L1503</f>
        <v>212.388197254699</v>
      </c>
      <c r="Q1503" s="19" t="n">
        <f aca="false">IF(N1503=0,"n.a.",P1503/N1503-1)</f>
        <v>0.0970898677341199</v>
      </c>
    </row>
    <row r="1504" customFormat="false" ht="15" hidden="false" customHeight="false" outlineLevel="0" collapsed="false">
      <c r="A1504" s="12" t="s">
        <v>3567</v>
      </c>
      <c r="B1504" s="12" t="s">
        <v>3455</v>
      </c>
      <c r="C1504" s="12" t="s">
        <v>3456</v>
      </c>
      <c r="D1504" s="12" t="s">
        <v>364</v>
      </c>
      <c r="E1504" s="12" t="s">
        <v>3568</v>
      </c>
      <c r="F1504" s="13" t="n">
        <v>5308539</v>
      </c>
      <c r="G1504" s="13" t="n">
        <v>4974217</v>
      </c>
      <c r="H1504" s="14" t="n">
        <v>16203</v>
      </c>
      <c r="I1504" s="14" t="n">
        <v>14897</v>
      </c>
      <c r="J1504" s="15" t="n">
        <f aca="false">I1504/H1504</f>
        <v>0.919397642411899</v>
      </c>
      <c r="K1504" s="16" t="n">
        <f aca="false">ROUND(I1504*J1504^($F$8-1),0)</f>
        <v>15189</v>
      </c>
      <c r="L1504" s="16" t="n">
        <f aca="false">ROUND(I1504*J1504^($F$9-1),0)</f>
        <v>14962</v>
      </c>
      <c r="M1504" s="17" t="n">
        <f aca="false">G1504*$F$7</f>
        <v>4791674.35600881</v>
      </c>
      <c r="N1504" s="18" t="n">
        <f aca="false">F1504/K1504</f>
        <v>349.498913687537</v>
      </c>
      <c r="O1504" s="18" t="n">
        <f aca="false">G1504/L1504</f>
        <v>332.456690282048</v>
      </c>
      <c r="P1504" s="18" t="n">
        <f aca="false">M1504/L1504</f>
        <v>320.25627295875</v>
      </c>
      <c r="Q1504" s="19" t="n">
        <f aca="false">IF(N1504=0,"n.a.",P1504/N1504-1)</f>
        <v>-0.0836701906173339</v>
      </c>
    </row>
    <row r="1505" customFormat="false" ht="15" hidden="false" customHeight="false" outlineLevel="0" collapsed="false">
      <c r="A1505" s="12" t="s">
        <v>3569</v>
      </c>
      <c r="B1505" s="12" t="s">
        <v>3455</v>
      </c>
      <c r="C1505" s="12" t="s">
        <v>3456</v>
      </c>
      <c r="D1505" s="12" t="s">
        <v>367</v>
      </c>
      <c r="E1505" s="12" t="s">
        <v>3570</v>
      </c>
      <c r="F1505" s="13" t="n">
        <v>270776</v>
      </c>
      <c r="G1505" s="13" t="n">
        <v>744864</v>
      </c>
      <c r="H1505" s="14" t="n">
        <v>1712</v>
      </c>
      <c r="I1505" s="14" t="n">
        <v>1700</v>
      </c>
      <c r="J1505" s="15" t="n">
        <f aca="false">I1505/H1505</f>
        <v>0.992990654205608</v>
      </c>
      <c r="K1505" s="16" t="n">
        <f aca="false">ROUND(I1505*J1505^($F$8-1),0)</f>
        <v>1703</v>
      </c>
      <c r="L1505" s="16" t="n">
        <f aca="false">ROUND(I1505*J1505^($F$9-1),0)</f>
        <v>1701</v>
      </c>
      <c r="M1505" s="17" t="n">
        <f aca="false">G1505*$F$7</f>
        <v>717529.156350467</v>
      </c>
      <c r="N1505" s="18" t="n">
        <f aca="false">F1505/K1505</f>
        <v>158.99941280094</v>
      </c>
      <c r="O1505" s="18" t="n">
        <f aca="false">G1505/L1505</f>
        <v>437.897707231041</v>
      </c>
      <c r="P1505" s="18" t="n">
        <f aca="false">M1505/L1505</f>
        <v>421.827840300098</v>
      </c>
      <c r="Q1505" s="19" t="n">
        <f aca="false">IF(N1505=0,"n.a.",P1505/N1505-1)</f>
        <v>1.65301508269221</v>
      </c>
    </row>
    <row r="1506" customFormat="false" ht="15" hidden="false" customHeight="false" outlineLevel="0" collapsed="false">
      <c r="A1506" s="12" t="s">
        <v>3571</v>
      </c>
      <c r="B1506" s="12" t="s">
        <v>3455</v>
      </c>
      <c r="C1506" s="12" t="s">
        <v>3456</v>
      </c>
      <c r="D1506" s="12" t="s">
        <v>370</v>
      </c>
      <c r="E1506" s="12" t="s">
        <v>3572</v>
      </c>
      <c r="F1506" s="13" t="n">
        <v>309435</v>
      </c>
      <c r="G1506" s="13" t="n">
        <v>255396</v>
      </c>
      <c r="H1506" s="14" t="n">
        <v>2007</v>
      </c>
      <c r="I1506" s="14" t="n">
        <v>1594</v>
      </c>
      <c r="J1506" s="15" t="n">
        <f aca="false">I1506/H1506</f>
        <v>0.794220229197808</v>
      </c>
      <c r="K1506" s="16" t="n">
        <f aca="false">ROUND(I1506*J1506^($F$8-1),0)</f>
        <v>1681</v>
      </c>
      <c r="L1506" s="16" t="n">
        <f aca="false">ROUND(I1506*J1506^($F$9-1),0)</f>
        <v>1613</v>
      </c>
      <c r="M1506" s="17" t="n">
        <f aca="false">G1506*$F$7</f>
        <v>246023.537740156</v>
      </c>
      <c r="N1506" s="18" t="n">
        <f aca="false">F1506/K1506</f>
        <v>184.077929803688</v>
      </c>
      <c r="O1506" s="18" t="n">
        <f aca="false">G1506/L1506</f>
        <v>158.33601983881</v>
      </c>
      <c r="P1506" s="18" t="n">
        <f aca="false">M1506/L1506</f>
        <v>152.525441872385</v>
      </c>
      <c r="Q1506" s="19" t="n">
        <f aca="false">IF(N1506=0,"n.a.",P1506/N1506-1)</f>
        <v>-0.171408315841846</v>
      </c>
    </row>
    <row r="1507" customFormat="false" ht="15" hidden="false" customHeight="false" outlineLevel="0" collapsed="false">
      <c r="A1507" s="12" t="s">
        <v>3573</v>
      </c>
      <c r="B1507" s="12" t="s">
        <v>3455</v>
      </c>
      <c r="C1507" s="12" t="s">
        <v>3456</v>
      </c>
      <c r="D1507" s="12" t="s">
        <v>373</v>
      </c>
      <c r="E1507" s="12" t="s">
        <v>3574</v>
      </c>
      <c r="F1507" s="13" t="n">
        <v>128679</v>
      </c>
      <c r="G1507" s="13" t="n">
        <v>177451</v>
      </c>
      <c r="H1507" s="14" t="n">
        <v>1368</v>
      </c>
      <c r="I1507" s="14" t="n">
        <v>1102</v>
      </c>
      <c r="J1507" s="15" t="n">
        <f aca="false">I1507/H1507</f>
        <v>0.805555555555556</v>
      </c>
      <c r="K1507" s="16" t="n">
        <f aca="false">ROUND(I1507*J1507^($F$8-1),0)</f>
        <v>1158</v>
      </c>
      <c r="L1507" s="16" t="n">
        <f aca="false">ROUND(I1507*J1507^($F$9-1),0)</f>
        <v>1114</v>
      </c>
      <c r="M1507" s="17" t="n">
        <f aca="false">G1507*$F$7</f>
        <v>170938.944993377</v>
      </c>
      <c r="N1507" s="18" t="n">
        <f aca="false">F1507/K1507</f>
        <v>111.121761658031</v>
      </c>
      <c r="O1507" s="18" t="n">
        <f aca="false">G1507/L1507</f>
        <v>159.291741472172</v>
      </c>
      <c r="P1507" s="18" t="n">
        <f aca="false">M1507/L1507</f>
        <v>153.446090658327</v>
      </c>
      <c r="Q1507" s="19" t="n">
        <f aca="false">IF(N1507=0,"n.a.",P1507/N1507-1)</f>
        <v>0.380882451544877</v>
      </c>
    </row>
    <row r="1508" customFormat="false" ht="15" hidden="false" customHeight="false" outlineLevel="0" collapsed="false">
      <c r="A1508" s="12" t="s">
        <v>3575</v>
      </c>
      <c r="B1508" s="12" t="s">
        <v>3455</v>
      </c>
      <c r="C1508" s="12" t="s">
        <v>3456</v>
      </c>
      <c r="D1508" s="12" t="s">
        <v>376</v>
      </c>
      <c r="E1508" s="12" t="s">
        <v>3576</v>
      </c>
      <c r="F1508" s="13" t="n">
        <v>151068</v>
      </c>
      <c r="G1508" s="13" t="n">
        <v>338990</v>
      </c>
      <c r="H1508" s="14" t="n">
        <v>1114</v>
      </c>
      <c r="I1508" s="14" t="n">
        <v>978</v>
      </c>
      <c r="J1508" s="15" t="n">
        <f aca="false">I1508/H1508</f>
        <v>0.877917414721724</v>
      </c>
      <c r="K1508" s="16" t="n">
        <f aca="false">ROUND(I1508*J1508^($F$8-1),0)</f>
        <v>1008</v>
      </c>
      <c r="L1508" s="16" t="n">
        <f aca="false">ROUND(I1508*J1508^($F$9-1),0)</f>
        <v>985</v>
      </c>
      <c r="M1508" s="17" t="n">
        <f aca="false">G1508*$F$7</f>
        <v>326549.824815328</v>
      </c>
      <c r="N1508" s="18" t="n">
        <f aca="false">F1508/K1508</f>
        <v>149.869047619048</v>
      </c>
      <c r="O1508" s="18" t="n">
        <f aca="false">G1508/L1508</f>
        <v>344.152284263959</v>
      </c>
      <c r="P1508" s="18" t="n">
        <f aca="false">M1508/L1508</f>
        <v>331.522664787135</v>
      </c>
      <c r="Q1508" s="19" t="n">
        <f aca="false">IF(N1508=0,"n.a.",P1508/N1508-1)</f>
        <v>1.21208228152509</v>
      </c>
    </row>
    <row r="1509" customFormat="false" ht="15" hidden="false" customHeight="false" outlineLevel="0" collapsed="false">
      <c r="A1509" s="12" t="s">
        <v>3577</v>
      </c>
      <c r="B1509" s="12" t="s">
        <v>3455</v>
      </c>
      <c r="C1509" s="12" t="s">
        <v>3456</v>
      </c>
      <c r="D1509" s="12" t="s">
        <v>379</v>
      </c>
      <c r="E1509" s="12" t="s">
        <v>3578</v>
      </c>
      <c r="F1509" s="13" t="n">
        <v>197289</v>
      </c>
      <c r="G1509" s="13" t="n">
        <v>475868</v>
      </c>
      <c r="H1509" s="14" t="n">
        <v>1178</v>
      </c>
      <c r="I1509" s="14" t="n">
        <v>1008</v>
      </c>
      <c r="J1509" s="15" t="n">
        <f aca="false">I1509/H1509</f>
        <v>0.855687606112054</v>
      </c>
      <c r="K1509" s="16" t="n">
        <f aca="false">ROUND(I1509*J1509^($F$8-1),0)</f>
        <v>1045</v>
      </c>
      <c r="L1509" s="16" t="n">
        <f aca="false">ROUND(I1509*J1509^($F$9-1),0)</f>
        <v>1016</v>
      </c>
      <c r="M1509" s="17" t="n">
        <f aca="false">G1509*$F$7</f>
        <v>458404.708207383</v>
      </c>
      <c r="N1509" s="18" t="n">
        <f aca="false">F1509/K1509</f>
        <v>188.793301435407</v>
      </c>
      <c r="O1509" s="18" t="n">
        <f aca="false">G1509/L1509</f>
        <v>468.374015748031</v>
      </c>
      <c r="P1509" s="18" t="n">
        <f aca="false">M1509/L1509</f>
        <v>451.185736424589</v>
      </c>
      <c r="Q1509" s="19" t="n">
        <f aca="false">IF(N1509=0,"n.a.",P1509/N1509-1)</f>
        <v>1.38983975063838</v>
      </c>
    </row>
    <row r="1510" customFormat="false" ht="15" hidden="false" customHeight="false" outlineLevel="0" collapsed="false">
      <c r="A1510" s="12" t="s">
        <v>3579</v>
      </c>
      <c r="B1510" s="12" t="s">
        <v>3455</v>
      </c>
      <c r="C1510" s="12" t="s">
        <v>3456</v>
      </c>
      <c r="D1510" s="12" t="s">
        <v>382</v>
      </c>
      <c r="E1510" s="12" t="s">
        <v>3580</v>
      </c>
      <c r="F1510" s="13" t="n">
        <v>771323</v>
      </c>
      <c r="G1510" s="13" t="n">
        <v>1576747</v>
      </c>
      <c r="H1510" s="14" t="n">
        <v>1381</v>
      </c>
      <c r="I1510" s="14" t="n">
        <v>1212</v>
      </c>
      <c r="J1510" s="15" t="n">
        <f aca="false">I1510/H1510</f>
        <v>0.87762490948588</v>
      </c>
      <c r="K1510" s="16" t="n">
        <f aca="false">ROUND(I1510*J1510^($F$8-1),0)</f>
        <v>1249</v>
      </c>
      <c r="L1510" s="16" t="n">
        <f aca="false">ROUND(I1510*J1510^($F$9-1),0)</f>
        <v>1220</v>
      </c>
      <c r="M1510" s="17" t="n">
        <f aca="false">G1510*$F$7</f>
        <v>1518883.90993272</v>
      </c>
      <c r="N1510" s="18" t="n">
        <f aca="false">F1510/K1510</f>
        <v>617.552441953563</v>
      </c>
      <c r="O1510" s="18" t="n">
        <f aca="false">G1510/L1510</f>
        <v>1292.41557377049</v>
      </c>
      <c r="P1510" s="18" t="n">
        <f aca="false">M1510/L1510</f>
        <v>1244.98681142027</v>
      </c>
      <c r="Q1510" s="19" t="n">
        <f aca="false">IF(N1510=0,"n.a.",P1510/N1510-1)</f>
        <v>1.01600176250924</v>
      </c>
    </row>
    <row r="1511" customFormat="false" ht="15" hidden="false" customHeight="false" outlineLevel="0" collapsed="false">
      <c r="A1511" s="12" t="s">
        <v>3581</v>
      </c>
      <c r="B1511" s="12" t="s">
        <v>3455</v>
      </c>
      <c r="C1511" s="12" t="s">
        <v>3456</v>
      </c>
      <c r="D1511" s="12" t="s">
        <v>385</v>
      </c>
      <c r="E1511" s="12" t="s">
        <v>3582</v>
      </c>
      <c r="F1511" s="13" t="n">
        <v>129298</v>
      </c>
      <c r="G1511" s="13" t="n">
        <v>208707</v>
      </c>
      <c r="H1511" s="14" t="n">
        <v>1473</v>
      </c>
      <c r="I1511" s="14" t="n">
        <v>1184</v>
      </c>
      <c r="J1511" s="15" t="n">
        <f aca="false">I1511/H1511</f>
        <v>0.803801765105227</v>
      </c>
      <c r="K1511" s="16" t="n">
        <f aca="false">ROUND(I1511*J1511^($F$8-1),0)</f>
        <v>1245</v>
      </c>
      <c r="L1511" s="16" t="n">
        <f aca="false">ROUND(I1511*J1511^($F$9-1),0)</f>
        <v>1198</v>
      </c>
      <c r="M1511" s="17" t="n">
        <f aca="false">G1511*$F$7</f>
        <v>201047.919666458</v>
      </c>
      <c r="N1511" s="18" t="n">
        <f aca="false">F1511/K1511</f>
        <v>103.853815261044</v>
      </c>
      <c r="O1511" s="18" t="n">
        <f aca="false">G1511/L1511</f>
        <v>174.21285475793</v>
      </c>
      <c r="P1511" s="18" t="n">
        <f aca="false">M1511/L1511</f>
        <v>167.819632442787</v>
      </c>
      <c r="Q1511" s="19" t="n">
        <f aca="false">IF(N1511=0,"n.a.",P1511/N1511-1)</f>
        <v>0.61592168781628</v>
      </c>
    </row>
    <row r="1512" customFormat="false" ht="15" hidden="false" customHeight="false" outlineLevel="0" collapsed="false">
      <c r="A1512" s="12" t="s">
        <v>3583</v>
      </c>
      <c r="B1512" s="12" t="s">
        <v>3455</v>
      </c>
      <c r="C1512" s="12" t="s">
        <v>3456</v>
      </c>
      <c r="D1512" s="12" t="s">
        <v>646</v>
      </c>
      <c r="E1512" s="12" t="s">
        <v>3584</v>
      </c>
      <c r="F1512" s="13" t="n">
        <v>1826007</v>
      </c>
      <c r="G1512" s="13" t="n">
        <v>2369109</v>
      </c>
      <c r="H1512" s="14" t="n">
        <v>8519</v>
      </c>
      <c r="I1512" s="14" t="n">
        <v>8406</v>
      </c>
      <c r="J1512" s="15" t="n">
        <f aca="false">I1512/H1512</f>
        <v>0.986735532339476</v>
      </c>
      <c r="K1512" s="16" t="n">
        <f aca="false">ROUND(I1512*J1512^($F$8-1),0)</f>
        <v>8432</v>
      </c>
      <c r="L1512" s="16" t="n">
        <f aca="false">ROUND(I1512*J1512^($F$9-1),0)</f>
        <v>8412</v>
      </c>
      <c r="M1512" s="17" t="n">
        <f aca="false">G1512*$F$7</f>
        <v>2282167.99586542</v>
      </c>
      <c r="N1512" s="18" t="n">
        <f aca="false">F1512/K1512</f>
        <v>216.55680740038</v>
      </c>
      <c r="O1512" s="18" t="n">
        <f aca="false">G1512/L1512</f>
        <v>281.634450784593</v>
      </c>
      <c r="P1512" s="18" t="n">
        <f aca="false">M1512/L1512</f>
        <v>271.299096037258</v>
      </c>
      <c r="Q1512" s="19" t="n">
        <f aca="false">IF(N1512=0,"n.a.",P1512/N1512-1)</f>
        <v>0.252784889535561</v>
      </c>
    </row>
    <row r="1513" customFormat="false" ht="15" hidden="false" customHeight="false" outlineLevel="0" collapsed="false">
      <c r="A1513" s="12" t="s">
        <v>3585</v>
      </c>
      <c r="B1513" s="12" t="s">
        <v>3455</v>
      </c>
      <c r="C1513" s="12" t="s">
        <v>3456</v>
      </c>
      <c r="D1513" s="12" t="s">
        <v>388</v>
      </c>
      <c r="E1513" s="12" t="s">
        <v>3586</v>
      </c>
      <c r="F1513" s="13" t="n">
        <v>391695</v>
      </c>
      <c r="G1513" s="13" t="n">
        <v>362499</v>
      </c>
      <c r="H1513" s="14" t="n">
        <v>1429</v>
      </c>
      <c r="I1513" s="14" t="n">
        <v>1193</v>
      </c>
      <c r="J1513" s="15" t="n">
        <f aca="false">I1513/H1513</f>
        <v>0.834849545136459</v>
      </c>
      <c r="K1513" s="16" t="n">
        <f aca="false">ROUND(I1513*J1513^($F$8-1),0)</f>
        <v>1244</v>
      </c>
      <c r="L1513" s="16" t="n">
        <f aca="false">ROUND(I1513*J1513^($F$9-1),0)</f>
        <v>1204</v>
      </c>
      <c r="M1513" s="17" t="n">
        <f aca="false">G1513*$F$7</f>
        <v>349196.097069918</v>
      </c>
      <c r="N1513" s="18" t="n">
        <f aca="false">F1513/K1513</f>
        <v>314.867363344051</v>
      </c>
      <c r="O1513" s="18" t="n">
        <f aca="false">G1513/L1513</f>
        <v>301.078903654485</v>
      </c>
      <c r="P1513" s="18" t="n">
        <f aca="false">M1513/L1513</f>
        <v>290.029980955082</v>
      </c>
      <c r="Q1513" s="19" t="n">
        <f aca="false">IF(N1513=0,"n.a.",P1513/N1513-1)</f>
        <v>-0.0788820477460225</v>
      </c>
    </row>
    <row r="1514" customFormat="false" ht="15" hidden="false" customHeight="false" outlineLevel="0" collapsed="false">
      <c r="A1514" s="12" t="s">
        <v>3587</v>
      </c>
      <c r="B1514" s="12" t="s">
        <v>3455</v>
      </c>
      <c r="C1514" s="12" t="s">
        <v>3456</v>
      </c>
      <c r="D1514" s="12" t="s">
        <v>391</v>
      </c>
      <c r="E1514" s="12" t="s">
        <v>3588</v>
      </c>
      <c r="F1514" s="13" t="n">
        <v>337894</v>
      </c>
      <c r="G1514" s="13" t="n">
        <v>464082</v>
      </c>
      <c r="H1514" s="14" t="n">
        <v>1043</v>
      </c>
      <c r="I1514" s="14" t="n">
        <v>948</v>
      </c>
      <c r="J1514" s="15" t="n">
        <f aca="false">I1514/H1514</f>
        <v>0.908916586768936</v>
      </c>
      <c r="K1514" s="16" t="n">
        <f aca="false">ROUND(I1514*J1514^($F$8-1),0)</f>
        <v>969</v>
      </c>
      <c r="L1514" s="16" t="n">
        <f aca="false">ROUND(I1514*J1514^($F$9-1),0)</f>
        <v>953</v>
      </c>
      <c r="M1514" s="17" t="n">
        <f aca="false">G1514*$F$7</f>
        <v>447051.228059669</v>
      </c>
      <c r="N1514" s="18" t="n">
        <f aca="false">F1514/K1514</f>
        <v>348.703818369453</v>
      </c>
      <c r="O1514" s="18" t="n">
        <f aca="false">G1514/L1514</f>
        <v>486.969569779643</v>
      </c>
      <c r="P1514" s="18" t="n">
        <f aca="false">M1514/L1514</f>
        <v>469.098875193776</v>
      </c>
      <c r="Q1514" s="19" t="n">
        <f aca="false">IF(N1514=0,"n.a.",P1514/N1514-1)</f>
        <v>0.345264521011824</v>
      </c>
    </row>
    <row r="1515" customFormat="false" ht="15" hidden="false" customHeight="false" outlineLevel="0" collapsed="false">
      <c r="A1515" s="12" t="s">
        <v>3589</v>
      </c>
      <c r="B1515" s="12" t="s">
        <v>3455</v>
      </c>
      <c r="C1515" s="12" t="s">
        <v>3456</v>
      </c>
      <c r="D1515" s="12" t="s">
        <v>972</v>
      </c>
      <c r="E1515" s="12" t="s">
        <v>3590</v>
      </c>
      <c r="F1515" s="13" t="n">
        <v>626888</v>
      </c>
      <c r="G1515" s="13" t="n">
        <v>679304</v>
      </c>
      <c r="H1515" s="14" t="n">
        <v>4789</v>
      </c>
      <c r="I1515" s="14" t="n">
        <v>4003</v>
      </c>
      <c r="J1515" s="15" t="n">
        <f aca="false">I1515/H1515</f>
        <v>0.83587387763625</v>
      </c>
      <c r="K1515" s="16" t="n">
        <f aca="false">ROUND(I1515*J1515^($F$8-1),0)</f>
        <v>4172</v>
      </c>
      <c r="L1515" s="16" t="n">
        <f aca="false">ROUND(I1515*J1515^($F$9-1),0)</f>
        <v>4040</v>
      </c>
      <c r="M1515" s="17" t="n">
        <f aca="false">G1515*$F$7</f>
        <v>654375.061790471</v>
      </c>
      <c r="N1515" s="18" t="n">
        <f aca="false">F1515/K1515</f>
        <v>150.260786193672</v>
      </c>
      <c r="O1515" s="18" t="n">
        <f aca="false">G1515/L1515</f>
        <v>168.144554455446</v>
      </c>
      <c r="P1515" s="18" t="n">
        <f aca="false">M1515/L1515</f>
        <v>161.974025195661</v>
      </c>
      <c r="Q1515" s="19" t="n">
        <f aca="false">IF(N1515=0,"n.a.",P1515/N1515-1)</f>
        <v>0.0779527333691157</v>
      </c>
    </row>
    <row r="1516" customFormat="false" ht="15" hidden="false" customHeight="false" outlineLevel="0" collapsed="false">
      <c r="A1516" s="12" t="s">
        <v>3591</v>
      </c>
      <c r="B1516" s="12" t="s">
        <v>3455</v>
      </c>
      <c r="C1516" s="12" t="s">
        <v>3456</v>
      </c>
      <c r="D1516" s="12" t="s">
        <v>394</v>
      </c>
      <c r="E1516" s="12" t="s">
        <v>3592</v>
      </c>
      <c r="F1516" s="13" t="n">
        <v>4240924</v>
      </c>
      <c r="G1516" s="13" t="n">
        <v>2983612</v>
      </c>
      <c r="H1516" s="14" t="n">
        <v>13478</v>
      </c>
      <c r="I1516" s="14" t="n">
        <v>13023</v>
      </c>
      <c r="J1516" s="15" t="n">
        <f aca="false">I1516/H1516</f>
        <v>0.966241282089331</v>
      </c>
      <c r="K1516" s="16" t="n">
        <f aca="false">ROUND(I1516*J1516^($F$8-1),0)</f>
        <v>13127</v>
      </c>
      <c r="L1516" s="16" t="n">
        <f aca="false">ROUND(I1516*J1516^($F$9-1),0)</f>
        <v>13046</v>
      </c>
      <c r="M1516" s="17" t="n">
        <f aca="false">G1516*$F$7</f>
        <v>2874120.10949264</v>
      </c>
      <c r="N1516" s="18" t="n">
        <f aca="false">F1516/K1516</f>
        <v>323.068789517788</v>
      </c>
      <c r="O1516" s="18" t="n">
        <f aca="false">G1516/L1516</f>
        <v>228.699371454852</v>
      </c>
      <c r="P1516" s="18" t="n">
        <f aca="false">M1516/L1516</f>
        <v>220.306615782051</v>
      </c>
      <c r="Q1516" s="19" t="n">
        <f aca="false">IF(N1516=0,"n.a.",P1516/N1516-1)</f>
        <v>-0.318081402691727</v>
      </c>
    </row>
    <row r="1517" customFormat="false" ht="15" hidden="false" customHeight="false" outlineLevel="0" collapsed="false">
      <c r="A1517" s="12" t="s">
        <v>3593</v>
      </c>
      <c r="B1517" s="12" t="s">
        <v>3455</v>
      </c>
      <c r="C1517" s="12" t="s">
        <v>3456</v>
      </c>
      <c r="D1517" s="12" t="s">
        <v>976</v>
      </c>
      <c r="E1517" s="12" t="s">
        <v>3390</v>
      </c>
      <c r="F1517" s="13" t="n">
        <v>8326918</v>
      </c>
      <c r="G1517" s="13" t="n">
        <v>6661898</v>
      </c>
      <c r="H1517" s="14" t="n">
        <v>21692</v>
      </c>
      <c r="I1517" s="14" t="n">
        <v>21191</v>
      </c>
      <c r="J1517" s="15" t="n">
        <f aca="false">I1517/H1517</f>
        <v>0.976903927715287</v>
      </c>
      <c r="K1517" s="16" t="n">
        <f aca="false">ROUND(I1517*J1517^($F$8-1),0)</f>
        <v>21306</v>
      </c>
      <c r="L1517" s="16" t="n">
        <f aca="false">ROUND(I1517*J1517^($F$9-1),0)</f>
        <v>21217</v>
      </c>
      <c r="M1517" s="17" t="n">
        <f aca="false">G1517*$F$7</f>
        <v>6417421.23613554</v>
      </c>
      <c r="N1517" s="18" t="n">
        <f aca="false">F1517/K1517</f>
        <v>390.825025814325</v>
      </c>
      <c r="O1517" s="18" t="n">
        <f aca="false">G1517/L1517</f>
        <v>313.988688315973</v>
      </c>
      <c r="P1517" s="18" t="n">
        <f aca="false">M1517/L1517</f>
        <v>302.466005379438</v>
      </c>
      <c r="Q1517" s="19" t="n">
        <f aca="false">IF(N1517=0,"n.a.",P1517/N1517-1)</f>
        <v>-0.226083322711439</v>
      </c>
    </row>
    <row r="1518" customFormat="false" ht="15" hidden="false" customHeight="false" outlineLevel="0" collapsed="false">
      <c r="A1518" s="12" t="s">
        <v>3594</v>
      </c>
      <c r="B1518" s="12" t="s">
        <v>3455</v>
      </c>
      <c r="C1518" s="12" t="s">
        <v>3456</v>
      </c>
      <c r="D1518" s="12" t="s">
        <v>397</v>
      </c>
      <c r="E1518" s="12" t="s">
        <v>3595</v>
      </c>
      <c r="F1518" s="13" t="n">
        <v>7067998</v>
      </c>
      <c r="G1518" s="13" t="n">
        <v>4187708</v>
      </c>
      <c r="H1518" s="14" t="n">
        <v>14252</v>
      </c>
      <c r="I1518" s="14" t="n">
        <v>13779</v>
      </c>
      <c r="J1518" s="15" t="n">
        <f aca="false">I1518/H1518</f>
        <v>0.966811675554308</v>
      </c>
      <c r="K1518" s="16" t="n">
        <f aca="false">ROUND(I1518*J1518^($F$8-1),0)</f>
        <v>13887</v>
      </c>
      <c r="L1518" s="16" t="n">
        <f aca="false">ROUND(I1518*J1518^($F$9-1),0)</f>
        <v>13803</v>
      </c>
      <c r="M1518" s="17" t="n">
        <f aca="false">G1518*$F$7</f>
        <v>4034028.47806056</v>
      </c>
      <c r="N1518" s="18" t="n">
        <f aca="false">F1518/K1518</f>
        <v>508.965075250234</v>
      </c>
      <c r="O1518" s="18" t="n">
        <f aca="false">G1518/L1518</f>
        <v>303.391146852134</v>
      </c>
      <c r="P1518" s="18" t="n">
        <f aca="false">M1518/L1518</f>
        <v>292.257369996418</v>
      </c>
      <c r="Q1518" s="19" t="n">
        <f aca="false">IF(N1518=0,"n.a.",P1518/N1518-1)</f>
        <v>-0.425781091457545</v>
      </c>
    </row>
    <row r="1519" customFormat="false" ht="15" hidden="false" customHeight="false" outlineLevel="0" collapsed="false">
      <c r="A1519" s="12" t="s">
        <v>3596</v>
      </c>
      <c r="B1519" s="12" t="s">
        <v>3597</v>
      </c>
      <c r="C1519" s="12" t="s">
        <v>3598</v>
      </c>
      <c r="D1519" s="12" t="s">
        <v>46</v>
      </c>
      <c r="E1519" s="12" t="s">
        <v>3599</v>
      </c>
      <c r="F1519" s="13" t="n">
        <v>8177763</v>
      </c>
      <c r="G1519" s="13" t="n">
        <v>8663119</v>
      </c>
      <c r="H1519" s="14" t="n">
        <v>58502</v>
      </c>
      <c r="I1519" s="14" t="n">
        <v>60055</v>
      </c>
      <c r="J1519" s="15" t="n">
        <f aca="false">I1519/H1519</f>
        <v>1.026546100988</v>
      </c>
      <c r="K1519" s="16" t="n">
        <f aca="false">ROUND(I1519*J1519^($F$8-1),0)</f>
        <v>59693</v>
      </c>
      <c r="L1519" s="16" t="n">
        <f aca="false">ROUND(I1519*J1519^($F$9-1),0)</f>
        <v>59973</v>
      </c>
      <c r="M1519" s="17" t="n">
        <f aca="false">G1519*$F$7</f>
        <v>8345201.89918387</v>
      </c>
      <c r="N1519" s="18" t="n">
        <f aca="false">F1519/K1519</f>
        <v>136.997018075821</v>
      </c>
      <c r="O1519" s="18" t="n">
        <f aca="false">G1519/L1519</f>
        <v>144.450319310356</v>
      </c>
      <c r="P1519" s="18" t="n">
        <f aca="false">M1519/L1519</f>
        <v>139.149315511712</v>
      </c>
      <c r="Q1519" s="19" t="n">
        <f aca="false">IF(N1519=0,"n.a.",P1519/N1519-1)</f>
        <v>0.0157105422155908</v>
      </c>
    </row>
    <row r="1520" customFormat="false" ht="15" hidden="false" customHeight="false" outlineLevel="0" collapsed="false">
      <c r="A1520" s="12" t="s">
        <v>3600</v>
      </c>
      <c r="B1520" s="12" t="s">
        <v>3597</v>
      </c>
      <c r="C1520" s="12" t="s">
        <v>3598</v>
      </c>
      <c r="D1520" s="12" t="s">
        <v>48</v>
      </c>
      <c r="E1520" s="12" t="s">
        <v>3601</v>
      </c>
      <c r="F1520" s="13" t="n">
        <v>27033315</v>
      </c>
      <c r="G1520" s="13" t="n">
        <v>43439142</v>
      </c>
      <c r="H1520" s="14" t="n">
        <v>242721</v>
      </c>
      <c r="I1520" s="14" t="n">
        <v>248833</v>
      </c>
      <c r="J1520" s="15" t="n">
        <f aca="false">I1520/H1520</f>
        <v>1.02518117509404</v>
      </c>
      <c r="K1520" s="16" t="n">
        <f aca="false">ROUND(I1520*J1520^($F$8-1),0)</f>
        <v>247408</v>
      </c>
      <c r="L1520" s="16" t="n">
        <f aca="false">ROUND(I1520*J1520^($F$9-1),0)</f>
        <v>248512</v>
      </c>
      <c r="M1520" s="17" t="n">
        <f aca="false">G1520*$F$7</f>
        <v>41845022.5972099</v>
      </c>
      <c r="N1520" s="18" t="n">
        <f aca="false">F1520/K1520</f>
        <v>109.266131248787</v>
      </c>
      <c r="O1520" s="18" t="n">
        <f aca="false">G1520/L1520</f>
        <v>174.796959502962</v>
      </c>
      <c r="P1520" s="18" t="n">
        <f aca="false">M1520/L1520</f>
        <v>168.382301849447</v>
      </c>
      <c r="Q1520" s="19" t="n">
        <f aca="false">IF(N1520=0,"n.a.",P1520/N1520-1)</f>
        <v>0.541029227675853</v>
      </c>
    </row>
    <row r="1521" customFormat="false" ht="15" hidden="false" customHeight="false" outlineLevel="0" collapsed="false">
      <c r="A1521" s="12" t="s">
        <v>3602</v>
      </c>
      <c r="B1521" s="12" t="s">
        <v>3597</v>
      </c>
      <c r="C1521" s="12" t="s">
        <v>3598</v>
      </c>
      <c r="D1521" s="12" t="s">
        <v>51</v>
      </c>
      <c r="E1521" s="12" t="s">
        <v>3603</v>
      </c>
      <c r="F1521" s="13" t="n">
        <v>12621342</v>
      </c>
      <c r="G1521" s="13" t="n">
        <v>14301983</v>
      </c>
      <c r="H1521" s="14" t="n">
        <v>107676</v>
      </c>
      <c r="I1521" s="14" t="n">
        <v>120373</v>
      </c>
      <c r="J1521" s="15" t="n">
        <f aca="false">I1521/H1521</f>
        <v>1.11791857052639</v>
      </c>
      <c r="K1521" s="16" t="n">
        <f aca="false">ROUND(I1521*J1521^($F$8-1),0)</f>
        <v>117315</v>
      </c>
      <c r="L1521" s="16" t="n">
        <f aca="false">ROUND(I1521*J1521^($F$9-1),0)</f>
        <v>119678</v>
      </c>
      <c r="M1521" s="17" t="n">
        <f aca="false">G1521*$F$7</f>
        <v>13777132.1961173</v>
      </c>
      <c r="N1521" s="18" t="n">
        <f aca="false">F1521/K1521</f>
        <v>107.585065848357</v>
      </c>
      <c r="O1521" s="18" t="n">
        <f aca="false">G1521/L1521</f>
        <v>119.503860358629</v>
      </c>
      <c r="P1521" s="18" t="n">
        <f aca="false">M1521/L1521</f>
        <v>115.118335835469</v>
      </c>
      <c r="Q1521" s="19" t="n">
        <f aca="false">IF(N1521=0,"n.a.",P1521/N1521-1)</f>
        <v>0.0700215213673856</v>
      </c>
    </row>
    <row r="1522" customFormat="false" ht="15" hidden="false" customHeight="false" outlineLevel="0" collapsed="false">
      <c r="A1522" s="12" t="s">
        <v>3604</v>
      </c>
      <c r="B1522" s="12" t="s">
        <v>3597</v>
      </c>
      <c r="C1522" s="12" t="s">
        <v>3598</v>
      </c>
      <c r="D1522" s="12" t="s">
        <v>54</v>
      </c>
      <c r="E1522" s="12" t="s">
        <v>3605</v>
      </c>
      <c r="F1522" s="13" t="n">
        <v>406515722</v>
      </c>
      <c r="G1522" s="13" t="n">
        <v>396803770</v>
      </c>
      <c r="H1522" s="14" t="n">
        <v>680974</v>
      </c>
      <c r="I1522" s="14" t="n">
        <v>704777</v>
      </c>
      <c r="J1522" s="15" t="n">
        <f aca="false">I1522/H1522</f>
        <v>1.03495434480612</v>
      </c>
      <c r="K1522" s="16" t="n">
        <f aca="false">ROUND(I1522*J1522^($F$8-1),0)</f>
        <v>699208</v>
      </c>
      <c r="L1522" s="16" t="n">
        <f aca="false">ROUND(I1522*J1522^($F$9-1),0)</f>
        <v>703520</v>
      </c>
      <c r="M1522" s="17" t="n">
        <f aca="false">G1522*$F$7</f>
        <v>382241958.699554</v>
      </c>
      <c r="N1522" s="18" t="n">
        <f aca="false">F1522/K1522</f>
        <v>581.394552121829</v>
      </c>
      <c r="O1522" s="18" t="n">
        <f aca="false">G1522/L1522</f>
        <v>564.026282124176</v>
      </c>
      <c r="P1522" s="18" t="n">
        <f aca="false">M1522/L1522</f>
        <v>543.327778456268</v>
      </c>
      <c r="Q1522" s="19" t="n">
        <f aca="false">IF(N1522=0,"n.a.",P1522/N1522-1)</f>
        <v>-0.065474940428379</v>
      </c>
    </row>
    <row r="1523" customFormat="false" ht="15" hidden="false" customHeight="false" outlineLevel="0" collapsed="false">
      <c r="A1523" s="12" t="s">
        <v>3606</v>
      </c>
      <c r="B1523" s="12" t="s">
        <v>3597</v>
      </c>
      <c r="C1523" s="12" t="s">
        <v>3598</v>
      </c>
      <c r="D1523" s="12" t="s">
        <v>57</v>
      </c>
      <c r="E1523" s="12" t="s">
        <v>3607</v>
      </c>
      <c r="F1523" s="13" t="n">
        <v>34726462</v>
      </c>
      <c r="G1523" s="13" t="n">
        <v>37327803</v>
      </c>
      <c r="H1523" s="14" t="n">
        <v>214284</v>
      </c>
      <c r="I1523" s="14" t="n">
        <v>218111</v>
      </c>
      <c r="J1523" s="15" t="n">
        <f aca="false">I1523/H1523</f>
        <v>1.01785947620914</v>
      </c>
      <c r="K1523" s="16" t="n">
        <f aca="false">ROUND(I1523*J1523^($F$8-1),0)</f>
        <v>217221</v>
      </c>
      <c r="L1523" s="16" t="n">
        <f aca="false">ROUND(I1523*J1523^($F$9-1),0)</f>
        <v>217910</v>
      </c>
      <c r="M1523" s="17" t="n">
        <f aca="false">G1523*$F$7</f>
        <v>35957956.0765541</v>
      </c>
      <c r="N1523" s="18" t="n">
        <f aca="false">F1523/K1523</f>
        <v>159.866964980366</v>
      </c>
      <c r="O1523" s="18" t="n">
        <f aca="false">G1523/L1523</f>
        <v>171.299173970905</v>
      </c>
      <c r="P1523" s="18" t="n">
        <f aca="false">M1523/L1523</f>
        <v>165.012877227085</v>
      </c>
      <c r="Q1523" s="19" t="n">
        <f aca="false">IF(N1523=0,"n.a.",P1523/N1523-1)</f>
        <v>0.0321887154569522</v>
      </c>
    </row>
    <row r="1524" customFormat="false" ht="15" hidden="false" customHeight="false" outlineLevel="0" collapsed="false">
      <c r="A1524" s="12" t="s">
        <v>3608</v>
      </c>
      <c r="B1524" s="12" t="s">
        <v>3597</v>
      </c>
      <c r="C1524" s="12" t="s">
        <v>3598</v>
      </c>
      <c r="D1524" s="12" t="s">
        <v>60</v>
      </c>
      <c r="E1524" s="12" t="s">
        <v>3609</v>
      </c>
      <c r="F1524" s="13" t="n">
        <v>18281587</v>
      </c>
      <c r="G1524" s="13" t="n">
        <v>21348454</v>
      </c>
      <c r="H1524" s="14" t="n">
        <v>137107</v>
      </c>
      <c r="I1524" s="14" t="n">
        <v>148150</v>
      </c>
      <c r="J1524" s="15" t="n">
        <f aca="false">I1524/H1524</f>
        <v>1.08054293362119</v>
      </c>
      <c r="K1524" s="16" t="n">
        <f aca="false">ROUND(I1524*J1524^($F$8-1),0)</f>
        <v>145524</v>
      </c>
      <c r="L1524" s="16" t="n">
        <f aca="false">ROUND(I1524*J1524^($F$9-1),0)</f>
        <v>147555</v>
      </c>
      <c r="M1524" s="17" t="n">
        <f aca="false">G1524*$F$7</f>
        <v>20565013.4628694</v>
      </c>
      <c r="N1524" s="18" t="n">
        <f aca="false">F1524/K1524</f>
        <v>125.625924246172</v>
      </c>
      <c r="O1524" s="18" t="n">
        <f aca="false">G1524/L1524</f>
        <v>144.681332384535</v>
      </c>
      <c r="P1524" s="18" t="n">
        <f aca="false">M1524/L1524</f>
        <v>139.371850922499</v>
      </c>
      <c r="Q1524" s="19" t="n">
        <f aca="false">IF(N1524=0,"n.a.",P1524/N1524-1)</f>
        <v>0.109419506831972</v>
      </c>
    </row>
    <row r="1525" customFormat="false" ht="15" hidden="false" customHeight="false" outlineLevel="0" collapsed="false">
      <c r="A1525" s="12" t="s">
        <v>3610</v>
      </c>
      <c r="B1525" s="12" t="s">
        <v>3597</v>
      </c>
      <c r="C1525" s="12" t="s">
        <v>3598</v>
      </c>
      <c r="D1525" s="12" t="s">
        <v>63</v>
      </c>
      <c r="E1525" s="12" t="s">
        <v>521</v>
      </c>
      <c r="F1525" s="13" t="n">
        <v>7300226</v>
      </c>
      <c r="G1525" s="13" t="n">
        <v>10382146</v>
      </c>
      <c r="H1525" s="14" t="n">
        <v>32172</v>
      </c>
      <c r="I1525" s="14" t="n">
        <v>31488</v>
      </c>
      <c r="J1525" s="15" t="n">
        <f aca="false">I1525/H1525</f>
        <v>0.978739276389407</v>
      </c>
      <c r="K1525" s="16" t="n">
        <f aca="false">ROUND(I1525*J1525^($F$8-1),0)</f>
        <v>31645</v>
      </c>
      <c r="L1525" s="16" t="n">
        <f aca="false">ROUND(I1525*J1525^($F$9-1),0)</f>
        <v>31523</v>
      </c>
      <c r="M1525" s="17" t="n">
        <f aca="false">G1525*$F$7</f>
        <v>10001144.4511849</v>
      </c>
      <c r="N1525" s="18" t="n">
        <f aca="false">F1525/K1525</f>
        <v>230.691294043293</v>
      </c>
      <c r="O1525" s="18" t="n">
        <f aca="false">G1525/L1525</f>
        <v>329.351457665831</v>
      </c>
      <c r="P1525" s="18" t="n">
        <f aca="false">M1525/L1525</f>
        <v>317.264995437772</v>
      </c>
      <c r="Q1525" s="19" t="n">
        <f aca="false">IF(N1525=0,"n.a.",P1525/N1525-1)</f>
        <v>0.375279447599058</v>
      </c>
    </row>
    <row r="1526" customFormat="false" ht="15" hidden="false" customHeight="false" outlineLevel="0" collapsed="false">
      <c r="A1526" s="12" t="s">
        <v>3611</v>
      </c>
      <c r="B1526" s="12" t="s">
        <v>3597</v>
      </c>
      <c r="C1526" s="12" t="s">
        <v>3598</v>
      </c>
      <c r="D1526" s="12" t="s">
        <v>66</v>
      </c>
      <c r="E1526" s="12" t="s">
        <v>3612</v>
      </c>
      <c r="F1526" s="13" t="n">
        <v>20119512</v>
      </c>
      <c r="G1526" s="13" t="n">
        <v>26787252</v>
      </c>
      <c r="H1526" s="14" t="n">
        <v>190278</v>
      </c>
      <c r="I1526" s="14" t="n">
        <v>212490</v>
      </c>
      <c r="J1526" s="15" t="n">
        <f aca="false">I1526/H1526</f>
        <v>1.11673446220793</v>
      </c>
      <c r="K1526" s="16" t="n">
        <f aca="false">ROUND(I1526*J1526^($F$8-1),0)</f>
        <v>207142</v>
      </c>
      <c r="L1526" s="16" t="n">
        <f aca="false">ROUND(I1526*J1526^($F$9-1),0)</f>
        <v>211274</v>
      </c>
      <c r="M1526" s="17" t="n">
        <f aca="false">G1526*$F$7</f>
        <v>25804219.7347534</v>
      </c>
      <c r="N1526" s="18" t="n">
        <f aca="false">F1526/K1526</f>
        <v>97.1290805341264</v>
      </c>
      <c r="O1526" s="18" t="n">
        <f aca="false">G1526/L1526</f>
        <v>126.789155314899</v>
      </c>
      <c r="P1526" s="18" t="n">
        <f aca="false">M1526/L1526</f>
        <v>122.13627675319</v>
      </c>
      <c r="Q1526" s="19" t="n">
        <f aca="false">IF(N1526=0,"n.a.",P1526/N1526-1)</f>
        <v>0.257463532873422</v>
      </c>
    </row>
    <row r="1527" customFormat="false" ht="15" hidden="false" customHeight="false" outlineLevel="0" collapsed="false">
      <c r="A1527" s="12" t="s">
        <v>3613</v>
      </c>
      <c r="B1527" s="12" t="s">
        <v>3597</v>
      </c>
      <c r="C1527" s="12" t="s">
        <v>3598</v>
      </c>
      <c r="D1527" s="12" t="s">
        <v>69</v>
      </c>
      <c r="E1527" s="12" t="s">
        <v>3614</v>
      </c>
      <c r="F1527" s="13" t="n">
        <v>3528367</v>
      </c>
      <c r="G1527" s="13" t="n">
        <v>6848497</v>
      </c>
      <c r="H1527" s="14" t="n">
        <v>37716</v>
      </c>
      <c r="I1527" s="14" t="n">
        <v>38870</v>
      </c>
      <c r="J1527" s="15" t="n">
        <f aca="false">I1527/H1527</f>
        <v>1.03059709407148</v>
      </c>
      <c r="K1527" s="16" t="n">
        <f aca="false">ROUND(I1527*J1527^($F$8-1),0)</f>
        <v>38600</v>
      </c>
      <c r="L1527" s="16" t="n">
        <f aca="false">ROUND(I1527*J1527^($F$9-1),0)</f>
        <v>38809</v>
      </c>
      <c r="M1527" s="17" t="n">
        <f aca="false">G1527*$F$7</f>
        <v>6597172.46997935</v>
      </c>
      <c r="N1527" s="18" t="n">
        <f aca="false">F1527/K1527</f>
        <v>91.4084715025907</v>
      </c>
      <c r="O1527" s="18" t="n">
        <f aca="false">G1527/L1527</f>
        <v>176.466721636734</v>
      </c>
      <c r="P1527" s="18" t="n">
        <f aca="false">M1527/L1527</f>
        <v>169.990787445679</v>
      </c>
      <c r="Q1527" s="19" t="n">
        <f aca="false">IF(N1527=0,"n.a.",P1527/N1527-1)</f>
        <v>0.859683075882755</v>
      </c>
    </row>
    <row r="1528" customFormat="false" ht="15" hidden="false" customHeight="false" outlineLevel="0" collapsed="false">
      <c r="A1528" s="12" t="s">
        <v>3615</v>
      </c>
      <c r="B1528" s="12" t="s">
        <v>3597</v>
      </c>
      <c r="C1528" s="12" t="s">
        <v>3598</v>
      </c>
      <c r="D1528" s="12" t="s">
        <v>72</v>
      </c>
      <c r="E1528" s="12" t="s">
        <v>3616</v>
      </c>
      <c r="F1528" s="13" t="n">
        <v>8271649</v>
      </c>
      <c r="G1528" s="13" t="n">
        <v>15329728</v>
      </c>
      <c r="H1528" s="14" t="n">
        <v>91145</v>
      </c>
      <c r="I1528" s="14" t="n">
        <v>100493</v>
      </c>
      <c r="J1528" s="15" t="n">
        <f aca="false">I1528/H1528</f>
        <v>1.10256185199408</v>
      </c>
      <c r="K1528" s="16" t="n">
        <f aca="false">ROUND(I1528*J1528^($F$8-1),0)</f>
        <v>98253</v>
      </c>
      <c r="L1528" s="16" t="n">
        <f aca="false">ROUND(I1528*J1528^($F$9-1),0)</f>
        <v>99984</v>
      </c>
      <c r="M1528" s="17" t="n">
        <f aca="false">G1528*$F$7</f>
        <v>14767161.2521509</v>
      </c>
      <c r="N1528" s="18" t="n">
        <f aca="false">F1528/K1528</f>
        <v>84.1872411020529</v>
      </c>
      <c r="O1528" s="18" t="n">
        <f aca="false">G1528/L1528</f>
        <v>153.321811489838</v>
      </c>
      <c r="P1528" s="18" t="n">
        <f aca="false">M1528/L1528</f>
        <v>147.695243760511</v>
      </c>
      <c r="Q1528" s="19" t="n">
        <f aca="false">IF(N1528=0,"n.a.",P1528/N1528-1)</f>
        <v>0.754366122788993</v>
      </c>
    </row>
    <row r="1529" customFormat="false" ht="15" hidden="false" customHeight="false" outlineLevel="0" collapsed="false">
      <c r="A1529" s="12" t="s">
        <v>3617</v>
      </c>
      <c r="B1529" s="12" t="s">
        <v>3597</v>
      </c>
      <c r="C1529" s="12" t="s">
        <v>3598</v>
      </c>
      <c r="D1529" s="12" t="s">
        <v>75</v>
      </c>
      <c r="E1529" s="12" t="s">
        <v>3618</v>
      </c>
      <c r="F1529" s="13" t="n">
        <v>1066647</v>
      </c>
      <c r="G1529" s="13" t="n">
        <v>1105888</v>
      </c>
      <c r="H1529" s="14" t="n">
        <v>30798</v>
      </c>
      <c r="I1529" s="14" t="n">
        <v>32876</v>
      </c>
      <c r="J1529" s="15" t="n">
        <f aca="false">I1529/H1529</f>
        <v>1.06747191376063</v>
      </c>
      <c r="K1529" s="16" t="n">
        <f aca="false">ROUND(I1529*J1529^($F$8-1),0)</f>
        <v>32384</v>
      </c>
      <c r="L1529" s="16" t="n">
        <f aca="false">ROUND(I1529*J1529^($F$9-1),0)</f>
        <v>32765</v>
      </c>
      <c r="M1529" s="17" t="n">
        <f aca="false">G1529*$F$7</f>
        <v>1065304.38262301</v>
      </c>
      <c r="N1529" s="18" t="n">
        <f aca="false">F1529/K1529</f>
        <v>32.9374691205534</v>
      </c>
      <c r="O1529" s="18" t="n">
        <f aca="false">G1529/L1529</f>
        <v>33.7521135357851</v>
      </c>
      <c r="P1529" s="18" t="n">
        <f aca="false">M1529/L1529</f>
        <v>32.5134864221886</v>
      </c>
      <c r="Q1529" s="19" t="n">
        <f aca="false">IF(N1529=0,"n.a.",P1529/N1529-1)</f>
        <v>-0.0128723520563458</v>
      </c>
    </row>
    <row r="1530" customFormat="false" ht="15" hidden="false" customHeight="false" outlineLevel="0" collapsed="false">
      <c r="A1530" s="12" t="s">
        <v>3619</v>
      </c>
      <c r="B1530" s="12" t="s">
        <v>3597</v>
      </c>
      <c r="C1530" s="12" t="s">
        <v>3598</v>
      </c>
      <c r="D1530" s="12" t="s">
        <v>129</v>
      </c>
      <c r="E1530" s="12" t="s">
        <v>3620</v>
      </c>
      <c r="F1530" s="13" t="n">
        <v>37095356</v>
      </c>
      <c r="G1530" s="13" t="n">
        <v>23602164</v>
      </c>
      <c r="H1530" s="14" t="n">
        <v>158376</v>
      </c>
      <c r="I1530" s="14" t="n">
        <v>170217</v>
      </c>
      <c r="J1530" s="15" t="n">
        <f aca="false">I1530/H1530</f>
        <v>1.07476511592666</v>
      </c>
      <c r="K1530" s="16" t="n">
        <f aca="false">ROUND(I1530*J1530^($F$8-1),0)</f>
        <v>167407</v>
      </c>
      <c r="L1530" s="16" t="n">
        <f aca="false">ROUND(I1530*J1530^($F$9-1),0)</f>
        <v>169580</v>
      </c>
      <c r="M1530" s="17" t="n">
        <f aca="false">G1530*$F$7</f>
        <v>22736017.3440593</v>
      </c>
      <c r="N1530" s="18" t="n">
        <f aca="false">F1530/K1530</f>
        <v>221.587842802272</v>
      </c>
      <c r="O1530" s="18" t="n">
        <f aca="false">G1530/L1530</f>
        <v>139.180115579667</v>
      </c>
      <c r="P1530" s="18" t="n">
        <f aca="false">M1530/L1530</f>
        <v>134.072516476349</v>
      </c>
      <c r="Q1530" s="19" t="n">
        <f aca="false">IF(N1530=0,"n.a.",P1530/N1530-1)</f>
        <v>-0.394946424944509</v>
      </c>
    </row>
    <row r="1531" customFormat="false" ht="15" hidden="false" customHeight="false" outlineLevel="0" collapsed="false">
      <c r="A1531" s="12" t="s">
        <v>3621</v>
      </c>
      <c r="B1531" s="12" t="s">
        <v>3597</v>
      </c>
      <c r="C1531" s="12" t="s">
        <v>3598</v>
      </c>
      <c r="D1531" s="12" t="s">
        <v>132</v>
      </c>
      <c r="E1531" s="12" t="s">
        <v>3622</v>
      </c>
      <c r="F1531" s="13" t="n">
        <v>40285713</v>
      </c>
      <c r="G1531" s="13" t="n">
        <v>54179128</v>
      </c>
      <c r="H1531" s="14" t="n">
        <v>150300</v>
      </c>
      <c r="I1531" s="14" t="n">
        <v>153126</v>
      </c>
      <c r="J1531" s="15" t="n">
        <f aca="false">I1531/H1531</f>
        <v>1.01880239520958</v>
      </c>
      <c r="K1531" s="16" t="n">
        <f aca="false">ROUND(I1531*J1531^($F$8-1),0)</f>
        <v>152469</v>
      </c>
      <c r="L1531" s="16" t="n">
        <f aca="false">ROUND(I1531*J1531^($F$9-1),0)</f>
        <v>152978</v>
      </c>
      <c r="M1531" s="17" t="n">
        <f aca="false">G1531*$F$7</f>
        <v>52190875.1203494</v>
      </c>
      <c r="N1531" s="18" t="n">
        <f aca="false">F1531/K1531</f>
        <v>264.222320602877</v>
      </c>
      <c r="O1531" s="18" t="n">
        <f aca="false">G1531/L1531</f>
        <v>354.162873092863</v>
      </c>
      <c r="P1531" s="18" t="n">
        <f aca="false">M1531/L1531</f>
        <v>341.165887384783</v>
      </c>
      <c r="Q1531" s="19" t="n">
        <f aca="false">IF(N1531=0,"n.a.",P1531/N1531-1)</f>
        <v>0.291207671654478</v>
      </c>
    </row>
    <row r="1532" customFormat="false" ht="15" hidden="false" customHeight="false" outlineLevel="0" collapsed="false">
      <c r="A1532" s="12" t="s">
        <v>3623</v>
      </c>
      <c r="B1532" s="12" t="s">
        <v>3597</v>
      </c>
      <c r="C1532" s="12" t="s">
        <v>3598</v>
      </c>
      <c r="D1532" s="12" t="s">
        <v>163</v>
      </c>
      <c r="E1532" s="12" t="s">
        <v>3624</v>
      </c>
      <c r="F1532" s="13" t="n">
        <v>17770817</v>
      </c>
      <c r="G1532" s="13" t="n">
        <v>20188542</v>
      </c>
      <c r="H1532" s="14" t="n">
        <v>96701</v>
      </c>
      <c r="I1532" s="14" t="n">
        <v>113994</v>
      </c>
      <c r="J1532" s="15" t="n">
        <f aca="false">I1532/H1532</f>
        <v>1.17882958811181</v>
      </c>
      <c r="K1532" s="16" t="n">
        <f aca="false">ROUND(I1532*J1532^($F$8-1),0)</f>
        <v>109745</v>
      </c>
      <c r="L1532" s="16" t="n">
        <f aca="false">ROUND(I1532*J1532^($F$9-1),0)</f>
        <v>113024</v>
      </c>
      <c r="M1532" s="17" t="n">
        <f aca="false">G1532*$F$7</f>
        <v>19447667.6402752</v>
      </c>
      <c r="N1532" s="18" t="n">
        <f aca="false">F1532/K1532</f>
        <v>161.928260968609</v>
      </c>
      <c r="O1532" s="18" t="n">
        <f aca="false">G1532/L1532</f>
        <v>178.621726359003</v>
      </c>
      <c r="P1532" s="18" t="n">
        <f aca="false">M1532/L1532</f>
        <v>172.066708312175</v>
      </c>
      <c r="Q1532" s="19" t="n">
        <f aca="false">IF(N1532=0,"n.a.",P1532/N1532-1)</f>
        <v>0.0626107344259748</v>
      </c>
    </row>
    <row r="1533" customFormat="false" ht="15" hidden="false" customHeight="false" outlineLevel="0" collapsed="false">
      <c r="A1533" s="12" t="s">
        <v>3625</v>
      </c>
      <c r="B1533" s="12" t="s">
        <v>3597</v>
      </c>
      <c r="C1533" s="12" t="s">
        <v>3598</v>
      </c>
      <c r="D1533" s="12" t="s">
        <v>166</v>
      </c>
      <c r="E1533" s="12" t="s">
        <v>3626</v>
      </c>
      <c r="F1533" s="13" t="n">
        <v>4312768</v>
      </c>
      <c r="G1533" s="13" t="n">
        <v>5242616</v>
      </c>
      <c r="H1533" s="14" t="n">
        <v>47766</v>
      </c>
      <c r="I1533" s="14" t="n">
        <v>47651</v>
      </c>
      <c r="J1533" s="15" t="n">
        <f aca="false">I1533/H1533</f>
        <v>0.997592429761755</v>
      </c>
      <c r="K1533" s="16" t="n">
        <f aca="false">ROUND(I1533*J1533^($F$8-1),0)</f>
        <v>47678</v>
      </c>
      <c r="L1533" s="16" t="n">
        <f aca="false">ROUND(I1533*J1533^($F$9-1),0)</f>
        <v>47657</v>
      </c>
      <c r="M1533" s="17" t="n">
        <f aca="false">G1533*$F$7</f>
        <v>5050223.7127173</v>
      </c>
      <c r="N1533" s="18" t="n">
        <f aca="false">F1533/K1533</f>
        <v>90.4561432946013</v>
      </c>
      <c r="O1533" s="18" t="n">
        <f aca="false">G1533/L1533</f>
        <v>110.00726021361</v>
      </c>
      <c r="P1533" s="18" t="n">
        <f aca="false">M1533/L1533</f>
        <v>105.970239686033</v>
      </c>
      <c r="Q1533" s="19" t="n">
        <f aca="false">IF(N1533=0,"n.a.",P1533/N1533-1)</f>
        <v>0.17150959378077</v>
      </c>
    </row>
    <row r="1534" customFormat="false" ht="15" hidden="false" customHeight="false" outlineLevel="0" collapsed="false">
      <c r="A1534" s="12" t="s">
        <v>3627</v>
      </c>
      <c r="B1534" s="12" t="s">
        <v>3597</v>
      </c>
      <c r="C1534" s="12" t="s">
        <v>3598</v>
      </c>
      <c r="D1534" s="12" t="s">
        <v>169</v>
      </c>
      <c r="E1534" s="12" t="s">
        <v>3628</v>
      </c>
      <c r="F1534" s="13" t="n">
        <v>8684885</v>
      </c>
      <c r="G1534" s="13" t="n">
        <v>10696961</v>
      </c>
      <c r="H1534" s="14" t="n">
        <v>58669</v>
      </c>
      <c r="I1534" s="14" t="n">
        <v>54507</v>
      </c>
      <c r="J1534" s="15" t="n">
        <f aca="false">I1534/H1534</f>
        <v>0.929059639673422</v>
      </c>
      <c r="K1534" s="16" t="n">
        <f aca="false">ROUND(I1534*J1534^($F$8-1),0)</f>
        <v>55441</v>
      </c>
      <c r="L1534" s="16" t="n">
        <f aca="false">ROUND(I1534*J1534^($F$9-1),0)</f>
        <v>54716</v>
      </c>
      <c r="M1534" s="17" t="n">
        <f aca="false">G1534*$F$7</f>
        <v>10304406.4444568</v>
      </c>
      <c r="N1534" s="18" t="n">
        <f aca="false">F1534/K1534</f>
        <v>156.650944247037</v>
      </c>
      <c r="O1534" s="18" t="n">
        <f aca="false">G1534/L1534</f>
        <v>195.499689304774</v>
      </c>
      <c r="P1534" s="18" t="n">
        <f aca="false">M1534/L1534</f>
        <v>188.32528774868</v>
      </c>
      <c r="Q1534" s="19" t="n">
        <f aca="false">IF(N1534=0,"n.a.",P1534/N1534-1)</f>
        <v>0.202196952299835</v>
      </c>
    </row>
    <row r="1535" customFormat="false" ht="15" hidden="false" customHeight="false" outlineLevel="0" collapsed="false">
      <c r="A1535" s="12" t="s">
        <v>3629</v>
      </c>
      <c r="B1535" s="12" t="s">
        <v>3597</v>
      </c>
      <c r="C1535" s="12" t="s">
        <v>3598</v>
      </c>
      <c r="D1535" s="12" t="s">
        <v>172</v>
      </c>
      <c r="E1535" s="12" t="s">
        <v>3630</v>
      </c>
      <c r="F1535" s="13" t="n">
        <v>8592632</v>
      </c>
      <c r="G1535" s="13" t="n">
        <v>11052976</v>
      </c>
      <c r="H1535" s="14" t="n">
        <v>61925</v>
      </c>
      <c r="I1535" s="14" t="n">
        <v>65226</v>
      </c>
      <c r="J1535" s="15" t="n">
        <f aca="false">I1535/H1535</f>
        <v>1.05330641905531</v>
      </c>
      <c r="K1535" s="16" t="n">
        <f aca="false">ROUND(I1535*J1535^($F$8-1),0)</f>
        <v>64449</v>
      </c>
      <c r="L1535" s="16" t="n">
        <f aca="false">ROUND(I1535*J1535^($F$9-1),0)</f>
        <v>65050</v>
      </c>
      <c r="M1535" s="17" t="n">
        <f aca="false">G1535*$F$7</f>
        <v>10647356.4898316</v>
      </c>
      <c r="N1535" s="18" t="n">
        <f aca="false">F1535/K1535</f>
        <v>133.32452016323</v>
      </c>
      <c r="O1535" s="18" t="n">
        <f aca="false">G1535/L1535</f>
        <v>169.915080707148</v>
      </c>
      <c r="P1535" s="18" t="n">
        <f aca="false">M1535/L1535</f>
        <v>163.679577091954</v>
      </c>
      <c r="Q1535" s="19" t="n">
        <f aca="false">IF(N1535=0,"n.a.",P1535/N1535-1)</f>
        <v>0.227677976200933</v>
      </c>
    </row>
    <row r="1536" customFormat="false" ht="15" hidden="false" customHeight="false" outlineLevel="0" collapsed="false">
      <c r="A1536" s="12" t="s">
        <v>3631</v>
      </c>
      <c r="B1536" s="12" t="s">
        <v>3632</v>
      </c>
      <c r="C1536" s="12" t="s">
        <v>3633</v>
      </c>
      <c r="D1536" s="12" t="s">
        <v>46</v>
      </c>
      <c r="E1536" s="12" t="s">
        <v>137</v>
      </c>
      <c r="F1536" s="13" t="n">
        <v>1354293</v>
      </c>
      <c r="G1536" s="13" t="n">
        <v>1803190</v>
      </c>
      <c r="H1536" s="14" t="n">
        <v>9822</v>
      </c>
      <c r="I1536" s="14" t="n">
        <v>8527</v>
      </c>
      <c r="J1536" s="15" t="n">
        <f aca="false">I1536/H1536</f>
        <v>0.868153125636327</v>
      </c>
      <c r="K1536" s="16" t="n">
        <f aca="false">ROUND(I1536*J1536^($F$8-1),0)</f>
        <v>8810</v>
      </c>
      <c r="L1536" s="16" t="n">
        <f aca="false">ROUND(I1536*J1536^($F$9-1),0)</f>
        <v>8590</v>
      </c>
      <c r="M1536" s="17" t="n">
        <f aca="false">G1536*$F$7</f>
        <v>1737016.95804818</v>
      </c>
      <c r="N1536" s="18" t="n">
        <f aca="false">F1536/K1536</f>
        <v>153.722247446084</v>
      </c>
      <c r="O1536" s="18" t="n">
        <f aca="false">G1536/L1536</f>
        <v>209.917345750873</v>
      </c>
      <c r="P1536" s="18" t="n">
        <f aca="false">M1536/L1536</f>
        <v>202.213848434014</v>
      </c>
      <c r="Q1536" s="19" t="n">
        <f aca="false">IF(N1536=0,"n.a.",P1536/N1536-1)</f>
        <v>0.315449466772449</v>
      </c>
    </row>
    <row r="1537" customFormat="false" ht="15" hidden="false" customHeight="false" outlineLevel="0" collapsed="false">
      <c r="A1537" s="12" t="s">
        <v>3634</v>
      </c>
      <c r="B1537" s="12" t="s">
        <v>3632</v>
      </c>
      <c r="C1537" s="12" t="s">
        <v>3633</v>
      </c>
      <c r="D1537" s="12" t="s">
        <v>48</v>
      </c>
      <c r="E1537" s="12" t="s">
        <v>530</v>
      </c>
      <c r="F1537" s="13" t="n">
        <v>5556382</v>
      </c>
      <c r="G1537" s="13" t="n">
        <v>7545447</v>
      </c>
      <c r="H1537" s="14" t="n">
        <v>28705</v>
      </c>
      <c r="I1537" s="14" t="n">
        <v>26795</v>
      </c>
      <c r="J1537" s="15" t="n">
        <f aca="false">I1537/H1537</f>
        <v>0.933461069500087</v>
      </c>
      <c r="K1537" s="16" t="n">
        <f aca="false">ROUND(I1537*J1537^($F$8-1),0)</f>
        <v>27224</v>
      </c>
      <c r="L1537" s="16" t="n">
        <f aca="false">ROUND(I1537*J1537^($F$9-1),0)</f>
        <v>26891</v>
      </c>
      <c r="M1537" s="17" t="n">
        <f aca="false">G1537*$F$7</f>
        <v>7268545.96301762</v>
      </c>
      <c r="N1537" s="18" t="n">
        <f aca="false">F1537/K1537</f>
        <v>204.098662944461</v>
      </c>
      <c r="O1537" s="18" t="n">
        <f aca="false">G1537/L1537</f>
        <v>280.593767431483</v>
      </c>
      <c r="P1537" s="18" t="n">
        <f aca="false">M1537/L1537</f>
        <v>270.296603436749</v>
      </c>
      <c r="Q1537" s="19" t="n">
        <f aca="false">IF(N1537=0,"n.a.",P1537/N1537-1)</f>
        <v>0.324342842511919</v>
      </c>
    </row>
    <row r="1538" customFormat="false" ht="15" hidden="false" customHeight="false" outlineLevel="0" collapsed="false">
      <c r="A1538" s="12" t="s">
        <v>3635</v>
      </c>
      <c r="B1538" s="12" t="s">
        <v>3632</v>
      </c>
      <c r="C1538" s="12" t="s">
        <v>3633</v>
      </c>
      <c r="D1538" s="12" t="s">
        <v>51</v>
      </c>
      <c r="E1538" s="12" t="s">
        <v>3636</v>
      </c>
      <c r="F1538" s="13" t="n">
        <v>138896943</v>
      </c>
      <c r="G1538" s="13" t="n">
        <v>135751591</v>
      </c>
      <c r="H1538" s="14" t="n">
        <v>268918</v>
      </c>
      <c r="I1538" s="14" t="n">
        <v>272734</v>
      </c>
      <c r="J1538" s="15" t="n">
        <f aca="false">I1538/H1538</f>
        <v>1.01419019924289</v>
      </c>
      <c r="K1538" s="16" t="n">
        <f aca="false">ROUND(I1538*J1538^($F$8-1),0)</f>
        <v>271848</v>
      </c>
      <c r="L1538" s="16" t="n">
        <f aca="false">ROUND(I1538*J1538^($F$9-1),0)</f>
        <v>272534</v>
      </c>
      <c r="M1538" s="17" t="n">
        <f aca="false">G1538*$F$7</f>
        <v>130769811.084256</v>
      </c>
      <c r="N1538" s="18" t="n">
        <f aca="false">F1538/K1538</f>
        <v>510.9360488214</v>
      </c>
      <c r="O1538" s="18" t="n">
        <f aca="false">G1538/L1538</f>
        <v>498.108826788584</v>
      </c>
      <c r="P1538" s="18" t="n">
        <f aca="false">M1538/L1538</f>
        <v>479.829346372403</v>
      </c>
      <c r="Q1538" s="19" t="n">
        <f aca="false">IF(N1538=0,"n.a.",P1538/N1538-1)</f>
        <v>-0.0608817923901683</v>
      </c>
    </row>
    <row r="1539" customFormat="false" ht="15" hidden="false" customHeight="false" outlineLevel="0" collapsed="false">
      <c r="A1539" s="12" t="s">
        <v>3637</v>
      </c>
      <c r="B1539" s="12" t="s">
        <v>3632</v>
      </c>
      <c r="C1539" s="12" t="s">
        <v>3633</v>
      </c>
      <c r="D1539" s="12" t="s">
        <v>54</v>
      </c>
      <c r="E1539" s="12" t="s">
        <v>3638</v>
      </c>
      <c r="F1539" s="13" t="n">
        <v>780505</v>
      </c>
      <c r="G1539" s="13" t="n">
        <v>927557</v>
      </c>
      <c r="H1539" s="14" t="n">
        <v>8850</v>
      </c>
      <c r="I1539" s="14" t="n">
        <v>7646</v>
      </c>
      <c r="J1539" s="15" t="n">
        <f aca="false">I1539/H1539</f>
        <v>0.863954802259887</v>
      </c>
      <c r="K1539" s="16" t="n">
        <f aca="false">ROUND(I1539*J1539^($F$8-1),0)</f>
        <v>7909</v>
      </c>
      <c r="L1539" s="16" t="n">
        <f aca="false">ROUND(I1539*J1539^($F$9-1),0)</f>
        <v>7704</v>
      </c>
      <c r="M1539" s="17" t="n">
        <f aca="false">G1539*$F$7</f>
        <v>893517.731662384</v>
      </c>
      <c r="N1539" s="18" t="n">
        <f aca="false">F1539/K1539</f>
        <v>98.6856745479833</v>
      </c>
      <c r="O1539" s="18" t="n">
        <f aca="false">G1539/L1539</f>
        <v>120.39940290758</v>
      </c>
      <c r="P1539" s="18" t="n">
        <f aca="false">M1539/L1539</f>
        <v>115.981013974868</v>
      </c>
      <c r="Q1539" s="19" t="n">
        <f aca="false">IF(N1539=0,"n.a.",P1539/N1539-1)</f>
        <v>0.17525683951702</v>
      </c>
    </row>
    <row r="1540" customFormat="false" ht="15" hidden="false" customHeight="false" outlineLevel="0" collapsed="false">
      <c r="A1540" s="12" t="s">
        <v>3639</v>
      </c>
      <c r="B1540" s="12" t="s">
        <v>3632</v>
      </c>
      <c r="C1540" s="12" t="s">
        <v>3633</v>
      </c>
      <c r="D1540" s="12" t="s">
        <v>57</v>
      </c>
      <c r="E1540" s="12" t="s">
        <v>3640</v>
      </c>
      <c r="F1540" s="13" t="n">
        <v>1123949</v>
      </c>
      <c r="G1540" s="13" t="n">
        <v>1183948</v>
      </c>
      <c r="H1540" s="14" t="n">
        <v>4251</v>
      </c>
      <c r="I1540" s="14" t="n">
        <v>4318</v>
      </c>
      <c r="J1540" s="15" t="n">
        <f aca="false">I1540/H1540</f>
        <v>1.01576099741237</v>
      </c>
      <c r="K1540" s="16" t="n">
        <f aca="false">ROUND(I1540*J1540^($F$8-1),0)</f>
        <v>4302</v>
      </c>
      <c r="L1540" s="16" t="n">
        <f aca="false">ROUND(I1540*J1540^($F$9-1),0)</f>
        <v>4314</v>
      </c>
      <c r="M1540" s="17" t="n">
        <f aca="false">G1540*$F$7</f>
        <v>1140499.75512687</v>
      </c>
      <c r="N1540" s="18" t="n">
        <f aca="false">F1540/K1540</f>
        <v>261.261971176197</v>
      </c>
      <c r="O1540" s="18" t="n">
        <f aca="false">G1540/L1540</f>
        <v>274.443208159481</v>
      </c>
      <c r="P1540" s="18" t="n">
        <f aca="false">M1540/L1540</f>
        <v>264.371755940397</v>
      </c>
      <c r="Q1540" s="19" t="n">
        <f aca="false">IF(N1540=0,"n.a.",P1540/N1540-1)</f>
        <v>0.011902936926486</v>
      </c>
    </row>
    <row r="1541" customFormat="false" ht="15" hidden="false" customHeight="false" outlineLevel="0" collapsed="false">
      <c r="A1541" s="12" t="s">
        <v>3641</v>
      </c>
      <c r="B1541" s="12" t="s">
        <v>3632</v>
      </c>
      <c r="C1541" s="12" t="s">
        <v>3633</v>
      </c>
      <c r="D1541" s="12" t="s">
        <v>60</v>
      </c>
      <c r="E1541" s="12" t="s">
        <v>3642</v>
      </c>
      <c r="F1541" s="13" t="n">
        <v>153730</v>
      </c>
      <c r="G1541" s="13" t="n">
        <v>142084</v>
      </c>
      <c r="H1541" s="14" t="n">
        <v>7542</v>
      </c>
      <c r="I1541" s="14" t="n">
        <v>7876</v>
      </c>
      <c r="J1541" s="15" t="n">
        <f aca="false">I1541/H1541</f>
        <v>1.04428533545479</v>
      </c>
      <c r="K1541" s="16" t="n">
        <f aca="false">ROUND(I1541*J1541^($F$8-1),0)</f>
        <v>7798</v>
      </c>
      <c r="L1541" s="16" t="n">
        <f aca="false">ROUND(I1541*J1541^($F$9-1),0)</f>
        <v>7858</v>
      </c>
      <c r="M1541" s="17" t="n">
        <f aca="false">G1541*$F$7</f>
        <v>136869.834830116</v>
      </c>
      <c r="N1541" s="18" t="n">
        <f aca="false">F1541/K1541</f>
        <v>19.7140292382662</v>
      </c>
      <c r="O1541" s="18" t="n">
        <f aca="false">G1541/L1541</f>
        <v>18.0814456604734</v>
      </c>
      <c r="P1541" s="18" t="n">
        <f aca="false">M1541/L1541</f>
        <v>17.4178970259756</v>
      </c>
      <c r="Q1541" s="19" t="n">
        <f aca="false">IF(N1541=0,"n.a.",P1541/N1541-1)</f>
        <v>-0.116471989796672</v>
      </c>
    </row>
    <row r="1542" customFormat="false" ht="15" hidden="false" customHeight="false" outlineLevel="0" collapsed="false">
      <c r="A1542" s="12" t="s">
        <v>3643</v>
      </c>
      <c r="B1542" s="12" t="s">
        <v>3632</v>
      </c>
      <c r="C1542" s="12" t="s">
        <v>3633</v>
      </c>
      <c r="D1542" s="12" t="s">
        <v>63</v>
      </c>
      <c r="E1542" s="12" t="s">
        <v>547</v>
      </c>
      <c r="F1542" s="13" t="n">
        <v>2866272</v>
      </c>
      <c r="G1542" s="13" t="n">
        <v>2890142</v>
      </c>
      <c r="H1542" s="14" t="n">
        <v>16514</v>
      </c>
      <c r="I1542" s="14" t="n">
        <v>16586</v>
      </c>
      <c r="J1542" s="15" t="n">
        <f aca="false">I1542/H1542</f>
        <v>1.00435993702313</v>
      </c>
      <c r="K1542" s="16" t="n">
        <f aca="false">ROUND(I1542*J1542^($F$8-1),0)</f>
        <v>16569</v>
      </c>
      <c r="L1542" s="16" t="n">
        <f aca="false">ROUND(I1542*J1542^($F$9-1),0)</f>
        <v>16582</v>
      </c>
      <c r="M1542" s="17" t="n">
        <f aca="false">G1542*$F$7</f>
        <v>2784080.24953958</v>
      </c>
      <c r="N1542" s="18" t="n">
        <f aca="false">F1542/K1542</f>
        <v>172.990041644034</v>
      </c>
      <c r="O1542" s="18" t="n">
        <f aca="false">G1542/L1542</f>
        <v>174.293933180557</v>
      </c>
      <c r="P1542" s="18" t="n">
        <f aca="false">M1542/L1542</f>
        <v>167.897735468555</v>
      </c>
      <c r="Q1542" s="19" t="n">
        <f aca="false">IF(N1542=0,"n.a.",P1542/N1542-1)</f>
        <v>-0.0294369902861665</v>
      </c>
    </row>
    <row r="1543" customFormat="false" ht="15" hidden="false" customHeight="false" outlineLevel="0" collapsed="false">
      <c r="A1543" s="12" t="s">
        <v>3644</v>
      </c>
      <c r="B1543" s="12" t="s">
        <v>3632</v>
      </c>
      <c r="C1543" s="12" t="s">
        <v>3633</v>
      </c>
      <c r="D1543" s="12" t="s">
        <v>66</v>
      </c>
      <c r="E1543" s="12" t="s">
        <v>3645</v>
      </c>
      <c r="F1543" s="13" t="n">
        <v>1484017</v>
      </c>
      <c r="G1543" s="13" t="n">
        <v>1718767</v>
      </c>
      <c r="H1543" s="14" t="n">
        <v>4140</v>
      </c>
      <c r="I1543" s="14" t="n">
        <v>3732</v>
      </c>
      <c r="J1543" s="15" t="n">
        <f aca="false">I1543/H1543</f>
        <v>0.901449275362319</v>
      </c>
      <c r="K1543" s="16" t="n">
        <f aca="false">ROUND(I1543*J1543^($F$8-1),0)</f>
        <v>3822</v>
      </c>
      <c r="L1543" s="16" t="n">
        <f aca="false">ROUND(I1543*J1543^($F$9-1),0)</f>
        <v>3752</v>
      </c>
      <c r="M1543" s="17" t="n">
        <f aca="false">G1543*$F$7</f>
        <v>1655692.09341977</v>
      </c>
      <c r="N1543" s="18" t="n">
        <f aca="false">F1543/K1543</f>
        <v>388.282836211408</v>
      </c>
      <c r="O1543" s="18" t="n">
        <f aca="false">G1543/L1543</f>
        <v>458.09355010661</v>
      </c>
      <c r="P1543" s="18" t="n">
        <f aca="false">M1543/L1543</f>
        <v>441.28254089013</v>
      </c>
      <c r="Q1543" s="19" t="n">
        <f aca="false">IF(N1543=0,"n.a.",P1543/N1543-1)</f>
        <v>0.136497675755788</v>
      </c>
    </row>
    <row r="1544" customFormat="false" ht="15" hidden="false" customHeight="false" outlineLevel="0" collapsed="false">
      <c r="A1544" s="12" t="s">
        <v>3646</v>
      </c>
      <c r="B1544" s="12" t="s">
        <v>3632</v>
      </c>
      <c r="C1544" s="12" t="s">
        <v>3633</v>
      </c>
      <c r="D1544" s="12" t="s">
        <v>69</v>
      </c>
      <c r="E1544" s="12" t="s">
        <v>3647</v>
      </c>
      <c r="F1544" s="13" t="n">
        <v>92509065</v>
      </c>
      <c r="G1544" s="13" t="n">
        <v>119298313</v>
      </c>
      <c r="H1544" s="14" t="n">
        <v>205824</v>
      </c>
      <c r="I1544" s="14" t="n">
        <v>197097</v>
      </c>
      <c r="J1544" s="15" t="n">
        <f aca="false">I1544/H1544</f>
        <v>0.957599696828358</v>
      </c>
      <c r="K1544" s="16" t="n">
        <f aca="false">ROUND(I1544*J1544^($F$8-1),0)</f>
        <v>199078</v>
      </c>
      <c r="L1544" s="16" t="n">
        <f aca="false">ROUND(I1544*J1544^($F$9-1),0)</f>
        <v>197541</v>
      </c>
      <c r="M1544" s="17" t="n">
        <f aca="false">G1544*$F$7</f>
        <v>114920331.605399</v>
      </c>
      <c r="N1544" s="18" t="n">
        <f aca="false">F1544/K1544</f>
        <v>464.687534534203</v>
      </c>
      <c r="O1544" s="18" t="n">
        <f aca="false">G1544/L1544</f>
        <v>603.916721085749</v>
      </c>
      <c r="P1544" s="18" t="n">
        <f aca="false">M1544/L1544</f>
        <v>581.754327483403</v>
      </c>
      <c r="Q1544" s="19" t="n">
        <f aca="false">IF(N1544=0,"n.a.",P1544/N1544-1)</f>
        <v>0.251925830260429</v>
      </c>
    </row>
    <row r="1545" customFormat="false" ht="15" hidden="false" customHeight="false" outlineLevel="0" collapsed="false">
      <c r="A1545" s="12" t="s">
        <v>3648</v>
      </c>
      <c r="B1545" s="12" t="s">
        <v>3632</v>
      </c>
      <c r="C1545" s="12" t="s">
        <v>3633</v>
      </c>
      <c r="D1545" s="12" t="s">
        <v>72</v>
      </c>
      <c r="E1545" s="12" t="s">
        <v>3649</v>
      </c>
      <c r="F1545" s="13" t="n">
        <v>451370</v>
      </c>
      <c r="G1545" s="13" t="n">
        <v>420558</v>
      </c>
      <c r="H1545" s="14" t="n">
        <v>1671</v>
      </c>
      <c r="I1545" s="14" t="n">
        <v>1509</v>
      </c>
      <c r="J1545" s="15" t="n">
        <f aca="false">I1545/H1545</f>
        <v>0.903052064631957</v>
      </c>
      <c r="K1545" s="16" t="n">
        <f aca="false">ROUND(I1545*J1545^($F$8-1),0)</f>
        <v>1545</v>
      </c>
      <c r="L1545" s="16" t="n">
        <f aca="false">ROUND(I1545*J1545^($F$9-1),0)</f>
        <v>1517</v>
      </c>
      <c r="M1545" s="17" t="n">
        <f aca="false">G1545*$F$7</f>
        <v>405124.461561358</v>
      </c>
      <c r="N1545" s="18" t="n">
        <f aca="false">F1545/K1545</f>
        <v>292.148867313916</v>
      </c>
      <c r="O1545" s="18" t="n">
        <f aca="false">G1545/L1545</f>
        <v>277.23005932762</v>
      </c>
      <c r="P1545" s="18" t="n">
        <f aca="false">M1545/L1545</f>
        <v>267.056335900698</v>
      </c>
      <c r="Q1545" s="19" t="n">
        <f aca="false">IF(N1545=0,"n.a.",P1545/N1545-1)</f>
        <v>-0.0858895385901196</v>
      </c>
    </row>
    <row r="1546" customFormat="false" ht="15" hidden="false" customHeight="false" outlineLevel="0" collapsed="false">
      <c r="A1546" s="12" t="s">
        <v>3650</v>
      </c>
      <c r="B1546" s="12" t="s">
        <v>3632</v>
      </c>
      <c r="C1546" s="12" t="s">
        <v>3633</v>
      </c>
      <c r="D1546" s="12" t="s">
        <v>75</v>
      </c>
      <c r="E1546" s="12" t="s">
        <v>571</v>
      </c>
      <c r="F1546" s="13" t="n">
        <v>1241529</v>
      </c>
      <c r="G1546" s="13" t="n">
        <v>1553607</v>
      </c>
      <c r="H1546" s="14" t="n">
        <v>8281</v>
      </c>
      <c r="I1546" s="14" t="n">
        <v>8298</v>
      </c>
      <c r="J1546" s="15" t="n">
        <f aca="false">I1546/H1546</f>
        <v>1.00205289216278</v>
      </c>
      <c r="K1546" s="16" t="n">
        <f aca="false">ROUND(I1546*J1546^($F$8-1),0)</f>
        <v>8294</v>
      </c>
      <c r="L1546" s="16" t="n">
        <f aca="false">ROUND(I1546*J1546^($F$9-1),0)</f>
        <v>8297</v>
      </c>
      <c r="M1546" s="17" t="n">
        <f aca="false">G1546*$F$7</f>
        <v>1496593.09620304</v>
      </c>
      <c r="N1546" s="18" t="n">
        <f aca="false">F1546/K1546</f>
        <v>149.690016879672</v>
      </c>
      <c r="O1546" s="18" t="n">
        <f aca="false">G1546/L1546</f>
        <v>187.24924671568</v>
      </c>
      <c r="P1546" s="18" t="n">
        <f aca="false">M1546/L1546</f>
        <v>180.377617958664</v>
      </c>
      <c r="Q1546" s="19" t="n">
        <f aca="false">IF(N1546=0,"n.a.",P1546/N1546-1)</f>
        <v>0.205007666634578</v>
      </c>
    </row>
    <row r="1547" customFormat="false" ht="15" hidden="false" customHeight="false" outlineLevel="0" collapsed="false">
      <c r="A1547" s="12" t="s">
        <v>3651</v>
      </c>
      <c r="B1547" s="12" t="s">
        <v>3632</v>
      </c>
      <c r="C1547" s="12" t="s">
        <v>3633</v>
      </c>
      <c r="D1547" s="12" t="s">
        <v>129</v>
      </c>
      <c r="E1547" s="12" t="s">
        <v>3652</v>
      </c>
      <c r="F1547" s="13" t="n">
        <v>8153721</v>
      </c>
      <c r="G1547" s="13" t="n">
        <v>7300625</v>
      </c>
      <c r="H1547" s="14" t="n">
        <v>41449</v>
      </c>
      <c r="I1547" s="14" t="n">
        <v>41732</v>
      </c>
      <c r="J1547" s="15" t="n">
        <f aca="false">I1547/H1547</f>
        <v>1.00682766773625</v>
      </c>
      <c r="K1547" s="16" t="n">
        <f aca="false">ROUND(I1547*J1547^($F$8-1),0)</f>
        <v>41666</v>
      </c>
      <c r="L1547" s="16" t="n">
        <f aca="false">ROUND(I1547*J1547^($F$9-1),0)</f>
        <v>41717</v>
      </c>
      <c r="M1547" s="17" t="n">
        <f aca="false">G1547*$F$7</f>
        <v>7032708.38311574</v>
      </c>
      <c r="N1547" s="18" t="n">
        <f aca="false">F1547/K1547</f>
        <v>195.692435078961</v>
      </c>
      <c r="O1547" s="18" t="n">
        <f aca="false">G1547/L1547</f>
        <v>175.003595656447</v>
      </c>
      <c r="P1547" s="18" t="n">
        <f aca="false">M1547/L1547</f>
        <v>168.581354918037</v>
      </c>
      <c r="Q1547" s="19" t="n">
        <f aca="false">IF(N1547=0,"n.a.",P1547/N1547-1)</f>
        <v>-0.138539234539062</v>
      </c>
    </row>
    <row r="1548" customFormat="false" ht="15" hidden="false" customHeight="false" outlineLevel="0" collapsed="false">
      <c r="A1548" s="12" t="s">
        <v>3653</v>
      </c>
      <c r="B1548" s="12" t="s">
        <v>3632</v>
      </c>
      <c r="C1548" s="12" t="s">
        <v>3633</v>
      </c>
      <c r="D1548" s="12" t="s">
        <v>132</v>
      </c>
      <c r="E1548" s="12" t="s">
        <v>3654</v>
      </c>
      <c r="F1548" s="13" t="n">
        <v>2561064</v>
      </c>
      <c r="G1548" s="13" t="n">
        <v>3108272</v>
      </c>
      <c r="H1548" s="14" t="n">
        <v>14998</v>
      </c>
      <c r="I1548" s="14" t="n">
        <v>15048</v>
      </c>
      <c r="J1548" s="15" t="n">
        <f aca="false">I1548/H1548</f>
        <v>1.00333377783705</v>
      </c>
      <c r="K1548" s="16" t="n">
        <f aca="false">ROUND(I1548*J1548^($F$8-1),0)</f>
        <v>15036</v>
      </c>
      <c r="L1548" s="16" t="n">
        <f aca="false">ROUND(I1548*J1548^($F$9-1),0)</f>
        <v>15045</v>
      </c>
      <c r="M1548" s="17" t="n">
        <f aca="false">G1548*$F$7</f>
        <v>2994205.36617124</v>
      </c>
      <c r="N1548" s="18" t="n">
        <f aca="false">F1548/K1548</f>
        <v>170.328810853951</v>
      </c>
      <c r="O1548" s="18" t="n">
        <f aca="false">G1548/L1548</f>
        <v>206.598338318378</v>
      </c>
      <c r="P1548" s="18" t="n">
        <f aca="false">M1548/L1548</f>
        <v>199.016641154619</v>
      </c>
      <c r="Q1548" s="19" t="n">
        <f aca="false">IF(N1548=0,"n.a.",P1548/N1548-1)</f>
        <v>0.16842617615212</v>
      </c>
    </row>
    <row r="1549" customFormat="false" ht="15" hidden="false" customHeight="false" outlineLevel="0" collapsed="false">
      <c r="A1549" s="12" t="s">
        <v>3655</v>
      </c>
      <c r="B1549" s="12" t="s">
        <v>3632</v>
      </c>
      <c r="C1549" s="12" t="s">
        <v>3633</v>
      </c>
      <c r="D1549" s="12" t="s">
        <v>163</v>
      </c>
      <c r="E1549" s="12" t="s">
        <v>159</v>
      </c>
      <c r="F1549" s="13" t="n">
        <v>1767716</v>
      </c>
      <c r="G1549" s="13" t="n">
        <v>3290585</v>
      </c>
      <c r="H1549" s="14" t="n">
        <v>3781</v>
      </c>
      <c r="I1549" s="14" t="n">
        <v>2953</v>
      </c>
      <c r="J1549" s="15" t="n">
        <f aca="false">I1549/H1549</f>
        <v>0.781010314731553</v>
      </c>
      <c r="K1549" s="16" t="n">
        <f aca="false">ROUND(I1549*J1549^($F$8-1),0)</f>
        <v>3126</v>
      </c>
      <c r="L1549" s="16" t="n">
        <f aca="false">ROUND(I1549*J1549^($F$9-1),0)</f>
        <v>2991</v>
      </c>
      <c r="M1549" s="17" t="n">
        <f aca="false">G1549*$F$7</f>
        <v>3169827.88663367</v>
      </c>
      <c r="N1549" s="18" t="n">
        <f aca="false">F1549/K1549</f>
        <v>565.488163787588</v>
      </c>
      <c r="O1549" s="18" t="n">
        <f aca="false">G1549/L1549</f>
        <v>1100.16215312604</v>
      </c>
      <c r="P1549" s="18" t="n">
        <f aca="false">M1549/L1549</f>
        <v>1059.78866152914</v>
      </c>
      <c r="Q1549" s="19" t="n">
        <f aca="false">IF(N1549=0,"n.a.",P1549/N1549-1)</f>
        <v>0.874112898191849</v>
      </c>
    </row>
    <row r="1550" customFormat="false" ht="15" hidden="false" customHeight="false" outlineLevel="0" collapsed="false">
      <c r="A1550" s="12" t="s">
        <v>3656</v>
      </c>
      <c r="B1550" s="12" t="s">
        <v>3632</v>
      </c>
      <c r="C1550" s="12" t="s">
        <v>3633</v>
      </c>
      <c r="D1550" s="12" t="s">
        <v>166</v>
      </c>
      <c r="E1550" s="12" t="s">
        <v>3657</v>
      </c>
      <c r="F1550" s="13" t="n">
        <v>3510423</v>
      </c>
      <c r="G1550" s="13" t="n">
        <v>3624977</v>
      </c>
      <c r="H1550" s="14" t="n">
        <v>15666</v>
      </c>
      <c r="I1550" s="14" t="n">
        <v>14951</v>
      </c>
      <c r="J1550" s="15" t="n">
        <f aca="false">I1550/H1550</f>
        <v>0.954359759989787</v>
      </c>
      <c r="K1550" s="16" t="n">
        <f aca="false">ROUND(I1550*J1550^($F$8-1),0)</f>
        <v>15113</v>
      </c>
      <c r="L1550" s="16" t="n">
        <f aca="false">ROUND(I1550*J1550^($F$9-1),0)</f>
        <v>14987</v>
      </c>
      <c r="M1550" s="17" t="n">
        <f aca="false">G1550*$F$7</f>
        <v>3491948.44777012</v>
      </c>
      <c r="N1550" s="18" t="n">
        <f aca="false">F1550/K1550</f>
        <v>232.278369615563</v>
      </c>
      <c r="O1550" s="18" t="n">
        <f aca="false">G1550/L1550</f>
        <v>241.874758123707</v>
      </c>
      <c r="P1550" s="18" t="n">
        <f aca="false">M1550/L1550</f>
        <v>232.99849521386</v>
      </c>
      <c r="Q1550" s="19" t="n">
        <f aca="false">IF(N1550=0,"n.a.",P1550/N1550-1)</f>
        <v>0.00310026973019206</v>
      </c>
    </row>
    <row r="1551" customFormat="false" ht="15" hidden="false" customHeight="false" outlineLevel="0" collapsed="false">
      <c r="A1551" s="12" t="s">
        <v>3658</v>
      </c>
      <c r="B1551" s="12" t="s">
        <v>3632</v>
      </c>
      <c r="C1551" s="12" t="s">
        <v>3633</v>
      </c>
      <c r="D1551" s="12" t="s">
        <v>169</v>
      </c>
      <c r="E1551" s="12" t="s">
        <v>161</v>
      </c>
      <c r="F1551" s="13" t="n">
        <v>3512337</v>
      </c>
      <c r="G1551" s="13" t="n">
        <v>2530236</v>
      </c>
      <c r="H1551" s="14" t="n">
        <v>16996</v>
      </c>
      <c r="I1551" s="14" t="n">
        <v>16470</v>
      </c>
      <c r="J1551" s="15" t="n">
        <f aca="false">I1551/H1551</f>
        <v>0.969051541539186</v>
      </c>
      <c r="K1551" s="16" t="n">
        <f aca="false">ROUND(I1551*J1551^($F$8-1),0)</f>
        <v>16590</v>
      </c>
      <c r="L1551" s="16" t="n">
        <f aca="false">ROUND(I1551*J1551^($F$9-1),0)</f>
        <v>16497</v>
      </c>
      <c r="M1551" s="17" t="n">
        <f aca="false">G1551*$F$7</f>
        <v>2437381.99516634</v>
      </c>
      <c r="N1551" s="18" t="n">
        <f aca="false">F1551/K1551</f>
        <v>211.714104882459</v>
      </c>
      <c r="O1551" s="18" t="n">
        <f aca="false">G1551/L1551</f>
        <v>153.375522822331</v>
      </c>
      <c r="P1551" s="18" t="n">
        <f aca="false">M1551/L1551</f>
        <v>147.746984007173</v>
      </c>
      <c r="Q1551" s="19" t="n">
        <f aca="false">IF(N1551=0,"n.a.",P1551/N1551-1)</f>
        <v>-0.302139155588144</v>
      </c>
    </row>
    <row r="1552" customFormat="false" ht="15" hidden="false" customHeight="false" outlineLevel="0" collapsed="false">
      <c r="A1552" s="12" t="s">
        <v>3659</v>
      </c>
      <c r="B1552" s="12" t="s">
        <v>3632</v>
      </c>
      <c r="C1552" s="12" t="s">
        <v>3633</v>
      </c>
      <c r="D1552" s="12" t="s">
        <v>172</v>
      </c>
      <c r="E1552" s="12" t="s">
        <v>3660</v>
      </c>
      <c r="F1552" s="13" t="n">
        <v>1878106</v>
      </c>
      <c r="G1552" s="13" t="n">
        <v>1440534</v>
      </c>
      <c r="H1552" s="14" t="n">
        <v>15990</v>
      </c>
      <c r="I1552" s="14" t="n">
        <v>15838</v>
      </c>
      <c r="J1552" s="15" t="n">
        <f aca="false">I1552/H1552</f>
        <v>0.990494058786742</v>
      </c>
      <c r="K1552" s="16" t="n">
        <f aca="false">ROUND(I1552*J1552^($F$8-1),0)</f>
        <v>15873</v>
      </c>
      <c r="L1552" s="16" t="n">
        <f aca="false">ROUND(I1552*J1552^($F$9-1),0)</f>
        <v>15846</v>
      </c>
      <c r="M1552" s="17" t="n">
        <f aca="false">G1552*$F$7</f>
        <v>1387669.62252728</v>
      </c>
      <c r="N1552" s="18" t="n">
        <f aca="false">F1552/K1552</f>
        <v>118.320796320796</v>
      </c>
      <c r="O1552" s="18" t="n">
        <f aca="false">G1552/L1552</f>
        <v>90.9083680424082</v>
      </c>
      <c r="P1552" s="18" t="n">
        <f aca="false">M1552/L1552</f>
        <v>87.5722341617622</v>
      </c>
      <c r="Q1552" s="19" t="n">
        <f aca="false">IF(N1552=0,"n.a.",P1552/N1552-1)</f>
        <v>-0.259874536980526</v>
      </c>
    </row>
    <row r="1553" customFormat="false" ht="15" hidden="false" customHeight="false" outlineLevel="0" collapsed="false">
      <c r="A1553" s="12" t="s">
        <v>3661</v>
      </c>
      <c r="B1553" s="12" t="s">
        <v>3632</v>
      </c>
      <c r="C1553" s="12" t="s">
        <v>3633</v>
      </c>
      <c r="D1553" s="12" t="s">
        <v>175</v>
      </c>
      <c r="E1553" s="12" t="s">
        <v>164</v>
      </c>
      <c r="F1553" s="13" t="n">
        <v>1405818</v>
      </c>
      <c r="G1553" s="13" t="n">
        <v>1670821</v>
      </c>
      <c r="H1553" s="14" t="n">
        <v>6375</v>
      </c>
      <c r="I1553" s="14" t="n">
        <v>6187</v>
      </c>
      <c r="J1553" s="15" t="n">
        <f aca="false">I1553/H1553</f>
        <v>0.970509803921569</v>
      </c>
      <c r="K1553" s="16" t="n">
        <f aca="false">ROUND(I1553*J1553^($F$8-1),0)</f>
        <v>6230</v>
      </c>
      <c r="L1553" s="16" t="n">
        <f aca="false">ROUND(I1553*J1553^($F$9-1),0)</f>
        <v>6197</v>
      </c>
      <c r="M1553" s="17" t="n">
        <f aca="false">G1553*$F$7</f>
        <v>1609505.60443604</v>
      </c>
      <c r="N1553" s="18" t="n">
        <f aca="false">F1553/K1553</f>
        <v>225.652969502408</v>
      </c>
      <c r="O1553" s="18" t="n">
        <f aca="false">G1553/L1553</f>
        <v>269.617718250767</v>
      </c>
      <c r="P1553" s="18" t="n">
        <f aca="false">M1553/L1553</f>
        <v>259.723350723904</v>
      </c>
      <c r="Q1553" s="19" t="n">
        <f aca="false">IF(N1553=0,"n.a.",P1553/N1553-1)</f>
        <v>0.150985742827254</v>
      </c>
    </row>
    <row r="1554" customFormat="false" ht="15" hidden="false" customHeight="false" outlineLevel="0" collapsed="false">
      <c r="A1554" s="12" t="s">
        <v>3662</v>
      </c>
      <c r="B1554" s="12" t="s">
        <v>3632</v>
      </c>
      <c r="C1554" s="12" t="s">
        <v>3633</v>
      </c>
      <c r="D1554" s="12" t="s">
        <v>178</v>
      </c>
      <c r="E1554" s="12" t="s">
        <v>3663</v>
      </c>
      <c r="F1554" s="13" t="n">
        <v>1999284</v>
      </c>
      <c r="G1554" s="13" t="n">
        <v>3283029</v>
      </c>
      <c r="H1554" s="14" t="n">
        <v>14645</v>
      </c>
      <c r="I1554" s="14" t="n">
        <v>14377</v>
      </c>
      <c r="J1554" s="15" t="n">
        <f aca="false">I1554/H1554</f>
        <v>0.981700238989416</v>
      </c>
      <c r="K1554" s="16" t="n">
        <f aca="false">ROUND(I1554*J1554^($F$8-1),0)</f>
        <v>14438</v>
      </c>
      <c r="L1554" s="16" t="n">
        <f aca="false">ROUND(I1554*J1554^($F$9-1),0)</f>
        <v>14391</v>
      </c>
      <c r="M1554" s="17" t="n">
        <f aca="false">G1554*$F$7</f>
        <v>3162549.17494216</v>
      </c>
      <c r="N1554" s="18" t="n">
        <f aca="false">F1554/K1554</f>
        <v>138.473749826846</v>
      </c>
      <c r="O1554" s="18" t="n">
        <f aca="false">G1554/L1554</f>
        <v>228.130706691682</v>
      </c>
      <c r="P1554" s="18" t="n">
        <f aca="false">M1554/L1554</f>
        <v>219.758819744435</v>
      </c>
      <c r="Q1554" s="19" t="n">
        <f aca="false">IF(N1554=0,"n.a.",P1554/N1554-1)</f>
        <v>0.587007068265512</v>
      </c>
    </row>
    <row r="1555" customFormat="false" ht="15" hidden="false" customHeight="false" outlineLevel="0" collapsed="false">
      <c r="A1555" s="12" t="s">
        <v>3664</v>
      </c>
      <c r="B1555" s="12" t="s">
        <v>3632</v>
      </c>
      <c r="C1555" s="12" t="s">
        <v>3633</v>
      </c>
      <c r="D1555" s="12" t="s">
        <v>181</v>
      </c>
      <c r="E1555" s="12" t="s">
        <v>3665</v>
      </c>
      <c r="F1555" s="13" t="n">
        <v>471453</v>
      </c>
      <c r="G1555" s="13" t="n">
        <v>685723</v>
      </c>
      <c r="H1555" s="14" t="n">
        <v>2048</v>
      </c>
      <c r="I1555" s="14" t="n">
        <v>1824</v>
      </c>
      <c r="J1555" s="15" t="n">
        <f aca="false">I1555/H1555</f>
        <v>0.890625</v>
      </c>
      <c r="K1555" s="16" t="n">
        <f aca="false">ROUND(I1555*J1555^($F$8-1),0)</f>
        <v>1873</v>
      </c>
      <c r="L1555" s="16" t="n">
        <f aca="false">ROUND(I1555*J1555^($F$9-1),0)</f>
        <v>1835</v>
      </c>
      <c r="M1555" s="17" t="n">
        <f aca="false">G1555*$F$7</f>
        <v>660558.498840206</v>
      </c>
      <c r="N1555" s="18" t="n">
        <f aca="false">F1555/K1555</f>
        <v>251.710090763481</v>
      </c>
      <c r="O1555" s="18" t="n">
        <f aca="false">G1555/L1555</f>
        <v>373.691008174387</v>
      </c>
      <c r="P1555" s="18" t="n">
        <f aca="false">M1555/L1555</f>
        <v>359.977383564145</v>
      </c>
      <c r="Q1555" s="19" t="n">
        <f aca="false">IF(N1555=0,"n.a.",P1555/N1555-1)</f>
        <v>0.430126946727761</v>
      </c>
    </row>
    <row r="1556" customFormat="false" ht="15" hidden="false" customHeight="false" outlineLevel="0" collapsed="false">
      <c r="A1556" s="12" t="s">
        <v>3666</v>
      </c>
      <c r="B1556" s="12" t="s">
        <v>3632</v>
      </c>
      <c r="C1556" s="12" t="s">
        <v>3633</v>
      </c>
      <c r="D1556" s="12" t="s">
        <v>184</v>
      </c>
      <c r="E1556" s="12" t="s">
        <v>3667</v>
      </c>
      <c r="F1556" s="13" t="n">
        <v>21295513</v>
      </c>
      <c r="G1556" s="13" t="n">
        <v>24620736</v>
      </c>
      <c r="H1556" s="14" t="n">
        <v>106067</v>
      </c>
      <c r="I1556" s="14" t="n">
        <v>112508</v>
      </c>
      <c r="J1556" s="15" t="n">
        <f aca="false">I1556/H1556</f>
        <v>1.06072576767515</v>
      </c>
      <c r="K1556" s="16" t="n">
        <f aca="false">ROUND(I1556*J1556^($F$8-1),0)</f>
        <v>110987</v>
      </c>
      <c r="L1556" s="16" t="n">
        <f aca="false">ROUND(I1556*J1556^($F$9-1),0)</f>
        <v>112164</v>
      </c>
      <c r="M1556" s="17" t="n">
        <f aca="false">G1556*$F$7</f>
        <v>23717210.0286865</v>
      </c>
      <c r="N1556" s="18" t="n">
        <f aca="false">F1556/K1556</f>
        <v>191.873940191194</v>
      </c>
      <c r="O1556" s="18" t="n">
        <f aca="false">G1556/L1556</f>
        <v>219.506579651225</v>
      </c>
      <c r="P1556" s="18" t="n">
        <f aca="false">M1556/L1556</f>
        <v>211.451178887045</v>
      </c>
      <c r="Q1556" s="19" t="n">
        <f aca="false">IF(N1556=0,"n.a.",P1556/N1556-1)</f>
        <v>0.102031775009903</v>
      </c>
    </row>
    <row r="1557" customFormat="false" ht="15" hidden="false" customHeight="false" outlineLevel="0" collapsed="false">
      <c r="A1557" s="12" t="s">
        <v>3668</v>
      </c>
      <c r="B1557" s="12" t="s">
        <v>3632</v>
      </c>
      <c r="C1557" s="12" t="s">
        <v>3633</v>
      </c>
      <c r="D1557" s="12" t="s">
        <v>187</v>
      </c>
      <c r="E1557" s="12" t="s">
        <v>173</v>
      </c>
      <c r="F1557" s="13" t="n">
        <v>148242012</v>
      </c>
      <c r="G1557" s="13" t="n">
        <v>106032155</v>
      </c>
      <c r="H1557" s="14" t="n">
        <v>540093</v>
      </c>
      <c r="I1557" s="14" t="n">
        <v>586882</v>
      </c>
      <c r="J1557" s="15" t="n">
        <f aca="false">I1557/H1557</f>
        <v>1.08663137644813</v>
      </c>
      <c r="K1557" s="16" t="n">
        <f aca="false">ROUND(I1557*J1557^($F$8-1),0)</f>
        <v>575732</v>
      </c>
      <c r="L1557" s="16" t="n">
        <f aca="false">ROUND(I1557*J1557^($F$9-1),0)</f>
        <v>584354</v>
      </c>
      <c r="M1557" s="17" t="n">
        <f aca="false">G1557*$F$7</f>
        <v>102141011.947378</v>
      </c>
      <c r="N1557" s="18" t="n">
        <f aca="false">F1557/K1557</f>
        <v>257.484405938874</v>
      </c>
      <c r="O1557" s="18" t="n">
        <f aca="false">G1557/L1557</f>
        <v>181.451919555612</v>
      </c>
      <c r="P1557" s="18" t="n">
        <f aca="false">M1557/L1557</f>
        <v>174.793039745391</v>
      </c>
      <c r="Q1557" s="19" t="n">
        <f aca="false">IF(N1557=0,"n.a.",P1557/N1557-1)</f>
        <v>-0.321150967927409</v>
      </c>
    </row>
    <row r="1558" customFormat="false" ht="15" hidden="false" customHeight="false" outlineLevel="0" collapsed="false">
      <c r="A1558" s="12" t="s">
        <v>3669</v>
      </c>
      <c r="B1558" s="12" t="s">
        <v>3632</v>
      </c>
      <c r="C1558" s="12" t="s">
        <v>3633</v>
      </c>
      <c r="D1558" s="12" t="s">
        <v>190</v>
      </c>
      <c r="E1558" s="12" t="s">
        <v>3670</v>
      </c>
      <c r="F1558" s="13" t="n">
        <v>829386</v>
      </c>
      <c r="G1558" s="13" t="n">
        <v>782972</v>
      </c>
      <c r="H1558" s="14" t="n">
        <v>4280</v>
      </c>
      <c r="I1558" s="14" t="n">
        <v>3708</v>
      </c>
      <c r="J1558" s="15" t="n">
        <f aca="false">I1558/H1558</f>
        <v>0.866355140186916</v>
      </c>
      <c r="K1558" s="16" t="n">
        <f aca="false">ROUND(I1558*J1558^($F$8-1),0)</f>
        <v>3833</v>
      </c>
      <c r="L1558" s="16" t="n">
        <f aca="false">ROUND(I1558*J1558^($F$9-1),0)</f>
        <v>3736</v>
      </c>
      <c r="M1558" s="17" t="n">
        <f aca="false">G1558*$F$7</f>
        <v>754238.677941258</v>
      </c>
      <c r="N1558" s="18" t="n">
        <f aca="false">F1558/K1558</f>
        <v>216.380380902687</v>
      </c>
      <c r="O1558" s="18" t="n">
        <f aca="false">G1558/L1558</f>
        <v>209.574946466809</v>
      </c>
      <c r="P1558" s="18" t="n">
        <f aca="false">M1558/L1558</f>
        <v>201.884014438238</v>
      </c>
      <c r="Q1558" s="19" t="n">
        <f aca="false">IF(N1558=0,"n.a.",P1558/N1558-1)</f>
        <v>-0.0669948282925352</v>
      </c>
    </row>
    <row r="1559" customFormat="false" ht="15" hidden="false" customHeight="false" outlineLevel="0" collapsed="false">
      <c r="A1559" s="12" t="s">
        <v>3671</v>
      </c>
      <c r="B1559" s="12" t="s">
        <v>3632</v>
      </c>
      <c r="C1559" s="12" t="s">
        <v>3633</v>
      </c>
      <c r="D1559" s="12" t="s">
        <v>193</v>
      </c>
      <c r="E1559" s="12" t="s">
        <v>3672</v>
      </c>
      <c r="F1559" s="13" t="n">
        <v>1460760</v>
      </c>
      <c r="G1559" s="13" t="n">
        <v>1331193</v>
      </c>
      <c r="H1559" s="14" t="n">
        <v>6357</v>
      </c>
      <c r="I1559" s="14" t="n">
        <v>3656</v>
      </c>
      <c r="J1559" s="15" t="n">
        <f aca="false">I1559/H1559</f>
        <v>0.575114047506686</v>
      </c>
      <c r="K1559" s="16" t="n">
        <f aca="false">ROUND(I1559*J1559^($F$8-1),0)</f>
        <v>4154</v>
      </c>
      <c r="L1559" s="16" t="n">
        <f aca="false">ROUND(I1559*J1559^($F$9-1),0)</f>
        <v>3763</v>
      </c>
      <c r="M1559" s="17" t="n">
        <f aca="false">G1559*$F$7</f>
        <v>1282341.19279445</v>
      </c>
      <c r="N1559" s="18" t="n">
        <f aca="false">F1559/K1559</f>
        <v>351.651420317766</v>
      </c>
      <c r="O1559" s="18" t="n">
        <f aca="false">G1559/L1559</f>
        <v>353.758437416955</v>
      </c>
      <c r="P1559" s="18" t="n">
        <f aca="false">M1559/L1559</f>
        <v>340.776293594061</v>
      </c>
      <c r="Q1559" s="19" t="n">
        <f aca="false">IF(N1559=0,"n.a.",P1559/N1559-1)</f>
        <v>-0.0309258717450303</v>
      </c>
    </row>
    <row r="1560" customFormat="false" ht="15" hidden="false" customHeight="false" outlineLevel="0" collapsed="false">
      <c r="A1560" s="12" t="s">
        <v>3673</v>
      </c>
      <c r="B1560" s="12" t="s">
        <v>3632</v>
      </c>
      <c r="C1560" s="12" t="s">
        <v>3633</v>
      </c>
      <c r="D1560" s="12" t="s">
        <v>196</v>
      </c>
      <c r="E1560" s="12" t="s">
        <v>3674</v>
      </c>
      <c r="F1560" s="13" t="n">
        <v>5998790</v>
      </c>
      <c r="G1560" s="13" t="n">
        <v>6851826</v>
      </c>
      <c r="H1560" s="14" t="n">
        <v>26237</v>
      </c>
      <c r="I1560" s="14" t="n">
        <v>24815</v>
      </c>
      <c r="J1560" s="15" t="n">
        <f aca="false">I1560/H1560</f>
        <v>0.94580173038076</v>
      </c>
      <c r="K1560" s="16" t="n">
        <f aca="false">ROUND(I1560*J1560^($F$8-1),0)</f>
        <v>25136</v>
      </c>
      <c r="L1560" s="16" t="n">
        <f aca="false">ROUND(I1560*J1560^($F$9-1),0)</f>
        <v>24887</v>
      </c>
      <c r="M1560" s="17" t="n">
        <f aca="false">G1560*$F$7</f>
        <v>6600379.30312136</v>
      </c>
      <c r="N1560" s="18" t="n">
        <f aca="false">F1560/K1560</f>
        <v>238.653325907066</v>
      </c>
      <c r="O1560" s="18" t="n">
        <f aca="false">G1560/L1560</f>
        <v>275.317474986941</v>
      </c>
      <c r="P1560" s="18" t="n">
        <f aca="false">M1560/L1560</f>
        <v>265.213939129721</v>
      </c>
      <c r="Q1560" s="19" t="n">
        <f aca="false">IF(N1560=0,"n.a.",P1560/N1560-1)</f>
        <v>0.111293706558267</v>
      </c>
    </row>
    <row r="1561" customFormat="false" ht="15" hidden="false" customHeight="false" outlineLevel="0" collapsed="false">
      <c r="A1561" s="12" t="s">
        <v>3675</v>
      </c>
      <c r="B1561" s="12" t="s">
        <v>3632</v>
      </c>
      <c r="C1561" s="12" t="s">
        <v>3633</v>
      </c>
      <c r="D1561" s="12" t="s">
        <v>199</v>
      </c>
      <c r="E1561" s="12" t="s">
        <v>3676</v>
      </c>
      <c r="F1561" s="13" t="n">
        <v>252864</v>
      </c>
      <c r="G1561" s="13" t="n">
        <v>440497</v>
      </c>
      <c r="H1561" s="14" t="n">
        <v>3695</v>
      </c>
      <c r="I1561" s="14" t="n">
        <v>3350</v>
      </c>
      <c r="J1561" s="15" t="n">
        <f aca="false">I1561/H1561</f>
        <v>0.906630581867388</v>
      </c>
      <c r="K1561" s="16" t="n">
        <f aca="false">ROUND(I1561*J1561^($F$8-1),0)</f>
        <v>3427</v>
      </c>
      <c r="L1561" s="16" t="n">
        <f aca="false">ROUND(I1561*J1561^($F$9-1),0)</f>
        <v>3367</v>
      </c>
      <c r="M1561" s="17" t="n">
        <f aca="false">G1561*$F$7</f>
        <v>424331.74483518</v>
      </c>
      <c r="N1561" s="18" t="n">
        <f aca="false">F1561/K1561</f>
        <v>73.7858185001459</v>
      </c>
      <c r="O1561" s="18" t="n">
        <f aca="false">G1561/L1561</f>
        <v>130.82773982774</v>
      </c>
      <c r="P1561" s="18" t="n">
        <f aca="false">M1561/L1561</f>
        <v>126.026654242703</v>
      </c>
      <c r="Q1561" s="19" t="n">
        <f aca="false">IF(N1561=0,"n.a.",P1561/N1561-1)</f>
        <v>0.708006454417165</v>
      </c>
    </row>
    <row r="1562" customFormat="false" ht="15" hidden="false" customHeight="false" outlineLevel="0" collapsed="false">
      <c r="A1562" s="12" t="s">
        <v>3677</v>
      </c>
      <c r="B1562" s="12" t="s">
        <v>3632</v>
      </c>
      <c r="C1562" s="12" t="s">
        <v>3633</v>
      </c>
      <c r="D1562" s="12" t="s">
        <v>202</v>
      </c>
      <c r="E1562" s="12" t="s">
        <v>3678</v>
      </c>
      <c r="F1562" s="13" t="n">
        <v>203435491</v>
      </c>
      <c r="G1562" s="13" t="n">
        <v>259892007</v>
      </c>
      <c r="H1562" s="14" t="n">
        <v>423829</v>
      </c>
      <c r="I1562" s="14" t="n">
        <v>451305</v>
      </c>
      <c r="J1562" s="15" t="n">
        <f aca="false">I1562/H1562</f>
        <v>1.0648280320601</v>
      </c>
      <c r="K1562" s="16" t="n">
        <f aca="false">ROUND(I1562*J1562^($F$8-1),0)</f>
        <v>444807</v>
      </c>
      <c r="L1562" s="16" t="n">
        <f aca="false">ROUND(I1562*J1562^($F$9-1),0)</f>
        <v>449834</v>
      </c>
      <c r="M1562" s="17" t="n">
        <f aca="false">G1562*$F$7</f>
        <v>250354551.334122</v>
      </c>
      <c r="N1562" s="18" t="n">
        <f aca="false">F1562/K1562</f>
        <v>457.356765968162</v>
      </c>
      <c r="O1562" s="18" t="n">
        <f aca="false">G1562/L1562</f>
        <v>577.750919227982</v>
      </c>
      <c r="P1562" s="18" t="n">
        <f aca="false">M1562/L1562</f>
        <v>556.54875205992</v>
      </c>
      <c r="Q1562" s="19" t="n">
        <f aca="false">IF(N1562=0,"n.a.",P1562/N1562-1)</f>
        <v>0.216880985420174</v>
      </c>
    </row>
    <row r="1563" customFormat="false" ht="15" hidden="false" customHeight="false" outlineLevel="0" collapsed="false">
      <c r="A1563" s="12" t="s">
        <v>3679</v>
      </c>
      <c r="B1563" s="12" t="s">
        <v>3632</v>
      </c>
      <c r="C1563" s="12" t="s">
        <v>3633</v>
      </c>
      <c r="D1563" s="12" t="s">
        <v>205</v>
      </c>
      <c r="E1563" s="12" t="s">
        <v>3680</v>
      </c>
      <c r="F1563" s="13" t="n">
        <v>483044</v>
      </c>
      <c r="G1563" s="13" t="n">
        <v>467731</v>
      </c>
      <c r="H1563" s="14" t="n">
        <v>3810</v>
      </c>
      <c r="I1563" s="14" t="n">
        <v>3648</v>
      </c>
      <c r="J1563" s="15" t="n">
        <f aca="false">I1563/H1563</f>
        <v>0.95748031496063</v>
      </c>
      <c r="K1563" s="16" t="n">
        <f aca="false">ROUND(I1563*J1563^($F$8-1),0)</f>
        <v>3685</v>
      </c>
      <c r="L1563" s="16" t="n">
        <f aca="false">ROUND(I1563*J1563^($F$9-1),0)</f>
        <v>3656</v>
      </c>
      <c r="M1563" s="17" t="n">
        <f aca="false">G1563*$F$7</f>
        <v>450566.317917043</v>
      </c>
      <c r="N1563" s="18" t="n">
        <f aca="false">F1563/K1563</f>
        <v>131.083853459973</v>
      </c>
      <c r="O1563" s="18" t="n">
        <f aca="false">G1563/L1563</f>
        <v>127.935175054705</v>
      </c>
      <c r="P1563" s="18" t="n">
        <f aca="false">M1563/L1563</f>
        <v>123.240240130482</v>
      </c>
      <c r="Q1563" s="19" t="n">
        <f aca="false">IF(N1563=0,"n.a.",P1563/N1563-1)</f>
        <v>-0.0598366093340842</v>
      </c>
    </row>
    <row r="1564" customFormat="false" ht="15" hidden="false" customHeight="false" outlineLevel="0" collapsed="false">
      <c r="A1564" s="12" t="s">
        <v>3681</v>
      </c>
      <c r="B1564" s="12" t="s">
        <v>3632</v>
      </c>
      <c r="C1564" s="12" t="s">
        <v>3633</v>
      </c>
      <c r="D1564" s="12" t="s">
        <v>208</v>
      </c>
      <c r="E1564" s="12" t="s">
        <v>191</v>
      </c>
      <c r="F1564" s="13" t="n">
        <v>2434578</v>
      </c>
      <c r="G1564" s="13" t="n">
        <v>2319400</v>
      </c>
      <c r="H1564" s="14" t="n">
        <v>13190</v>
      </c>
      <c r="I1564" s="14" t="n">
        <v>12861</v>
      </c>
      <c r="J1564" s="15" t="n">
        <f aca="false">I1564/H1564</f>
        <v>0.975056861258529</v>
      </c>
      <c r="K1564" s="16" t="n">
        <f aca="false">ROUND(I1564*J1564^($F$8-1),0)</f>
        <v>12936</v>
      </c>
      <c r="L1564" s="16" t="n">
        <f aca="false">ROUND(I1564*J1564^($F$9-1),0)</f>
        <v>12878</v>
      </c>
      <c r="M1564" s="17" t="n">
        <f aca="false">G1564*$F$7</f>
        <v>2234283.20504048</v>
      </c>
      <c r="N1564" s="18" t="n">
        <f aca="false">F1564/K1564</f>
        <v>188.201762523191</v>
      </c>
      <c r="O1564" s="18" t="n">
        <f aca="false">G1564/L1564</f>
        <v>180.105606460631</v>
      </c>
      <c r="P1564" s="18" t="n">
        <f aca="false">M1564/L1564</f>
        <v>173.4961333313</v>
      </c>
      <c r="Q1564" s="19" t="n">
        <f aca="false">IF(N1564=0,"n.a.",P1564/N1564-1)</f>
        <v>-0.0781375742433821</v>
      </c>
    </row>
    <row r="1565" customFormat="false" ht="15" hidden="false" customHeight="false" outlineLevel="0" collapsed="false">
      <c r="A1565" s="12" t="s">
        <v>3682</v>
      </c>
      <c r="B1565" s="12" t="s">
        <v>3632</v>
      </c>
      <c r="C1565" s="12" t="s">
        <v>3633</v>
      </c>
      <c r="D1565" s="12" t="s">
        <v>211</v>
      </c>
      <c r="E1565" s="12" t="s">
        <v>3683</v>
      </c>
      <c r="F1565" s="13" t="n">
        <v>1321869</v>
      </c>
      <c r="G1565" s="13" t="n">
        <v>1363448</v>
      </c>
      <c r="H1565" s="14" t="n">
        <v>13546</v>
      </c>
      <c r="I1565" s="14" t="n">
        <v>13322</v>
      </c>
      <c r="J1565" s="15" t="n">
        <f aca="false">I1565/H1565</f>
        <v>0.983463753137458</v>
      </c>
      <c r="K1565" s="16" t="n">
        <f aca="false">ROUND(I1565*J1565^($F$8-1),0)</f>
        <v>13373</v>
      </c>
      <c r="L1565" s="16" t="n">
        <f aca="false">ROUND(I1565*J1565^($F$9-1),0)</f>
        <v>13334</v>
      </c>
      <c r="M1565" s="17" t="n">
        <f aca="false">G1565*$F$7</f>
        <v>1313412.50640081</v>
      </c>
      <c r="N1565" s="18" t="n">
        <f aca="false">F1565/K1565</f>
        <v>98.8461078292081</v>
      </c>
      <c r="O1565" s="18" t="n">
        <f aca="false">G1565/L1565</f>
        <v>102.253487325634</v>
      </c>
      <c r="P1565" s="18" t="n">
        <f aca="false">M1565/L1565</f>
        <v>98.5010129294141</v>
      </c>
      <c r="Q1565" s="19" t="n">
        <f aca="false">IF(N1565=0,"n.a.",P1565/N1565-1)</f>
        <v>-0.00349123407459107</v>
      </c>
    </row>
    <row r="1566" customFormat="false" ht="15" hidden="false" customHeight="false" outlineLevel="0" collapsed="false">
      <c r="A1566" s="12" t="s">
        <v>3684</v>
      </c>
      <c r="B1566" s="12" t="s">
        <v>3632</v>
      </c>
      <c r="C1566" s="12" t="s">
        <v>3633</v>
      </c>
      <c r="D1566" s="12" t="s">
        <v>214</v>
      </c>
      <c r="E1566" s="12" t="s">
        <v>3685</v>
      </c>
      <c r="F1566" s="13" t="n">
        <v>344305</v>
      </c>
      <c r="G1566" s="13" t="n">
        <v>537524</v>
      </c>
      <c r="H1566" s="14" t="n">
        <v>1910</v>
      </c>
      <c r="I1566" s="14" t="n">
        <v>1718</v>
      </c>
      <c r="J1566" s="15" t="n">
        <f aca="false">I1566/H1566</f>
        <v>0.899476439790576</v>
      </c>
      <c r="K1566" s="16" t="n">
        <f aca="false">ROUND(I1566*J1566^($F$8-1),0)</f>
        <v>1761</v>
      </c>
      <c r="L1566" s="16" t="n">
        <f aca="false">ROUND(I1566*J1566^($F$9-1),0)</f>
        <v>1727</v>
      </c>
      <c r="M1566" s="17" t="n">
        <f aca="false">G1566*$F$7</f>
        <v>517798.07083995</v>
      </c>
      <c r="N1566" s="18" t="n">
        <f aca="false">F1566/K1566</f>
        <v>195.516751845542</v>
      </c>
      <c r="O1566" s="18" t="n">
        <f aca="false">G1566/L1566</f>
        <v>311.247249565721</v>
      </c>
      <c r="P1566" s="18" t="n">
        <f aca="false">M1566/L1566</f>
        <v>299.825171302808</v>
      </c>
      <c r="Q1566" s="19" t="n">
        <f aca="false">IF(N1566=0,"n.a.",P1566/N1566-1)</f>
        <v>0.533501188377296</v>
      </c>
    </row>
    <row r="1567" customFormat="false" ht="15" hidden="false" customHeight="false" outlineLevel="0" collapsed="false">
      <c r="A1567" s="12" t="s">
        <v>3686</v>
      </c>
      <c r="B1567" s="12" t="s">
        <v>3632</v>
      </c>
      <c r="C1567" s="12" t="s">
        <v>3633</v>
      </c>
      <c r="D1567" s="12" t="s">
        <v>217</v>
      </c>
      <c r="E1567" s="12" t="s">
        <v>3687</v>
      </c>
      <c r="F1567" s="13" t="n">
        <v>449188197</v>
      </c>
      <c r="G1567" s="13" t="n">
        <v>543361581</v>
      </c>
      <c r="H1567" s="14" t="n">
        <v>702690</v>
      </c>
      <c r="I1567" s="14" t="n">
        <v>730799</v>
      </c>
      <c r="J1567" s="15" t="n">
        <f aca="false">I1567/H1567</f>
        <v>1.04000199234371</v>
      </c>
      <c r="K1567" s="16" t="n">
        <f aca="false">ROUND(I1567*J1567^($F$8-1),0)</f>
        <v>724211</v>
      </c>
      <c r="L1567" s="16" t="n">
        <f aca="false">ROUND(I1567*J1567^($F$9-1),0)</f>
        <v>729311</v>
      </c>
      <c r="M1567" s="17" t="n">
        <f aca="false">G1567*$F$7</f>
        <v>523421425.667217</v>
      </c>
      <c r="N1567" s="18" t="n">
        <f aca="false">F1567/K1567</f>
        <v>620.24492447643</v>
      </c>
      <c r="O1567" s="18" t="n">
        <f aca="false">G1567/L1567</f>
        <v>745.0341226171</v>
      </c>
      <c r="P1567" s="18" t="n">
        <f aca="false">M1567/L1567</f>
        <v>717.69303584783</v>
      </c>
      <c r="Q1567" s="19" t="n">
        <f aca="false">IF(N1567=0,"n.a.",P1567/N1567-1)</f>
        <v>0.157112307615671</v>
      </c>
    </row>
    <row r="1568" customFormat="false" ht="15" hidden="false" customHeight="false" outlineLevel="0" collapsed="false">
      <c r="A1568" s="12" t="s">
        <v>3688</v>
      </c>
      <c r="B1568" s="12" t="s">
        <v>3632</v>
      </c>
      <c r="C1568" s="12" t="s">
        <v>3633</v>
      </c>
      <c r="D1568" s="12" t="s">
        <v>220</v>
      </c>
      <c r="E1568" s="12" t="s">
        <v>3689</v>
      </c>
      <c r="F1568" s="13" t="n">
        <v>48105031</v>
      </c>
      <c r="G1568" s="13" t="n">
        <v>52213362</v>
      </c>
      <c r="H1568" s="14" t="n">
        <v>132383</v>
      </c>
      <c r="I1568" s="14" t="n">
        <v>138636</v>
      </c>
      <c r="J1568" s="15" t="n">
        <f aca="false">I1568/H1568</f>
        <v>1.04723416148599</v>
      </c>
      <c r="K1568" s="16" t="n">
        <f aca="false">ROUND(I1568*J1568^($F$8-1),0)</f>
        <v>137167</v>
      </c>
      <c r="L1568" s="16" t="n">
        <f aca="false">ROUND(I1568*J1568^($F$9-1),0)</f>
        <v>138304</v>
      </c>
      <c r="M1568" s="17" t="n">
        <f aca="false">G1568*$F$7</f>
        <v>50297248.3380611</v>
      </c>
      <c r="N1568" s="18" t="n">
        <f aca="false">F1568/K1568</f>
        <v>350.704112505194</v>
      </c>
      <c r="O1568" s="18" t="n">
        <f aca="false">G1568/L1568</f>
        <v>377.526044076816</v>
      </c>
      <c r="P1568" s="18" t="n">
        <f aca="false">M1568/L1568</f>
        <v>363.671682222214</v>
      </c>
      <c r="Q1568" s="19" t="n">
        <f aca="false">IF(N1568=0,"n.a.",P1568/N1568-1)</f>
        <v>0.0369758130989333</v>
      </c>
    </row>
    <row r="1569" customFormat="false" ht="15" hidden="false" customHeight="false" outlineLevel="0" collapsed="false">
      <c r="A1569" s="12" t="s">
        <v>3690</v>
      </c>
      <c r="B1569" s="12" t="s">
        <v>3632</v>
      </c>
      <c r="C1569" s="12" t="s">
        <v>3633</v>
      </c>
      <c r="D1569" s="12" t="s">
        <v>223</v>
      </c>
      <c r="E1569" s="12" t="s">
        <v>3691</v>
      </c>
      <c r="F1569" s="13" t="n">
        <v>1289271</v>
      </c>
      <c r="G1569" s="13" t="n">
        <v>1531577</v>
      </c>
      <c r="H1569" s="14" t="n">
        <v>7409</v>
      </c>
      <c r="I1569" s="14" t="n">
        <v>7234</v>
      </c>
      <c r="J1569" s="15" t="n">
        <f aca="false">I1569/H1569</f>
        <v>0.976380078283169</v>
      </c>
      <c r="K1569" s="16" t="n">
        <f aca="false">ROUND(I1569*J1569^($F$8-1),0)</f>
        <v>7274</v>
      </c>
      <c r="L1569" s="16" t="n">
        <f aca="false">ROUND(I1569*J1569^($F$9-1),0)</f>
        <v>7243</v>
      </c>
      <c r="M1569" s="17" t="n">
        <f aca="false">G1569*$F$7</f>
        <v>1475371.54795477</v>
      </c>
      <c r="N1569" s="18" t="n">
        <f aca="false">F1569/K1569</f>
        <v>177.243744844652</v>
      </c>
      <c r="O1569" s="18" t="n">
        <f aca="false">G1569/L1569</f>
        <v>211.456164572691</v>
      </c>
      <c r="P1569" s="18" t="n">
        <f aca="false">M1569/L1569</f>
        <v>203.696196045115</v>
      </c>
      <c r="Q1569" s="19" t="n">
        <f aca="false">IF(N1569=0,"n.a.",P1569/N1569-1)</f>
        <v>0.149243355378477</v>
      </c>
    </row>
    <row r="1570" customFormat="false" ht="15" hidden="false" customHeight="false" outlineLevel="0" collapsed="false">
      <c r="A1570" s="12" t="s">
        <v>3692</v>
      </c>
      <c r="B1570" s="12" t="s">
        <v>3632</v>
      </c>
      <c r="C1570" s="12" t="s">
        <v>3633</v>
      </c>
      <c r="D1570" s="12" t="s">
        <v>226</v>
      </c>
      <c r="E1570" s="12" t="s">
        <v>416</v>
      </c>
      <c r="F1570" s="13" t="n">
        <v>11372501</v>
      </c>
      <c r="G1570" s="13" t="n">
        <v>10543722</v>
      </c>
      <c r="H1570" s="14" t="n">
        <v>51394</v>
      </c>
      <c r="I1570" s="14" t="n">
        <v>49777</v>
      </c>
      <c r="J1570" s="15" t="n">
        <f aca="false">I1570/H1570</f>
        <v>0.968537183328793</v>
      </c>
      <c r="K1570" s="16" t="n">
        <f aca="false">ROUND(I1570*J1570^($F$8-1),0)</f>
        <v>50146</v>
      </c>
      <c r="L1570" s="16" t="n">
        <f aca="false">ROUND(I1570*J1570^($F$9-1),0)</f>
        <v>49860</v>
      </c>
      <c r="M1570" s="17" t="n">
        <f aca="false">G1570*$F$7</f>
        <v>10156790.9731895</v>
      </c>
      <c r="N1570" s="18" t="n">
        <f aca="false">F1570/K1570</f>
        <v>226.787799625095</v>
      </c>
      <c r="O1570" s="18" t="n">
        <f aca="false">G1570/L1570</f>
        <v>211.466546329723</v>
      </c>
      <c r="P1570" s="18" t="n">
        <f aca="false">M1570/L1570</f>
        <v>203.706196814872</v>
      </c>
      <c r="Q1570" s="19" t="n">
        <f aca="false">IF(N1570=0,"n.a.",P1570/N1570-1)</f>
        <v>-0.101776210397467</v>
      </c>
    </row>
    <row r="1571" customFormat="false" ht="15" hidden="false" customHeight="false" outlineLevel="0" collapsed="false">
      <c r="A1571" s="12" t="s">
        <v>3693</v>
      </c>
      <c r="B1571" s="12" t="s">
        <v>3632</v>
      </c>
      <c r="C1571" s="12" t="s">
        <v>3633</v>
      </c>
      <c r="D1571" s="12" t="s">
        <v>229</v>
      </c>
      <c r="E1571" s="12" t="s">
        <v>2149</v>
      </c>
      <c r="F1571" s="13" t="n">
        <v>112711</v>
      </c>
      <c r="G1571" s="13" t="n">
        <v>144620</v>
      </c>
      <c r="H1571" s="14" t="n">
        <v>926</v>
      </c>
      <c r="I1571" s="14" t="n">
        <v>830</v>
      </c>
      <c r="J1571" s="15" t="n">
        <f aca="false">I1571/H1571</f>
        <v>0.896328293736501</v>
      </c>
      <c r="K1571" s="16" t="n">
        <f aca="false">ROUND(I1571*J1571^($F$8-1),0)</f>
        <v>851</v>
      </c>
      <c r="L1571" s="16" t="n">
        <f aca="false">ROUND(I1571*J1571^($F$9-1),0)</f>
        <v>835</v>
      </c>
      <c r="M1571" s="17" t="n">
        <f aca="false">G1571*$F$7</f>
        <v>139312.769299368</v>
      </c>
      <c r="N1571" s="18" t="n">
        <f aca="false">F1571/K1571</f>
        <v>132.44535840188</v>
      </c>
      <c r="O1571" s="18" t="n">
        <f aca="false">G1571/L1571</f>
        <v>173.197604790419</v>
      </c>
      <c r="P1571" s="18" t="n">
        <f aca="false">M1571/L1571</f>
        <v>166.841639879483</v>
      </c>
      <c r="Q1571" s="19" t="n">
        <f aca="false">IF(N1571=0,"n.a.",P1571/N1571-1)</f>
        <v>0.259701675412691</v>
      </c>
    </row>
    <row r="1572" customFormat="false" ht="15" hidden="false" customHeight="false" outlineLevel="0" collapsed="false">
      <c r="A1572" s="12" t="s">
        <v>3694</v>
      </c>
      <c r="B1572" s="12" t="s">
        <v>3632</v>
      </c>
      <c r="C1572" s="12" t="s">
        <v>3633</v>
      </c>
      <c r="D1572" s="12" t="s">
        <v>235</v>
      </c>
      <c r="E1572" s="12" t="s">
        <v>3695</v>
      </c>
      <c r="F1572" s="13" t="n">
        <v>173658546</v>
      </c>
      <c r="G1572" s="13" t="n">
        <v>147382588</v>
      </c>
      <c r="H1572" s="14" t="n">
        <v>296761</v>
      </c>
      <c r="I1572" s="14" t="n">
        <v>287030</v>
      </c>
      <c r="J1572" s="15" t="n">
        <f aca="false">I1572/H1572</f>
        <v>0.967209303109236</v>
      </c>
      <c r="K1572" s="16" t="n">
        <f aca="false">ROUND(I1572*J1572^($F$8-1),0)</f>
        <v>289248</v>
      </c>
      <c r="L1572" s="16" t="n">
        <f aca="false">ROUND(I1572*J1572^($F$9-1),0)</f>
        <v>287528</v>
      </c>
      <c r="M1572" s="17" t="n">
        <f aca="false">G1572*$F$7</f>
        <v>141973976.495559</v>
      </c>
      <c r="N1572" s="18" t="n">
        <f aca="false">F1572/K1572</f>
        <v>600.3794183538</v>
      </c>
      <c r="O1572" s="18" t="n">
        <f aca="false">G1572/L1572</f>
        <v>512.585167357614</v>
      </c>
      <c r="P1572" s="18" t="n">
        <f aca="false">M1572/L1572</f>
        <v>493.774437604544</v>
      </c>
      <c r="Q1572" s="19" t="n">
        <f aca="false">IF(N1572=0,"n.a.",P1572/N1572-1)</f>
        <v>-0.177562683680196</v>
      </c>
    </row>
    <row r="1573" customFormat="false" ht="15" hidden="false" customHeight="false" outlineLevel="0" collapsed="false">
      <c r="A1573" s="12" t="s">
        <v>3696</v>
      </c>
      <c r="B1573" s="12" t="s">
        <v>3632</v>
      </c>
      <c r="C1573" s="12" t="s">
        <v>3633</v>
      </c>
      <c r="D1573" s="12" t="s">
        <v>317</v>
      </c>
      <c r="E1573" s="12" t="s">
        <v>3697</v>
      </c>
      <c r="F1573" s="13" t="n">
        <v>4301368</v>
      </c>
      <c r="G1573" s="13" t="n">
        <v>3158859</v>
      </c>
      <c r="H1573" s="14" t="n">
        <v>28225</v>
      </c>
      <c r="I1573" s="14" t="n">
        <v>30746</v>
      </c>
      <c r="J1573" s="15" t="n">
        <f aca="false">I1573/H1573</f>
        <v>1.08931798051373</v>
      </c>
      <c r="K1573" s="16" t="n">
        <f aca="false">ROUND(I1573*J1573^($F$8-1),0)</f>
        <v>30145</v>
      </c>
      <c r="L1573" s="16" t="n">
        <f aca="false">ROUND(I1573*J1573^($F$9-1),0)</f>
        <v>30610</v>
      </c>
      <c r="M1573" s="17" t="n">
        <f aca="false">G1573*$F$7</f>
        <v>3042935.93635896</v>
      </c>
      <c r="N1573" s="18" t="n">
        <f aca="false">F1573/K1573</f>
        <v>142.689268535412</v>
      </c>
      <c r="O1573" s="18" t="n">
        <f aca="false">G1573/L1573</f>
        <v>103.196961777197</v>
      </c>
      <c r="P1573" s="18" t="n">
        <f aca="false">M1573/L1573</f>
        <v>99.409863977751</v>
      </c>
      <c r="Q1573" s="19" t="n">
        <f aca="false">IF(N1573=0,"n.a.",P1573/N1573-1)</f>
        <v>-0.303312260283402</v>
      </c>
    </row>
    <row r="1574" customFormat="false" ht="15" hidden="false" customHeight="false" outlineLevel="0" collapsed="false">
      <c r="A1574" s="12" t="s">
        <v>3698</v>
      </c>
      <c r="B1574" s="12" t="s">
        <v>3632</v>
      </c>
      <c r="C1574" s="12" t="s">
        <v>3633</v>
      </c>
      <c r="D1574" s="12" t="s">
        <v>320</v>
      </c>
      <c r="E1574" s="12" t="s">
        <v>3699</v>
      </c>
      <c r="F1574" s="13" t="n">
        <v>18733069</v>
      </c>
      <c r="G1574" s="13" t="n">
        <v>20418697</v>
      </c>
      <c r="H1574" s="14" t="n">
        <v>60041</v>
      </c>
      <c r="I1574" s="14" t="n">
        <v>57374</v>
      </c>
      <c r="J1574" s="15" t="n">
        <f aca="false">I1574/H1574</f>
        <v>0.95558035342516</v>
      </c>
      <c r="K1574" s="16" t="n">
        <f aca="false">ROUND(I1574*J1574^($F$8-1),0)</f>
        <v>57979</v>
      </c>
      <c r="L1574" s="16" t="n">
        <f aca="false">ROUND(I1574*J1574^($F$9-1),0)</f>
        <v>57510</v>
      </c>
      <c r="M1574" s="17" t="n">
        <f aca="false">G1574*$F$7</f>
        <v>19669376.4662889</v>
      </c>
      <c r="N1574" s="18" t="n">
        <f aca="false">F1574/K1574</f>
        <v>323.100933096466</v>
      </c>
      <c r="O1574" s="18" t="n">
        <f aca="false">G1574/L1574</f>
        <v>355.046026777952</v>
      </c>
      <c r="P1574" s="18" t="n">
        <f aca="false">M1574/L1574</f>
        <v>342.016631303928</v>
      </c>
      <c r="Q1574" s="19" t="n">
        <f aca="false">IF(N1574=0,"n.a.",P1574/N1574-1)</f>
        <v>0.0585442388735358</v>
      </c>
    </row>
    <row r="1575" customFormat="false" ht="15" hidden="false" customHeight="false" outlineLevel="0" collapsed="false">
      <c r="A1575" s="12" t="s">
        <v>3700</v>
      </c>
      <c r="B1575" s="12" t="s">
        <v>3632</v>
      </c>
      <c r="C1575" s="12" t="s">
        <v>3633</v>
      </c>
      <c r="D1575" s="12" t="s">
        <v>323</v>
      </c>
      <c r="E1575" s="12" t="s">
        <v>718</v>
      </c>
      <c r="F1575" s="13" t="n">
        <v>116992070</v>
      </c>
      <c r="G1575" s="13" t="n">
        <v>106247074</v>
      </c>
      <c r="H1575" s="14" t="n">
        <v>348121</v>
      </c>
      <c r="I1575" s="14" t="n">
        <v>355734</v>
      </c>
      <c r="J1575" s="15" t="n">
        <f aca="false">I1575/H1575</f>
        <v>1.02186883296325</v>
      </c>
      <c r="K1575" s="16" t="n">
        <f aca="false">ROUND(I1575*J1575^($F$8-1),0)</f>
        <v>353962</v>
      </c>
      <c r="L1575" s="16" t="n">
        <f aca="false">ROUND(I1575*J1575^($F$9-1),0)</f>
        <v>355334</v>
      </c>
      <c r="M1575" s="17" t="n">
        <f aca="false">G1575*$F$7</f>
        <v>102348043.900532</v>
      </c>
      <c r="N1575" s="18" t="n">
        <f aca="false">F1575/K1575</f>
        <v>330.521553161074</v>
      </c>
      <c r="O1575" s="18" t="n">
        <f aca="false">G1575/L1575</f>
        <v>299.006213872019</v>
      </c>
      <c r="P1575" s="18" t="n">
        <f aca="false">M1575/L1575</f>
        <v>288.033354254115</v>
      </c>
      <c r="Q1575" s="19" t="n">
        <f aca="false">IF(N1575=0,"n.a.",P1575/N1575-1)</f>
        <v>-0.128548950894749</v>
      </c>
    </row>
    <row r="1576" customFormat="false" ht="15" hidden="false" customHeight="false" outlineLevel="0" collapsed="false">
      <c r="A1576" s="12" t="s">
        <v>3701</v>
      </c>
      <c r="B1576" s="12" t="s">
        <v>3632</v>
      </c>
      <c r="C1576" s="12" t="s">
        <v>3633</v>
      </c>
      <c r="D1576" s="12" t="s">
        <v>326</v>
      </c>
      <c r="E1576" s="12" t="s">
        <v>3702</v>
      </c>
      <c r="F1576" s="13" t="n">
        <v>1479578</v>
      </c>
      <c r="G1576" s="13" t="n">
        <v>1266168</v>
      </c>
      <c r="H1576" s="14" t="n">
        <v>5361</v>
      </c>
      <c r="I1576" s="14" t="n">
        <v>5630</v>
      </c>
      <c r="J1576" s="15" t="n">
        <f aca="false">I1576/H1576</f>
        <v>1.0501772057452</v>
      </c>
      <c r="K1576" s="16" t="n">
        <f aca="false">ROUND(I1576*J1576^($F$8-1),0)</f>
        <v>5567</v>
      </c>
      <c r="L1576" s="16" t="n">
        <f aca="false">ROUND(I1576*J1576^($F$9-1),0)</f>
        <v>5616</v>
      </c>
      <c r="M1576" s="17" t="n">
        <f aca="false">G1576*$F$7</f>
        <v>1219702.46493045</v>
      </c>
      <c r="N1576" s="18" t="n">
        <f aca="false">F1576/K1576</f>
        <v>265.776540326927</v>
      </c>
      <c r="O1576" s="18" t="n">
        <f aca="false">G1576/L1576</f>
        <v>225.457264957265</v>
      </c>
      <c r="P1576" s="18" t="n">
        <f aca="false">M1576/L1576</f>
        <v>217.183487345166</v>
      </c>
      <c r="Q1576" s="19" t="n">
        <f aca="false">IF(N1576=0,"n.a.",P1576/N1576-1)</f>
        <v>-0.182834244595053</v>
      </c>
    </row>
    <row r="1577" customFormat="false" ht="15" hidden="false" customHeight="false" outlineLevel="0" collapsed="false">
      <c r="A1577" s="12" t="s">
        <v>3703</v>
      </c>
      <c r="B1577" s="12" t="s">
        <v>3632</v>
      </c>
      <c r="C1577" s="12" t="s">
        <v>3633</v>
      </c>
      <c r="D1577" s="12" t="s">
        <v>600</v>
      </c>
      <c r="E1577" s="12" t="s">
        <v>3704</v>
      </c>
      <c r="F1577" s="13" t="n">
        <v>3460935</v>
      </c>
      <c r="G1577" s="13" t="n">
        <v>4602092</v>
      </c>
      <c r="H1577" s="14" t="n">
        <v>22229</v>
      </c>
      <c r="I1577" s="14" t="n">
        <v>21303</v>
      </c>
      <c r="J1577" s="15" t="n">
        <f aca="false">I1577/H1577</f>
        <v>0.95834270547483</v>
      </c>
      <c r="K1577" s="16" t="n">
        <f aca="false">ROUND(I1577*J1577^($F$8-1),0)</f>
        <v>21513</v>
      </c>
      <c r="L1577" s="16" t="n">
        <f aca="false">ROUND(I1577*J1577^($F$9-1),0)</f>
        <v>21350</v>
      </c>
      <c r="M1577" s="17" t="n">
        <f aca="false">G1577*$F$7</f>
        <v>4433205.51161988</v>
      </c>
      <c r="N1577" s="18" t="n">
        <f aca="false">F1577/K1577</f>
        <v>160.87644679961</v>
      </c>
      <c r="O1577" s="18" t="n">
        <f aca="false">G1577/L1577</f>
        <v>215.554660421546</v>
      </c>
      <c r="P1577" s="18" t="n">
        <f aca="false">M1577/L1577</f>
        <v>207.644286258542</v>
      </c>
      <c r="Q1577" s="19" t="n">
        <f aca="false">IF(N1577=0,"n.a.",P1577/N1577-1)</f>
        <v>0.290706566370077</v>
      </c>
    </row>
    <row r="1578" customFormat="false" ht="15" hidden="false" customHeight="false" outlineLevel="0" collapsed="false">
      <c r="A1578" s="12" t="s">
        <v>3705</v>
      </c>
      <c r="B1578" s="12" t="s">
        <v>3706</v>
      </c>
      <c r="C1578" s="12" t="s">
        <v>3707</v>
      </c>
      <c r="D1578" s="12" t="s">
        <v>46</v>
      </c>
      <c r="E1578" s="12" t="s">
        <v>3708</v>
      </c>
      <c r="F1578" s="13" t="n">
        <v>1630880</v>
      </c>
      <c r="G1578" s="13" t="n">
        <v>1267229</v>
      </c>
      <c r="H1578" s="14" t="n">
        <v>11396</v>
      </c>
      <c r="I1578" s="14" t="n">
        <v>12337</v>
      </c>
      <c r="J1578" s="15" t="n">
        <f aca="false">I1578/H1578</f>
        <v>1.08257283257283</v>
      </c>
      <c r="K1578" s="16" t="n">
        <f aca="false">ROUND(I1578*J1578^($F$8-1),0)</f>
        <v>12113</v>
      </c>
      <c r="L1578" s="16" t="n">
        <f aca="false">ROUND(I1578*J1578^($F$9-1),0)</f>
        <v>12286</v>
      </c>
      <c r="M1578" s="17" t="n">
        <f aca="false">G1578*$F$7</f>
        <v>1220724.52860233</v>
      </c>
      <c r="N1578" s="18" t="n">
        <f aca="false">F1578/K1578</f>
        <v>134.638817799059</v>
      </c>
      <c r="O1578" s="18" t="n">
        <f aca="false">G1578/L1578</f>
        <v>103.144147810516</v>
      </c>
      <c r="P1578" s="18" t="n">
        <f aca="false">M1578/L1578</f>
        <v>99.3589881655811</v>
      </c>
      <c r="Q1578" s="19" t="n">
        <f aca="false">IF(N1578=0,"n.a.",P1578/N1578-1)</f>
        <v>-0.262033120983957</v>
      </c>
    </row>
    <row r="1579" customFormat="false" ht="15" hidden="false" customHeight="false" outlineLevel="0" collapsed="false">
      <c r="A1579" s="12" t="s">
        <v>3709</v>
      </c>
      <c r="B1579" s="12" t="s">
        <v>3706</v>
      </c>
      <c r="C1579" s="12" t="s">
        <v>3707</v>
      </c>
      <c r="D1579" s="12" t="s">
        <v>48</v>
      </c>
      <c r="E1579" s="12" t="s">
        <v>3710</v>
      </c>
      <c r="F1579" s="13" t="n">
        <v>3469090</v>
      </c>
      <c r="G1579" s="13" t="n">
        <v>4185245</v>
      </c>
      <c r="H1579" s="14" t="n">
        <v>15756</v>
      </c>
      <c r="I1579" s="14" t="n">
        <v>14807</v>
      </c>
      <c r="J1579" s="15" t="n">
        <f aca="false">I1579/H1579</f>
        <v>0.93976897689769</v>
      </c>
      <c r="K1579" s="16" t="n">
        <f aca="false">ROUND(I1579*J1579^($F$8-1),0)</f>
        <v>15021</v>
      </c>
      <c r="L1579" s="16" t="n">
        <f aca="false">ROUND(I1579*J1579^($F$9-1),0)</f>
        <v>14855</v>
      </c>
      <c r="M1579" s="17" t="n">
        <f aca="false">G1579*$F$7</f>
        <v>4031655.8646545</v>
      </c>
      <c r="N1579" s="18" t="n">
        <f aca="false">F1579/K1579</f>
        <v>230.949337594035</v>
      </c>
      <c r="O1579" s="18" t="n">
        <f aca="false">G1579/L1579</f>
        <v>281.739818243016</v>
      </c>
      <c r="P1579" s="18" t="n">
        <f aca="false">M1579/L1579</f>
        <v>271.400596745506</v>
      </c>
      <c r="Q1579" s="19" t="n">
        <f aca="false">IF(N1579=0,"n.a.",P1579/N1579-1)</f>
        <v>0.175152089947004</v>
      </c>
    </row>
    <row r="1580" customFormat="false" ht="15" hidden="false" customHeight="false" outlineLevel="0" collapsed="false">
      <c r="A1580" s="12" t="s">
        <v>3711</v>
      </c>
      <c r="B1580" s="12" t="s">
        <v>3706</v>
      </c>
      <c r="C1580" s="12" t="s">
        <v>3707</v>
      </c>
      <c r="D1580" s="12" t="s">
        <v>51</v>
      </c>
      <c r="E1580" s="12" t="s">
        <v>3712</v>
      </c>
      <c r="F1580" s="13" t="n">
        <v>911895</v>
      </c>
      <c r="G1580" s="13" t="n">
        <v>4064738</v>
      </c>
      <c r="H1580" s="14" t="n">
        <v>7036</v>
      </c>
      <c r="I1580" s="14" t="n">
        <v>8153</v>
      </c>
      <c r="J1580" s="15" t="n">
        <f aca="false">I1580/H1580</f>
        <v>1.15875497441728</v>
      </c>
      <c r="K1580" s="16" t="n">
        <f aca="false">ROUND(I1580*J1580^($F$8-1),0)</f>
        <v>7880</v>
      </c>
      <c r="L1580" s="16" t="n">
        <f aca="false">ROUND(I1580*J1580^($F$9-1),0)</f>
        <v>8091</v>
      </c>
      <c r="M1580" s="17" t="n">
        <f aca="false">G1580*$F$7</f>
        <v>3915571.20215997</v>
      </c>
      <c r="N1580" s="18" t="n">
        <f aca="false">F1580/K1580</f>
        <v>115.722715736041</v>
      </c>
      <c r="O1580" s="18" t="n">
        <f aca="false">G1580/L1580</f>
        <v>502.377703621308</v>
      </c>
      <c r="P1580" s="18" t="n">
        <f aca="false">M1580/L1580</f>
        <v>483.94156496848</v>
      </c>
      <c r="Q1580" s="19" t="n">
        <f aca="false">IF(N1580=0,"n.a.",P1580/N1580-1)</f>
        <v>3.1819063948718</v>
      </c>
    </row>
    <row r="1581" customFormat="false" ht="15" hidden="false" customHeight="false" outlineLevel="0" collapsed="false">
      <c r="A1581" s="12" t="s">
        <v>3713</v>
      </c>
      <c r="B1581" s="12" t="s">
        <v>3706</v>
      </c>
      <c r="C1581" s="12" t="s">
        <v>3707</v>
      </c>
      <c r="D1581" s="12" t="s">
        <v>54</v>
      </c>
      <c r="E1581" s="12" t="s">
        <v>3714</v>
      </c>
      <c r="F1581" s="13" t="n">
        <v>1538111</v>
      </c>
      <c r="G1581" s="13" t="n">
        <v>1805820</v>
      </c>
      <c r="H1581" s="14" t="n">
        <v>18076</v>
      </c>
      <c r="I1581" s="14" t="n">
        <v>21195</v>
      </c>
      <c r="J1581" s="15" t="n">
        <f aca="false">I1581/H1581</f>
        <v>1.17254923655676</v>
      </c>
      <c r="K1581" s="16" t="n">
        <f aca="false">ROUND(I1581*J1581^($F$8-1),0)</f>
        <v>20430</v>
      </c>
      <c r="L1581" s="16" t="n">
        <f aca="false">ROUND(I1581*J1581^($F$9-1),0)</f>
        <v>21020</v>
      </c>
      <c r="M1581" s="17" t="n">
        <f aca="false">G1581*$F$7</f>
        <v>1739550.44292757</v>
      </c>
      <c r="N1581" s="18" t="n">
        <f aca="false">F1581/K1581</f>
        <v>75.2868820362212</v>
      </c>
      <c r="O1581" s="18" t="n">
        <f aca="false">G1581/L1581</f>
        <v>85.9096098953378</v>
      </c>
      <c r="P1581" s="18" t="n">
        <f aca="false">M1581/L1581</f>
        <v>82.7569192639185</v>
      </c>
      <c r="Q1581" s="19" t="n">
        <f aca="false">IF(N1581=0,"n.a.",P1581/N1581-1)</f>
        <v>0.0992209668625057</v>
      </c>
    </row>
    <row r="1582" customFormat="false" ht="15" hidden="false" customHeight="false" outlineLevel="0" collapsed="false">
      <c r="A1582" s="12" t="s">
        <v>3715</v>
      </c>
      <c r="B1582" s="12" t="s">
        <v>3706</v>
      </c>
      <c r="C1582" s="12" t="s">
        <v>3707</v>
      </c>
      <c r="D1582" s="12" t="s">
        <v>57</v>
      </c>
      <c r="E1582" s="12" t="s">
        <v>3716</v>
      </c>
      <c r="F1582" s="13" t="n">
        <v>37609564</v>
      </c>
      <c r="G1582" s="13" t="n">
        <v>57764337</v>
      </c>
      <c r="H1582" s="14" t="n">
        <v>80147</v>
      </c>
      <c r="I1582" s="14" t="n">
        <v>77352</v>
      </c>
      <c r="J1582" s="15" t="n">
        <f aca="false">I1582/H1582</f>
        <v>0.965126579909416</v>
      </c>
      <c r="K1582" s="16" t="n">
        <f aca="false">ROUND(I1582*J1582^($F$8-1),0)</f>
        <v>77989</v>
      </c>
      <c r="L1582" s="16" t="n">
        <f aca="false">ROUND(I1582*J1582^($F$9-1),0)</f>
        <v>77495</v>
      </c>
      <c r="M1582" s="17" t="n">
        <f aca="false">G1582*$F$7</f>
        <v>55644514.9648178</v>
      </c>
      <c r="N1582" s="18" t="n">
        <f aca="false">F1582/K1582</f>
        <v>482.241905909808</v>
      </c>
      <c r="O1582" s="18" t="n">
        <f aca="false">G1582/L1582</f>
        <v>745.39437383057</v>
      </c>
      <c r="P1582" s="18" t="n">
        <f aca="false">M1582/L1582</f>
        <v>718.04006664711</v>
      </c>
      <c r="Q1582" s="19" t="n">
        <f aca="false">IF(N1582=0,"n.a.",P1582/N1582-1)</f>
        <v>0.488962402162957</v>
      </c>
    </row>
    <row r="1583" customFormat="false" ht="15" hidden="false" customHeight="false" outlineLevel="0" collapsed="false">
      <c r="A1583" s="12" t="s">
        <v>3717</v>
      </c>
      <c r="B1583" s="12" t="s">
        <v>3706</v>
      </c>
      <c r="C1583" s="12" t="s">
        <v>3707</v>
      </c>
      <c r="D1583" s="12" t="s">
        <v>60</v>
      </c>
      <c r="E1583" s="12" t="s">
        <v>3718</v>
      </c>
      <c r="F1583" s="13" t="n">
        <v>7919020</v>
      </c>
      <c r="G1583" s="13" t="n">
        <v>8605634</v>
      </c>
      <c r="H1583" s="14" t="n">
        <v>51170</v>
      </c>
      <c r="I1583" s="14" t="n">
        <v>52328</v>
      </c>
      <c r="J1583" s="15" t="n">
        <f aca="false">I1583/H1583</f>
        <v>1.02263044752785</v>
      </c>
      <c r="K1583" s="16" t="n">
        <f aca="false">ROUND(I1583*J1583^($F$8-1),0)</f>
        <v>52058</v>
      </c>
      <c r="L1583" s="16" t="n">
        <f aca="false">ROUND(I1583*J1583^($F$9-1),0)</f>
        <v>52267</v>
      </c>
      <c r="M1583" s="17" t="n">
        <f aca="false">G1583*$F$7</f>
        <v>8289826.47017562</v>
      </c>
      <c r="N1583" s="18" t="n">
        <f aca="false">F1583/K1583</f>
        <v>152.119174766606</v>
      </c>
      <c r="O1583" s="18" t="n">
        <f aca="false">G1583/L1583</f>
        <v>164.647559645666</v>
      </c>
      <c r="P1583" s="18" t="n">
        <f aca="false">M1583/L1583</f>
        <v>158.605362277835</v>
      </c>
      <c r="Q1583" s="19" t="n">
        <f aca="false">IF(N1583=0,"n.a.",P1583/N1583-1)</f>
        <v>0.0426388554972141</v>
      </c>
    </row>
    <row r="1584" customFormat="false" ht="15" hidden="false" customHeight="false" outlineLevel="0" collapsed="false">
      <c r="A1584" s="12" t="s">
        <v>3719</v>
      </c>
      <c r="B1584" s="12" t="s">
        <v>3706</v>
      </c>
      <c r="C1584" s="12" t="s">
        <v>3707</v>
      </c>
      <c r="D1584" s="12" t="s">
        <v>63</v>
      </c>
      <c r="E1584" s="12" t="s">
        <v>3720</v>
      </c>
      <c r="F1584" s="13" t="n">
        <v>1177460</v>
      </c>
      <c r="G1584" s="13" t="n">
        <v>1771149</v>
      </c>
      <c r="H1584" s="14" t="n">
        <v>17332</v>
      </c>
      <c r="I1584" s="14" t="n">
        <v>20594</v>
      </c>
      <c r="J1584" s="15" t="n">
        <f aca="false">I1584/H1584</f>
        <v>1.18820678513732</v>
      </c>
      <c r="K1584" s="16" t="n">
        <f aca="false">ROUND(I1584*J1584^($F$8-1),0)</f>
        <v>19790</v>
      </c>
      <c r="L1584" s="16" t="n">
        <f aca="false">ROUND(I1584*J1584^($F$9-1),0)</f>
        <v>20410</v>
      </c>
      <c r="M1584" s="17" t="n">
        <f aca="false">G1584*$F$7</f>
        <v>1706151.79112022</v>
      </c>
      <c r="N1584" s="18" t="n">
        <f aca="false">F1584/K1584</f>
        <v>59.4977261243052</v>
      </c>
      <c r="O1584" s="18" t="n">
        <f aca="false">G1584/L1584</f>
        <v>86.7784909358158</v>
      </c>
      <c r="P1584" s="18" t="n">
        <f aca="false">M1584/L1584</f>
        <v>83.5939143126027</v>
      </c>
      <c r="Q1584" s="19" t="n">
        <f aca="false">IF(N1584=0,"n.a.",P1584/N1584-1)</f>
        <v>0.404993430134703</v>
      </c>
    </row>
    <row r="1585" customFormat="false" ht="15" hidden="false" customHeight="false" outlineLevel="0" collapsed="false">
      <c r="A1585" s="12" t="s">
        <v>3721</v>
      </c>
      <c r="B1585" s="12" t="s">
        <v>3706</v>
      </c>
      <c r="C1585" s="12" t="s">
        <v>3707</v>
      </c>
      <c r="D1585" s="12" t="s">
        <v>66</v>
      </c>
      <c r="E1585" s="12" t="s">
        <v>3722</v>
      </c>
      <c r="F1585" s="13" t="n">
        <v>1109425</v>
      </c>
      <c r="G1585" s="13" t="n">
        <v>1380521</v>
      </c>
      <c r="H1585" s="14" t="n">
        <v>16222</v>
      </c>
      <c r="I1585" s="14" t="n">
        <v>16483</v>
      </c>
      <c r="J1585" s="15" t="n">
        <f aca="false">I1585/H1585</f>
        <v>1.01608926149673</v>
      </c>
      <c r="K1585" s="16" t="n">
        <f aca="false">ROUND(I1585*J1585^($F$8-1),0)</f>
        <v>16422</v>
      </c>
      <c r="L1585" s="16" t="n">
        <f aca="false">ROUND(I1585*J1585^($F$9-1),0)</f>
        <v>16469</v>
      </c>
      <c r="M1585" s="17" t="n">
        <f aca="false">G1585*$F$7</f>
        <v>1329858.96546766</v>
      </c>
      <c r="N1585" s="18" t="n">
        <f aca="false">F1585/K1585</f>
        <v>67.5572402874193</v>
      </c>
      <c r="O1585" s="18" t="n">
        <f aca="false">G1585/L1585</f>
        <v>83.8254295949967</v>
      </c>
      <c r="P1585" s="18" t="n">
        <f aca="false">M1585/L1585</f>
        <v>80.7492237213953</v>
      </c>
      <c r="Q1585" s="19" t="n">
        <f aca="false">IF(N1585=0,"n.a.",P1585/N1585-1)</f>
        <v>0.195271200804699</v>
      </c>
    </row>
    <row r="1586" customFormat="false" ht="15" hidden="false" customHeight="false" outlineLevel="0" collapsed="false">
      <c r="A1586" s="12" t="s">
        <v>3723</v>
      </c>
      <c r="B1586" s="12" t="s">
        <v>3706</v>
      </c>
      <c r="C1586" s="12" t="s">
        <v>3707</v>
      </c>
      <c r="D1586" s="12" t="s">
        <v>69</v>
      </c>
      <c r="E1586" s="12" t="s">
        <v>3724</v>
      </c>
      <c r="F1586" s="13" t="n">
        <v>937731</v>
      </c>
      <c r="G1586" s="13" t="n">
        <v>943744</v>
      </c>
      <c r="H1586" s="14" t="n">
        <v>5928</v>
      </c>
      <c r="I1586" s="14" t="n">
        <v>7414</v>
      </c>
      <c r="J1586" s="15" t="n">
        <f aca="false">I1586/H1586</f>
        <v>1.25067476383266</v>
      </c>
      <c r="K1586" s="16" t="n">
        <f aca="false">ROUND(I1586*J1586^($F$8-1),0)</f>
        <v>7041</v>
      </c>
      <c r="L1586" s="16" t="n">
        <f aca="false">ROUND(I1586*J1586^($F$9-1),0)</f>
        <v>7328</v>
      </c>
      <c r="M1586" s="17" t="n">
        <f aca="false">G1586*$F$7</f>
        <v>909110.704948574</v>
      </c>
      <c r="N1586" s="18" t="n">
        <f aca="false">F1586/K1586</f>
        <v>133.181508308479</v>
      </c>
      <c r="O1586" s="18" t="n">
        <f aca="false">G1586/L1586</f>
        <v>128.786026200873</v>
      </c>
      <c r="P1586" s="18" t="n">
        <f aca="false">M1586/L1586</f>
        <v>124.059866941672</v>
      </c>
      <c r="Q1586" s="19" t="n">
        <f aca="false">IF(N1586=0,"n.a.",P1586/N1586-1)</f>
        <v>-0.0684902993115145</v>
      </c>
    </row>
    <row r="1587" customFormat="false" ht="15" hidden="false" customHeight="false" outlineLevel="0" collapsed="false">
      <c r="A1587" s="12" t="s">
        <v>3725</v>
      </c>
      <c r="B1587" s="12" t="s">
        <v>3706</v>
      </c>
      <c r="C1587" s="12" t="s">
        <v>3707</v>
      </c>
      <c r="D1587" s="12" t="s">
        <v>72</v>
      </c>
      <c r="E1587" s="12" t="s">
        <v>3726</v>
      </c>
      <c r="F1587" s="13" t="n">
        <v>13010026</v>
      </c>
      <c r="G1587" s="13" t="n">
        <v>14221640</v>
      </c>
      <c r="H1587" s="14" t="n">
        <v>73183</v>
      </c>
      <c r="I1587" s="14" t="n">
        <v>75898</v>
      </c>
      <c r="J1587" s="15" t="n">
        <f aca="false">I1587/H1587</f>
        <v>1.03709877977126</v>
      </c>
      <c r="K1587" s="16" t="n">
        <f aca="false">ROUND(I1587*J1587^($F$8-1),0)</f>
        <v>75262</v>
      </c>
      <c r="L1587" s="16" t="n">
        <f aca="false">ROUND(I1587*J1587^($F$9-1),0)</f>
        <v>75754</v>
      </c>
      <c r="M1587" s="17" t="n">
        <f aca="false">G1587*$F$7</f>
        <v>13699737.6046098</v>
      </c>
      <c r="N1587" s="18" t="n">
        <f aca="false">F1587/K1587</f>
        <v>172.863144747681</v>
      </c>
      <c r="O1587" s="18" t="n">
        <f aca="false">G1587/L1587</f>
        <v>187.734509068828</v>
      </c>
      <c r="P1587" s="18" t="n">
        <f aca="false">M1587/L1587</f>
        <v>180.84507226826</v>
      </c>
      <c r="Q1587" s="19" t="n">
        <f aca="false">IF(N1587=0,"n.a.",P1587/N1587-1)</f>
        <v>0.0461748369337449</v>
      </c>
    </row>
    <row r="1588" customFormat="false" ht="15" hidden="false" customHeight="false" outlineLevel="0" collapsed="false">
      <c r="A1588" s="12" t="s">
        <v>3727</v>
      </c>
      <c r="B1588" s="12" t="s">
        <v>3706</v>
      </c>
      <c r="C1588" s="12" t="s">
        <v>3707</v>
      </c>
      <c r="D1588" s="12" t="s">
        <v>75</v>
      </c>
      <c r="E1588" s="12" t="s">
        <v>3728</v>
      </c>
      <c r="F1588" s="13" t="n">
        <v>387878</v>
      </c>
      <c r="G1588" s="13" t="n">
        <v>576478</v>
      </c>
      <c r="H1588" s="14" t="n">
        <v>4755</v>
      </c>
      <c r="I1588" s="14" t="n">
        <v>4771</v>
      </c>
      <c r="J1588" s="15" t="n">
        <f aca="false">I1588/H1588</f>
        <v>1.00336487907466</v>
      </c>
      <c r="K1588" s="16" t="n">
        <f aca="false">ROUND(I1588*J1588^($F$8-1),0)</f>
        <v>4767</v>
      </c>
      <c r="L1588" s="16" t="n">
        <f aca="false">ROUND(I1588*J1588^($F$9-1),0)</f>
        <v>4770</v>
      </c>
      <c r="M1588" s="17" t="n">
        <f aca="false">G1588*$F$7</f>
        <v>555322.546121982</v>
      </c>
      <c r="N1588" s="18" t="n">
        <f aca="false">F1588/K1588</f>
        <v>81.3673169708412</v>
      </c>
      <c r="O1588" s="18" t="n">
        <f aca="false">G1588/L1588</f>
        <v>120.854926624738</v>
      </c>
      <c r="P1588" s="18" t="n">
        <f aca="false">M1588/L1588</f>
        <v>116.419820989933</v>
      </c>
      <c r="Q1588" s="19" t="n">
        <f aca="false">IF(N1588=0,"n.a.",P1588/N1588-1)</f>
        <v>0.430793410966883</v>
      </c>
    </row>
    <row r="1589" customFormat="false" ht="15" hidden="false" customHeight="false" outlineLevel="0" collapsed="false">
      <c r="A1589" s="12" t="s">
        <v>3729</v>
      </c>
      <c r="B1589" s="12" t="s">
        <v>3706</v>
      </c>
      <c r="C1589" s="12" t="s">
        <v>3707</v>
      </c>
      <c r="D1589" s="12" t="s">
        <v>129</v>
      </c>
      <c r="E1589" s="12" t="s">
        <v>3730</v>
      </c>
      <c r="F1589" s="13" t="n">
        <v>537918</v>
      </c>
      <c r="G1589" s="13" t="n">
        <v>622924</v>
      </c>
      <c r="H1589" s="14" t="n">
        <v>9360</v>
      </c>
      <c r="I1589" s="14" t="n">
        <v>10844</v>
      </c>
      <c r="J1589" s="15" t="n">
        <f aca="false">I1589/H1589</f>
        <v>1.15854700854701</v>
      </c>
      <c r="K1589" s="16" t="n">
        <f aca="false">ROUND(I1589*J1589^($F$8-1),0)</f>
        <v>10482</v>
      </c>
      <c r="L1589" s="16" t="n">
        <f aca="false">ROUND(I1589*J1589^($F$9-1),0)</f>
        <v>10761</v>
      </c>
      <c r="M1589" s="17" t="n">
        <f aca="false">G1589*$F$7</f>
        <v>600064.081752452</v>
      </c>
      <c r="N1589" s="18" t="n">
        <f aca="false">F1589/K1589</f>
        <v>51.3182598740698</v>
      </c>
      <c r="O1589" s="18" t="n">
        <f aca="false">G1589/L1589</f>
        <v>57.8871852058359</v>
      </c>
      <c r="P1589" s="18" t="n">
        <f aca="false">M1589/L1589</f>
        <v>55.7628549161278</v>
      </c>
      <c r="Q1589" s="19" t="n">
        <f aca="false">IF(N1589=0,"n.a.",P1589/N1589-1)</f>
        <v>0.0866084519031747</v>
      </c>
    </row>
    <row r="1590" customFormat="false" ht="15" hidden="false" customHeight="false" outlineLevel="0" collapsed="false">
      <c r="A1590" s="12" t="s">
        <v>3731</v>
      </c>
      <c r="B1590" s="12" t="s">
        <v>3706</v>
      </c>
      <c r="C1590" s="12" t="s">
        <v>3707</v>
      </c>
      <c r="D1590" s="12" t="s">
        <v>132</v>
      </c>
      <c r="E1590" s="12" t="s">
        <v>3732</v>
      </c>
      <c r="F1590" s="13" t="n">
        <v>29940759</v>
      </c>
      <c r="G1590" s="13" t="n">
        <v>27335131</v>
      </c>
      <c r="H1590" s="14" t="n">
        <v>98690</v>
      </c>
      <c r="I1590" s="14" t="n">
        <v>104236</v>
      </c>
      <c r="J1590" s="15" t="n">
        <f aca="false">I1590/H1590</f>
        <v>1.0561961698247</v>
      </c>
      <c r="K1590" s="16" t="n">
        <f aca="false">ROUND(I1590*J1590^($F$8-1),0)</f>
        <v>102928</v>
      </c>
      <c r="L1590" s="16" t="n">
        <f aca="false">ROUND(I1590*J1590^($F$9-1),0)</f>
        <v>103940</v>
      </c>
      <c r="M1590" s="17" t="n">
        <f aca="false">G1590*$F$7</f>
        <v>26331992.800242</v>
      </c>
      <c r="N1590" s="18" t="n">
        <f aca="false">F1590/K1590</f>
        <v>290.890321389709</v>
      </c>
      <c r="O1590" s="18" t="n">
        <f aca="false">G1590/L1590</f>
        <v>262.989522801616</v>
      </c>
      <c r="P1590" s="18" t="n">
        <f aca="false">M1590/L1590</f>
        <v>253.338395230345</v>
      </c>
      <c r="Q1590" s="19" t="n">
        <f aca="false">IF(N1590=0,"n.a.",P1590/N1590-1)</f>
        <v>-0.129093075286805</v>
      </c>
    </row>
    <row r="1591" customFormat="false" ht="15" hidden="false" customHeight="false" outlineLevel="0" collapsed="false">
      <c r="A1591" s="12" t="s">
        <v>3733</v>
      </c>
      <c r="B1591" s="12" t="s">
        <v>3706</v>
      </c>
      <c r="C1591" s="12" t="s">
        <v>3707</v>
      </c>
      <c r="D1591" s="12" t="s">
        <v>163</v>
      </c>
      <c r="E1591" s="12" t="s">
        <v>3734</v>
      </c>
      <c r="F1591" s="13" t="n">
        <v>655198</v>
      </c>
      <c r="G1591" s="13" t="n">
        <v>1016052</v>
      </c>
      <c r="H1591" s="14" t="n">
        <v>15190</v>
      </c>
      <c r="I1591" s="14" t="n">
        <v>17524</v>
      </c>
      <c r="J1591" s="15" t="n">
        <f aca="false">I1591/H1591</f>
        <v>1.15365371955234</v>
      </c>
      <c r="K1591" s="16" t="n">
        <f aca="false">ROUND(I1591*J1591^($F$8-1),0)</f>
        <v>16955</v>
      </c>
      <c r="L1591" s="16" t="n">
        <f aca="false">ROUND(I1591*J1591^($F$9-1),0)</f>
        <v>17394</v>
      </c>
      <c r="M1591" s="17" t="n">
        <f aca="false">G1591*$F$7</f>
        <v>978765.162993787</v>
      </c>
      <c r="N1591" s="18" t="n">
        <f aca="false">F1591/K1591</f>
        <v>38.6433500442347</v>
      </c>
      <c r="O1591" s="18" t="n">
        <f aca="false">G1591/L1591</f>
        <v>58.4139358399448</v>
      </c>
      <c r="P1591" s="18" t="n">
        <f aca="false">M1591/L1591</f>
        <v>56.2702749795209</v>
      </c>
      <c r="Q1591" s="19" t="n">
        <f aca="false">IF(N1591=0,"n.a.",P1591/N1591-1)</f>
        <v>0.456143810386749</v>
      </c>
    </row>
    <row r="1592" customFormat="false" ht="15" hidden="false" customHeight="false" outlineLevel="0" collapsed="false">
      <c r="A1592" s="12" t="s">
        <v>3735</v>
      </c>
      <c r="B1592" s="12" t="s">
        <v>3706</v>
      </c>
      <c r="C1592" s="12" t="s">
        <v>3707</v>
      </c>
      <c r="D1592" s="12" t="s">
        <v>166</v>
      </c>
      <c r="E1592" s="12" t="s">
        <v>3736</v>
      </c>
      <c r="F1592" s="13" t="n">
        <v>4853956</v>
      </c>
      <c r="G1592" s="13" t="n">
        <v>6520561</v>
      </c>
      <c r="H1592" s="14" t="n">
        <v>38920</v>
      </c>
      <c r="I1592" s="14" t="n">
        <v>42514</v>
      </c>
      <c r="J1592" s="15" t="n">
        <f aca="false">I1592/H1592</f>
        <v>1.09234326824255</v>
      </c>
      <c r="K1592" s="16" t="n">
        <f aca="false">ROUND(I1592*J1592^($F$8-1),0)</f>
        <v>41656</v>
      </c>
      <c r="L1592" s="16" t="n">
        <f aca="false">ROUND(I1592*J1592^($F$9-1),0)</f>
        <v>42319</v>
      </c>
      <c r="M1592" s="17" t="n">
        <f aca="false">G1592*$F$7</f>
        <v>6281270.98807535</v>
      </c>
      <c r="N1592" s="18" t="n">
        <f aca="false">F1592/K1592</f>
        <v>116.524774342232</v>
      </c>
      <c r="O1592" s="18" t="n">
        <f aca="false">G1592/L1592</f>
        <v>154.081169214774</v>
      </c>
      <c r="P1592" s="18" t="n">
        <f aca="false">M1592/L1592</f>
        <v>148.426734754492</v>
      </c>
      <c r="Q1592" s="19" t="n">
        <f aca="false">IF(N1592=0,"n.a.",P1592/N1592-1)</f>
        <v>0.273778349645756</v>
      </c>
    </row>
    <row r="1593" customFormat="false" ht="15" hidden="false" customHeight="false" outlineLevel="0" collapsed="false">
      <c r="A1593" s="12" t="s">
        <v>3737</v>
      </c>
      <c r="B1593" s="12" t="s">
        <v>3706</v>
      </c>
      <c r="C1593" s="12" t="s">
        <v>3707</v>
      </c>
      <c r="D1593" s="12" t="s">
        <v>169</v>
      </c>
      <c r="E1593" s="12" t="s">
        <v>3738</v>
      </c>
      <c r="F1593" s="13" t="n">
        <v>706556</v>
      </c>
      <c r="G1593" s="13" t="n">
        <v>697609</v>
      </c>
      <c r="H1593" s="14" t="n">
        <v>7504</v>
      </c>
      <c r="I1593" s="14" t="n">
        <v>7803</v>
      </c>
      <c r="J1593" s="15" t="n">
        <f aca="false">I1593/H1593</f>
        <v>1.03984541577825</v>
      </c>
      <c r="K1593" s="16" t="n">
        <f aca="false">ROUND(I1593*J1593^($F$8-1),0)</f>
        <v>7733</v>
      </c>
      <c r="L1593" s="16" t="n">
        <f aca="false">ROUND(I1593*J1593^($F$9-1),0)</f>
        <v>7787</v>
      </c>
      <c r="M1593" s="17" t="n">
        <f aca="false">G1593*$F$7</f>
        <v>672008.30921147</v>
      </c>
      <c r="N1593" s="18" t="n">
        <f aca="false">F1593/K1593</f>
        <v>91.3689383163067</v>
      </c>
      <c r="O1593" s="18" t="n">
        <f aca="false">G1593/L1593</f>
        <v>89.5863618851933</v>
      </c>
      <c r="P1593" s="18" t="n">
        <f aca="false">M1593/L1593</f>
        <v>86.2987426751599</v>
      </c>
      <c r="Q1593" s="19" t="n">
        <f aca="false">IF(N1593=0,"n.a.",P1593/N1593-1)</f>
        <v>-0.0554914584165847</v>
      </c>
    </row>
    <row r="1594" customFormat="false" ht="15" hidden="false" customHeight="false" outlineLevel="0" collapsed="false">
      <c r="A1594" s="12" t="s">
        <v>3739</v>
      </c>
      <c r="B1594" s="12" t="s">
        <v>3706</v>
      </c>
      <c r="C1594" s="12" t="s">
        <v>3707</v>
      </c>
      <c r="D1594" s="12" t="s">
        <v>172</v>
      </c>
      <c r="E1594" s="12" t="s">
        <v>3740</v>
      </c>
      <c r="F1594" s="13" t="n">
        <v>241944</v>
      </c>
      <c r="G1594" s="13" t="n">
        <v>498032</v>
      </c>
      <c r="H1594" s="14" t="n">
        <v>11592</v>
      </c>
      <c r="I1594" s="14" t="n">
        <v>12797</v>
      </c>
      <c r="J1594" s="15" t="n">
        <f aca="false">I1594/H1594</f>
        <v>1.10395100069013</v>
      </c>
      <c r="K1594" s="16" t="n">
        <f aca="false">ROUND(I1594*J1594^($F$8-1),0)</f>
        <v>12508</v>
      </c>
      <c r="L1594" s="16" t="n">
        <f aca="false">ROUND(I1594*J1594^($F$9-1),0)</f>
        <v>12731</v>
      </c>
      <c r="M1594" s="17" t="n">
        <f aca="false">G1594*$F$7</f>
        <v>479755.338955213</v>
      </c>
      <c r="N1594" s="18" t="n">
        <f aca="false">F1594/K1594</f>
        <v>19.3431403901503</v>
      </c>
      <c r="O1594" s="18" t="n">
        <f aca="false">G1594/L1594</f>
        <v>39.1196292514335</v>
      </c>
      <c r="P1594" s="18" t="n">
        <f aca="false">M1594/L1594</f>
        <v>37.6840263102044</v>
      </c>
      <c r="Q1594" s="19" t="n">
        <f aca="false">IF(N1594=0,"n.a.",P1594/N1594-1)</f>
        <v>0.948185535033054</v>
      </c>
    </row>
    <row r="1595" customFormat="false" ht="15" hidden="false" customHeight="false" outlineLevel="0" collapsed="false">
      <c r="A1595" s="12" t="s">
        <v>3741</v>
      </c>
      <c r="B1595" s="12" t="s">
        <v>3706</v>
      </c>
      <c r="C1595" s="12" t="s">
        <v>3707</v>
      </c>
      <c r="D1595" s="12" t="s">
        <v>175</v>
      </c>
      <c r="E1595" s="12" t="s">
        <v>3742</v>
      </c>
      <c r="F1595" s="13" t="n">
        <v>1387792</v>
      </c>
      <c r="G1595" s="13" t="n">
        <v>1145028</v>
      </c>
      <c r="H1595" s="14" t="n">
        <v>38579</v>
      </c>
      <c r="I1595" s="14" t="n">
        <v>39955</v>
      </c>
      <c r="J1595" s="15" t="n">
        <f aca="false">I1595/H1595</f>
        <v>1.03566707275979</v>
      </c>
      <c r="K1595" s="16" t="n">
        <f aca="false">ROUND(I1595*J1595^($F$8-1),0)</f>
        <v>39633</v>
      </c>
      <c r="L1595" s="16" t="n">
        <f aca="false">ROUND(I1595*J1595^($F$9-1),0)</f>
        <v>39882</v>
      </c>
      <c r="M1595" s="17" t="n">
        <f aca="false">G1595*$F$7</f>
        <v>1103008.03212085</v>
      </c>
      <c r="N1595" s="18" t="n">
        <f aca="false">F1595/K1595</f>
        <v>35.0160724648651</v>
      </c>
      <c r="O1595" s="18" t="n">
        <f aca="false">G1595/L1595</f>
        <v>28.7103956672183</v>
      </c>
      <c r="P1595" s="18" t="n">
        <f aca="false">M1595/L1595</f>
        <v>27.6567883285905</v>
      </c>
      <c r="Q1595" s="19" t="n">
        <f aca="false">IF(N1595=0,"n.a.",P1595/N1595-1)</f>
        <v>-0.210168748755558</v>
      </c>
    </row>
    <row r="1596" customFormat="false" ht="15" hidden="false" customHeight="false" outlineLevel="0" collapsed="false">
      <c r="A1596" s="12" t="s">
        <v>3743</v>
      </c>
      <c r="B1596" s="12" t="s">
        <v>3706</v>
      </c>
      <c r="C1596" s="12" t="s">
        <v>3707</v>
      </c>
      <c r="D1596" s="12" t="s">
        <v>178</v>
      </c>
      <c r="E1596" s="12" t="s">
        <v>3744</v>
      </c>
      <c r="F1596" s="13" t="n">
        <v>1174174</v>
      </c>
      <c r="G1596" s="13" t="n">
        <v>1503923</v>
      </c>
      <c r="H1596" s="14" t="n">
        <v>22269</v>
      </c>
      <c r="I1596" s="14" t="n">
        <v>21628</v>
      </c>
      <c r="J1596" s="15" t="n">
        <f aca="false">I1596/H1596</f>
        <v>0.971215591180565</v>
      </c>
      <c r="K1596" s="16" t="n">
        <f aca="false">ROUND(I1596*J1596^($F$8-1),0)</f>
        <v>21774</v>
      </c>
      <c r="L1596" s="16" t="n">
        <f aca="false">ROUND(I1596*J1596^($F$9-1),0)</f>
        <v>21661</v>
      </c>
      <c r="M1596" s="17" t="n">
        <f aca="false">G1596*$F$7</f>
        <v>1448732.38793399</v>
      </c>
      <c r="N1596" s="18" t="n">
        <f aca="false">F1596/K1596</f>
        <v>53.9255074859925</v>
      </c>
      <c r="O1596" s="18" t="n">
        <f aca="false">G1596/L1596</f>
        <v>69.4299893818383</v>
      </c>
      <c r="P1596" s="18" t="n">
        <f aca="false">M1596/L1596</f>
        <v>66.8820639829181</v>
      </c>
      <c r="Q1596" s="19" t="n">
        <f aca="false">IF(N1596=0,"n.a.",P1596/N1596-1)</f>
        <v>0.240267678524698</v>
      </c>
    </row>
    <row r="1597" customFormat="false" ht="15" hidden="false" customHeight="false" outlineLevel="0" collapsed="false">
      <c r="A1597" s="12" t="s">
        <v>3745</v>
      </c>
      <c r="B1597" s="12" t="s">
        <v>3706</v>
      </c>
      <c r="C1597" s="12" t="s">
        <v>3707</v>
      </c>
      <c r="D1597" s="12" t="s">
        <v>181</v>
      </c>
      <c r="E1597" s="12" t="s">
        <v>3746</v>
      </c>
      <c r="F1597" s="13" t="n">
        <v>674372</v>
      </c>
      <c r="G1597" s="13" t="n">
        <v>669048</v>
      </c>
      <c r="H1597" s="14" t="n">
        <v>9432</v>
      </c>
      <c r="I1597" s="14" t="n">
        <v>9910</v>
      </c>
      <c r="J1597" s="15" t="n">
        <f aca="false">I1597/H1597</f>
        <v>1.05067854113656</v>
      </c>
      <c r="K1597" s="16" t="n">
        <f aca="false">ROUND(I1597*J1597^($F$8-1),0)</f>
        <v>9798</v>
      </c>
      <c r="L1597" s="16" t="n">
        <f aca="false">ROUND(I1597*J1597^($F$9-1),0)</f>
        <v>9885</v>
      </c>
      <c r="M1597" s="17" t="n">
        <f aca="false">G1597*$F$7</f>
        <v>644495.434063087</v>
      </c>
      <c r="N1597" s="18" t="n">
        <f aca="false">F1597/K1597</f>
        <v>68.827515819555</v>
      </c>
      <c r="O1597" s="18" t="n">
        <f aca="false">G1597/L1597</f>
        <v>67.6831562974203</v>
      </c>
      <c r="P1597" s="18" t="n">
        <f aca="false">M1597/L1597</f>
        <v>65.1993357676365</v>
      </c>
      <c r="Q1597" s="19" t="n">
        <f aca="false">IF(N1597=0,"n.a.",P1597/N1597-1)</f>
        <v>-0.0527140927391676</v>
      </c>
    </row>
    <row r="1598" customFormat="false" ht="15" hidden="false" customHeight="false" outlineLevel="0" collapsed="false">
      <c r="A1598" s="12" t="s">
        <v>3747</v>
      </c>
      <c r="B1598" s="12" t="s">
        <v>3706</v>
      </c>
      <c r="C1598" s="12" t="s">
        <v>3707</v>
      </c>
      <c r="D1598" s="12" t="s">
        <v>184</v>
      </c>
      <c r="E1598" s="12" t="s">
        <v>3748</v>
      </c>
      <c r="F1598" s="13" t="n">
        <v>4012326</v>
      </c>
      <c r="G1598" s="13" t="n">
        <v>4821090</v>
      </c>
      <c r="H1598" s="14" t="n">
        <v>18685</v>
      </c>
      <c r="I1598" s="14" t="n">
        <v>18621</v>
      </c>
      <c r="J1598" s="15" t="n">
        <f aca="false">I1598/H1598</f>
        <v>0.996574792614397</v>
      </c>
      <c r="K1598" s="16" t="n">
        <f aca="false">ROUND(I1598*J1598^($F$8-1),0)</f>
        <v>18636</v>
      </c>
      <c r="L1598" s="16" t="n">
        <f aca="false">ROUND(I1598*J1598^($F$9-1),0)</f>
        <v>18624</v>
      </c>
      <c r="M1598" s="17" t="n">
        <f aca="false">G1598*$F$7</f>
        <v>4644166.77459197</v>
      </c>
      <c r="N1598" s="18" t="n">
        <f aca="false">F1598/K1598</f>
        <v>215.299742433999</v>
      </c>
      <c r="O1598" s="18" t="n">
        <f aca="false">G1598/L1598</f>
        <v>258.864368556701</v>
      </c>
      <c r="P1598" s="18" t="n">
        <f aca="false">M1598/L1598</f>
        <v>249.364624924397</v>
      </c>
      <c r="Q1598" s="19" t="n">
        <f aca="false">IF(N1598=0,"n.a.",P1598/N1598-1)</f>
        <v>0.158220730342215</v>
      </c>
    </row>
    <row r="1599" customFormat="false" ht="15" hidden="false" customHeight="false" outlineLevel="0" collapsed="false">
      <c r="A1599" s="12" t="s">
        <v>3749</v>
      </c>
      <c r="B1599" s="12" t="s">
        <v>3706</v>
      </c>
      <c r="C1599" s="12" t="s">
        <v>3707</v>
      </c>
      <c r="D1599" s="12" t="s">
        <v>187</v>
      </c>
      <c r="E1599" s="12" t="s">
        <v>3750</v>
      </c>
      <c r="F1599" s="13" t="n">
        <v>940355</v>
      </c>
      <c r="G1599" s="13" t="n">
        <v>1171917</v>
      </c>
      <c r="H1599" s="14" t="n">
        <v>6432</v>
      </c>
      <c r="I1599" s="14" t="n">
        <v>7877</v>
      </c>
      <c r="J1599" s="15" t="n">
        <f aca="false">I1599/H1599</f>
        <v>1.22465796019901</v>
      </c>
      <c r="K1599" s="16" t="n">
        <f aca="false">ROUND(I1599*J1599^($F$8-1),0)</f>
        <v>7517</v>
      </c>
      <c r="L1599" s="16" t="n">
        <f aca="false">ROUND(I1599*J1599^($F$9-1),0)</f>
        <v>7794</v>
      </c>
      <c r="M1599" s="17" t="n">
        <f aca="false">G1599*$F$7</f>
        <v>1128910.26593146</v>
      </c>
      <c r="N1599" s="18" t="n">
        <f aca="false">F1599/K1599</f>
        <v>125.097113210057</v>
      </c>
      <c r="O1599" s="18" t="n">
        <f aca="false">G1599/L1599</f>
        <v>150.36143187067</v>
      </c>
      <c r="P1599" s="18" t="n">
        <f aca="false">M1599/L1599</f>
        <v>144.843503455409</v>
      </c>
      <c r="Q1599" s="19" t="n">
        <f aca="false">IF(N1599=0,"n.a.",P1599/N1599-1)</f>
        <v>0.157848488575389</v>
      </c>
    </row>
    <row r="1600" customFormat="false" ht="15" hidden="false" customHeight="false" outlineLevel="0" collapsed="false">
      <c r="A1600" s="12" t="s">
        <v>3751</v>
      </c>
      <c r="B1600" s="12" t="s">
        <v>3706</v>
      </c>
      <c r="C1600" s="12" t="s">
        <v>3707</v>
      </c>
      <c r="D1600" s="12" t="s">
        <v>190</v>
      </c>
      <c r="E1600" s="12" t="s">
        <v>3752</v>
      </c>
      <c r="F1600" s="13" t="n">
        <v>1541195</v>
      </c>
      <c r="G1600" s="13" t="n">
        <v>1595998</v>
      </c>
      <c r="H1600" s="14" t="n">
        <v>26289</v>
      </c>
      <c r="I1600" s="14" t="n">
        <v>28150</v>
      </c>
      <c r="J1600" s="15" t="n">
        <f aca="false">I1600/H1600</f>
        <v>1.07079006428544</v>
      </c>
      <c r="K1600" s="16" t="n">
        <f aca="false">ROUND(I1600*J1600^($F$8-1),0)</f>
        <v>27709</v>
      </c>
      <c r="L1600" s="16" t="n">
        <f aca="false">ROUND(I1600*J1600^($F$9-1),0)</f>
        <v>28050</v>
      </c>
      <c r="M1600" s="17" t="n">
        <f aca="false">G1600*$F$7</f>
        <v>1537428.44126852</v>
      </c>
      <c r="N1600" s="18" t="n">
        <f aca="false">F1600/K1600</f>
        <v>55.620736944675</v>
      </c>
      <c r="O1600" s="18" t="n">
        <f aca="false">G1600/L1600</f>
        <v>56.8983244206774</v>
      </c>
      <c r="P1600" s="18" t="n">
        <f aca="false">M1600/L1600</f>
        <v>54.810283111177</v>
      </c>
      <c r="Q1600" s="19" t="n">
        <f aca="false">IF(N1600=0,"n.a.",P1600/N1600-1)</f>
        <v>-0.0145710732726199</v>
      </c>
    </row>
    <row r="1601" customFormat="false" ht="15" hidden="false" customHeight="false" outlineLevel="0" collapsed="false">
      <c r="A1601" s="12" t="s">
        <v>3753</v>
      </c>
      <c r="B1601" s="12" t="s">
        <v>3706</v>
      </c>
      <c r="C1601" s="12" t="s">
        <v>3707</v>
      </c>
      <c r="D1601" s="12" t="s">
        <v>193</v>
      </c>
      <c r="E1601" s="12" t="s">
        <v>3754</v>
      </c>
      <c r="F1601" s="13" t="n">
        <v>1346470</v>
      </c>
      <c r="G1601" s="13" t="n">
        <v>3496175</v>
      </c>
      <c r="H1601" s="14" t="n">
        <v>28158</v>
      </c>
      <c r="I1601" s="14" t="n">
        <v>27403</v>
      </c>
      <c r="J1601" s="15" t="n">
        <f aca="false">I1601/H1601</f>
        <v>0.973187016123304</v>
      </c>
      <c r="K1601" s="16" t="n">
        <f aca="false">ROUND(I1601*J1601^($F$8-1),0)</f>
        <v>27575</v>
      </c>
      <c r="L1601" s="16" t="n">
        <f aca="false">ROUND(I1601*J1601^($F$9-1),0)</f>
        <v>27442</v>
      </c>
      <c r="M1601" s="17" t="n">
        <f aca="false">G1601*$F$7</f>
        <v>3367873.19323204</v>
      </c>
      <c r="N1601" s="18" t="n">
        <f aca="false">F1601/K1601</f>
        <v>48.8293744333636</v>
      </c>
      <c r="O1601" s="18" t="n">
        <f aca="false">G1601/L1601</f>
        <v>127.40233947963</v>
      </c>
      <c r="P1601" s="18" t="n">
        <f aca="false">M1601/L1601</f>
        <v>122.726958429854</v>
      </c>
      <c r="Q1601" s="19" t="n">
        <f aca="false">IF(N1601=0,"n.a.",P1601/N1601-1)</f>
        <v>1.51338379518535</v>
      </c>
    </row>
    <row r="1602" customFormat="false" ht="15" hidden="false" customHeight="false" outlineLevel="0" collapsed="false">
      <c r="A1602" s="12" t="s">
        <v>3755</v>
      </c>
      <c r="B1602" s="12" t="s">
        <v>3706</v>
      </c>
      <c r="C1602" s="12" t="s">
        <v>3707</v>
      </c>
      <c r="D1602" s="12" t="s">
        <v>196</v>
      </c>
      <c r="E1602" s="12" t="s">
        <v>3756</v>
      </c>
      <c r="F1602" s="13" t="n">
        <v>2335249</v>
      </c>
      <c r="G1602" s="13" t="n">
        <v>5152202</v>
      </c>
      <c r="H1602" s="14" t="n">
        <v>82628</v>
      </c>
      <c r="I1602" s="14" t="n">
        <v>91599</v>
      </c>
      <c r="J1602" s="15" t="n">
        <f aca="false">I1602/H1602</f>
        <v>1.10857094447403</v>
      </c>
      <c r="K1602" s="16" t="n">
        <f aca="false">ROUND(I1602*J1602^($F$8-1),0)</f>
        <v>89445</v>
      </c>
      <c r="L1602" s="16" t="n">
        <f aca="false">ROUND(I1602*J1602^($F$9-1),0)</f>
        <v>91110</v>
      </c>
      <c r="M1602" s="17" t="n">
        <f aca="false">G1602*$F$7</f>
        <v>4963127.70439595</v>
      </c>
      <c r="N1602" s="18" t="n">
        <f aca="false">F1602/K1602</f>
        <v>26.1082117502376</v>
      </c>
      <c r="O1602" s="18" t="n">
        <f aca="false">G1602/L1602</f>
        <v>56.5492481615629</v>
      </c>
      <c r="P1602" s="18" t="n">
        <f aca="false">M1602/L1602</f>
        <v>54.4740171704089</v>
      </c>
      <c r="Q1602" s="19" t="n">
        <f aca="false">IF(N1602=0,"n.a.",P1602/N1602-1)</f>
        <v>1.08647063581109</v>
      </c>
    </row>
    <row r="1603" customFormat="false" ht="15" hidden="false" customHeight="false" outlineLevel="0" collapsed="false">
      <c r="A1603" s="12" t="s">
        <v>3757</v>
      </c>
      <c r="B1603" s="12" t="s">
        <v>3706</v>
      </c>
      <c r="C1603" s="12" t="s">
        <v>3707</v>
      </c>
      <c r="D1603" s="12" t="s">
        <v>199</v>
      </c>
      <c r="E1603" s="12" t="s">
        <v>3758</v>
      </c>
      <c r="F1603" s="13" t="n">
        <v>2986850</v>
      </c>
      <c r="G1603" s="13" t="n">
        <v>3438438</v>
      </c>
      <c r="H1603" s="14" t="n">
        <v>24116</v>
      </c>
      <c r="I1603" s="14" t="n">
        <v>25784</v>
      </c>
      <c r="J1603" s="15" t="n">
        <f aca="false">I1603/H1603</f>
        <v>1.06916569912092</v>
      </c>
      <c r="K1603" s="16" t="n">
        <f aca="false">ROUND(I1603*J1603^($F$8-1),0)</f>
        <v>25389</v>
      </c>
      <c r="L1603" s="16" t="n">
        <f aca="false">ROUND(I1603*J1603^($F$9-1),0)</f>
        <v>25695</v>
      </c>
      <c r="M1603" s="17" t="n">
        <f aca="false">G1603*$F$7</f>
        <v>3312255.01206044</v>
      </c>
      <c r="N1603" s="18" t="n">
        <f aca="false">F1603/K1603</f>
        <v>117.643467643468</v>
      </c>
      <c r="O1603" s="18" t="n">
        <f aca="false">G1603/L1603</f>
        <v>133.817396380619</v>
      </c>
      <c r="P1603" s="18" t="n">
        <f aca="false">M1603/L1603</f>
        <v>128.906597083496</v>
      </c>
      <c r="Q1603" s="19" t="n">
        <f aca="false">IF(N1603=0,"n.a.",P1603/N1603-1)</f>
        <v>0.0957395226920961</v>
      </c>
    </row>
    <row r="1604" customFormat="false" ht="15" hidden="false" customHeight="false" outlineLevel="0" collapsed="false">
      <c r="A1604" s="12" t="s">
        <v>3759</v>
      </c>
      <c r="B1604" s="12" t="s">
        <v>3706</v>
      </c>
      <c r="C1604" s="12" t="s">
        <v>3707</v>
      </c>
      <c r="D1604" s="12" t="s">
        <v>202</v>
      </c>
      <c r="E1604" s="12" t="s">
        <v>1012</v>
      </c>
      <c r="F1604" s="13" t="n">
        <v>515784</v>
      </c>
      <c r="G1604" s="13" t="n">
        <v>713776</v>
      </c>
      <c r="H1604" s="14" t="n">
        <v>12972</v>
      </c>
      <c r="I1604" s="14" t="n">
        <v>13894</v>
      </c>
      <c r="J1604" s="15" t="n">
        <f aca="false">I1604/H1604</f>
        <v>1.07107616404564</v>
      </c>
      <c r="K1604" s="16" t="n">
        <f aca="false">ROUND(I1604*J1604^($F$8-1),0)</f>
        <v>13675</v>
      </c>
      <c r="L1604" s="16" t="n">
        <f aca="false">ROUND(I1604*J1604^($F$9-1),0)</f>
        <v>13845</v>
      </c>
      <c r="M1604" s="17" t="n">
        <f aca="false">G1604*$F$7</f>
        <v>687582.016452951</v>
      </c>
      <c r="N1604" s="18" t="n">
        <f aca="false">F1604/K1604</f>
        <v>37.717294332724</v>
      </c>
      <c r="O1604" s="18" t="n">
        <f aca="false">G1604/L1604</f>
        <v>51.5547851209823</v>
      </c>
      <c r="P1604" s="18" t="n">
        <f aca="false">M1604/L1604</f>
        <v>49.6628397582485</v>
      </c>
      <c r="Q1604" s="19" t="n">
        <f aca="false">IF(N1604=0,"n.a.",P1604/N1604-1)</f>
        <v>0.316712681459774</v>
      </c>
    </row>
    <row r="1605" customFormat="false" ht="15" hidden="false" customHeight="false" outlineLevel="0" collapsed="false">
      <c r="A1605" s="12" t="s">
        <v>3760</v>
      </c>
      <c r="B1605" s="12" t="s">
        <v>3706</v>
      </c>
      <c r="C1605" s="12" t="s">
        <v>3707</v>
      </c>
      <c r="D1605" s="12" t="s">
        <v>205</v>
      </c>
      <c r="E1605" s="12" t="s">
        <v>3761</v>
      </c>
      <c r="F1605" s="13" t="n">
        <v>3054367</v>
      </c>
      <c r="G1605" s="13" t="n">
        <v>2819452</v>
      </c>
      <c r="H1605" s="14" t="n">
        <v>25257</v>
      </c>
      <c r="I1605" s="14" t="n">
        <v>28008</v>
      </c>
      <c r="J1605" s="15" t="n">
        <f aca="false">I1605/H1605</f>
        <v>1.10892029932296</v>
      </c>
      <c r="K1605" s="16" t="n">
        <f aca="false">ROUND(I1605*J1605^($F$8-1),0)</f>
        <v>27347</v>
      </c>
      <c r="L1605" s="16" t="n">
        <f aca="false">ROUND(I1605*J1605^($F$9-1),0)</f>
        <v>27858</v>
      </c>
      <c r="M1605" s="17" t="n">
        <f aca="false">G1605*$F$7</f>
        <v>2715984.41451142</v>
      </c>
      <c r="N1605" s="18" t="n">
        <f aca="false">F1605/K1605</f>
        <v>111.689289501591</v>
      </c>
      <c r="O1605" s="18" t="n">
        <f aca="false">G1605/L1605</f>
        <v>101.207983344102</v>
      </c>
      <c r="P1605" s="18" t="n">
        <f aca="false">M1605/L1605</f>
        <v>97.4938766067708</v>
      </c>
      <c r="Q1605" s="19" t="n">
        <f aca="false">IF(N1605=0,"n.a.",P1605/N1605-1)</f>
        <v>-0.127097351573874</v>
      </c>
    </row>
    <row r="1606" customFormat="false" ht="15" hidden="false" customHeight="false" outlineLevel="0" collapsed="false">
      <c r="A1606" s="12" t="s">
        <v>3762</v>
      </c>
      <c r="B1606" s="12" t="s">
        <v>3706</v>
      </c>
      <c r="C1606" s="12" t="s">
        <v>3707</v>
      </c>
      <c r="D1606" s="12" t="s">
        <v>208</v>
      </c>
      <c r="E1606" s="12" t="s">
        <v>3763</v>
      </c>
      <c r="F1606" s="13" t="n">
        <v>867789</v>
      </c>
      <c r="G1606" s="13" t="n">
        <v>1572460</v>
      </c>
      <c r="H1606" s="14" t="n">
        <v>13328</v>
      </c>
      <c r="I1606" s="14" t="n">
        <v>13608</v>
      </c>
      <c r="J1606" s="15" t="n">
        <f aca="false">I1606/H1606</f>
        <v>1.02100840336134</v>
      </c>
      <c r="K1606" s="16" t="n">
        <f aca="false">ROUND(I1606*J1606^($F$8-1),0)</f>
        <v>13543</v>
      </c>
      <c r="L1606" s="16" t="n">
        <f aca="false">ROUND(I1606*J1606^($F$9-1),0)</f>
        <v>13593</v>
      </c>
      <c r="M1606" s="17" t="n">
        <f aca="false">G1606*$F$7</f>
        <v>1514754.2332491</v>
      </c>
      <c r="N1606" s="18" t="n">
        <f aca="false">F1606/K1606</f>
        <v>64.0765709222477</v>
      </c>
      <c r="O1606" s="18" t="n">
        <f aca="false">G1606/L1606</f>
        <v>115.681600823954</v>
      </c>
      <c r="P1606" s="18" t="n">
        <f aca="false">M1606/L1606</f>
        <v>111.436344681019</v>
      </c>
      <c r="Q1606" s="19" t="n">
        <f aca="false">IF(N1606=0,"n.a.",P1606/N1606-1)</f>
        <v>0.739112175903411</v>
      </c>
    </row>
    <row r="1607" customFormat="false" ht="15" hidden="false" customHeight="false" outlineLevel="0" collapsed="false">
      <c r="A1607" s="12" t="s">
        <v>3764</v>
      </c>
      <c r="B1607" s="12" t="s">
        <v>3706</v>
      </c>
      <c r="C1607" s="12" t="s">
        <v>3707</v>
      </c>
      <c r="D1607" s="12" t="s">
        <v>211</v>
      </c>
      <c r="E1607" s="12" t="s">
        <v>3765</v>
      </c>
      <c r="F1607" s="13" t="n">
        <v>291645</v>
      </c>
      <c r="G1607" s="13" t="n">
        <v>558889</v>
      </c>
      <c r="H1607" s="14" t="n">
        <v>15425</v>
      </c>
      <c r="I1607" s="14" t="n">
        <v>16534</v>
      </c>
      <c r="J1607" s="15" t="n">
        <f aca="false">I1607/H1607</f>
        <v>1.07189627228525</v>
      </c>
      <c r="K1607" s="16" t="n">
        <f aca="false">ROUND(I1607*J1607^($F$8-1),0)</f>
        <v>16271</v>
      </c>
      <c r="L1607" s="16" t="n">
        <f aca="false">ROUND(I1607*J1607^($F$9-1),0)</f>
        <v>16474</v>
      </c>
      <c r="M1607" s="17" t="n">
        <f aca="false">G1607*$F$7</f>
        <v>538379.023101608</v>
      </c>
      <c r="N1607" s="18" t="n">
        <f aca="false">F1607/K1607</f>
        <v>17.924221006699</v>
      </c>
      <c r="O1607" s="18" t="n">
        <f aca="false">G1607/L1607</f>
        <v>33.9255189996358</v>
      </c>
      <c r="P1607" s="18" t="n">
        <f aca="false">M1607/L1607</f>
        <v>32.6805282931655</v>
      </c>
      <c r="Q1607" s="19" t="n">
        <f aca="false">IF(N1607=0,"n.a.",P1607/N1607-1)</f>
        <v>0.823260730882049</v>
      </c>
    </row>
    <row r="1608" customFormat="false" ht="15" hidden="false" customHeight="false" outlineLevel="0" collapsed="false">
      <c r="A1608" s="12" t="s">
        <v>3766</v>
      </c>
      <c r="B1608" s="12" t="s">
        <v>3706</v>
      </c>
      <c r="C1608" s="12" t="s">
        <v>3707</v>
      </c>
      <c r="D1608" s="12" t="s">
        <v>214</v>
      </c>
      <c r="E1608" s="12" t="s">
        <v>3767</v>
      </c>
      <c r="F1608" s="13" t="n">
        <v>12781110</v>
      </c>
      <c r="G1608" s="13" t="n">
        <v>14128697</v>
      </c>
      <c r="H1608" s="14" t="n">
        <v>35284</v>
      </c>
      <c r="I1608" s="14" t="n">
        <v>39372</v>
      </c>
      <c r="J1608" s="15" t="n">
        <f aca="false">I1608/H1608</f>
        <v>1.11585987983222</v>
      </c>
      <c r="K1608" s="16" t="n">
        <f aca="false">ROUND(I1608*J1608^($F$8-1),0)</f>
        <v>38388</v>
      </c>
      <c r="L1608" s="16" t="n">
        <f aca="false">ROUND(I1608*J1608^($F$9-1),0)</f>
        <v>39148</v>
      </c>
      <c r="M1608" s="17" t="n">
        <f aca="false">G1608*$F$7</f>
        <v>13610205.4049348</v>
      </c>
      <c r="N1608" s="18" t="n">
        <f aca="false">F1608/K1608</f>
        <v>332.945451703657</v>
      </c>
      <c r="O1608" s="18" t="n">
        <f aca="false">G1608/L1608</f>
        <v>360.904695003576</v>
      </c>
      <c r="P1608" s="18" t="n">
        <f aca="false">M1608/L1608</f>
        <v>347.66029950278</v>
      </c>
      <c r="Q1608" s="19" t="n">
        <f aca="false">IF(N1608=0,"n.a.",P1608/N1608-1)</f>
        <v>0.0441959718140836</v>
      </c>
    </row>
    <row r="1609" customFormat="false" ht="15" hidden="false" customHeight="false" outlineLevel="0" collapsed="false">
      <c r="A1609" s="12" t="s">
        <v>3768</v>
      </c>
      <c r="B1609" s="12" t="s">
        <v>3706</v>
      </c>
      <c r="C1609" s="12" t="s">
        <v>3707</v>
      </c>
      <c r="D1609" s="12" t="s">
        <v>217</v>
      </c>
      <c r="E1609" s="12" t="s">
        <v>3769</v>
      </c>
      <c r="F1609" s="13" t="n">
        <v>167308</v>
      </c>
      <c r="G1609" s="13" t="n">
        <v>287637</v>
      </c>
      <c r="H1609" s="14" t="n">
        <v>13561</v>
      </c>
      <c r="I1609" s="14" t="n">
        <v>14403</v>
      </c>
      <c r="J1609" s="15" t="n">
        <f aca="false">I1609/H1609</f>
        <v>1.06208981638522</v>
      </c>
      <c r="K1609" s="16" t="n">
        <f aca="false">ROUND(I1609*J1609^($F$8-1),0)</f>
        <v>14204</v>
      </c>
      <c r="L1609" s="16" t="n">
        <f aca="false">ROUND(I1609*J1609^($F$9-1),0)</f>
        <v>14358</v>
      </c>
      <c r="M1609" s="17" t="n">
        <f aca="false">G1609*$F$7</f>
        <v>277081.365115215</v>
      </c>
      <c r="N1609" s="18" t="n">
        <f aca="false">F1609/K1609</f>
        <v>11.7789355111236</v>
      </c>
      <c r="O1609" s="18" t="n">
        <f aca="false">G1609/L1609</f>
        <v>20.0332218972002</v>
      </c>
      <c r="P1609" s="18" t="n">
        <f aca="false">M1609/L1609</f>
        <v>19.2980474380286</v>
      </c>
      <c r="Q1609" s="19" t="n">
        <f aca="false">IF(N1609=0,"n.a.",P1609/N1609-1)</f>
        <v>0.638352414766527</v>
      </c>
    </row>
    <row r="1610" customFormat="false" ht="15" hidden="false" customHeight="false" outlineLevel="0" collapsed="false">
      <c r="A1610" s="12" t="s">
        <v>3770</v>
      </c>
      <c r="B1610" s="12" t="s">
        <v>3706</v>
      </c>
      <c r="C1610" s="12" t="s">
        <v>3707</v>
      </c>
      <c r="D1610" s="12" t="s">
        <v>220</v>
      </c>
      <c r="E1610" s="12" t="s">
        <v>3707</v>
      </c>
      <c r="F1610" s="13" t="n">
        <v>36478744</v>
      </c>
      <c r="G1610" s="13" t="n">
        <v>42558555</v>
      </c>
      <c r="H1610" s="14" t="n">
        <v>99435</v>
      </c>
      <c r="I1610" s="14" t="n">
        <v>100123</v>
      </c>
      <c r="J1610" s="15" t="n">
        <f aca="false">I1610/H1610</f>
        <v>1.00691909287474</v>
      </c>
      <c r="K1610" s="16" t="n">
        <f aca="false">ROUND(I1610*J1610^($F$8-1),0)</f>
        <v>99964</v>
      </c>
      <c r="L1610" s="16" t="n">
        <f aca="false">ROUND(I1610*J1610^($F$9-1),0)</f>
        <v>100087</v>
      </c>
      <c r="M1610" s="17" t="n">
        <f aca="false">G1610*$F$7</f>
        <v>40996751.1715493</v>
      </c>
      <c r="N1610" s="18" t="n">
        <f aca="false">F1610/K1610</f>
        <v>364.918810771878</v>
      </c>
      <c r="O1610" s="18" t="n">
        <f aca="false">G1610/L1610</f>
        <v>425.215612417197</v>
      </c>
      <c r="P1610" s="18" t="n">
        <f aca="false">M1610/L1610</f>
        <v>409.61115001498</v>
      </c>
      <c r="Q1610" s="19" t="n">
        <f aca="false">IF(N1610=0,"n.a.",P1610/N1610-1)</f>
        <v>0.122472007262572</v>
      </c>
    </row>
    <row r="1611" customFormat="false" ht="15" hidden="false" customHeight="false" outlineLevel="0" collapsed="false">
      <c r="A1611" s="12" t="s">
        <v>3771</v>
      </c>
      <c r="B1611" s="12" t="s">
        <v>3706</v>
      </c>
      <c r="C1611" s="12" t="s">
        <v>3707</v>
      </c>
      <c r="D1611" s="12" t="s">
        <v>223</v>
      </c>
      <c r="E1611" s="12" t="s">
        <v>3772</v>
      </c>
      <c r="F1611" s="13" t="n">
        <v>4362256</v>
      </c>
      <c r="G1611" s="13" t="n">
        <v>5311040</v>
      </c>
      <c r="H1611" s="14" t="n">
        <v>45355</v>
      </c>
      <c r="I1611" s="14" t="n">
        <v>48240</v>
      </c>
      <c r="J1611" s="15" t="n">
        <f aca="false">I1611/H1611</f>
        <v>1.06360930437658</v>
      </c>
      <c r="K1611" s="16" t="n">
        <f aca="false">ROUND(I1611*J1611^($F$8-1),0)</f>
        <v>47558</v>
      </c>
      <c r="L1611" s="16" t="n">
        <f aca="false">ROUND(I1611*J1611^($F$9-1),0)</f>
        <v>48086</v>
      </c>
      <c r="M1611" s="17" t="n">
        <f aca="false">G1611*$F$7</f>
        <v>5116136.70487979</v>
      </c>
      <c r="N1611" s="18" t="n">
        <f aca="false">F1611/K1611</f>
        <v>91.7249674082173</v>
      </c>
      <c r="O1611" s="18" t="n">
        <f aca="false">G1611/L1611</f>
        <v>110.448779270474</v>
      </c>
      <c r="P1611" s="18" t="n">
        <f aca="false">M1611/L1611</f>
        <v>106.395555980531</v>
      </c>
      <c r="Q1611" s="19" t="n">
        <f aca="false">IF(N1611=0,"n.a.",P1611/N1611-1)</f>
        <v>0.159941060616817</v>
      </c>
    </row>
    <row r="1612" customFormat="false" ht="15" hidden="false" customHeight="false" outlineLevel="0" collapsed="false">
      <c r="A1612" s="12" t="s">
        <v>3773</v>
      </c>
      <c r="B1612" s="12" t="s">
        <v>3706</v>
      </c>
      <c r="C1612" s="12" t="s">
        <v>3707</v>
      </c>
      <c r="D1612" s="12" t="s">
        <v>226</v>
      </c>
      <c r="E1612" s="12" t="s">
        <v>3774</v>
      </c>
      <c r="F1612" s="13" t="n">
        <v>148279</v>
      </c>
      <c r="G1612" s="13" t="n">
        <v>177582</v>
      </c>
      <c r="H1612" s="14" t="n">
        <v>6294</v>
      </c>
      <c r="I1612" s="14" t="n">
        <v>7351</v>
      </c>
      <c r="J1612" s="15" t="n">
        <f aca="false">I1612/H1612</f>
        <v>1.16793771846203</v>
      </c>
      <c r="K1612" s="16" t="n">
        <f aca="false">ROUND(I1612*J1612^($F$8-1),0)</f>
        <v>7092</v>
      </c>
      <c r="L1612" s="16" t="n">
        <f aca="false">ROUND(I1612*J1612^($F$9-1),0)</f>
        <v>7292</v>
      </c>
      <c r="M1612" s="17" t="n">
        <f aca="false">G1612*$F$7</f>
        <v>171065.137586229</v>
      </c>
      <c r="N1612" s="18" t="n">
        <f aca="false">F1612/K1612</f>
        <v>20.9079244218838</v>
      </c>
      <c r="O1612" s="18" t="n">
        <f aca="false">G1612/L1612</f>
        <v>24.3529895776193</v>
      </c>
      <c r="P1612" s="18" t="n">
        <f aca="false">M1612/L1612</f>
        <v>23.4592893014576</v>
      </c>
      <c r="Q1612" s="19" t="n">
        <f aca="false">IF(N1612=0,"n.a.",P1612/N1612-1)</f>
        <v>0.122028606383487</v>
      </c>
    </row>
    <row r="1613" customFormat="false" ht="15" hidden="false" customHeight="false" outlineLevel="0" collapsed="false">
      <c r="A1613" s="12" t="s">
        <v>3775</v>
      </c>
      <c r="B1613" s="12" t="s">
        <v>3706</v>
      </c>
      <c r="C1613" s="12" t="s">
        <v>3707</v>
      </c>
      <c r="D1613" s="12" t="s">
        <v>229</v>
      </c>
      <c r="E1613" s="12" t="s">
        <v>3776</v>
      </c>
      <c r="F1613" s="13" t="n">
        <v>4324784</v>
      </c>
      <c r="G1613" s="13" t="n">
        <v>3548343</v>
      </c>
      <c r="H1613" s="14" t="n">
        <v>22524</v>
      </c>
      <c r="I1613" s="14" t="n">
        <v>23864</v>
      </c>
      <c r="J1613" s="15" t="n">
        <f aca="false">I1613/H1613</f>
        <v>1.05949209731842</v>
      </c>
      <c r="K1613" s="16" t="n">
        <f aca="false">ROUND(I1613*J1613^($F$8-1),0)</f>
        <v>23548</v>
      </c>
      <c r="L1613" s="16" t="n">
        <f aca="false">ROUND(I1613*J1613^($F$9-1),0)</f>
        <v>23792</v>
      </c>
      <c r="M1613" s="17" t="n">
        <f aca="false">G1613*$F$7</f>
        <v>3418126.7442541</v>
      </c>
      <c r="N1613" s="18" t="n">
        <f aca="false">F1613/K1613</f>
        <v>183.658229998301</v>
      </c>
      <c r="O1613" s="18" t="n">
        <f aca="false">G1613/L1613</f>
        <v>149.140173167451</v>
      </c>
      <c r="P1613" s="18" t="n">
        <f aca="false">M1613/L1613</f>
        <v>143.667062216463</v>
      </c>
      <c r="Q1613" s="19" t="n">
        <f aca="false">IF(N1613=0,"n.a.",P1613/N1613-1)</f>
        <v>-0.217747757790151</v>
      </c>
    </row>
    <row r="1614" customFormat="false" ht="15" hidden="false" customHeight="false" outlineLevel="0" collapsed="false">
      <c r="A1614" s="12" t="s">
        <v>3777</v>
      </c>
      <c r="B1614" s="12" t="s">
        <v>3706</v>
      </c>
      <c r="C1614" s="12" t="s">
        <v>3707</v>
      </c>
      <c r="D1614" s="12" t="s">
        <v>232</v>
      </c>
      <c r="E1614" s="12" t="s">
        <v>3778</v>
      </c>
      <c r="F1614" s="13" t="n">
        <v>402637</v>
      </c>
      <c r="G1614" s="13" t="n">
        <v>794658</v>
      </c>
      <c r="H1614" s="14" t="n">
        <v>9207</v>
      </c>
      <c r="I1614" s="14" t="n">
        <v>9239</v>
      </c>
      <c r="J1614" s="15" t="n">
        <f aca="false">I1614/H1614</f>
        <v>1.00347561637884</v>
      </c>
      <c r="K1614" s="16" t="n">
        <f aca="false">ROUND(I1614*J1614^($F$8-1),0)</f>
        <v>9232</v>
      </c>
      <c r="L1614" s="16" t="n">
        <f aca="false">ROUND(I1614*J1614^($F$9-1),0)</f>
        <v>9237</v>
      </c>
      <c r="M1614" s="17" t="n">
        <f aca="false">G1614*$F$7</f>
        <v>765495.827865421</v>
      </c>
      <c r="N1614" s="18" t="n">
        <f aca="false">F1614/K1614</f>
        <v>43.6131932409012</v>
      </c>
      <c r="O1614" s="18" t="n">
        <f aca="false">G1614/L1614</f>
        <v>86.029879831114</v>
      </c>
      <c r="P1614" s="18" t="n">
        <f aca="false">M1614/L1614</f>
        <v>82.8727755619163</v>
      </c>
      <c r="Q1614" s="19" t="n">
        <f aca="false">IF(N1614=0,"n.a.",P1614/N1614-1)</f>
        <v>0.900176744779073</v>
      </c>
    </row>
    <row r="1615" customFormat="false" ht="15" hidden="false" customHeight="false" outlineLevel="0" collapsed="false">
      <c r="A1615" s="12" t="s">
        <v>3779</v>
      </c>
      <c r="B1615" s="12" t="s">
        <v>3706</v>
      </c>
      <c r="C1615" s="12" t="s">
        <v>3707</v>
      </c>
      <c r="D1615" s="12" t="s">
        <v>235</v>
      </c>
      <c r="E1615" s="12" t="s">
        <v>3780</v>
      </c>
      <c r="F1615" s="13" t="n">
        <v>1936012</v>
      </c>
      <c r="G1615" s="13" t="n">
        <v>2223205</v>
      </c>
      <c r="H1615" s="14" t="n">
        <v>18001</v>
      </c>
      <c r="I1615" s="14" t="n">
        <v>20640</v>
      </c>
      <c r="J1615" s="15" t="n">
        <f aca="false">I1615/H1615</f>
        <v>1.14660296650186</v>
      </c>
      <c r="K1615" s="16" t="n">
        <f aca="false">ROUND(I1615*J1615^($F$8-1),0)</f>
        <v>19998</v>
      </c>
      <c r="L1615" s="16" t="n">
        <f aca="false">ROUND(I1615*J1615^($F$9-1),0)</f>
        <v>20494</v>
      </c>
      <c r="M1615" s="17" t="n">
        <f aca="false">G1615*$F$7</f>
        <v>2141618.34649565</v>
      </c>
      <c r="N1615" s="18" t="n">
        <f aca="false">F1615/K1615</f>
        <v>96.8102810281028</v>
      </c>
      <c r="O1615" s="18" t="n">
        <f aca="false">G1615/L1615</f>
        <v>108.480774860935</v>
      </c>
      <c r="P1615" s="18" t="n">
        <f aca="false">M1615/L1615</f>
        <v>104.499772933329</v>
      </c>
      <c r="Q1615" s="19" t="n">
        <f aca="false">IF(N1615=0,"n.a.",P1615/N1615-1)</f>
        <v>0.0794284638322091</v>
      </c>
    </row>
    <row r="1616" customFormat="false" ht="15" hidden="false" customHeight="false" outlineLevel="0" collapsed="false">
      <c r="A1616" s="12" t="s">
        <v>3781</v>
      </c>
      <c r="B1616" s="12" t="s">
        <v>3706</v>
      </c>
      <c r="C1616" s="12" t="s">
        <v>3707</v>
      </c>
      <c r="D1616" s="12" t="s">
        <v>317</v>
      </c>
      <c r="E1616" s="12" t="s">
        <v>3782</v>
      </c>
      <c r="F1616" s="13" t="n">
        <v>5357050</v>
      </c>
      <c r="G1616" s="13" t="n">
        <v>8097161</v>
      </c>
      <c r="H1616" s="14" t="n">
        <v>25604</v>
      </c>
      <c r="I1616" s="14" t="n">
        <v>27810</v>
      </c>
      <c r="J1616" s="15" t="n">
        <f aca="false">I1616/H1616</f>
        <v>1.08615841274801</v>
      </c>
      <c r="K1616" s="16" t="n">
        <f aca="false">ROUND(I1616*J1616^($F$8-1),0)</f>
        <v>27284</v>
      </c>
      <c r="L1616" s="16" t="n">
        <f aca="false">ROUND(I1616*J1616^($F$9-1),0)</f>
        <v>27691</v>
      </c>
      <c r="M1616" s="17" t="n">
        <f aca="false">G1616*$F$7</f>
        <v>7800013.29257945</v>
      </c>
      <c r="N1616" s="18" t="n">
        <f aca="false">F1616/K1616</f>
        <v>196.344011142061</v>
      </c>
      <c r="O1616" s="18" t="n">
        <f aca="false">G1616/L1616</f>
        <v>292.411288866419</v>
      </c>
      <c r="P1616" s="18" t="n">
        <f aca="false">M1616/L1616</f>
        <v>281.680448253203</v>
      </c>
      <c r="Q1616" s="19" t="n">
        <f aca="false">IF(N1616=0,"n.a.",P1616/N1616-1)</f>
        <v>0.434627145563397</v>
      </c>
    </row>
    <row r="1617" customFormat="false" ht="15" hidden="false" customHeight="false" outlineLevel="0" collapsed="false">
      <c r="A1617" s="12" t="s">
        <v>3783</v>
      </c>
      <c r="B1617" s="12" t="s">
        <v>3706</v>
      </c>
      <c r="C1617" s="12" t="s">
        <v>3707</v>
      </c>
      <c r="D1617" s="12" t="s">
        <v>320</v>
      </c>
      <c r="E1617" s="12" t="s">
        <v>3784</v>
      </c>
      <c r="F1617" s="13" t="n">
        <v>2579571</v>
      </c>
      <c r="G1617" s="13" t="n">
        <v>3207131</v>
      </c>
      <c r="H1617" s="14" t="n">
        <v>10601</v>
      </c>
      <c r="I1617" s="14" t="n">
        <v>11585</v>
      </c>
      <c r="J1617" s="15" t="n">
        <f aca="false">I1617/H1617</f>
        <v>1.09282143194038</v>
      </c>
      <c r="K1617" s="16" t="n">
        <f aca="false">ROUND(I1617*J1617^($F$8-1),0)</f>
        <v>11350</v>
      </c>
      <c r="L1617" s="16" t="n">
        <f aca="false">ROUND(I1617*J1617^($F$9-1),0)</f>
        <v>11532</v>
      </c>
      <c r="M1617" s="17" t="n">
        <f aca="false">G1617*$F$7</f>
        <v>3089436.46187147</v>
      </c>
      <c r="N1617" s="18" t="n">
        <f aca="false">F1617/K1617</f>
        <v>227.274977973568</v>
      </c>
      <c r="O1617" s="18" t="n">
        <f aca="false">G1617/L1617</f>
        <v>278.107093305584</v>
      </c>
      <c r="P1617" s="18" t="n">
        <f aca="false">M1617/L1617</f>
        <v>267.901184692288</v>
      </c>
      <c r="Q1617" s="19" t="n">
        <f aca="false">IF(N1617=0,"n.a.",P1617/N1617-1)</f>
        <v>0.178753539351105</v>
      </c>
    </row>
    <row r="1618" customFormat="false" ht="15" hidden="false" customHeight="false" outlineLevel="0" collapsed="false">
      <c r="A1618" s="12" t="s">
        <v>3785</v>
      </c>
      <c r="B1618" s="12" t="s">
        <v>3706</v>
      </c>
      <c r="C1618" s="12" t="s">
        <v>3707</v>
      </c>
      <c r="D1618" s="12" t="s">
        <v>323</v>
      </c>
      <c r="E1618" s="12" t="s">
        <v>3786</v>
      </c>
      <c r="F1618" s="13" t="n">
        <v>5131070</v>
      </c>
      <c r="G1618" s="13" t="n">
        <v>5401717</v>
      </c>
      <c r="H1618" s="14" t="n">
        <v>33496</v>
      </c>
      <c r="I1618" s="14" t="n">
        <v>36640</v>
      </c>
      <c r="J1618" s="15" t="n">
        <f aca="false">I1618/H1618</f>
        <v>1.09386195366611</v>
      </c>
      <c r="K1618" s="16" t="n">
        <f aca="false">ROUND(I1618*J1618^($F$8-1),0)</f>
        <v>35889</v>
      </c>
      <c r="L1618" s="16" t="n">
        <f aca="false">ROUND(I1618*J1618^($F$9-1),0)</f>
        <v>36470</v>
      </c>
      <c r="M1618" s="17" t="n">
        <f aca="false">G1618*$F$7</f>
        <v>5203486.06168908</v>
      </c>
      <c r="N1618" s="18" t="n">
        <f aca="false">F1618/K1618</f>
        <v>142.970548078799</v>
      </c>
      <c r="O1618" s="18" t="n">
        <f aca="false">G1618/L1618</f>
        <v>148.113984096518</v>
      </c>
      <c r="P1618" s="18" t="n">
        <f aca="false">M1618/L1618</f>
        <v>142.678531990378</v>
      </c>
      <c r="Q1618" s="19" t="n">
        <f aca="false">IF(N1618=0,"n.a.",P1618/N1618-1)</f>
        <v>-0.00204249121476263</v>
      </c>
    </row>
    <row r="1619" customFormat="false" ht="15" hidden="false" customHeight="false" outlineLevel="0" collapsed="false">
      <c r="A1619" s="12" t="s">
        <v>3787</v>
      </c>
      <c r="B1619" s="12" t="s">
        <v>3706</v>
      </c>
      <c r="C1619" s="12" t="s">
        <v>3707</v>
      </c>
      <c r="D1619" s="12" t="s">
        <v>326</v>
      </c>
      <c r="E1619" s="12" t="s">
        <v>3788</v>
      </c>
      <c r="F1619" s="13" t="n">
        <v>4329978</v>
      </c>
      <c r="G1619" s="13" t="n">
        <v>5232669</v>
      </c>
      <c r="H1619" s="14" t="n">
        <v>14194</v>
      </c>
      <c r="I1619" s="14" t="n">
        <v>14081</v>
      </c>
      <c r="J1619" s="15" t="n">
        <f aca="false">I1619/H1619</f>
        <v>0.992038889671692</v>
      </c>
      <c r="K1619" s="16" t="n">
        <f aca="false">ROUND(I1619*J1619^($F$8-1),0)</f>
        <v>14107</v>
      </c>
      <c r="L1619" s="16" t="n">
        <f aca="false">ROUND(I1619*J1619^($F$9-1),0)</f>
        <v>14087</v>
      </c>
      <c r="M1619" s="17" t="n">
        <f aca="false">G1619*$F$7</f>
        <v>5040641.74538069</v>
      </c>
      <c r="N1619" s="18" t="n">
        <f aca="false">F1619/K1619</f>
        <v>306.938257602609</v>
      </c>
      <c r="O1619" s="18" t="n">
        <f aca="false">G1619/L1619</f>
        <v>371.453751685952</v>
      </c>
      <c r="P1619" s="18" t="n">
        <f aca="false">M1619/L1619</f>
        <v>357.822229387427</v>
      </c>
      <c r="Q1619" s="19" t="n">
        <f aca="false">IF(N1619=0,"n.a.",P1619/N1619-1)</f>
        <v>0.165779177161739</v>
      </c>
    </row>
    <row r="1620" customFormat="false" ht="15" hidden="false" customHeight="false" outlineLevel="0" collapsed="false">
      <c r="A1620" s="12" t="s">
        <v>3789</v>
      </c>
      <c r="B1620" s="12" t="s">
        <v>3706</v>
      </c>
      <c r="C1620" s="12" t="s">
        <v>3707</v>
      </c>
      <c r="D1620" s="12" t="s">
        <v>600</v>
      </c>
      <c r="E1620" s="12" t="s">
        <v>3790</v>
      </c>
      <c r="F1620" s="13" t="n">
        <v>7876011</v>
      </c>
      <c r="G1620" s="13" t="n">
        <v>17644752</v>
      </c>
      <c r="H1620" s="14" t="n">
        <v>42175</v>
      </c>
      <c r="I1620" s="14" t="n">
        <v>43752</v>
      </c>
      <c r="J1620" s="15" t="n">
        <f aca="false">I1620/H1620</f>
        <v>1.03739181979846</v>
      </c>
      <c r="K1620" s="16" t="n">
        <f aca="false">ROUND(I1620*J1620^($F$8-1),0)</f>
        <v>43383</v>
      </c>
      <c r="L1620" s="16" t="n">
        <f aca="false">ROUND(I1620*J1620^($F$9-1),0)</f>
        <v>43669</v>
      </c>
      <c r="M1620" s="17" t="n">
        <f aca="false">G1620*$F$7</f>
        <v>16997229.0466088</v>
      </c>
      <c r="N1620" s="18" t="n">
        <f aca="false">F1620/K1620</f>
        <v>181.546020330544</v>
      </c>
      <c r="O1620" s="18" t="n">
        <f aca="false">G1620/L1620</f>
        <v>404.056699260345</v>
      </c>
      <c r="P1620" s="18" t="n">
        <f aca="false">M1620/L1620</f>
        <v>389.228721670036</v>
      </c>
      <c r="Q1620" s="19" t="n">
        <f aca="false">IF(N1620=0,"n.a.",P1620/N1620-1)</f>
        <v>1.14396724842197</v>
      </c>
    </row>
    <row r="1621" customFormat="false" ht="15" hidden="false" customHeight="false" outlineLevel="0" collapsed="false">
      <c r="A1621" s="12" t="s">
        <v>3791</v>
      </c>
      <c r="B1621" s="12" t="s">
        <v>3706</v>
      </c>
      <c r="C1621" s="12" t="s">
        <v>3707</v>
      </c>
      <c r="D1621" s="12" t="s">
        <v>329</v>
      </c>
      <c r="E1621" s="12" t="s">
        <v>3792</v>
      </c>
      <c r="F1621" s="13" t="n">
        <v>1354487</v>
      </c>
      <c r="G1621" s="13" t="n">
        <v>5645324</v>
      </c>
      <c r="H1621" s="14" t="n">
        <v>45699</v>
      </c>
      <c r="I1621" s="14" t="n">
        <v>50479</v>
      </c>
      <c r="J1621" s="15" t="n">
        <f aca="false">I1621/H1621</f>
        <v>1.10459747478063</v>
      </c>
      <c r="K1621" s="16" t="n">
        <f aca="false">ROUND(I1621*J1621^($F$8-1),0)</f>
        <v>49333</v>
      </c>
      <c r="L1621" s="16" t="n">
        <f aca="false">ROUND(I1621*J1621^($F$9-1),0)</f>
        <v>50219</v>
      </c>
      <c r="M1621" s="17" t="n">
        <f aca="false">G1621*$F$7</f>
        <v>5438153.22937481</v>
      </c>
      <c r="N1621" s="18" t="n">
        <f aca="false">F1621/K1621</f>
        <v>27.4560030811019</v>
      </c>
      <c r="O1621" s="18" t="n">
        <f aca="false">G1621/L1621</f>
        <v>112.414106214779</v>
      </c>
      <c r="P1621" s="18" t="n">
        <f aca="false">M1621/L1621</f>
        <v>108.288759819487</v>
      </c>
      <c r="Q1621" s="19" t="n">
        <f aca="false">IF(N1621=0,"n.a.",P1621/N1621-1)</f>
        <v>2.94408317553048</v>
      </c>
    </row>
    <row r="1622" customFormat="false" ht="15" hidden="false" customHeight="false" outlineLevel="0" collapsed="false">
      <c r="A1622" s="12" t="s">
        <v>3793</v>
      </c>
      <c r="B1622" s="12" t="s">
        <v>3706</v>
      </c>
      <c r="C1622" s="12" t="s">
        <v>3707</v>
      </c>
      <c r="D1622" s="12" t="s">
        <v>332</v>
      </c>
      <c r="E1622" s="12" t="s">
        <v>3390</v>
      </c>
      <c r="F1622" s="13" t="n">
        <v>88184</v>
      </c>
      <c r="G1622" s="13" t="n">
        <v>324015</v>
      </c>
      <c r="H1622" s="14" t="n">
        <v>6211</v>
      </c>
      <c r="I1622" s="14" t="n">
        <v>6922</v>
      </c>
      <c r="J1622" s="15" t="n">
        <f aca="false">I1622/H1622</f>
        <v>1.11447431975527</v>
      </c>
      <c r="K1622" s="16" t="n">
        <f aca="false">ROUND(I1622*J1622^($F$8-1),0)</f>
        <v>6751</v>
      </c>
      <c r="L1622" s="16" t="n">
        <f aca="false">ROUND(I1622*J1622^($F$9-1),0)</f>
        <v>6883</v>
      </c>
      <c r="M1622" s="17" t="n">
        <f aca="false">G1622*$F$7</f>
        <v>312124.373838575</v>
      </c>
      <c r="N1622" s="18" t="n">
        <f aca="false">F1622/K1622</f>
        <v>13.0623611316842</v>
      </c>
      <c r="O1622" s="18" t="n">
        <f aca="false">G1622/L1622</f>
        <v>47.0746767397937</v>
      </c>
      <c r="P1622" s="18" t="n">
        <f aca="false">M1622/L1622</f>
        <v>45.3471413393252</v>
      </c>
      <c r="Q1622" s="19" t="n">
        <f aca="false">IF(N1622=0,"n.a.",P1622/N1622-1)</f>
        <v>2.47158839678155</v>
      </c>
    </row>
    <row r="1623" customFormat="false" ht="15" hidden="false" customHeight="false" outlineLevel="0" collapsed="false">
      <c r="A1623" s="12" t="s">
        <v>3794</v>
      </c>
      <c r="B1623" s="12" t="s">
        <v>3706</v>
      </c>
      <c r="C1623" s="12" t="s">
        <v>3707</v>
      </c>
      <c r="D1623" s="12" t="s">
        <v>335</v>
      </c>
      <c r="E1623" s="12" t="s">
        <v>521</v>
      </c>
      <c r="F1623" s="13" t="n">
        <v>265229</v>
      </c>
      <c r="G1623" s="13" t="n">
        <v>219207</v>
      </c>
      <c r="H1623" s="14" t="n">
        <v>4951</v>
      </c>
      <c r="I1623" s="14" t="n">
        <v>5096</v>
      </c>
      <c r="J1623" s="15" t="n">
        <f aca="false">I1623/H1623</f>
        <v>1.0292870127247</v>
      </c>
      <c r="K1623" s="16" t="n">
        <f aca="false">ROUND(I1623*J1623^($F$8-1),0)</f>
        <v>5062</v>
      </c>
      <c r="L1623" s="16" t="n">
        <f aca="false">ROUND(I1623*J1623^($F$9-1),0)</f>
        <v>5088</v>
      </c>
      <c r="M1623" s="17" t="n">
        <f aca="false">G1623*$F$7</f>
        <v>211162.593139307</v>
      </c>
      <c r="N1623" s="18" t="n">
        <f aca="false">F1623/K1623</f>
        <v>52.3960885025682</v>
      </c>
      <c r="O1623" s="18" t="n">
        <f aca="false">G1623/L1623</f>
        <v>43.0831367924528</v>
      </c>
      <c r="P1623" s="18" t="n">
        <f aca="false">M1623/L1623</f>
        <v>41.5020819849267</v>
      </c>
      <c r="Q1623" s="19" t="n">
        <f aca="false">IF(N1623=0,"n.a.",P1623/N1623-1)</f>
        <v>-0.207916408056062</v>
      </c>
    </row>
    <row r="1624" customFormat="false" ht="15" hidden="false" customHeight="false" outlineLevel="0" collapsed="false">
      <c r="A1624" s="12" t="s">
        <v>3795</v>
      </c>
      <c r="B1624" s="12" t="s">
        <v>3706</v>
      </c>
      <c r="C1624" s="12" t="s">
        <v>3707</v>
      </c>
      <c r="D1624" s="12" t="s">
        <v>607</v>
      </c>
      <c r="E1624" s="12" t="s">
        <v>1191</v>
      </c>
      <c r="F1624" s="13" t="n">
        <v>103804</v>
      </c>
      <c r="G1624" s="13" t="n">
        <v>173330</v>
      </c>
      <c r="H1624" s="14" t="n">
        <v>3534</v>
      </c>
      <c r="I1624" s="14" t="n">
        <v>3571</v>
      </c>
      <c r="J1624" s="15" t="n">
        <f aca="false">I1624/H1624</f>
        <v>1.01046972269383</v>
      </c>
      <c r="K1624" s="16" t="n">
        <f aca="false">ROUND(I1624*J1624^($F$8-1),0)</f>
        <v>3562</v>
      </c>
      <c r="L1624" s="16" t="n">
        <f aca="false">ROUND(I1624*J1624^($F$9-1),0)</f>
        <v>3569</v>
      </c>
      <c r="M1624" s="17" t="n">
        <f aca="false">G1624*$F$7</f>
        <v>166969.176480843</v>
      </c>
      <c r="N1624" s="18" t="n">
        <f aca="false">F1624/K1624</f>
        <v>29.1420550252667</v>
      </c>
      <c r="O1624" s="18" t="n">
        <f aca="false">G1624/L1624</f>
        <v>48.5654244886523</v>
      </c>
      <c r="P1624" s="18" t="n">
        <f aca="false">M1624/L1624</f>
        <v>46.7831819783812</v>
      </c>
      <c r="Q1624" s="19" t="n">
        <f aca="false">IF(N1624=0,"n.a.",P1624/N1624-1)</f>
        <v>0.605349449028881</v>
      </c>
    </row>
    <row r="1625" customFormat="false" ht="15" hidden="false" customHeight="false" outlineLevel="0" collapsed="false">
      <c r="A1625" s="12" t="s">
        <v>3796</v>
      </c>
      <c r="B1625" s="12" t="s">
        <v>3706</v>
      </c>
      <c r="C1625" s="12" t="s">
        <v>3707</v>
      </c>
      <c r="D1625" s="12" t="s">
        <v>338</v>
      </c>
      <c r="E1625" s="12" t="s">
        <v>3797</v>
      </c>
      <c r="F1625" s="13" t="n">
        <v>3559819</v>
      </c>
      <c r="G1625" s="13" t="n">
        <v>3455736</v>
      </c>
      <c r="H1625" s="14" t="n">
        <v>19036</v>
      </c>
      <c r="I1625" s="14" t="n">
        <v>21621</v>
      </c>
      <c r="J1625" s="15" t="n">
        <f aca="false">I1625/H1625</f>
        <v>1.13579533515444</v>
      </c>
      <c r="K1625" s="16" t="n">
        <f aca="false">ROUND(I1625*J1625^($F$8-1),0)</f>
        <v>20995</v>
      </c>
      <c r="L1625" s="16" t="n">
        <f aca="false">ROUND(I1625*J1625^($F$9-1),0)</f>
        <v>21478</v>
      </c>
      <c r="M1625" s="17" t="n">
        <f aca="false">G1625*$F$7</f>
        <v>3328918.21413028</v>
      </c>
      <c r="N1625" s="18" t="n">
        <f aca="false">F1625/K1625</f>
        <v>169.555560847821</v>
      </c>
      <c r="O1625" s="18" t="n">
        <f aca="false">G1625/L1625</f>
        <v>160.89654530217</v>
      </c>
      <c r="P1625" s="18" t="n">
        <f aca="false">M1625/L1625</f>
        <v>154.992001775318</v>
      </c>
      <c r="Q1625" s="19" t="n">
        <f aca="false">IF(N1625=0,"n.a.",P1625/N1625-1)</f>
        <v>-0.0858925475500861</v>
      </c>
    </row>
    <row r="1626" customFormat="false" ht="15" hidden="false" customHeight="false" outlineLevel="0" collapsed="false">
      <c r="A1626" s="12" t="s">
        <v>3798</v>
      </c>
      <c r="B1626" s="12" t="s">
        <v>3706</v>
      </c>
      <c r="C1626" s="12" t="s">
        <v>3707</v>
      </c>
      <c r="D1626" s="12" t="s">
        <v>612</v>
      </c>
      <c r="E1626" s="12" t="s">
        <v>3799</v>
      </c>
      <c r="F1626" s="13" t="n">
        <v>367530</v>
      </c>
      <c r="G1626" s="13" t="n">
        <v>169967</v>
      </c>
      <c r="H1626" s="14" t="n">
        <v>5884</v>
      </c>
      <c r="I1626" s="14" t="n">
        <v>6366</v>
      </c>
      <c r="J1626" s="15" t="n">
        <f aca="false">I1626/H1626</f>
        <v>1.0819170632223</v>
      </c>
      <c r="K1626" s="16" t="n">
        <f aca="false">ROUND(I1626*J1626^($F$8-1),0)</f>
        <v>6251</v>
      </c>
      <c r="L1626" s="16" t="n">
        <f aca="false">ROUND(I1626*J1626^($F$9-1),0)</f>
        <v>6340</v>
      </c>
      <c r="M1626" s="17" t="n">
        <f aca="false">G1626*$F$7</f>
        <v>163729.591062825</v>
      </c>
      <c r="N1626" s="18" t="n">
        <f aca="false">F1626/K1626</f>
        <v>58.7953927371621</v>
      </c>
      <c r="O1626" s="18" t="n">
        <f aca="false">G1626/L1626</f>
        <v>26.8086750788644</v>
      </c>
      <c r="P1626" s="18" t="n">
        <f aca="false">M1626/L1626</f>
        <v>25.8248566345149</v>
      </c>
      <c r="Q1626" s="19" t="n">
        <f aca="false">IF(N1626=0,"n.a.",P1626/N1626-1)</f>
        <v>-0.56076734192487</v>
      </c>
    </row>
    <row r="1627" customFormat="false" ht="15" hidden="false" customHeight="false" outlineLevel="0" collapsed="false">
      <c r="A1627" s="12" t="s">
        <v>3800</v>
      </c>
      <c r="B1627" s="12" t="s">
        <v>3706</v>
      </c>
      <c r="C1627" s="12" t="s">
        <v>3707</v>
      </c>
      <c r="D1627" s="12" t="s">
        <v>340</v>
      </c>
      <c r="E1627" s="12" t="s">
        <v>3801</v>
      </c>
      <c r="F1627" s="13" t="n">
        <v>291901</v>
      </c>
      <c r="G1627" s="13" t="n">
        <v>367633</v>
      </c>
      <c r="H1627" s="14" t="n">
        <v>11757</v>
      </c>
      <c r="I1627" s="14" t="n">
        <v>12664</v>
      </c>
      <c r="J1627" s="15" t="n">
        <f aca="false">I1627/H1627</f>
        <v>1.07714553032236</v>
      </c>
      <c r="K1627" s="16" t="n">
        <f aca="false">ROUND(I1627*J1627^($F$8-1),0)</f>
        <v>12449</v>
      </c>
      <c r="L1627" s="16" t="n">
        <f aca="false">ROUND(I1627*J1627^($F$9-1),0)</f>
        <v>12615</v>
      </c>
      <c r="M1627" s="17" t="n">
        <f aca="false">G1627*$F$7</f>
        <v>354141.690747024</v>
      </c>
      <c r="N1627" s="18" t="n">
        <f aca="false">F1627/K1627</f>
        <v>23.4477468069724</v>
      </c>
      <c r="O1627" s="18" t="n">
        <f aca="false">G1627/L1627</f>
        <v>29.1425287356322</v>
      </c>
      <c r="P1627" s="18" t="n">
        <f aca="false">M1627/L1627</f>
        <v>28.0730630794311</v>
      </c>
      <c r="Q1627" s="19" t="n">
        <f aca="false">IF(N1627=0,"n.a.",P1627/N1627-1)</f>
        <v>0.197260585869312</v>
      </c>
    </row>
    <row r="1628" customFormat="false" ht="15" hidden="false" customHeight="false" outlineLevel="0" collapsed="false">
      <c r="A1628" s="12" t="s">
        <v>3802</v>
      </c>
      <c r="B1628" s="12" t="s">
        <v>3706</v>
      </c>
      <c r="C1628" s="12" t="s">
        <v>3707</v>
      </c>
      <c r="D1628" s="12" t="s">
        <v>343</v>
      </c>
      <c r="E1628" s="12" t="s">
        <v>3803</v>
      </c>
      <c r="F1628" s="13" t="n">
        <v>260128</v>
      </c>
      <c r="G1628" s="13" t="n">
        <v>237187</v>
      </c>
      <c r="H1628" s="14" t="n">
        <v>4092</v>
      </c>
      <c r="I1628" s="14" t="n">
        <v>3981</v>
      </c>
      <c r="J1628" s="15" t="n">
        <f aca="false">I1628/H1628</f>
        <v>0.972873900293255</v>
      </c>
      <c r="K1628" s="16" t="n">
        <f aca="false">ROUND(I1628*J1628^($F$8-1),0)</f>
        <v>4006</v>
      </c>
      <c r="L1628" s="16" t="n">
        <f aca="false">ROUND(I1628*J1628^($F$9-1),0)</f>
        <v>3987</v>
      </c>
      <c r="M1628" s="17" t="n">
        <f aca="false">G1628*$F$7</f>
        <v>228482.767333766</v>
      </c>
      <c r="N1628" s="18" t="n">
        <f aca="false">F1628/K1628</f>
        <v>64.9345981028457</v>
      </c>
      <c r="O1628" s="18" t="n">
        <f aca="false">G1628/L1628</f>
        <v>59.4900928016052</v>
      </c>
      <c r="P1628" s="18" t="n">
        <f aca="false">M1628/L1628</f>
        <v>57.3069393864474</v>
      </c>
      <c r="Q1628" s="19" t="n">
        <f aca="false">IF(N1628=0,"n.a.",P1628/N1628-1)</f>
        <v>-0.117466788726672</v>
      </c>
    </row>
    <row r="1629" customFormat="false" ht="15" hidden="false" customHeight="false" outlineLevel="0" collapsed="false">
      <c r="A1629" s="12" t="s">
        <v>3804</v>
      </c>
      <c r="B1629" s="12" t="s">
        <v>3706</v>
      </c>
      <c r="C1629" s="12" t="s">
        <v>3707</v>
      </c>
      <c r="D1629" s="12" t="s">
        <v>346</v>
      </c>
      <c r="E1629" s="12" t="s">
        <v>3805</v>
      </c>
      <c r="F1629" s="13" t="n">
        <v>227510</v>
      </c>
      <c r="G1629" s="13" t="n">
        <v>304284</v>
      </c>
      <c r="H1629" s="14" t="n">
        <v>6436</v>
      </c>
      <c r="I1629" s="14" t="n">
        <v>6348</v>
      </c>
      <c r="J1629" s="15" t="n">
        <f aca="false">I1629/H1629</f>
        <v>0.986326911124922</v>
      </c>
      <c r="K1629" s="16" t="n">
        <f aca="false">ROUND(I1629*J1629^($F$8-1),0)</f>
        <v>6368</v>
      </c>
      <c r="L1629" s="16" t="n">
        <f aca="false">ROUND(I1629*J1629^($F$9-1),0)</f>
        <v>6353</v>
      </c>
      <c r="M1629" s="17" t="n">
        <f aca="false">G1629*$F$7</f>
        <v>293117.457429739</v>
      </c>
      <c r="N1629" s="18" t="n">
        <f aca="false">F1629/K1629</f>
        <v>35.7270728643216</v>
      </c>
      <c r="O1629" s="18" t="n">
        <f aca="false">G1629/L1629</f>
        <v>47.8961120730364</v>
      </c>
      <c r="P1629" s="18" t="n">
        <f aca="false">M1629/L1629</f>
        <v>46.1384318321642</v>
      </c>
      <c r="Q1629" s="19" t="n">
        <f aca="false">IF(N1629=0,"n.a.",P1629/N1629-1)</f>
        <v>0.291413713275117</v>
      </c>
    </row>
    <row r="1630" customFormat="false" ht="15" hidden="false" customHeight="false" outlineLevel="0" collapsed="false">
      <c r="A1630" s="12" t="s">
        <v>3806</v>
      </c>
      <c r="B1630" s="12" t="s">
        <v>3706</v>
      </c>
      <c r="C1630" s="12" t="s">
        <v>3707</v>
      </c>
      <c r="D1630" s="12" t="s">
        <v>349</v>
      </c>
      <c r="E1630" s="12" t="s">
        <v>3807</v>
      </c>
      <c r="F1630" s="13" t="n">
        <v>618972</v>
      </c>
      <c r="G1630" s="13" t="n">
        <v>661254</v>
      </c>
      <c r="H1630" s="14" t="n">
        <v>7688</v>
      </c>
      <c r="I1630" s="14" t="n">
        <v>7039</v>
      </c>
      <c r="J1630" s="15" t="n">
        <f aca="false">I1630/H1630</f>
        <v>0.915582726326743</v>
      </c>
      <c r="K1630" s="16" t="n">
        <f aca="false">ROUND(I1630*J1630^($F$8-1),0)</f>
        <v>7184</v>
      </c>
      <c r="L1630" s="16" t="n">
        <f aca="false">ROUND(I1630*J1630^($F$9-1),0)</f>
        <v>7071</v>
      </c>
      <c r="M1630" s="17" t="n">
        <f aca="false">G1630*$F$7</f>
        <v>636987.456439526</v>
      </c>
      <c r="N1630" s="18" t="n">
        <f aca="false">F1630/K1630</f>
        <v>86.1597995545657</v>
      </c>
      <c r="O1630" s="18" t="n">
        <f aca="false">G1630/L1630</f>
        <v>93.5163343232923</v>
      </c>
      <c r="P1630" s="18" t="n">
        <f aca="false">M1630/L1630</f>
        <v>90.084493910271</v>
      </c>
      <c r="Q1630" s="19" t="n">
        <f aca="false">IF(N1630=0,"n.a.",P1630/N1630-1)</f>
        <v>0.045551340369818</v>
      </c>
    </row>
    <row r="1631" customFormat="false" ht="15" hidden="false" customHeight="false" outlineLevel="0" collapsed="false">
      <c r="A1631" s="12" t="s">
        <v>3808</v>
      </c>
      <c r="B1631" s="12" t="s">
        <v>3706</v>
      </c>
      <c r="C1631" s="12" t="s">
        <v>3707</v>
      </c>
      <c r="D1631" s="12" t="s">
        <v>352</v>
      </c>
      <c r="E1631" s="12" t="s">
        <v>3809</v>
      </c>
      <c r="F1631" s="13" t="n">
        <v>275994</v>
      </c>
      <c r="G1631" s="13" t="n">
        <v>304557</v>
      </c>
      <c r="H1631" s="14" t="n">
        <v>5689</v>
      </c>
      <c r="I1631" s="14" t="n">
        <v>6071</v>
      </c>
      <c r="J1631" s="15" t="n">
        <f aca="false">I1631/H1631</f>
        <v>1.06714712603269</v>
      </c>
      <c r="K1631" s="16" t="n">
        <f aca="false">ROUND(I1631*J1631^($F$8-1),0)</f>
        <v>5981</v>
      </c>
      <c r="L1631" s="16" t="n">
        <f aca="false">ROUND(I1631*J1631^($F$9-1),0)</f>
        <v>6051</v>
      </c>
      <c r="M1631" s="17" t="n">
        <f aca="false">G1631*$F$7</f>
        <v>293380.438940033</v>
      </c>
      <c r="N1631" s="18" t="n">
        <f aca="false">F1631/K1631</f>
        <v>46.1451262330714</v>
      </c>
      <c r="O1631" s="18" t="n">
        <f aca="false">G1631/L1631</f>
        <v>50.3316807139316</v>
      </c>
      <c r="P1631" s="18" t="n">
        <f aca="false">M1631/L1631</f>
        <v>48.4846205486752</v>
      </c>
      <c r="Q1631" s="19" t="n">
        <f aca="false">IF(N1631=0,"n.a.",P1631/N1631-1)</f>
        <v>0.0506986220773862</v>
      </c>
    </row>
    <row r="1632" customFormat="false" ht="15" hidden="false" customHeight="false" outlineLevel="0" collapsed="false">
      <c r="A1632" s="12" t="s">
        <v>3810</v>
      </c>
      <c r="B1632" s="12" t="s">
        <v>3706</v>
      </c>
      <c r="C1632" s="12" t="s">
        <v>3707</v>
      </c>
      <c r="D1632" s="12" t="s">
        <v>355</v>
      </c>
      <c r="E1632" s="12" t="s">
        <v>3811</v>
      </c>
      <c r="F1632" s="13" t="n">
        <v>190912</v>
      </c>
      <c r="G1632" s="13" t="n">
        <v>176824</v>
      </c>
      <c r="H1632" s="14" t="n">
        <v>3077</v>
      </c>
      <c r="I1632" s="14" t="n">
        <v>3059</v>
      </c>
      <c r="J1632" s="15" t="n">
        <f aca="false">I1632/H1632</f>
        <v>0.994150146246344</v>
      </c>
      <c r="K1632" s="16" t="n">
        <f aca="false">ROUND(I1632*J1632^($F$8-1),0)</f>
        <v>3063</v>
      </c>
      <c r="L1632" s="16" t="n">
        <f aca="false">ROUND(I1632*J1632^($F$9-1),0)</f>
        <v>3060</v>
      </c>
      <c r="M1632" s="17" t="n">
        <f aca="false">G1632*$F$7</f>
        <v>170334.954491712</v>
      </c>
      <c r="N1632" s="18" t="n">
        <f aca="false">F1632/K1632</f>
        <v>62.3284361736859</v>
      </c>
      <c r="O1632" s="18" t="n">
        <f aca="false">G1632/L1632</f>
        <v>57.7856209150327</v>
      </c>
      <c r="P1632" s="18" t="n">
        <f aca="false">M1632/L1632</f>
        <v>55.6650178077492</v>
      </c>
      <c r="Q1632" s="19" t="n">
        <f aca="false">IF(N1632=0,"n.a.",P1632/N1632-1)</f>
        <v>-0.106908159020199</v>
      </c>
    </row>
    <row r="1633" customFormat="false" ht="15" hidden="false" customHeight="false" outlineLevel="0" collapsed="false">
      <c r="A1633" s="12" t="s">
        <v>3812</v>
      </c>
      <c r="B1633" s="12" t="s">
        <v>3706</v>
      </c>
      <c r="C1633" s="12" t="s">
        <v>3707</v>
      </c>
      <c r="D1633" s="12" t="s">
        <v>358</v>
      </c>
      <c r="E1633" s="12" t="s">
        <v>3813</v>
      </c>
      <c r="F1633" s="13" t="n">
        <v>166032</v>
      </c>
      <c r="G1633" s="13" t="n">
        <v>182202</v>
      </c>
      <c r="H1633" s="14" t="n">
        <v>7952</v>
      </c>
      <c r="I1633" s="14" t="n">
        <v>7975</v>
      </c>
      <c r="J1633" s="15" t="n">
        <f aca="false">I1633/H1633</f>
        <v>1.00289235412475</v>
      </c>
      <c r="K1633" s="16" t="n">
        <f aca="false">ROUND(I1633*J1633^($F$8-1),0)</f>
        <v>7970</v>
      </c>
      <c r="L1633" s="16" t="n">
        <f aca="false">ROUND(I1633*J1633^($F$9-1),0)</f>
        <v>7974</v>
      </c>
      <c r="M1633" s="17" t="n">
        <f aca="false">G1633*$F$7</f>
        <v>175515.593914282</v>
      </c>
      <c r="N1633" s="18" t="n">
        <f aca="false">F1633/K1633</f>
        <v>20.8321204516939</v>
      </c>
      <c r="O1633" s="18" t="n">
        <f aca="false">G1633/L1633</f>
        <v>22.849510910459</v>
      </c>
      <c r="P1633" s="18" t="n">
        <f aca="false">M1633/L1633</f>
        <v>22.0109849403414</v>
      </c>
      <c r="Q1633" s="19" t="n">
        <f aca="false">IF(N1633=0,"n.a.",P1633/N1633-1)</f>
        <v>0.0565887899592881</v>
      </c>
    </row>
    <row r="1634" customFormat="false" ht="15" hidden="false" customHeight="false" outlineLevel="0" collapsed="false">
      <c r="A1634" s="12" t="s">
        <v>3814</v>
      </c>
      <c r="B1634" s="12" t="s">
        <v>3706</v>
      </c>
      <c r="C1634" s="12" t="s">
        <v>3707</v>
      </c>
      <c r="D1634" s="12" t="s">
        <v>361</v>
      </c>
      <c r="E1634" s="12" t="s">
        <v>3815</v>
      </c>
      <c r="F1634" s="13" t="n">
        <v>112307</v>
      </c>
      <c r="G1634" s="13" t="n">
        <v>132344</v>
      </c>
      <c r="H1634" s="14" t="n">
        <v>4636</v>
      </c>
      <c r="I1634" s="14" t="n">
        <v>4581</v>
      </c>
      <c r="J1634" s="15" t="n">
        <f aca="false">I1634/H1634</f>
        <v>0.988136324417601</v>
      </c>
      <c r="K1634" s="16" t="n">
        <f aca="false">ROUND(I1634*J1634^($F$8-1),0)</f>
        <v>4594</v>
      </c>
      <c r="L1634" s="16" t="n">
        <f aca="false">ROUND(I1634*J1634^($F$9-1),0)</f>
        <v>4584</v>
      </c>
      <c r="M1634" s="17" t="n">
        <f aca="false">G1634*$F$7</f>
        <v>127487.271056255</v>
      </c>
      <c r="N1634" s="18" t="n">
        <f aca="false">F1634/K1634</f>
        <v>24.4464518937745</v>
      </c>
      <c r="O1634" s="18" t="n">
        <f aca="false">G1634/L1634</f>
        <v>28.8708551483421</v>
      </c>
      <c r="P1634" s="18" t="n">
        <f aca="false">M1634/L1634</f>
        <v>27.8113593054657</v>
      </c>
      <c r="Q1634" s="19" t="n">
        <f aca="false">IF(N1634=0,"n.a.",P1634/N1634-1)</f>
        <v>0.137643999477409</v>
      </c>
    </row>
    <row r="1635" customFormat="false" ht="15" hidden="false" customHeight="false" outlineLevel="0" collapsed="false">
      <c r="A1635" s="12" t="s">
        <v>3816</v>
      </c>
      <c r="B1635" s="12" t="s">
        <v>3706</v>
      </c>
      <c r="C1635" s="12" t="s">
        <v>3707</v>
      </c>
      <c r="D1635" s="12" t="s">
        <v>364</v>
      </c>
      <c r="E1635" s="12" t="s">
        <v>3817</v>
      </c>
      <c r="F1635" s="13" t="n">
        <v>300376</v>
      </c>
      <c r="G1635" s="13" t="n">
        <v>435628</v>
      </c>
      <c r="H1635" s="14" t="n">
        <v>9463</v>
      </c>
      <c r="I1635" s="14" t="n">
        <v>10100</v>
      </c>
      <c r="J1635" s="15" t="n">
        <f aca="false">I1635/H1635</f>
        <v>1.06731480503012</v>
      </c>
      <c r="K1635" s="16" t="n">
        <f aca="false">ROUND(I1635*J1635^($F$8-1),0)</f>
        <v>9949</v>
      </c>
      <c r="L1635" s="16" t="n">
        <f aca="false">ROUND(I1635*J1635^($F$9-1),0)</f>
        <v>10066</v>
      </c>
      <c r="M1635" s="17" t="n">
        <f aca="false">G1635*$F$7</f>
        <v>419641.426250485</v>
      </c>
      <c r="N1635" s="18" t="n">
        <f aca="false">F1635/K1635</f>
        <v>30.1915770429189</v>
      </c>
      <c r="O1635" s="18" t="n">
        <f aca="false">G1635/L1635</f>
        <v>43.2771706735545</v>
      </c>
      <c r="P1635" s="18" t="n">
        <f aca="false">M1635/L1635</f>
        <v>41.6889952563565</v>
      </c>
      <c r="Q1635" s="19" t="n">
        <f aca="false">IF(N1635=0,"n.a.",P1635/N1635-1)</f>
        <v>0.380815424020198</v>
      </c>
    </row>
    <row r="1636" customFormat="false" ht="15" hidden="false" customHeight="false" outlineLevel="0" collapsed="false">
      <c r="A1636" s="12" t="s">
        <v>3818</v>
      </c>
      <c r="B1636" s="12" t="s">
        <v>3706</v>
      </c>
      <c r="C1636" s="12" t="s">
        <v>3707</v>
      </c>
      <c r="D1636" s="12" t="s">
        <v>367</v>
      </c>
      <c r="E1636" s="12" t="s">
        <v>3819</v>
      </c>
      <c r="F1636" s="13" t="n">
        <v>312952</v>
      </c>
      <c r="G1636" s="13" t="n">
        <v>445164</v>
      </c>
      <c r="H1636" s="14" t="n">
        <v>7750</v>
      </c>
      <c r="I1636" s="14" t="n">
        <v>8721</v>
      </c>
      <c r="J1636" s="15" t="n">
        <f aca="false">I1636/H1636</f>
        <v>1.12529032258065</v>
      </c>
      <c r="K1636" s="16" t="n">
        <f aca="false">ROUND(I1636*J1636^($F$8-1),0)</f>
        <v>8487</v>
      </c>
      <c r="L1636" s="16" t="n">
        <f aca="false">ROUND(I1636*J1636^($F$9-1),0)</f>
        <v>8668</v>
      </c>
      <c r="M1636" s="17" t="n">
        <f aca="false">G1636*$F$7</f>
        <v>428827.476368302</v>
      </c>
      <c r="N1636" s="18" t="n">
        <f aca="false">F1636/K1636</f>
        <v>36.8742783080005</v>
      </c>
      <c r="O1636" s="18" t="n">
        <f aca="false">G1636/L1636</f>
        <v>51.3571758191048</v>
      </c>
      <c r="P1636" s="18" t="n">
        <f aca="false">M1636/L1636</f>
        <v>49.4724822759924</v>
      </c>
      <c r="Q1636" s="19" t="n">
        <f aca="false">IF(N1636=0,"n.a.",P1636/N1636-1)</f>
        <v>0.341652895895689</v>
      </c>
    </row>
    <row r="1637" customFormat="false" ht="15" hidden="false" customHeight="false" outlineLevel="0" collapsed="false">
      <c r="A1637" s="12" t="s">
        <v>3820</v>
      </c>
      <c r="B1637" s="12" t="s">
        <v>3706</v>
      </c>
      <c r="C1637" s="12" t="s">
        <v>3707</v>
      </c>
      <c r="D1637" s="12" t="s">
        <v>370</v>
      </c>
      <c r="E1637" s="12" t="s">
        <v>3821</v>
      </c>
      <c r="F1637" s="13" t="n">
        <v>463681</v>
      </c>
      <c r="G1637" s="13" t="n">
        <v>616542</v>
      </c>
      <c r="H1637" s="14" t="n">
        <v>5443</v>
      </c>
      <c r="I1637" s="14" t="n">
        <v>5525</v>
      </c>
      <c r="J1637" s="15" t="n">
        <f aca="false">I1637/H1637</f>
        <v>1.01506522138527</v>
      </c>
      <c r="K1637" s="16" t="n">
        <f aca="false">ROUND(I1637*J1637^($F$8-1),0)</f>
        <v>5506</v>
      </c>
      <c r="L1637" s="16" t="n">
        <f aca="false">ROUND(I1637*J1637^($F$9-1),0)</f>
        <v>5521</v>
      </c>
      <c r="M1637" s="17" t="n">
        <f aca="false">G1637*$F$7</f>
        <v>593916.286885431</v>
      </c>
      <c r="N1637" s="18" t="n">
        <f aca="false">F1637/K1637</f>
        <v>84.2137667998547</v>
      </c>
      <c r="O1637" s="18" t="n">
        <f aca="false">G1637/L1637</f>
        <v>111.672160840427</v>
      </c>
      <c r="P1637" s="18" t="n">
        <f aca="false">M1637/L1637</f>
        <v>107.574042181748</v>
      </c>
      <c r="Q1637" s="19" t="n">
        <f aca="false">IF(N1637=0,"n.a.",P1637/N1637-1)</f>
        <v>0.277392595885327</v>
      </c>
    </row>
    <row r="1638" customFormat="false" ht="15" hidden="false" customHeight="false" outlineLevel="0" collapsed="false">
      <c r="A1638" s="12" t="s">
        <v>3822</v>
      </c>
      <c r="B1638" s="12" t="s">
        <v>3823</v>
      </c>
      <c r="C1638" s="12" t="s">
        <v>3824</v>
      </c>
      <c r="D1638" s="12" t="s">
        <v>51</v>
      </c>
      <c r="E1638" s="12" t="s">
        <v>3825</v>
      </c>
      <c r="F1638" s="13" t="n">
        <v>14664176</v>
      </c>
      <c r="G1638" s="13" t="n">
        <v>15974580</v>
      </c>
      <c r="H1638" s="14" t="n">
        <v>80252</v>
      </c>
      <c r="I1638" s="14" t="n">
        <v>78231</v>
      </c>
      <c r="J1638" s="15" t="n">
        <f aca="false">I1638/H1638</f>
        <v>0.974816826994966</v>
      </c>
      <c r="K1638" s="16" t="n">
        <f aca="false">ROUND(I1638*J1638^($F$8-1),0)</f>
        <v>78693</v>
      </c>
      <c r="L1638" s="16" t="n">
        <f aca="false">ROUND(I1638*J1638^($F$9-1),0)</f>
        <v>78335</v>
      </c>
      <c r="M1638" s="17" t="n">
        <f aca="false">G1638*$F$7</f>
        <v>15388348.6253236</v>
      </c>
      <c r="N1638" s="18" t="n">
        <f aca="false">F1638/K1638</f>
        <v>186.346638201619</v>
      </c>
      <c r="O1638" s="18" t="n">
        <f aca="false">G1638/L1638</f>
        <v>203.926469649582</v>
      </c>
      <c r="P1638" s="18" t="n">
        <f aca="false">M1638/L1638</f>
        <v>196.44282409298</v>
      </c>
      <c r="Q1638" s="19" t="n">
        <f aca="false">IF(N1638=0,"n.a.",P1638/N1638-1)</f>
        <v>0.0541795977045612</v>
      </c>
    </row>
    <row r="1639" customFormat="false" ht="15" hidden="false" customHeight="false" outlineLevel="0" collapsed="false">
      <c r="A1639" s="12" t="s">
        <v>3826</v>
      </c>
      <c r="B1639" s="12" t="s">
        <v>3823</v>
      </c>
      <c r="C1639" s="12" t="s">
        <v>3824</v>
      </c>
      <c r="D1639" s="12" t="s">
        <v>205</v>
      </c>
      <c r="E1639" s="12" t="s">
        <v>3827</v>
      </c>
      <c r="F1639" s="13" t="n">
        <v>207279279</v>
      </c>
      <c r="G1639" s="13" t="n">
        <v>234716765</v>
      </c>
      <c r="H1639" s="14" t="n">
        <v>144232</v>
      </c>
      <c r="I1639" s="14" t="n">
        <v>151126</v>
      </c>
      <c r="J1639" s="15" t="n">
        <f aca="false">I1639/H1639</f>
        <v>1.0477979921238</v>
      </c>
      <c r="K1639" s="16" t="n">
        <f aca="false">ROUND(I1639*J1639^($F$8-1),0)</f>
        <v>149506</v>
      </c>
      <c r="L1639" s="16" t="n">
        <f aca="false">ROUND(I1639*J1639^($F$9-1),0)</f>
        <v>150760</v>
      </c>
      <c r="M1639" s="17" t="n">
        <f aca="false">G1639*$F$7</f>
        <v>226103184.436032</v>
      </c>
      <c r="N1639" s="18" t="n">
        <f aca="false">F1639/K1639</f>
        <v>1386.42782898345</v>
      </c>
      <c r="O1639" s="18" t="n">
        <f aca="false">G1639/L1639</f>
        <v>1556.89018970549</v>
      </c>
      <c r="P1639" s="18" t="n">
        <f aca="false">M1639/L1639</f>
        <v>1499.75580018594</v>
      </c>
      <c r="Q1639" s="19" t="n">
        <f aca="false">IF(N1639=0,"n.a.",P1639/N1639-1)</f>
        <v>0.0817409812709695</v>
      </c>
    </row>
    <row r="1640" customFormat="false" ht="15" hidden="false" customHeight="false" outlineLevel="0" collapsed="false">
      <c r="A1640" s="12" t="s">
        <v>3828</v>
      </c>
      <c r="B1640" s="12" t="s">
        <v>3823</v>
      </c>
      <c r="C1640" s="12" t="s">
        <v>3824</v>
      </c>
      <c r="D1640" s="12" t="s">
        <v>235</v>
      </c>
      <c r="E1640" s="12" t="s">
        <v>3012</v>
      </c>
      <c r="F1640" s="13" t="n">
        <v>32305354</v>
      </c>
      <c r="G1640" s="13" t="n">
        <v>36984161</v>
      </c>
      <c r="H1640" s="14" t="n">
        <v>92971</v>
      </c>
      <c r="I1640" s="14" t="n">
        <v>94976</v>
      </c>
      <c r="J1640" s="15" t="n">
        <f aca="false">I1640/H1640</f>
        <v>1.02156586462445</v>
      </c>
      <c r="K1640" s="16" t="n">
        <f aca="false">ROUND(I1640*J1640^($F$8-1),0)</f>
        <v>94509</v>
      </c>
      <c r="L1640" s="16" t="n">
        <f aca="false">ROUND(I1640*J1640^($F$9-1),0)</f>
        <v>94871</v>
      </c>
      <c r="M1640" s="17" t="n">
        <f aca="false">G1640*$F$7</f>
        <v>35626924.9697392</v>
      </c>
      <c r="N1640" s="18" t="n">
        <f aca="false">F1640/K1640</f>
        <v>341.823043308045</v>
      </c>
      <c r="O1640" s="18" t="n">
        <f aca="false">G1640/L1640</f>
        <v>389.836314574528</v>
      </c>
      <c r="P1640" s="18" t="n">
        <f aca="false">M1640/L1640</f>
        <v>375.530193312384</v>
      </c>
      <c r="Q1640" s="19" t="n">
        <f aca="false">IF(N1640=0,"n.a.",P1640/N1640-1)</f>
        <v>0.0986099406234682</v>
      </c>
    </row>
    <row r="1641" customFormat="false" ht="15" hidden="false" customHeight="false" outlineLevel="0" collapsed="false">
      <c r="A1641" s="12" t="s">
        <v>3829</v>
      </c>
      <c r="B1641" s="12" t="s">
        <v>3823</v>
      </c>
      <c r="C1641" s="12" t="s">
        <v>3824</v>
      </c>
      <c r="D1641" s="12" t="s">
        <v>317</v>
      </c>
      <c r="E1641" s="12" t="s">
        <v>3830</v>
      </c>
      <c r="F1641" s="13" t="n">
        <v>267493573</v>
      </c>
      <c r="G1641" s="13" t="n">
        <v>237117778</v>
      </c>
      <c r="H1641" s="14" t="n">
        <v>309069</v>
      </c>
      <c r="I1641" s="14" t="n">
        <v>294091</v>
      </c>
      <c r="J1641" s="15" t="n">
        <f aca="false">I1641/H1641</f>
        <v>0.951538329628659</v>
      </c>
      <c r="K1641" s="16" t="n">
        <f aca="false">ROUND(I1641*J1641^($F$8-1),0)</f>
        <v>297483</v>
      </c>
      <c r="L1641" s="16" t="n">
        <f aca="false">ROUND(I1641*J1641^($F$9-1),0)</f>
        <v>294851</v>
      </c>
      <c r="M1641" s="17" t="n">
        <f aca="false">G1641*$F$7</f>
        <v>228416085.626419</v>
      </c>
      <c r="N1641" s="18" t="n">
        <f aca="false">F1641/K1641</f>
        <v>899.189442758074</v>
      </c>
      <c r="O1641" s="18" t="n">
        <f aca="false">G1641/L1641</f>
        <v>804.19526472693</v>
      </c>
      <c r="P1641" s="18" t="n">
        <f aca="false">M1641/L1641</f>
        <v>774.683096297518</v>
      </c>
      <c r="Q1641" s="19" t="n">
        <f aca="false">IF(N1641=0,"n.a.",P1641/N1641-1)</f>
        <v>-0.138465089268241</v>
      </c>
    </row>
    <row r="1642" customFormat="false" ht="15" hidden="false" customHeight="false" outlineLevel="0" collapsed="false">
      <c r="A1642" s="12" t="s">
        <v>3831</v>
      </c>
      <c r="B1642" s="12" t="s">
        <v>3823</v>
      </c>
      <c r="C1642" s="12" t="s">
        <v>3824</v>
      </c>
      <c r="D1642" s="12" t="s">
        <v>329</v>
      </c>
      <c r="E1642" s="12" t="s">
        <v>3832</v>
      </c>
      <c r="F1642" s="13" t="n">
        <v>72578375</v>
      </c>
      <c r="G1642" s="13" t="n">
        <v>76318673</v>
      </c>
      <c r="H1642" s="14" t="n">
        <v>204334</v>
      </c>
      <c r="I1642" s="14" t="n">
        <v>206082</v>
      </c>
      <c r="J1642" s="15" t="n">
        <f aca="false">I1642/H1642</f>
        <v>1.00855462135523</v>
      </c>
      <c r="K1642" s="16" t="n">
        <f aca="false">ROUND(I1642*J1642^($F$8-1),0)</f>
        <v>205677</v>
      </c>
      <c r="L1642" s="16" t="n">
        <f aca="false">ROUND(I1642*J1642^($F$9-1),0)</f>
        <v>205991</v>
      </c>
      <c r="M1642" s="17" t="n">
        <f aca="false">G1642*$F$7</f>
        <v>73517948.3120102</v>
      </c>
      <c r="N1642" s="18" t="n">
        <f aca="false">F1642/K1642</f>
        <v>352.875503823957</v>
      </c>
      <c r="O1642" s="18" t="n">
        <f aca="false">G1642/L1642</f>
        <v>370.495181828332</v>
      </c>
      <c r="P1642" s="18" t="n">
        <f aca="false">M1642/L1642</f>
        <v>356.898836900691</v>
      </c>
      <c r="Q1642" s="19" t="n">
        <f aca="false">IF(N1642=0,"n.a.",P1642/N1642-1)</f>
        <v>0.0114015652351454</v>
      </c>
    </row>
    <row r="1643" customFormat="false" ht="15" hidden="false" customHeight="false" outlineLevel="0" collapsed="false">
      <c r="A1643" s="12" t="s">
        <v>3833</v>
      </c>
      <c r="B1643" s="12" t="s">
        <v>3823</v>
      </c>
      <c r="C1643" s="12" t="s">
        <v>3824</v>
      </c>
      <c r="D1643" s="12" t="s">
        <v>338</v>
      </c>
      <c r="E1643" s="12" t="s">
        <v>3834</v>
      </c>
      <c r="F1643" s="13" t="n">
        <v>32975603</v>
      </c>
      <c r="G1643" s="13" t="n">
        <v>40770841</v>
      </c>
      <c r="H1643" s="14" t="n">
        <v>130874</v>
      </c>
      <c r="I1643" s="14" t="n">
        <v>116215</v>
      </c>
      <c r="J1643" s="15" t="n">
        <f aca="false">I1643/H1643</f>
        <v>0.887991503277962</v>
      </c>
      <c r="K1643" s="16" t="n">
        <f aca="false">ROUND(I1643*J1643^($F$8-1),0)</f>
        <v>119447</v>
      </c>
      <c r="L1643" s="16" t="n">
        <f aca="false">ROUND(I1643*J1643^($F$9-1),0)</f>
        <v>116935</v>
      </c>
      <c r="M1643" s="17" t="n">
        <f aca="false">G1643*$F$7</f>
        <v>39274642.2788979</v>
      </c>
      <c r="N1643" s="18" t="n">
        <f aca="false">F1643/K1643</f>
        <v>276.068909223338</v>
      </c>
      <c r="O1643" s="18" t="n">
        <f aca="false">G1643/L1643</f>
        <v>348.662427844529</v>
      </c>
      <c r="P1643" s="18" t="n">
        <f aca="false">M1643/L1643</f>
        <v>335.867296180766</v>
      </c>
      <c r="Q1643" s="19" t="n">
        <f aca="false">IF(N1643=0,"n.a.",P1643/N1643-1)</f>
        <v>0.216606741866221</v>
      </c>
    </row>
    <row r="1644" customFormat="false" ht="15" hidden="false" customHeight="false" outlineLevel="0" collapsed="false">
      <c r="A1644" s="12" t="s">
        <v>3835</v>
      </c>
      <c r="B1644" s="12" t="s">
        <v>3823</v>
      </c>
      <c r="C1644" s="12" t="s">
        <v>3824</v>
      </c>
      <c r="D1644" s="12" t="s">
        <v>373</v>
      </c>
      <c r="E1644" s="12" t="s">
        <v>3836</v>
      </c>
      <c r="F1644" s="13" t="n">
        <v>10178329</v>
      </c>
      <c r="G1644" s="13" t="n">
        <v>10109362</v>
      </c>
      <c r="H1644" s="14" t="n">
        <v>81075</v>
      </c>
      <c r="I1644" s="14" t="n">
        <v>74061</v>
      </c>
      <c r="J1644" s="15" t="n">
        <f aca="false">I1644/H1644</f>
        <v>0.913487511563367</v>
      </c>
      <c r="K1644" s="16" t="n">
        <f aca="false">ROUND(I1644*J1644^($F$8-1),0)</f>
        <v>75625</v>
      </c>
      <c r="L1644" s="16" t="n">
        <f aca="false">ROUND(I1644*J1644^($F$9-1),0)</f>
        <v>74410</v>
      </c>
      <c r="M1644" s="17" t="n">
        <f aca="false">G1644*$F$7</f>
        <v>9738371.01417368</v>
      </c>
      <c r="N1644" s="18" t="n">
        <f aca="false">F1644/K1644</f>
        <v>134.589474380165</v>
      </c>
      <c r="O1644" s="18" t="n">
        <f aca="false">G1644/L1644</f>
        <v>135.860260717645</v>
      </c>
      <c r="P1644" s="18" t="n">
        <f aca="false">M1644/L1644</f>
        <v>130.874492866197</v>
      </c>
      <c r="Q1644" s="19" t="n">
        <f aca="false">IF(N1644=0,"n.a.",P1644/N1644-1)</f>
        <v>-0.0276023183170724</v>
      </c>
    </row>
    <row r="1645" customFormat="false" ht="15" hidden="false" customHeight="false" outlineLevel="0" collapsed="false">
      <c r="A1645" s="12" t="s">
        <v>3837</v>
      </c>
      <c r="B1645" s="12" t="s">
        <v>3823</v>
      </c>
      <c r="C1645" s="12" t="s">
        <v>3824</v>
      </c>
      <c r="D1645" s="12" t="s">
        <v>424</v>
      </c>
      <c r="E1645" s="12" t="s">
        <v>3838</v>
      </c>
      <c r="F1645" s="13" t="n">
        <v>17177543</v>
      </c>
      <c r="G1645" s="13" t="n">
        <v>25193591</v>
      </c>
      <c r="H1645" s="14" t="n">
        <v>73986</v>
      </c>
      <c r="I1645" s="14" t="n">
        <v>80053</v>
      </c>
      <c r="J1645" s="15" t="n">
        <f aca="false">I1645/H1645</f>
        <v>1.08200200037845</v>
      </c>
      <c r="K1645" s="16" t="n">
        <f aca="false">ROUND(I1645*J1645^($F$8-1),0)</f>
        <v>78609</v>
      </c>
      <c r="L1645" s="16" t="n">
        <f aca="false">ROUND(I1645*J1645^($F$9-1),0)</f>
        <v>79726</v>
      </c>
      <c r="M1645" s="17" t="n">
        <f aca="false">G1645*$F$7</f>
        <v>24269042.5308093</v>
      </c>
      <c r="N1645" s="18" t="n">
        <f aca="false">F1645/K1645</f>
        <v>218.518782836571</v>
      </c>
      <c r="O1645" s="18" t="n">
        <f aca="false">G1645/L1645</f>
        <v>316.002195017936</v>
      </c>
      <c r="P1645" s="18" t="n">
        <f aca="false">M1645/L1645</f>
        <v>304.405620886653</v>
      </c>
      <c r="Q1645" s="19" t="n">
        <f aca="false">IF(N1645=0,"n.a.",P1645/N1645-1)</f>
        <v>0.393040986844211</v>
      </c>
    </row>
    <row r="1646" customFormat="false" ht="15" hidden="false" customHeight="false" outlineLevel="0" collapsed="false">
      <c r="A1646" s="12" t="s">
        <v>3839</v>
      </c>
      <c r="B1646" s="12" t="s">
        <v>3823</v>
      </c>
      <c r="C1646" s="12" t="s">
        <v>3824</v>
      </c>
      <c r="D1646" s="12" t="s">
        <v>430</v>
      </c>
      <c r="E1646" s="12" t="s">
        <v>3840</v>
      </c>
      <c r="F1646" s="13" t="n">
        <v>268836028</v>
      </c>
      <c r="G1646" s="13" t="n">
        <v>282250582</v>
      </c>
      <c r="H1646" s="14" t="n">
        <v>487890</v>
      </c>
      <c r="I1646" s="14" t="n">
        <v>486341</v>
      </c>
      <c r="J1646" s="15" t="n">
        <f aca="false">I1646/H1646</f>
        <v>0.996825104019349</v>
      </c>
      <c r="K1646" s="16" t="n">
        <f aca="false">ROUND(I1646*J1646^($F$8-1),0)</f>
        <v>486698</v>
      </c>
      <c r="L1646" s="16" t="n">
        <f aca="false">ROUND(I1646*J1646^($F$9-1),0)</f>
        <v>486421</v>
      </c>
      <c r="M1646" s="17" t="n">
        <f aca="false">G1646*$F$7</f>
        <v>271892616.614427</v>
      </c>
      <c r="N1646" s="18" t="n">
        <f aca="false">F1646/K1646</f>
        <v>552.367233890421</v>
      </c>
      <c r="O1646" s="18" t="n">
        <f aca="false">G1646/L1646</f>
        <v>580.259861313554</v>
      </c>
      <c r="P1646" s="18" t="n">
        <f aca="false">M1646/L1646</f>
        <v>558.965621579715</v>
      </c>
      <c r="Q1646" s="19" t="n">
        <f aca="false">IF(N1646=0,"n.a.",P1646/N1646-1)</f>
        <v>0.0119456536964015</v>
      </c>
    </row>
    <row r="1647" customFormat="false" ht="15" hidden="false" customHeight="false" outlineLevel="0" collapsed="false">
      <c r="A1647" s="12" t="s">
        <v>3841</v>
      </c>
      <c r="B1647" s="12" t="s">
        <v>3823</v>
      </c>
      <c r="C1647" s="12" t="s">
        <v>3824</v>
      </c>
      <c r="D1647" s="12" t="s">
        <v>469</v>
      </c>
      <c r="E1647" s="12" t="s">
        <v>3842</v>
      </c>
      <c r="F1647" s="13" t="n">
        <v>22920287</v>
      </c>
      <c r="G1647" s="13" t="n">
        <v>21956492</v>
      </c>
      <c r="H1647" s="14" t="n">
        <v>108776</v>
      </c>
      <c r="I1647" s="14" t="n">
        <v>105019</v>
      </c>
      <c r="J1647" s="15" t="n">
        <f aca="false">I1647/H1647</f>
        <v>0.965461131131867</v>
      </c>
      <c r="K1647" s="16" t="n">
        <f aca="false">ROUND(I1647*J1647^($F$8-1),0)</f>
        <v>105875</v>
      </c>
      <c r="L1647" s="16" t="n">
        <f aca="false">ROUND(I1647*J1647^($F$9-1),0)</f>
        <v>105211</v>
      </c>
      <c r="M1647" s="17" t="n">
        <f aca="false">G1647*$F$7</f>
        <v>21150737.827544</v>
      </c>
      <c r="N1647" s="18" t="n">
        <f aca="false">F1647/K1647</f>
        <v>216.484410861865</v>
      </c>
      <c r="O1647" s="18" t="n">
        <f aca="false">G1647/L1647</f>
        <v>208.690079934608</v>
      </c>
      <c r="P1647" s="18" t="n">
        <f aca="false">M1647/L1647</f>
        <v>201.031620529641</v>
      </c>
      <c r="Q1647" s="19" t="n">
        <f aca="false">IF(N1647=0,"n.a.",P1647/N1647-1)</f>
        <v>-0.0713806147551412</v>
      </c>
    </row>
    <row r="1648" customFormat="false" ht="15" hidden="false" customHeight="false" outlineLevel="0" collapsed="false">
      <c r="A1648" s="12" t="s">
        <v>3843</v>
      </c>
      <c r="B1648" s="12" t="s">
        <v>3823</v>
      </c>
      <c r="C1648" s="12" t="s">
        <v>3824</v>
      </c>
      <c r="D1648" s="12" t="s">
        <v>817</v>
      </c>
      <c r="E1648" s="12" t="s">
        <v>253</v>
      </c>
      <c r="F1648" s="13" t="n">
        <v>71782981</v>
      </c>
      <c r="G1648" s="13" t="n">
        <v>67480895</v>
      </c>
      <c r="H1648" s="14" t="n">
        <v>144742</v>
      </c>
      <c r="I1648" s="14" t="n">
        <v>137955</v>
      </c>
      <c r="J1648" s="15" t="n">
        <f aca="false">I1648/H1648</f>
        <v>0.953109671000815</v>
      </c>
      <c r="K1648" s="16" t="n">
        <f aca="false">ROUND(I1648*J1648^($F$8-1),0)</f>
        <v>139493</v>
      </c>
      <c r="L1648" s="16" t="n">
        <f aca="false">ROUND(I1648*J1648^($F$9-1),0)</f>
        <v>138300</v>
      </c>
      <c r="M1648" s="17" t="n">
        <f aca="false">G1648*$F$7</f>
        <v>65004497.0076744</v>
      </c>
      <c r="N1648" s="18" t="n">
        <f aca="false">F1648/K1648</f>
        <v>514.599162681998</v>
      </c>
      <c r="O1648" s="18" t="n">
        <f aca="false">G1648/L1648</f>
        <v>487.931272595806</v>
      </c>
      <c r="P1648" s="18" t="n">
        <f aca="false">M1648/L1648</f>
        <v>470.025285666482</v>
      </c>
      <c r="Q1648" s="19" t="n">
        <f aca="false">IF(N1648=0,"n.a.",P1648/N1648-1)</f>
        <v>-0.0866186349453144</v>
      </c>
    </row>
    <row r="1649" customFormat="false" ht="15" hidden="false" customHeight="false" outlineLevel="0" collapsed="false">
      <c r="A1649" s="12" t="s">
        <v>3844</v>
      </c>
      <c r="B1649" s="12" t="s">
        <v>3823</v>
      </c>
      <c r="C1649" s="12" t="s">
        <v>3824</v>
      </c>
      <c r="D1649" s="12" t="s">
        <v>508</v>
      </c>
      <c r="E1649" s="12" t="s">
        <v>3845</v>
      </c>
      <c r="F1649" s="13" t="n">
        <v>80983458</v>
      </c>
      <c r="G1649" s="13" t="n">
        <v>83397309</v>
      </c>
      <c r="H1649" s="14" t="n">
        <v>122685</v>
      </c>
      <c r="I1649" s="14" t="n">
        <v>116851</v>
      </c>
      <c r="J1649" s="15" t="n">
        <f aca="false">I1649/H1649</f>
        <v>0.952447324448792</v>
      </c>
      <c r="K1649" s="16" t="n">
        <f aca="false">ROUND(I1649*J1649^($F$8-1),0)</f>
        <v>118173</v>
      </c>
      <c r="L1649" s="16" t="n">
        <f aca="false">ROUND(I1649*J1649^($F$9-1),0)</f>
        <v>117147</v>
      </c>
      <c r="M1649" s="17" t="n">
        <f aca="false">G1649*$F$7</f>
        <v>80336814.1951674</v>
      </c>
      <c r="N1649" s="18" t="n">
        <f aca="false">F1649/K1649</f>
        <v>685.295778223452</v>
      </c>
      <c r="O1649" s="18" t="n">
        <f aca="false">G1649/L1649</f>
        <v>711.903070501165</v>
      </c>
      <c r="P1649" s="18" t="n">
        <f aca="false">M1649/L1649</f>
        <v>685.777819279772</v>
      </c>
      <c r="Q1649" s="19" t="n">
        <f aca="false">IF(N1649=0,"n.a.",P1649/N1649-1)</f>
        <v>0.00070340584552997</v>
      </c>
    </row>
    <row r="1650" customFormat="false" ht="15" hidden="false" customHeight="false" outlineLevel="0" collapsed="false">
      <c r="A1650" s="12" t="s">
        <v>3846</v>
      </c>
      <c r="B1650" s="12" t="s">
        <v>3823</v>
      </c>
      <c r="C1650" s="12" t="s">
        <v>3824</v>
      </c>
      <c r="D1650" s="12" t="s">
        <v>520</v>
      </c>
      <c r="E1650" s="12" t="s">
        <v>3847</v>
      </c>
      <c r="F1650" s="13" t="n">
        <v>16548127</v>
      </c>
      <c r="G1650" s="13" t="n">
        <v>17652357</v>
      </c>
      <c r="H1650" s="14" t="n">
        <v>96040</v>
      </c>
      <c r="I1650" s="14" t="n">
        <v>92178</v>
      </c>
      <c r="J1650" s="15" t="n">
        <f aca="false">I1650/H1650</f>
        <v>0.95978758850479</v>
      </c>
      <c r="K1650" s="16" t="n">
        <f aca="false">ROUND(I1650*J1650^($F$8-1),0)</f>
        <v>93056</v>
      </c>
      <c r="L1650" s="16" t="n">
        <f aca="false">ROUND(I1650*J1650^($F$9-1),0)</f>
        <v>92375</v>
      </c>
      <c r="M1650" s="17" t="n">
        <f aca="false">G1650*$F$7</f>
        <v>17004554.9601098</v>
      </c>
      <c r="N1650" s="18" t="n">
        <f aca="false">F1650/K1650</f>
        <v>177.829769171252</v>
      </c>
      <c r="O1650" s="18" t="n">
        <f aca="false">G1650/L1650</f>
        <v>191.094527740189</v>
      </c>
      <c r="P1650" s="18" t="n">
        <f aca="false">M1650/L1650</f>
        <v>184.081785765736</v>
      </c>
      <c r="Q1650" s="19" t="n">
        <f aca="false">IF(N1650=0,"n.a.",P1650/N1650-1)</f>
        <v>0.0351573115323747</v>
      </c>
    </row>
    <row r="1651" customFormat="false" ht="15" hidden="false" customHeight="false" outlineLevel="0" collapsed="false">
      <c r="A1651" s="12" t="s">
        <v>3848</v>
      </c>
      <c r="B1651" s="12" t="s">
        <v>3823</v>
      </c>
      <c r="C1651" s="12" t="s">
        <v>3824</v>
      </c>
      <c r="D1651" s="12" t="s">
        <v>830</v>
      </c>
      <c r="E1651" s="12" t="s">
        <v>3849</v>
      </c>
      <c r="F1651" s="13" t="n">
        <v>37102398</v>
      </c>
      <c r="G1651" s="13" t="n">
        <v>35943166</v>
      </c>
      <c r="H1651" s="14" t="n">
        <v>159501</v>
      </c>
      <c r="I1651" s="14" t="n">
        <v>157597</v>
      </c>
      <c r="J1651" s="15" t="n">
        <f aca="false">I1651/H1651</f>
        <v>0.988062770766328</v>
      </c>
      <c r="K1651" s="16" t="n">
        <f aca="false">ROUND(I1651*J1651^($F$8-1),0)</f>
        <v>158035</v>
      </c>
      <c r="L1651" s="16" t="n">
        <f aca="false">ROUND(I1651*J1651^($F$9-1),0)</f>
        <v>157695</v>
      </c>
      <c r="M1651" s="17" t="n">
        <f aca="false">G1651*$F$7</f>
        <v>34624132.1590851</v>
      </c>
      <c r="N1651" s="18" t="n">
        <f aca="false">F1651/K1651</f>
        <v>234.77329705445</v>
      </c>
      <c r="O1651" s="18" t="n">
        <f aca="false">G1651/L1651</f>
        <v>227.928380734963</v>
      </c>
      <c r="P1651" s="18" t="n">
        <f aca="false">M1651/L1651</f>
        <v>219.563918698025</v>
      </c>
      <c r="Q1651" s="19" t="n">
        <f aca="false">IF(N1651=0,"n.a.",P1651/N1651-1)</f>
        <v>-0.06478325494103</v>
      </c>
    </row>
    <row r="1652" customFormat="false" ht="15" hidden="false" customHeight="false" outlineLevel="0" collapsed="false">
      <c r="A1652" s="12" t="s">
        <v>3850</v>
      </c>
      <c r="B1652" s="12" t="s">
        <v>3823</v>
      </c>
      <c r="C1652" s="12" t="s">
        <v>3824</v>
      </c>
      <c r="D1652" s="12" t="s">
        <v>1705</v>
      </c>
      <c r="E1652" s="12" t="s">
        <v>3851</v>
      </c>
      <c r="F1652" s="13" t="n">
        <v>59155856</v>
      </c>
      <c r="G1652" s="13" t="n">
        <v>55642140</v>
      </c>
      <c r="H1652" s="14" t="n">
        <v>188963</v>
      </c>
      <c r="I1652" s="14" t="n">
        <v>153528</v>
      </c>
      <c r="J1652" s="15" t="n">
        <f aca="false">I1652/H1652</f>
        <v>0.812476516566735</v>
      </c>
      <c r="K1652" s="16" t="n">
        <f aca="false">ROUND(I1652*J1652^($F$8-1),0)</f>
        <v>161069</v>
      </c>
      <c r="L1652" s="16" t="n">
        <f aca="false">ROUND(I1652*J1652^($F$9-1),0)</f>
        <v>155194</v>
      </c>
      <c r="M1652" s="17" t="n">
        <f aca="false">G1652*$F$7</f>
        <v>53600197.8505265</v>
      </c>
      <c r="N1652" s="18" t="n">
        <f aca="false">F1652/K1652</f>
        <v>367.270275472003</v>
      </c>
      <c r="O1652" s="18" t="n">
        <f aca="false">G1652/L1652</f>
        <v>358.532804103251</v>
      </c>
      <c r="P1652" s="18" t="n">
        <f aca="false">M1652/L1652</f>
        <v>345.375451696112</v>
      </c>
      <c r="Q1652" s="19" t="n">
        <f aca="false">IF(N1652=0,"n.a.",P1652/N1652-1)</f>
        <v>-0.0596150171634551</v>
      </c>
    </row>
    <row r="1653" customFormat="false" ht="15" hidden="false" customHeight="false" outlineLevel="0" collapsed="false">
      <c r="A1653" s="12" t="s">
        <v>3852</v>
      </c>
      <c r="B1653" s="12" t="s">
        <v>3823</v>
      </c>
      <c r="C1653" s="12" t="s">
        <v>3824</v>
      </c>
      <c r="D1653" s="12" t="s">
        <v>1735</v>
      </c>
      <c r="E1653" s="12" t="s">
        <v>3853</v>
      </c>
      <c r="F1653" s="13" t="n">
        <v>30214107</v>
      </c>
      <c r="G1653" s="13" t="n">
        <v>35064715</v>
      </c>
      <c r="H1653" s="14" t="n">
        <v>161895</v>
      </c>
      <c r="I1653" s="14" t="n">
        <v>155174</v>
      </c>
      <c r="J1653" s="15" t="n">
        <f aca="false">I1653/H1653</f>
        <v>0.958485438092591</v>
      </c>
      <c r="K1653" s="16" t="n">
        <f aca="false">ROUND(I1653*J1653^($F$8-1),0)</f>
        <v>156701</v>
      </c>
      <c r="L1653" s="16" t="n">
        <f aca="false">ROUND(I1653*J1653^($F$9-1),0)</f>
        <v>155516</v>
      </c>
      <c r="M1653" s="17" t="n">
        <f aca="false">G1653*$F$7</f>
        <v>33777918.3469997</v>
      </c>
      <c r="N1653" s="18" t="n">
        <f aca="false">F1653/K1653</f>
        <v>192.813747200082</v>
      </c>
      <c r="O1653" s="18" t="n">
        <f aca="false">G1653/L1653</f>
        <v>225.473359654312</v>
      </c>
      <c r="P1653" s="18" t="n">
        <f aca="false">M1653/L1653</f>
        <v>217.198991402812</v>
      </c>
      <c r="Q1653" s="19" t="n">
        <f aca="false">IF(N1653=0,"n.a.",P1653/N1653-1)</f>
        <v>0.126470464667779</v>
      </c>
    </row>
    <row r="1654" customFormat="false" ht="15" hidden="false" customHeight="false" outlineLevel="0" collapsed="false">
      <c r="A1654" s="12" t="s">
        <v>3854</v>
      </c>
      <c r="B1654" s="12" t="s">
        <v>3823</v>
      </c>
      <c r="C1654" s="12" t="s">
        <v>3824</v>
      </c>
      <c r="D1654" s="12" t="s">
        <v>1777</v>
      </c>
      <c r="E1654" s="12" t="s">
        <v>3855</v>
      </c>
      <c r="F1654" s="13" t="n">
        <v>8801138</v>
      </c>
      <c r="G1654" s="13" t="n">
        <v>9330798</v>
      </c>
      <c r="H1654" s="14" t="n">
        <v>99604</v>
      </c>
      <c r="I1654" s="14" t="n">
        <v>92737</v>
      </c>
      <c r="J1654" s="15" t="n">
        <f aca="false">I1654/H1654</f>
        <v>0.931056985663226</v>
      </c>
      <c r="K1654" s="16" t="n">
        <f aca="false">ROUND(I1654*J1654^($F$8-1),0)</f>
        <v>94279</v>
      </c>
      <c r="L1654" s="16" t="n">
        <f aca="false">ROUND(I1654*J1654^($F$9-1),0)</f>
        <v>93082</v>
      </c>
      <c r="M1654" s="17" t="n">
        <f aca="false">G1654*$F$7</f>
        <v>8988378.57248655</v>
      </c>
      <c r="N1654" s="18" t="n">
        <f aca="false">F1654/K1654</f>
        <v>93.352050827862</v>
      </c>
      <c r="O1654" s="18" t="n">
        <f aca="false">G1654/L1654</f>
        <v>100.242775187469</v>
      </c>
      <c r="P1654" s="18" t="n">
        <f aca="false">M1654/L1654</f>
        <v>96.5640894317542</v>
      </c>
      <c r="Q1654" s="19" t="n">
        <f aca="false">IF(N1654=0,"n.a.",P1654/N1654-1)</f>
        <v>0.0344077990296661</v>
      </c>
    </row>
    <row r="1655" customFormat="false" ht="15" hidden="false" customHeight="false" outlineLevel="0" collapsed="false">
      <c r="A1655" s="12" t="s">
        <v>3856</v>
      </c>
      <c r="B1655" s="12" t="s">
        <v>3823</v>
      </c>
      <c r="C1655" s="12" t="s">
        <v>3824</v>
      </c>
      <c r="D1655" s="12" t="s">
        <v>3270</v>
      </c>
      <c r="E1655" s="12" t="s">
        <v>712</v>
      </c>
      <c r="F1655" s="13" t="n">
        <v>21239104</v>
      </c>
      <c r="G1655" s="13" t="n">
        <v>24609457</v>
      </c>
      <c r="H1655" s="14" t="n">
        <v>95496</v>
      </c>
      <c r="I1655" s="14" t="n">
        <v>101514</v>
      </c>
      <c r="J1655" s="15" t="n">
        <f aca="false">I1655/H1655</f>
        <v>1.06301834631817</v>
      </c>
      <c r="K1655" s="16" t="n">
        <f aca="false">ROUND(I1655*J1655^($F$8-1),0)</f>
        <v>100092</v>
      </c>
      <c r="L1655" s="16" t="n">
        <f aca="false">ROUND(I1655*J1655^($F$9-1),0)</f>
        <v>101192</v>
      </c>
      <c r="M1655" s="17" t="n">
        <f aca="false">G1655*$F$7</f>
        <v>23706344.9427722</v>
      </c>
      <c r="N1655" s="18" t="n">
        <f aca="false">F1655/K1655</f>
        <v>212.195819845742</v>
      </c>
      <c r="O1655" s="18" t="n">
        <f aca="false">G1655/L1655</f>
        <v>243.195677523915</v>
      </c>
      <c r="P1655" s="18" t="n">
        <f aca="false">M1655/L1655</f>
        <v>234.270939825008</v>
      </c>
      <c r="Q1655" s="19" t="n">
        <f aca="false">IF(N1655=0,"n.a.",P1655/N1655-1)</f>
        <v>0.104031832461704</v>
      </c>
    </row>
    <row r="1656" customFormat="false" ht="15" hidden="false" customHeight="false" outlineLevel="0" collapsed="false">
      <c r="A1656" s="12" t="s">
        <v>3857</v>
      </c>
      <c r="B1656" s="12" t="s">
        <v>3823</v>
      </c>
      <c r="C1656" s="12" t="s">
        <v>3824</v>
      </c>
      <c r="D1656" s="12" t="s">
        <v>1870</v>
      </c>
      <c r="E1656" s="12" t="s">
        <v>818</v>
      </c>
      <c r="F1656" s="13" t="n">
        <v>53562729</v>
      </c>
      <c r="G1656" s="13" t="n">
        <v>54063562</v>
      </c>
      <c r="H1656" s="14" t="n">
        <v>153993</v>
      </c>
      <c r="I1656" s="14" t="n">
        <v>152193</v>
      </c>
      <c r="J1656" s="15" t="n">
        <f aca="false">I1656/H1656</f>
        <v>0.988311157000643</v>
      </c>
      <c r="K1656" s="16" t="n">
        <f aca="false">ROUND(I1656*J1656^($F$8-1),0)</f>
        <v>152607</v>
      </c>
      <c r="L1656" s="16" t="n">
        <f aca="false">ROUND(I1656*J1656^($F$9-1),0)</f>
        <v>152286</v>
      </c>
      <c r="M1656" s="17" t="n">
        <f aca="false">G1656*$F$7</f>
        <v>52079550.1342005</v>
      </c>
      <c r="N1656" s="18" t="n">
        <f aca="false">F1656/K1656</f>
        <v>350.984745129647</v>
      </c>
      <c r="O1656" s="18" t="n">
        <f aca="false">G1656/L1656</f>
        <v>355.013343314553</v>
      </c>
      <c r="P1656" s="18" t="n">
        <f aca="false">M1656/L1656</f>
        <v>341.985147250571</v>
      </c>
      <c r="Q1656" s="19" t="n">
        <f aca="false">IF(N1656=0,"n.a.",P1656/N1656-1)</f>
        <v>-0.0256409943849583</v>
      </c>
    </row>
    <row r="1657" customFormat="false" ht="15" hidden="false" customHeight="false" outlineLevel="0" collapsed="false">
      <c r="A1657" s="12" t="s">
        <v>3858</v>
      </c>
      <c r="B1657" s="12" t="s">
        <v>3823</v>
      </c>
      <c r="C1657" s="12" t="s">
        <v>3824</v>
      </c>
      <c r="D1657" s="12" t="s">
        <v>1882</v>
      </c>
      <c r="E1657" s="12" t="s">
        <v>3859</v>
      </c>
      <c r="F1657" s="13" t="n">
        <v>465530113</v>
      </c>
      <c r="G1657" s="13" t="n">
        <v>496310345</v>
      </c>
      <c r="H1657" s="14" t="n">
        <v>606520</v>
      </c>
      <c r="I1657" s="14" t="n">
        <v>615780</v>
      </c>
      <c r="J1657" s="15" t="n">
        <f aca="false">I1657/H1657</f>
        <v>1.01526742729011</v>
      </c>
      <c r="K1657" s="16" t="n">
        <f aca="false">ROUND(I1657*J1657^($F$8-1),0)</f>
        <v>613630</v>
      </c>
      <c r="L1657" s="16" t="n">
        <f aca="false">ROUND(I1657*J1657^($F$9-1),0)</f>
        <v>615295</v>
      </c>
      <c r="M1657" s="17" t="n">
        <f aca="false">G1657*$F$7</f>
        <v>478096864.844937</v>
      </c>
      <c r="N1657" s="18" t="n">
        <f aca="false">F1657/K1657</f>
        <v>758.649533106269</v>
      </c>
      <c r="O1657" s="18" t="n">
        <f aca="false">G1657/L1657</f>
        <v>806.621774920973</v>
      </c>
      <c r="P1657" s="18" t="n">
        <f aca="false">M1657/L1657</f>
        <v>777.020558991925</v>
      </c>
      <c r="Q1657" s="19" t="n">
        <f aca="false">IF(N1657=0,"n.a.",P1657/N1657-1)</f>
        <v>0.0242154316110055</v>
      </c>
    </row>
    <row r="1658" customFormat="false" ht="15" hidden="false" customHeight="false" outlineLevel="0" collapsed="false">
      <c r="A1658" s="12" t="s">
        <v>3860</v>
      </c>
      <c r="B1658" s="12" t="s">
        <v>3861</v>
      </c>
      <c r="C1658" s="12" t="s">
        <v>3862</v>
      </c>
      <c r="D1658" s="12" t="s">
        <v>340</v>
      </c>
      <c r="E1658" s="12" t="s">
        <v>3863</v>
      </c>
      <c r="F1658" s="13" t="n">
        <v>2382738673</v>
      </c>
      <c r="G1658" s="13" t="n">
        <v>2620854804</v>
      </c>
      <c r="H1658" s="14" t="n">
        <v>992994</v>
      </c>
      <c r="I1658" s="14" t="n">
        <v>1053914</v>
      </c>
      <c r="J1658" s="15" t="n">
        <f aca="false">I1658/H1658</f>
        <v>1.06134981681662</v>
      </c>
      <c r="K1658" s="16" t="n">
        <f aca="false">ROUND(I1658*J1658^($F$8-1),0)</f>
        <v>1039525</v>
      </c>
      <c r="L1658" s="16" t="n">
        <f aca="false">ROUND(I1658*J1658^($F$9-1),0)</f>
        <v>1050658</v>
      </c>
      <c r="M1658" s="17" t="n">
        <f aca="false">G1658*$F$7</f>
        <v>2524675291.63873</v>
      </c>
      <c r="N1658" s="18" t="n">
        <f aca="false">F1658/K1658</f>
        <v>2292.14176955821</v>
      </c>
      <c r="O1658" s="18" t="n">
        <f aca="false">G1658/L1658</f>
        <v>2494.48898119083</v>
      </c>
      <c r="P1658" s="18" t="n">
        <f aca="false">M1658/L1658</f>
        <v>2402.94681203467</v>
      </c>
      <c r="Q1658" s="19" t="n">
        <f aca="false">IF(N1658=0,"n.a.",P1658/N1658-1)</f>
        <v>0.0483412692653025</v>
      </c>
    </row>
    <row r="1659" customFormat="false" ht="15" hidden="false" customHeight="false" outlineLevel="0" collapsed="false">
      <c r="A1659" s="12" t="s">
        <v>3864</v>
      </c>
      <c r="B1659" s="12" t="s">
        <v>3861</v>
      </c>
      <c r="C1659" s="12" t="s">
        <v>3862</v>
      </c>
      <c r="D1659" s="12" t="s">
        <v>451</v>
      </c>
      <c r="E1659" s="12" t="s">
        <v>3865</v>
      </c>
      <c r="F1659" s="13" t="n">
        <v>24816494</v>
      </c>
      <c r="G1659" s="13" t="n">
        <v>29459653</v>
      </c>
      <c r="H1659" s="14" t="n">
        <v>80590</v>
      </c>
      <c r="I1659" s="14" t="n">
        <v>83848</v>
      </c>
      <c r="J1659" s="15" t="n">
        <f aca="false">I1659/H1659</f>
        <v>1.04042685196675</v>
      </c>
      <c r="K1659" s="16" t="n">
        <f aca="false">ROUND(I1659*J1659^($F$8-1),0)</f>
        <v>83084</v>
      </c>
      <c r="L1659" s="16" t="n">
        <f aca="false">ROUND(I1659*J1659^($F$9-1),0)</f>
        <v>83676</v>
      </c>
      <c r="M1659" s="17" t="n">
        <f aca="false">G1659*$F$7</f>
        <v>28378549.5922309</v>
      </c>
      <c r="N1659" s="18" t="n">
        <f aca="false">F1659/K1659</f>
        <v>298.691613307015</v>
      </c>
      <c r="O1659" s="18" t="n">
        <f aca="false">G1659/L1659</f>
        <v>352.068131841866</v>
      </c>
      <c r="P1659" s="18" t="n">
        <f aca="false">M1659/L1659</f>
        <v>339.148018454885</v>
      </c>
      <c r="Q1659" s="19" t="n">
        <f aca="false">IF(N1659=0,"n.a.",P1659/N1659-1)</f>
        <v>0.135445400357747</v>
      </c>
    </row>
    <row r="1660" customFormat="false" ht="15" hidden="false" customHeight="false" outlineLevel="0" collapsed="false">
      <c r="A1660" s="12" t="s">
        <v>3866</v>
      </c>
      <c r="B1660" s="12" t="s">
        <v>3861</v>
      </c>
      <c r="C1660" s="12" t="s">
        <v>3862</v>
      </c>
      <c r="D1660" s="12" t="s">
        <v>469</v>
      </c>
      <c r="E1660" s="12" t="s">
        <v>3867</v>
      </c>
      <c r="F1660" s="13" t="n">
        <v>24424050</v>
      </c>
      <c r="G1660" s="13" t="n">
        <v>27570273</v>
      </c>
      <c r="H1660" s="14" t="n">
        <v>85227</v>
      </c>
      <c r="I1660" s="14" t="n">
        <v>91773</v>
      </c>
      <c r="J1660" s="15" t="n">
        <f aca="false">I1660/H1660</f>
        <v>1.07680664578127</v>
      </c>
      <c r="K1660" s="16" t="n">
        <f aca="false">ROUND(I1660*J1660^($F$8-1),0)</f>
        <v>90218</v>
      </c>
      <c r="L1660" s="16" t="n">
        <f aca="false">ROUND(I1660*J1660^($F$9-1),0)</f>
        <v>91421</v>
      </c>
      <c r="M1660" s="17" t="n">
        <f aca="false">G1660*$F$7</f>
        <v>26558505.6145042</v>
      </c>
      <c r="N1660" s="18" t="n">
        <f aca="false">F1660/K1660</f>
        <v>270.722583076548</v>
      </c>
      <c r="O1660" s="18" t="n">
        <f aca="false">G1660/L1660</f>
        <v>301.574835103532</v>
      </c>
      <c r="P1660" s="18" t="n">
        <f aca="false">M1660/L1660</f>
        <v>290.507712828608</v>
      </c>
      <c r="Q1660" s="19" t="n">
        <f aca="false">IF(N1660=0,"n.a.",P1660/N1660-1)</f>
        <v>0.0730826720372491</v>
      </c>
    </row>
    <row r="1661" customFormat="false" ht="15" hidden="false" customHeight="false" outlineLevel="0" collapsed="false">
      <c r="A1661" s="12" t="s">
        <v>3868</v>
      </c>
      <c r="B1661" s="12" t="s">
        <v>3869</v>
      </c>
      <c r="C1661" s="12" t="s">
        <v>3870</v>
      </c>
      <c r="D1661" s="12" t="s">
        <v>48</v>
      </c>
      <c r="E1661" s="12" t="s">
        <v>3871</v>
      </c>
      <c r="F1661" s="13" t="n">
        <v>1540073</v>
      </c>
      <c r="G1661" s="13" t="n">
        <v>1611464</v>
      </c>
      <c r="H1661" s="14" t="n">
        <v>4942</v>
      </c>
      <c r="I1661" s="14" t="n">
        <v>4756</v>
      </c>
      <c r="J1661" s="15" t="n">
        <f aca="false">I1661/H1661</f>
        <v>0.962363415621206</v>
      </c>
      <c r="K1661" s="16" t="n">
        <f aca="false">ROUND(I1661*J1661^($F$8-1),0)</f>
        <v>4798</v>
      </c>
      <c r="L1661" s="16" t="n">
        <f aca="false">ROUND(I1661*J1661^($F$9-1),0)</f>
        <v>4765</v>
      </c>
      <c r="M1661" s="17" t="n">
        <f aca="false">G1661*$F$7</f>
        <v>1552326.8736429</v>
      </c>
      <c r="N1661" s="18" t="n">
        <f aca="false">F1661/K1661</f>
        <v>320.982284285119</v>
      </c>
      <c r="O1661" s="18" t="n">
        <f aca="false">G1661/L1661</f>
        <v>338.187618048269</v>
      </c>
      <c r="P1661" s="18" t="n">
        <f aca="false">M1661/L1661</f>
        <v>325.776888487493</v>
      </c>
      <c r="Q1661" s="19" t="n">
        <f aca="false">IF(N1661=0,"n.a.",P1661/N1661-1)</f>
        <v>0.0149372860656549</v>
      </c>
    </row>
    <row r="1662" customFormat="false" ht="15" hidden="false" customHeight="false" outlineLevel="0" collapsed="false">
      <c r="A1662" s="12" t="s">
        <v>3872</v>
      </c>
      <c r="B1662" s="12" t="s">
        <v>3869</v>
      </c>
      <c r="C1662" s="12" t="s">
        <v>3870</v>
      </c>
      <c r="D1662" s="12" t="s">
        <v>51</v>
      </c>
      <c r="E1662" s="12" t="s">
        <v>3873</v>
      </c>
      <c r="F1662" s="13" t="n">
        <v>2456532</v>
      </c>
      <c r="G1662" s="13" t="n">
        <v>2982562</v>
      </c>
      <c r="H1662" s="14" t="n">
        <v>2277</v>
      </c>
      <c r="I1662" s="14" t="n">
        <v>2104</v>
      </c>
      <c r="J1662" s="15" t="n">
        <f aca="false">I1662/H1662</f>
        <v>0.924022837066315</v>
      </c>
      <c r="K1662" s="16" t="n">
        <f aca="false">ROUND(I1662*J1662^($F$8-1),0)</f>
        <v>2143</v>
      </c>
      <c r="L1662" s="16" t="n">
        <f aca="false">ROUND(I1662*J1662^($F$9-1),0)</f>
        <v>2113</v>
      </c>
      <c r="M1662" s="17" t="n">
        <f aca="false">G1662*$F$7</f>
        <v>2873108.64214536</v>
      </c>
      <c r="N1662" s="18" t="n">
        <f aca="false">F1662/K1662</f>
        <v>1146.30517965469</v>
      </c>
      <c r="O1662" s="18" t="n">
        <f aca="false">G1662/L1662</f>
        <v>1411.52957879792</v>
      </c>
      <c r="P1662" s="18" t="n">
        <f aca="false">M1662/L1662</f>
        <v>1359.72959874366</v>
      </c>
      <c r="Q1662" s="19" t="n">
        <f aca="false">IF(N1662=0,"n.a.",P1662/N1662-1)</f>
        <v>0.186184641644264</v>
      </c>
    </row>
    <row r="1663" customFormat="false" ht="15" hidden="false" customHeight="false" outlineLevel="0" collapsed="false">
      <c r="A1663" s="12" t="s">
        <v>3874</v>
      </c>
      <c r="B1663" s="12" t="s">
        <v>3869</v>
      </c>
      <c r="C1663" s="12" t="s">
        <v>3870</v>
      </c>
      <c r="D1663" s="12" t="s">
        <v>54</v>
      </c>
      <c r="E1663" s="12" t="s">
        <v>3390</v>
      </c>
      <c r="F1663" s="13" t="n">
        <v>3053476</v>
      </c>
      <c r="G1663" s="13" t="n">
        <v>3462846</v>
      </c>
      <c r="H1663" s="14" t="n">
        <v>4470</v>
      </c>
      <c r="I1663" s="14" t="n">
        <v>4037</v>
      </c>
      <c r="J1663" s="15" t="n">
        <f aca="false">I1663/H1663</f>
        <v>0.903131991051454</v>
      </c>
      <c r="K1663" s="16" t="n">
        <f aca="false">ROUND(I1663*J1663^($F$8-1),0)</f>
        <v>4133</v>
      </c>
      <c r="L1663" s="16" t="n">
        <f aca="false">ROUND(I1663*J1663^($F$9-1),0)</f>
        <v>4058</v>
      </c>
      <c r="M1663" s="17" t="n">
        <f aca="false">G1663*$F$7</f>
        <v>3335767.29302475</v>
      </c>
      <c r="N1663" s="18" t="n">
        <f aca="false">F1663/K1663</f>
        <v>738.803774497943</v>
      </c>
      <c r="O1663" s="18" t="n">
        <f aca="false">G1663/L1663</f>
        <v>853.338097585017</v>
      </c>
      <c r="P1663" s="18" t="n">
        <f aca="false">M1663/L1663</f>
        <v>822.022497048978</v>
      </c>
      <c r="Q1663" s="19" t="n">
        <f aca="false">IF(N1663=0,"n.a.",P1663/N1663-1)</f>
        <v>0.112639817802211</v>
      </c>
    </row>
    <row r="1664" customFormat="false" ht="15" hidden="false" customHeight="false" outlineLevel="0" collapsed="false">
      <c r="A1664" s="12" t="s">
        <v>3875</v>
      </c>
      <c r="B1664" s="12" t="s">
        <v>3869</v>
      </c>
      <c r="C1664" s="12" t="s">
        <v>3870</v>
      </c>
      <c r="D1664" s="12" t="s">
        <v>57</v>
      </c>
      <c r="E1664" s="12" t="s">
        <v>3876</v>
      </c>
      <c r="F1664" s="13" t="n">
        <v>28950752</v>
      </c>
      <c r="G1664" s="13" t="n">
        <v>34453142</v>
      </c>
      <c r="H1664" s="14" t="n">
        <v>45677</v>
      </c>
      <c r="I1664" s="14" t="n">
        <v>48816</v>
      </c>
      <c r="J1664" s="15" t="n">
        <f aca="false">I1664/H1664</f>
        <v>1.06872167611708</v>
      </c>
      <c r="K1664" s="16" t="n">
        <f aca="false">ROUND(I1664*J1664^($F$8-1),0)</f>
        <v>48073</v>
      </c>
      <c r="L1664" s="16" t="n">
        <f aca="false">ROUND(I1664*J1664^($F$9-1),0)</f>
        <v>48648</v>
      </c>
      <c r="M1664" s="17" t="n">
        <f aca="false">G1664*$F$7</f>
        <v>33188788.7089225</v>
      </c>
      <c r="N1664" s="18" t="n">
        <f aca="false">F1664/K1664</f>
        <v>602.224783142304</v>
      </c>
      <c r="O1664" s="18" t="n">
        <f aca="false">G1664/L1664</f>
        <v>708.212917283342</v>
      </c>
      <c r="P1664" s="18" t="n">
        <f aca="false">M1664/L1664</f>
        <v>682.22308643567</v>
      </c>
      <c r="Q1664" s="19" t="n">
        <f aca="false">IF(N1664=0,"n.a.",P1664/N1664-1)</f>
        <v>0.132837946116977</v>
      </c>
    </row>
    <row r="1665" customFormat="false" ht="15" hidden="false" customHeight="false" outlineLevel="0" collapsed="false">
      <c r="A1665" s="12" t="s">
        <v>3877</v>
      </c>
      <c r="B1665" s="12" t="s">
        <v>3869</v>
      </c>
      <c r="C1665" s="12" t="s">
        <v>3870</v>
      </c>
      <c r="D1665" s="12" t="s">
        <v>60</v>
      </c>
      <c r="E1665" s="12" t="s">
        <v>3878</v>
      </c>
      <c r="F1665" s="13" t="n">
        <v>1436648</v>
      </c>
      <c r="G1665" s="13" t="n">
        <v>1464191</v>
      </c>
      <c r="H1665" s="14" t="n">
        <v>8254</v>
      </c>
      <c r="I1665" s="14" t="n">
        <v>8215</v>
      </c>
      <c r="J1665" s="15" t="n">
        <f aca="false">I1665/H1665</f>
        <v>0.995275018173007</v>
      </c>
      <c r="K1665" s="16" t="n">
        <f aca="false">ROUND(I1665*J1665^($F$8-1),0)</f>
        <v>8224</v>
      </c>
      <c r="L1665" s="16" t="n">
        <f aca="false">ROUND(I1665*J1665^($F$9-1),0)</f>
        <v>8217</v>
      </c>
      <c r="M1665" s="17" t="n">
        <f aca="false">G1665*$F$7</f>
        <v>1410458.46351273</v>
      </c>
      <c r="N1665" s="18" t="n">
        <f aca="false">F1665/K1665</f>
        <v>174.689688715953</v>
      </c>
      <c r="O1665" s="18" t="n">
        <f aca="false">G1665/L1665</f>
        <v>178.190458804917</v>
      </c>
      <c r="P1665" s="18" t="n">
        <f aca="false">M1665/L1665</f>
        <v>171.65126731322</v>
      </c>
      <c r="Q1665" s="19" t="n">
        <f aca="false">IF(N1665=0,"n.a.",P1665/N1665-1)</f>
        <v>-0.0173932498538806</v>
      </c>
    </row>
    <row r="1666" customFormat="false" ht="15" hidden="false" customHeight="false" outlineLevel="0" collapsed="false">
      <c r="A1666" s="12" t="s">
        <v>3879</v>
      </c>
      <c r="B1666" s="12" t="s">
        <v>3869</v>
      </c>
      <c r="C1666" s="12" t="s">
        <v>3870</v>
      </c>
      <c r="D1666" s="12" t="s">
        <v>63</v>
      </c>
      <c r="E1666" s="12" t="s">
        <v>3880</v>
      </c>
      <c r="F1666" s="13" t="n">
        <v>7372706</v>
      </c>
      <c r="G1666" s="13" t="n">
        <v>8740527</v>
      </c>
      <c r="H1666" s="14" t="n">
        <v>12051</v>
      </c>
      <c r="I1666" s="14" t="n">
        <v>11099</v>
      </c>
      <c r="J1666" s="15" t="n">
        <f aca="false">I1666/H1666</f>
        <v>0.9210024064393</v>
      </c>
      <c r="K1666" s="16" t="n">
        <f aca="false">ROUND(I1666*J1666^($F$8-1),0)</f>
        <v>11312</v>
      </c>
      <c r="L1666" s="16" t="n">
        <f aca="false">ROUND(I1666*J1666^($F$9-1),0)</f>
        <v>11147</v>
      </c>
      <c r="M1666" s="17" t="n">
        <f aca="false">G1666*$F$7</f>
        <v>8419769.19863018</v>
      </c>
      <c r="N1666" s="18" t="n">
        <f aca="false">F1666/K1666</f>
        <v>651.759724186704</v>
      </c>
      <c r="O1666" s="18" t="n">
        <f aca="false">G1666/L1666</f>
        <v>784.114739391765</v>
      </c>
      <c r="P1666" s="18" t="n">
        <f aca="false">M1666/L1666</f>
        <v>755.33948135195</v>
      </c>
      <c r="Q1666" s="19" t="n">
        <f aca="false">IF(N1666=0,"n.a.",P1666/N1666-1)</f>
        <v>0.158923224804197</v>
      </c>
    </row>
    <row r="1667" customFormat="false" ht="15" hidden="false" customHeight="false" outlineLevel="0" collapsed="false">
      <c r="A1667" s="12" t="s">
        <v>3881</v>
      </c>
      <c r="B1667" s="12" t="s">
        <v>3869</v>
      </c>
      <c r="C1667" s="12" t="s">
        <v>3870</v>
      </c>
      <c r="D1667" s="12" t="s">
        <v>66</v>
      </c>
      <c r="E1667" s="12" t="s">
        <v>247</v>
      </c>
      <c r="F1667" s="13" t="n">
        <v>1738197</v>
      </c>
      <c r="G1667" s="13" t="n">
        <v>1714628</v>
      </c>
      <c r="H1667" s="14" t="n">
        <v>13466</v>
      </c>
      <c r="I1667" s="14" t="n">
        <v>13107</v>
      </c>
      <c r="J1667" s="15" t="n">
        <f aca="false">I1667/H1667</f>
        <v>0.973340264369523</v>
      </c>
      <c r="K1667" s="16" t="n">
        <f aca="false">ROUND(I1667*J1667^($F$8-1),0)</f>
        <v>13189</v>
      </c>
      <c r="L1667" s="16" t="n">
        <f aca="false">ROUND(I1667*J1667^($F$9-1),0)</f>
        <v>13125</v>
      </c>
      <c r="M1667" s="17" t="n">
        <f aca="false">G1667*$F$7</f>
        <v>1651704.98546699</v>
      </c>
      <c r="N1667" s="18" t="n">
        <f aca="false">F1667/K1667</f>
        <v>131.791417089999</v>
      </c>
      <c r="O1667" s="18" t="n">
        <f aca="false">G1667/L1667</f>
        <v>130.638323809524</v>
      </c>
      <c r="P1667" s="18" t="n">
        <f aca="false">M1667/L1667</f>
        <v>125.844189368914</v>
      </c>
      <c r="Q1667" s="19" t="n">
        <f aca="false">IF(N1667=0,"n.a.",P1667/N1667-1)</f>
        <v>-0.0451260624735831</v>
      </c>
    </row>
    <row r="1668" customFormat="false" ht="15" hidden="false" customHeight="false" outlineLevel="0" collapsed="false">
      <c r="A1668" s="12" t="s">
        <v>3882</v>
      </c>
      <c r="B1668" s="12" t="s">
        <v>3869</v>
      </c>
      <c r="C1668" s="12" t="s">
        <v>3870</v>
      </c>
      <c r="D1668" s="12" t="s">
        <v>69</v>
      </c>
      <c r="E1668" s="12" t="s">
        <v>3883</v>
      </c>
      <c r="F1668" s="13" t="n">
        <v>11132764</v>
      </c>
      <c r="G1668" s="13" t="n">
        <v>20955350</v>
      </c>
      <c r="H1668" s="14" t="n">
        <v>10072</v>
      </c>
      <c r="I1668" s="14" t="n">
        <v>10339</v>
      </c>
      <c r="J1668" s="15" t="n">
        <f aca="false">I1668/H1668</f>
        <v>1.02650913423352</v>
      </c>
      <c r="K1668" s="16" t="n">
        <f aca="false">ROUND(I1668*J1668^($F$8-1),0)</f>
        <v>10277</v>
      </c>
      <c r="L1668" s="16" t="n">
        <f aca="false">ROUND(I1668*J1668^($F$9-1),0)</f>
        <v>10325</v>
      </c>
      <c r="M1668" s="17" t="n">
        <f aca="false">G1668*$F$7</f>
        <v>20186335.5008817</v>
      </c>
      <c r="N1668" s="18" t="n">
        <f aca="false">F1668/K1668</f>
        <v>1083.26982582466</v>
      </c>
      <c r="O1668" s="18" t="n">
        <f aca="false">G1668/L1668</f>
        <v>2029.57384987893</v>
      </c>
      <c r="P1668" s="18" t="n">
        <f aca="false">M1668/L1668</f>
        <v>1955.09302671978</v>
      </c>
      <c r="Q1668" s="19" t="n">
        <f aca="false">IF(N1668=0,"n.a.",P1668/N1668-1)</f>
        <v>0.80480705740274</v>
      </c>
    </row>
    <row r="1669" customFormat="false" ht="15" hidden="false" customHeight="false" outlineLevel="0" collapsed="false">
      <c r="A1669" s="12" t="s">
        <v>3884</v>
      </c>
      <c r="B1669" s="12" t="s">
        <v>3869</v>
      </c>
      <c r="C1669" s="12" t="s">
        <v>3870</v>
      </c>
      <c r="D1669" s="12" t="s">
        <v>72</v>
      </c>
      <c r="E1669" s="12" t="s">
        <v>3885</v>
      </c>
      <c r="F1669" s="13" t="n">
        <v>117651331</v>
      </c>
      <c r="G1669" s="13" t="n">
        <v>125095215</v>
      </c>
      <c r="H1669" s="14" t="n">
        <v>239791</v>
      </c>
      <c r="I1669" s="14" t="n">
        <v>246916</v>
      </c>
      <c r="J1669" s="15" t="n">
        <f aca="false">I1669/H1669</f>
        <v>1.02971337539774</v>
      </c>
      <c r="K1669" s="16" t="n">
        <f aca="false">ROUND(I1669*J1669^($F$8-1),0)</f>
        <v>245252</v>
      </c>
      <c r="L1669" s="16" t="n">
        <f aca="false">ROUND(I1669*J1669^($F$9-1),0)</f>
        <v>246541</v>
      </c>
      <c r="M1669" s="17" t="n">
        <f aca="false">G1669*$F$7</f>
        <v>120504500.261028</v>
      </c>
      <c r="N1669" s="18" t="n">
        <f aca="false">F1669/K1669</f>
        <v>479.716092019637</v>
      </c>
      <c r="O1669" s="18" t="n">
        <f aca="false">G1669/L1669</f>
        <v>507.401263887143</v>
      </c>
      <c r="P1669" s="18" t="n">
        <f aca="false">M1669/L1669</f>
        <v>488.780771802774</v>
      </c>
      <c r="Q1669" s="19" t="n">
        <f aca="false">IF(N1669=0,"n.a.",P1669/N1669-1)</f>
        <v>0.0188959260152699</v>
      </c>
    </row>
    <row r="1670" customFormat="false" ht="15" hidden="false" customHeight="false" outlineLevel="0" collapsed="false">
      <c r="A1670" s="12" t="s">
        <v>3886</v>
      </c>
      <c r="B1670" s="12" t="s">
        <v>3869</v>
      </c>
      <c r="C1670" s="12" t="s">
        <v>3870</v>
      </c>
      <c r="D1670" s="12" t="s">
        <v>75</v>
      </c>
      <c r="E1670" s="12" t="s">
        <v>3887</v>
      </c>
      <c r="F1670" s="13" t="n">
        <v>2626287</v>
      </c>
      <c r="G1670" s="13" t="n">
        <v>3011468</v>
      </c>
      <c r="H1670" s="14" t="n">
        <v>3362</v>
      </c>
      <c r="I1670" s="14" t="n">
        <v>3168</v>
      </c>
      <c r="J1670" s="15" t="n">
        <f aca="false">I1670/H1670</f>
        <v>0.942296252230815</v>
      </c>
      <c r="K1670" s="16" t="n">
        <f aca="false">ROUND(I1670*J1670^($F$8-1),0)</f>
        <v>3212</v>
      </c>
      <c r="L1670" s="16" t="n">
        <f aca="false">ROUND(I1670*J1670^($F$9-1),0)</f>
        <v>3178</v>
      </c>
      <c r="M1670" s="17" t="n">
        <f aca="false">G1670*$F$7</f>
        <v>2900953.85656499</v>
      </c>
      <c r="N1670" s="18" t="n">
        <f aca="false">F1670/K1670</f>
        <v>817.648505603985</v>
      </c>
      <c r="O1670" s="18" t="n">
        <f aca="false">G1670/L1670</f>
        <v>947.598489616111</v>
      </c>
      <c r="P1670" s="18" t="n">
        <f aca="false">M1670/L1670</f>
        <v>912.823743412521</v>
      </c>
      <c r="Q1670" s="19" t="n">
        <f aca="false">IF(N1670=0,"n.a.",P1670/N1670-1)</f>
        <v>0.116401164016354</v>
      </c>
    </row>
    <row r="1671" customFormat="false" ht="15" hidden="false" customHeight="false" outlineLevel="0" collapsed="false">
      <c r="A1671" s="12" t="s">
        <v>3888</v>
      </c>
      <c r="B1671" s="12" t="s">
        <v>3869</v>
      </c>
      <c r="C1671" s="12" t="s">
        <v>3870</v>
      </c>
      <c r="D1671" s="12" t="s">
        <v>132</v>
      </c>
      <c r="E1671" s="12" t="s">
        <v>3889</v>
      </c>
      <c r="F1671" s="13" t="n">
        <v>3136148</v>
      </c>
      <c r="G1671" s="13" t="n">
        <v>3317964</v>
      </c>
      <c r="H1671" s="14" t="n">
        <v>6644</v>
      </c>
      <c r="I1671" s="14" t="n">
        <v>6517</v>
      </c>
      <c r="J1671" s="15" t="n">
        <f aca="false">I1671/H1671</f>
        <v>0.980885009030704</v>
      </c>
      <c r="K1671" s="16" t="n">
        <f aca="false">ROUND(I1671*J1671^($F$8-1),0)</f>
        <v>6546</v>
      </c>
      <c r="L1671" s="16" t="n">
        <f aca="false">ROUND(I1671*J1671^($F$9-1),0)</f>
        <v>6524</v>
      </c>
      <c r="M1671" s="17" t="n">
        <f aca="false">G1671*$F$7</f>
        <v>3196202.13853968</v>
      </c>
      <c r="N1671" s="18" t="n">
        <f aca="false">F1671/K1671</f>
        <v>479.093797739077</v>
      </c>
      <c r="O1671" s="18" t="n">
        <f aca="false">G1671/L1671</f>
        <v>508.578172900061</v>
      </c>
      <c r="P1671" s="18" t="n">
        <f aca="false">M1671/L1671</f>
        <v>489.91449088591</v>
      </c>
      <c r="Q1671" s="19" t="n">
        <f aca="false">IF(N1671=0,"n.a.",P1671/N1671-1)</f>
        <v>0.0225857508444018</v>
      </c>
    </row>
    <row r="1672" customFormat="false" ht="15" hidden="false" customHeight="false" outlineLevel="0" collapsed="false">
      <c r="A1672" s="12" t="s">
        <v>3890</v>
      </c>
      <c r="B1672" s="12" t="s">
        <v>3869</v>
      </c>
      <c r="C1672" s="12" t="s">
        <v>3870</v>
      </c>
      <c r="D1672" s="12" t="s">
        <v>163</v>
      </c>
      <c r="E1672" s="12" t="s">
        <v>3891</v>
      </c>
      <c r="F1672" s="13" t="n">
        <v>5635487</v>
      </c>
      <c r="G1672" s="13" t="n">
        <v>8815733</v>
      </c>
      <c r="H1672" s="14" t="n">
        <v>20167</v>
      </c>
      <c r="I1672" s="14" t="n">
        <v>21585</v>
      </c>
      <c r="J1672" s="15" t="n">
        <f aca="false">I1672/H1672</f>
        <v>1.07031288739029</v>
      </c>
      <c r="K1672" s="16" t="n">
        <f aca="false">ROUND(I1672*J1672^($F$8-1),0)</f>
        <v>21249</v>
      </c>
      <c r="L1672" s="16" t="n">
        <f aca="false">ROUND(I1672*J1672^($F$9-1),0)</f>
        <v>21509</v>
      </c>
      <c r="M1672" s="17" t="n">
        <f aca="false">G1672*$F$7</f>
        <v>8492215.3065539</v>
      </c>
      <c r="N1672" s="18" t="n">
        <f aca="false">F1672/K1672</f>
        <v>265.211868793826</v>
      </c>
      <c r="O1672" s="18" t="n">
        <f aca="false">G1672/L1672</f>
        <v>409.862522664931</v>
      </c>
      <c r="P1672" s="18" t="n">
        <f aca="false">M1672/L1672</f>
        <v>394.821484334646</v>
      </c>
      <c r="Q1672" s="19" t="n">
        <f aca="false">IF(N1672=0,"n.a.",P1672/N1672-1)</f>
        <v>0.488702169063099</v>
      </c>
    </row>
    <row r="1673" customFormat="false" ht="15" hidden="false" customHeight="false" outlineLevel="0" collapsed="false">
      <c r="A1673" s="12" t="s">
        <v>3892</v>
      </c>
      <c r="B1673" s="12" t="s">
        <v>3869</v>
      </c>
      <c r="C1673" s="12" t="s">
        <v>3870</v>
      </c>
      <c r="D1673" s="12" t="s">
        <v>166</v>
      </c>
      <c r="E1673" s="12" t="s">
        <v>3893</v>
      </c>
      <c r="F1673" s="13" t="n">
        <v>933404</v>
      </c>
      <c r="G1673" s="13" t="n">
        <v>932399</v>
      </c>
      <c r="H1673" s="14" t="n">
        <v>1579</v>
      </c>
      <c r="I1673" s="14" t="n">
        <v>1487</v>
      </c>
      <c r="J1673" s="15" t="n">
        <f aca="false">I1673/H1673</f>
        <v>0.941735275490817</v>
      </c>
      <c r="K1673" s="16" t="n">
        <f aca="false">ROUND(I1673*J1673^($F$8-1),0)</f>
        <v>1508</v>
      </c>
      <c r="L1673" s="16" t="n">
        <f aca="false">ROUND(I1673*J1673^($F$9-1),0)</f>
        <v>1492</v>
      </c>
      <c r="M1673" s="17" t="n">
        <f aca="false">G1673*$F$7</f>
        <v>898182.04108672</v>
      </c>
      <c r="N1673" s="18" t="n">
        <f aca="false">F1673/K1673</f>
        <v>618.968169761273</v>
      </c>
      <c r="O1673" s="18" t="n">
        <f aca="false">G1673/L1673</f>
        <v>624.932305630027</v>
      </c>
      <c r="P1673" s="18" t="n">
        <f aca="false">M1673/L1673</f>
        <v>601.998687055442</v>
      </c>
      <c r="Q1673" s="19" t="n">
        <f aca="false">IF(N1673=0,"n.a.",P1673/N1673-1)</f>
        <v>-0.027415759864317</v>
      </c>
    </row>
    <row r="1674" customFormat="false" ht="15" hidden="false" customHeight="false" outlineLevel="0" collapsed="false">
      <c r="A1674" s="12" t="s">
        <v>3894</v>
      </c>
      <c r="B1674" s="12" t="s">
        <v>3869</v>
      </c>
      <c r="C1674" s="12" t="s">
        <v>3870</v>
      </c>
      <c r="D1674" s="12" t="s">
        <v>169</v>
      </c>
      <c r="E1674" s="12" t="s">
        <v>3895</v>
      </c>
      <c r="F1674" s="13" t="n">
        <v>3720321</v>
      </c>
      <c r="G1674" s="13" t="n">
        <v>4426439</v>
      </c>
      <c r="H1674" s="14" t="n">
        <v>23523</v>
      </c>
      <c r="I1674" s="14" t="n">
        <v>24020</v>
      </c>
      <c r="J1674" s="15" t="n">
        <f aca="false">I1674/H1674</f>
        <v>1.02112825745016</v>
      </c>
      <c r="K1674" s="16" t="n">
        <f aca="false">ROUND(I1674*J1674^($F$8-1),0)</f>
        <v>23904</v>
      </c>
      <c r="L1674" s="16" t="n">
        <f aca="false">ROUND(I1674*J1674^($F$9-1),0)</f>
        <v>23994</v>
      </c>
      <c r="M1674" s="17" t="n">
        <f aca="false">G1674*$F$7</f>
        <v>4263998.58404595</v>
      </c>
      <c r="N1674" s="18" t="n">
        <f aca="false">F1674/K1674</f>
        <v>155.635918674699</v>
      </c>
      <c r="O1674" s="18" t="n">
        <f aca="false">G1674/L1674</f>
        <v>184.481078602984</v>
      </c>
      <c r="P1674" s="18" t="n">
        <f aca="false">M1674/L1674</f>
        <v>177.711035427438</v>
      </c>
      <c r="Q1674" s="19" t="n">
        <f aca="false">IF(N1674=0,"n.a.",P1674/N1674-1)</f>
        <v>0.141838188386831</v>
      </c>
    </row>
    <row r="1675" customFormat="false" ht="15" hidden="false" customHeight="false" outlineLevel="0" collapsed="false">
      <c r="A1675" s="12" t="s">
        <v>3896</v>
      </c>
      <c r="B1675" s="12" t="s">
        <v>3869</v>
      </c>
      <c r="C1675" s="12" t="s">
        <v>3870</v>
      </c>
      <c r="D1675" s="12" t="s">
        <v>172</v>
      </c>
      <c r="E1675" s="12" t="s">
        <v>577</v>
      </c>
      <c r="F1675" s="13" t="n">
        <v>149004682</v>
      </c>
      <c r="G1675" s="13" t="n">
        <v>172424308</v>
      </c>
      <c r="H1675" s="14" t="n">
        <v>211202</v>
      </c>
      <c r="I1675" s="14" t="n">
        <v>237274</v>
      </c>
      <c r="J1675" s="15" t="n">
        <f aca="false">I1675/H1675</f>
        <v>1.12344580070264</v>
      </c>
      <c r="K1675" s="16" t="n">
        <f aca="false">ROUND(I1675*J1675^($F$8-1),0)</f>
        <v>230982</v>
      </c>
      <c r="L1675" s="16" t="n">
        <f aca="false">ROUND(I1675*J1675^($F$9-1),0)</f>
        <v>235843</v>
      </c>
      <c r="M1675" s="17" t="n">
        <f aca="false">G1675*$F$7</f>
        <v>166096721.35256</v>
      </c>
      <c r="N1675" s="18" t="n">
        <f aca="false">F1675/K1675</f>
        <v>645.092180343057</v>
      </c>
      <c r="O1675" s="18" t="n">
        <f aca="false">G1675/L1675</f>
        <v>731.097840512544</v>
      </c>
      <c r="P1675" s="18" t="n">
        <f aca="false">M1675/L1675</f>
        <v>704.268184141822</v>
      </c>
      <c r="Q1675" s="19" t="n">
        <f aca="false">IF(N1675=0,"n.a.",P1675/N1675-1)</f>
        <v>0.0917326323306154</v>
      </c>
    </row>
    <row r="1676" customFormat="false" ht="15" hidden="false" customHeight="false" outlineLevel="0" collapsed="false">
      <c r="A1676" s="12" t="s">
        <v>3897</v>
      </c>
      <c r="B1676" s="12" t="s">
        <v>3869</v>
      </c>
      <c r="C1676" s="12" t="s">
        <v>3870</v>
      </c>
      <c r="D1676" s="12" t="s">
        <v>175</v>
      </c>
      <c r="E1676" s="12" t="s">
        <v>3898</v>
      </c>
      <c r="F1676" s="13" t="n">
        <v>2229585</v>
      </c>
      <c r="G1676" s="13" t="n">
        <v>2536688</v>
      </c>
      <c r="H1676" s="14" t="n">
        <v>4547</v>
      </c>
      <c r="I1676" s="14" t="n">
        <v>3928</v>
      </c>
      <c r="J1676" s="15" t="n">
        <f aca="false">I1676/H1676</f>
        <v>0.863866285462943</v>
      </c>
      <c r="K1676" s="16" t="n">
        <f aca="false">ROUND(I1676*J1676^($F$8-1),0)</f>
        <v>4063</v>
      </c>
      <c r="L1676" s="16" t="n">
        <f aca="false">ROUND(I1676*J1676^($F$9-1),0)</f>
        <v>3958</v>
      </c>
      <c r="M1676" s="17" t="n">
        <f aca="false">G1676*$F$7</f>
        <v>2443597.22118984</v>
      </c>
      <c r="N1676" s="18" t="n">
        <f aca="false">F1676/K1676</f>
        <v>548.753384198868</v>
      </c>
      <c r="O1676" s="18" t="n">
        <f aca="false">G1676/L1676</f>
        <v>640.901465386559</v>
      </c>
      <c r="P1676" s="18" t="n">
        <f aca="false">M1676/L1676</f>
        <v>617.381814348116</v>
      </c>
      <c r="Q1676" s="19" t="n">
        <f aca="false">IF(N1676=0,"n.a.",P1676/N1676-1)</f>
        <v>0.125062427176536</v>
      </c>
    </row>
    <row r="1677" customFormat="false" ht="15" hidden="false" customHeight="false" outlineLevel="0" collapsed="false">
      <c r="A1677" s="12" t="s">
        <v>3899</v>
      </c>
      <c r="B1677" s="12" t="s">
        <v>3869</v>
      </c>
      <c r="C1677" s="12" t="s">
        <v>3870</v>
      </c>
      <c r="D1677" s="12" t="s">
        <v>181</v>
      </c>
      <c r="E1677" s="12" t="s">
        <v>3900</v>
      </c>
      <c r="F1677" s="13" t="n">
        <v>44629149</v>
      </c>
      <c r="G1677" s="13" t="n">
        <v>48106520</v>
      </c>
      <c r="H1677" s="14" t="n">
        <v>59777</v>
      </c>
      <c r="I1677" s="14" t="n">
        <v>62364</v>
      </c>
      <c r="J1677" s="15" t="n">
        <f aca="false">I1677/H1677</f>
        <v>1.0432775147632</v>
      </c>
      <c r="K1677" s="16" t="n">
        <f aca="false">ROUND(I1677*J1677^($F$8-1),0)</f>
        <v>61757</v>
      </c>
      <c r="L1677" s="16" t="n">
        <f aca="false">ROUND(I1677*J1677^($F$9-1),0)</f>
        <v>62227</v>
      </c>
      <c r="M1677" s="17" t="n">
        <f aca="false">G1677*$F$7</f>
        <v>46341118.2585772</v>
      </c>
      <c r="N1677" s="18" t="n">
        <f aca="false">F1677/K1677</f>
        <v>722.657334391243</v>
      </c>
      <c r="O1677" s="18" t="n">
        <f aca="false">G1677/L1677</f>
        <v>773.081138412586</v>
      </c>
      <c r="P1677" s="18" t="n">
        <f aca="false">M1677/L1677</f>
        <v>744.710788862989</v>
      </c>
      <c r="Q1677" s="19" t="n">
        <f aca="false">IF(N1677=0,"n.a.",P1677/N1677-1)</f>
        <v>0.0305171668814834</v>
      </c>
    </row>
    <row r="1678" customFormat="false" ht="15" hidden="false" customHeight="false" outlineLevel="0" collapsed="false">
      <c r="A1678" s="12" t="s">
        <v>3901</v>
      </c>
      <c r="B1678" s="12" t="s">
        <v>3869</v>
      </c>
      <c r="C1678" s="12" t="s">
        <v>3870</v>
      </c>
      <c r="D1678" s="12" t="s">
        <v>184</v>
      </c>
      <c r="E1678" s="12" t="s">
        <v>3902</v>
      </c>
      <c r="F1678" s="13" t="n">
        <v>1267577</v>
      </c>
      <c r="G1678" s="13" t="n">
        <v>1606439</v>
      </c>
      <c r="H1678" s="14" t="n">
        <v>4441</v>
      </c>
      <c r="I1678" s="14" t="n">
        <v>4091</v>
      </c>
      <c r="J1678" s="15" t="n">
        <f aca="false">I1678/H1678</f>
        <v>0.921188921414096</v>
      </c>
      <c r="K1678" s="16" t="n">
        <f aca="false">ROUND(I1678*J1678^($F$8-1),0)</f>
        <v>4169</v>
      </c>
      <c r="L1678" s="16" t="n">
        <f aca="false">ROUND(I1678*J1678^($F$9-1),0)</f>
        <v>4108</v>
      </c>
      <c r="M1678" s="17" t="n">
        <f aca="false">G1678*$F$7</f>
        <v>1547486.27990947</v>
      </c>
      <c r="N1678" s="18" t="n">
        <f aca="false">F1678/K1678</f>
        <v>304.04821300072</v>
      </c>
      <c r="O1678" s="18" t="n">
        <f aca="false">G1678/L1678</f>
        <v>391.051363193768</v>
      </c>
      <c r="P1678" s="18" t="n">
        <f aca="false">M1678/L1678</f>
        <v>376.700652363551</v>
      </c>
      <c r="Q1678" s="19" t="n">
        <f aca="false">IF(N1678=0,"n.a.",P1678/N1678-1)</f>
        <v>0.238950390945596</v>
      </c>
    </row>
    <row r="1679" customFormat="false" ht="15" hidden="false" customHeight="false" outlineLevel="0" collapsed="false">
      <c r="A1679" s="12" t="s">
        <v>3903</v>
      </c>
      <c r="B1679" s="12" t="s">
        <v>3869</v>
      </c>
      <c r="C1679" s="12" t="s">
        <v>3870</v>
      </c>
      <c r="D1679" s="12" t="s">
        <v>187</v>
      </c>
      <c r="E1679" s="12" t="s">
        <v>3904</v>
      </c>
      <c r="F1679" s="13" t="n">
        <v>7201402</v>
      </c>
      <c r="G1679" s="13" t="n">
        <v>7238685</v>
      </c>
      <c r="H1679" s="14" t="n">
        <v>19731</v>
      </c>
      <c r="I1679" s="14" t="n">
        <v>20798</v>
      </c>
      <c r="J1679" s="15" t="n">
        <f aca="false">I1679/H1679</f>
        <v>1.05407734022604</v>
      </c>
      <c r="K1679" s="16" t="n">
        <f aca="false">ROUND(I1679*J1679^($F$8-1),0)</f>
        <v>20547</v>
      </c>
      <c r="L1679" s="16" t="n">
        <f aca="false">ROUND(I1679*J1679^($F$9-1),0)</f>
        <v>20741</v>
      </c>
      <c r="M1679" s="17" t="n">
        <f aca="false">G1679*$F$7</f>
        <v>6973041.44264829</v>
      </c>
      <c r="N1679" s="18" t="n">
        <f aca="false">F1679/K1679</f>
        <v>350.484352946902</v>
      </c>
      <c r="O1679" s="18" t="n">
        <f aca="false">G1679/L1679</f>
        <v>349.003664239911</v>
      </c>
      <c r="P1679" s="18" t="n">
        <f aca="false">M1679/L1679</f>
        <v>336.196009963275</v>
      </c>
      <c r="Q1679" s="19" t="n">
        <f aca="false">IF(N1679=0,"n.a.",P1679/N1679-1)</f>
        <v>-0.0407674204668181</v>
      </c>
    </row>
    <row r="1680" customFormat="false" ht="15" hidden="false" customHeight="false" outlineLevel="0" collapsed="false">
      <c r="A1680" s="12" t="s">
        <v>3905</v>
      </c>
      <c r="B1680" s="12" t="s">
        <v>3869</v>
      </c>
      <c r="C1680" s="12" t="s">
        <v>3870</v>
      </c>
      <c r="D1680" s="12" t="s">
        <v>190</v>
      </c>
      <c r="E1680" s="12" t="s">
        <v>3906</v>
      </c>
      <c r="F1680" s="13" t="n">
        <v>10728966</v>
      </c>
      <c r="G1680" s="13" t="n">
        <v>10715492</v>
      </c>
      <c r="H1680" s="14" t="n">
        <v>12211</v>
      </c>
      <c r="I1680" s="14" t="n">
        <v>11376</v>
      </c>
      <c r="J1680" s="15" t="n">
        <f aca="false">I1680/H1680</f>
        <v>0.93161903202031</v>
      </c>
      <c r="K1680" s="16" t="n">
        <f aca="false">ROUND(I1680*J1680^($F$8-1),0)</f>
        <v>11564</v>
      </c>
      <c r="L1680" s="16" t="n">
        <f aca="false">ROUND(I1680*J1680^($F$9-1),0)</f>
        <v>11418</v>
      </c>
      <c r="M1680" s="17" t="n">
        <f aca="false">G1680*$F$7</f>
        <v>10322257.398183</v>
      </c>
      <c r="N1680" s="18" t="n">
        <f aca="false">F1680/K1680</f>
        <v>927.790210999654</v>
      </c>
      <c r="O1680" s="18" t="n">
        <f aca="false">G1680/L1680</f>
        <v>938.473638115257</v>
      </c>
      <c r="P1680" s="18" t="n">
        <f aca="false">M1680/L1680</f>
        <v>904.033753563057</v>
      </c>
      <c r="Q1680" s="19" t="n">
        <f aca="false">IF(N1680=0,"n.a.",P1680/N1680-1)</f>
        <v>-0.0256054193663029</v>
      </c>
    </row>
    <row r="1681" customFormat="false" ht="15" hidden="false" customHeight="false" outlineLevel="0" collapsed="false">
      <c r="A1681" s="12" t="s">
        <v>3907</v>
      </c>
      <c r="B1681" s="12" t="s">
        <v>3869</v>
      </c>
      <c r="C1681" s="12" t="s">
        <v>3870</v>
      </c>
      <c r="D1681" s="12" t="s">
        <v>199</v>
      </c>
      <c r="E1681" s="12" t="s">
        <v>3908</v>
      </c>
      <c r="F1681" s="13" t="n">
        <v>81205663</v>
      </c>
      <c r="G1681" s="13" t="n">
        <v>69873492</v>
      </c>
      <c r="H1681" s="14" t="n">
        <v>17759</v>
      </c>
      <c r="I1681" s="14" t="n">
        <v>19336</v>
      </c>
      <c r="J1681" s="15" t="n">
        <f aca="false">I1681/H1681</f>
        <v>1.08880004504758</v>
      </c>
      <c r="K1681" s="16" t="n">
        <f aca="false">ROUND(I1681*J1681^($F$8-1),0)</f>
        <v>18960</v>
      </c>
      <c r="L1681" s="16" t="n">
        <f aca="false">ROUND(I1681*J1681^($F$9-1),0)</f>
        <v>19251</v>
      </c>
      <c r="M1681" s="17" t="n">
        <f aca="false">G1681*$F$7</f>
        <v>67309291.0464475</v>
      </c>
      <c r="N1681" s="18" t="n">
        <f aca="false">F1681/K1681</f>
        <v>4282.99910337553</v>
      </c>
      <c r="O1681" s="18" t="n">
        <f aca="false">G1681/L1681</f>
        <v>3629.60324139006</v>
      </c>
      <c r="P1681" s="18" t="n">
        <f aca="false">M1681/L1681</f>
        <v>3496.40491644317</v>
      </c>
      <c r="Q1681" s="19" t="n">
        <f aca="false">IF(N1681=0,"n.a.",P1681/N1681-1)</f>
        <v>-0.1836549968718</v>
      </c>
    </row>
    <row r="1682" customFormat="false" ht="15" hidden="false" customHeight="false" outlineLevel="0" collapsed="false">
      <c r="A1682" s="12" t="s">
        <v>3909</v>
      </c>
      <c r="B1682" s="12" t="s">
        <v>3869</v>
      </c>
      <c r="C1682" s="12" t="s">
        <v>3870</v>
      </c>
      <c r="D1682" s="12" t="s">
        <v>202</v>
      </c>
      <c r="E1682" s="12" t="s">
        <v>941</v>
      </c>
      <c r="F1682" s="13" t="n">
        <v>128268</v>
      </c>
      <c r="G1682" s="13" t="n">
        <v>219923</v>
      </c>
      <c r="H1682" s="14" t="n">
        <v>2726</v>
      </c>
      <c r="I1682" s="14" t="n">
        <v>2459</v>
      </c>
      <c r="J1682" s="15" t="n">
        <f aca="false">I1682/H1682</f>
        <v>0.902054292002935</v>
      </c>
      <c r="K1682" s="16" t="n">
        <f aca="false">ROUND(I1682*J1682^($F$8-1),0)</f>
        <v>2518</v>
      </c>
      <c r="L1682" s="16" t="n">
        <f aca="false">ROUND(I1682*J1682^($F$9-1),0)</f>
        <v>2472</v>
      </c>
      <c r="M1682" s="17" t="n">
        <f aca="false">G1682*$F$7</f>
        <v>211852.317539932</v>
      </c>
      <c r="N1682" s="18" t="n">
        <f aca="false">F1682/K1682</f>
        <v>50.9404289118348</v>
      </c>
      <c r="O1682" s="18" t="n">
        <f aca="false">G1682/L1682</f>
        <v>88.9656148867314</v>
      </c>
      <c r="P1682" s="18" t="n">
        <f aca="false">M1682/L1682</f>
        <v>85.7007757038559</v>
      </c>
      <c r="Q1682" s="19" t="n">
        <f aca="false">IF(N1682=0,"n.a.",P1682/N1682-1)</f>
        <v>0.68237247966998</v>
      </c>
    </row>
    <row r="1683" customFormat="false" ht="15" hidden="false" customHeight="false" outlineLevel="0" collapsed="false">
      <c r="A1683" s="12" t="s">
        <v>3910</v>
      </c>
      <c r="B1683" s="12" t="s">
        <v>3869</v>
      </c>
      <c r="C1683" s="12" t="s">
        <v>3870</v>
      </c>
      <c r="D1683" s="12" t="s">
        <v>211</v>
      </c>
      <c r="E1683" s="12" t="s">
        <v>3911</v>
      </c>
      <c r="F1683" s="13" t="n">
        <v>2193330</v>
      </c>
      <c r="G1683" s="13" t="n">
        <v>1870716</v>
      </c>
      <c r="H1683" s="14" t="n">
        <v>2446</v>
      </c>
      <c r="I1683" s="14" t="n">
        <v>2378</v>
      </c>
      <c r="J1683" s="15" t="n">
        <f aca="false">I1683/H1683</f>
        <v>0.972199509403107</v>
      </c>
      <c r="K1683" s="16" t="n">
        <f aca="false">ROUND(I1683*J1683^($F$8-1),0)</f>
        <v>2394</v>
      </c>
      <c r="L1683" s="16" t="n">
        <f aca="false">ROUND(I1683*J1683^($F$9-1),0)</f>
        <v>2381</v>
      </c>
      <c r="M1683" s="17" t="n">
        <f aca="false">G1683*$F$7</f>
        <v>1802064.90480318</v>
      </c>
      <c r="N1683" s="18" t="n">
        <f aca="false">F1683/K1683</f>
        <v>916.177944862155</v>
      </c>
      <c r="O1683" s="18" t="n">
        <f aca="false">G1683/L1683</f>
        <v>785.685006299874</v>
      </c>
      <c r="P1683" s="18" t="n">
        <f aca="false">M1683/L1683</f>
        <v>756.852122974878</v>
      </c>
      <c r="Q1683" s="19" t="n">
        <f aca="false">IF(N1683=0,"n.a.",P1683/N1683-1)</f>
        <v>-0.173902703924235</v>
      </c>
    </row>
    <row r="1684" customFormat="false" ht="15" hidden="false" customHeight="false" outlineLevel="0" collapsed="false">
      <c r="A1684" s="12" t="s">
        <v>3912</v>
      </c>
      <c r="B1684" s="12" t="s">
        <v>3869</v>
      </c>
      <c r="C1684" s="12" t="s">
        <v>3870</v>
      </c>
      <c r="D1684" s="12" t="s">
        <v>214</v>
      </c>
      <c r="E1684" s="12" t="s">
        <v>3913</v>
      </c>
      <c r="F1684" s="13" t="n">
        <v>6490999</v>
      </c>
      <c r="G1684" s="13" t="n">
        <v>6894689</v>
      </c>
      <c r="H1684" s="14" t="n">
        <v>8659</v>
      </c>
      <c r="I1684" s="14" t="n">
        <v>9072</v>
      </c>
      <c r="J1684" s="15" t="n">
        <f aca="false">I1684/H1684</f>
        <v>1.04769603880356</v>
      </c>
      <c r="K1684" s="16" t="n">
        <f aca="false">ROUND(I1684*J1684^($F$8-1),0)</f>
        <v>8975</v>
      </c>
      <c r="L1684" s="16" t="n">
        <f aca="false">ROUND(I1684*J1684^($F$9-1),0)</f>
        <v>9050</v>
      </c>
      <c r="M1684" s="17" t="n">
        <f aca="false">G1684*$F$7</f>
        <v>6641669.326842</v>
      </c>
      <c r="N1684" s="18" t="n">
        <f aca="false">F1684/K1684</f>
        <v>723.231086350975</v>
      </c>
      <c r="O1684" s="18" t="n">
        <f aca="false">G1684/L1684</f>
        <v>761.84408839779</v>
      </c>
      <c r="P1684" s="18" t="n">
        <f aca="false">M1684/L1684</f>
        <v>733.886113463205</v>
      </c>
      <c r="Q1684" s="19" t="n">
        <f aca="false">IF(N1684=0,"n.a.",P1684/N1684-1)</f>
        <v>0.0147325347503924</v>
      </c>
    </row>
    <row r="1685" customFormat="false" ht="15" hidden="false" customHeight="false" outlineLevel="0" collapsed="false">
      <c r="A1685" s="12" t="s">
        <v>3914</v>
      </c>
      <c r="B1685" s="12" t="s">
        <v>3869</v>
      </c>
      <c r="C1685" s="12" t="s">
        <v>3870</v>
      </c>
      <c r="D1685" s="12" t="s">
        <v>217</v>
      </c>
      <c r="E1685" s="12" t="s">
        <v>179</v>
      </c>
      <c r="F1685" s="13" t="n">
        <v>8711617</v>
      </c>
      <c r="G1685" s="13" t="n">
        <v>7002774</v>
      </c>
      <c r="H1685" s="14" t="n">
        <v>13207</v>
      </c>
      <c r="I1685" s="14" t="n">
        <v>13505</v>
      </c>
      <c r="J1685" s="15" t="n">
        <f aca="false">I1685/H1685</f>
        <v>1.02256379192852</v>
      </c>
      <c r="K1685" s="16" t="n">
        <f aca="false">ROUND(I1685*J1685^($F$8-1),0)</f>
        <v>13436</v>
      </c>
      <c r="L1685" s="16" t="n">
        <f aca="false">ROUND(I1685*J1685^($F$9-1),0)</f>
        <v>13489</v>
      </c>
      <c r="M1685" s="17" t="n">
        <f aca="false">G1685*$F$7</f>
        <v>6745787.84896704</v>
      </c>
      <c r="N1685" s="18" t="n">
        <f aca="false">F1685/K1685</f>
        <v>648.378758559095</v>
      </c>
      <c r="O1685" s="18" t="n">
        <f aca="false">G1685/L1685</f>
        <v>519.147008673734</v>
      </c>
      <c r="P1685" s="18" t="n">
        <f aca="false">M1685/L1685</f>
        <v>500.095474013421</v>
      </c>
      <c r="Q1685" s="19" t="n">
        <f aca="false">IF(N1685=0,"n.a.",P1685/N1685-1)</f>
        <v>-0.22869855402914</v>
      </c>
    </row>
    <row r="1686" customFormat="false" ht="15" hidden="false" customHeight="false" outlineLevel="0" collapsed="false">
      <c r="A1686" s="12" t="s">
        <v>3915</v>
      </c>
      <c r="B1686" s="12" t="s">
        <v>3869</v>
      </c>
      <c r="C1686" s="12" t="s">
        <v>3870</v>
      </c>
      <c r="D1686" s="12" t="s">
        <v>223</v>
      </c>
      <c r="E1686" s="12" t="s">
        <v>3916</v>
      </c>
      <c r="F1686" s="13" t="n">
        <v>21587928</v>
      </c>
      <c r="G1686" s="13" t="n">
        <v>25328928</v>
      </c>
      <c r="H1686" s="14" t="n">
        <v>27860</v>
      </c>
      <c r="I1686" s="14" t="n">
        <v>26987</v>
      </c>
      <c r="J1686" s="15" t="n">
        <f aca="false">I1686/H1686</f>
        <v>0.968664752333094</v>
      </c>
      <c r="K1686" s="16" t="n">
        <f aca="false">ROUND(I1686*J1686^($F$8-1),0)</f>
        <v>27186</v>
      </c>
      <c r="L1686" s="16" t="n">
        <f aca="false">ROUND(I1686*J1686^($F$9-1),0)</f>
        <v>27032</v>
      </c>
      <c r="M1686" s="17" t="n">
        <f aca="false">G1686*$F$7</f>
        <v>24399412.9654564</v>
      </c>
      <c r="N1686" s="18" t="n">
        <f aca="false">F1686/K1686</f>
        <v>794.082542485103</v>
      </c>
      <c r="O1686" s="18" t="n">
        <f aca="false">G1686/L1686</f>
        <v>936.997928381178</v>
      </c>
      <c r="P1686" s="18" t="n">
        <f aca="false">M1686/L1686</f>
        <v>902.612199077256</v>
      </c>
      <c r="Q1686" s="19" t="n">
        <f aca="false">IF(N1686=0,"n.a.",P1686/N1686-1)</f>
        <v>0.136673016702404</v>
      </c>
    </row>
    <row r="1687" customFormat="false" ht="15" hidden="false" customHeight="false" outlineLevel="0" collapsed="false">
      <c r="A1687" s="12" t="s">
        <v>3917</v>
      </c>
      <c r="B1687" s="12" t="s">
        <v>3869</v>
      </c>
      <c r="C1687" s="12" t="s">
        <v>3870</v>
      </c>
      <c r="D1687" s="12" t="s">
        <v>226</v>
      </c>
      <c r="E1687" s="12" t="s">
        <v>3918</v>
      </c>
      <c r="F1687" s="13" t="n">
        <v>3195932</v>
      </c>
      <c r="G1687" s="13" t="n">
        <v>3656235</v>
      </c>
      <c r="H1687" s="14" t="n">
        <v>16284</v>
      </c>
      <c r="I1687" s="14" t="n">
        <v>15847</v>
      </c>
      <c r="J1687" s="15" t="n">
        <f aca="false">I1687/H1687</f>
        <v>0.97316384180791</v>
      </c>
      <c r="K1687" s="16" t="n">
        <f aca="false">ROUND(I1687*J1687^($F$8-1),0)</f>
        <v>15947</v>
      </c>
      <c r="L1687" s="16" t="n">
        <f aca="false">ROUND(I1687*J1687^($F$9-1),0)</f>
        <v>15869</v>
      </c>
      <c r="M1687" s="17" t="n">
        <f aca="false">G1687*$F$7</f>
        <v>3522059.34904768</v>
      </c>
      <c r="N1687" s="18" t="n">
        <f aca="false">F1687/K1687</f>
        <v>200.4096068226</v>
      </c>
      <c r="O1687" s="18" t="n">
        <f aca="false">G1687/L1687</f>
        <v>230.401096477409</v>
      </c>
      <c r="P1687" s="18" t="n">
        <f aca="false">M1687/L1687</f>
        <v>221.945891300503</v>
      </c>
      <c r="Q1687" s="19" t="n">
        <f aca="false">IF(N1687=0,"n.a.",P1687/N1687-1)</f>
        <v>0.107461337903658</v>
      </c>
    </row>
    <row r="1688" customFormat="false" ht="15" hidden="false" customHeight="false" outlineLevel="0" collapsed="false">
      <c r="A1688" s="12" t="s">
        <v>3919</v>
      </c>
      <c r="B1688" s="12" t="s">
        <v>3869</v>
      </c>
      <c r="C1688" s="12" t="s">
        <v>3870</v>
      </c>
      <c r="D1688" s="12" t="s">
        <v>235</v>
      </c>
      <c r="E1688" s="12" t="s">
        <v>3920</v>
      </c>
      <c r="F1688" s="13" t="n">
        <v>6407494</v>
      </c>
      <c r="G1688" s="13" t="n">
        <v>7580624</v>
      </c>
      <c r="H1688" s="14" t="n">
        <v>72168</v>
      </c>
      <c r="I1688" s="14" t="n">
        <v>75465</v>
      </c>
      <c r="J1688" s="15" t="n">
        <f aca="false">I1688/H1688</f>
        <v>1.04568506817426</v>
      </c>
      <c r="K1688" s="16" t="n">
        <f aca="false">ROUND(I1688*J1688^($F$8-1),0)</f>
        <v>74691</v>
      </c>
      <c r="L1688" s="16" t="n">
        <f aca="false">ROUND(I1688*J1688^($F$9-1),0)</f>
        <v>75290</v>
      </c>
      <c r="M1688" s="17" t="n">
        <f aca="false">G1688*$F$7</f>
        <v>7302432.04575614</v>
      </c>
      <c r="N1688" s="18" t="n">
        <f aca="false">F1688/K1688</f>
        <v>85.786694514734</v>
      </c>
      <c r="O1688" s="18" t="n">
        <f aca="false">G1688/L1688</f>
        <v>100.68566874751</v>
      </c>
      <c r="P1688" s="18" t="n">
        <f aca="false">M1688/L1688</f>
        <v>96.990729788234</v>
      </c>
      <c r="Q1688" s="19" t="n">
        <f aca="false">IF(N1688=0,"n.a.",P1688/N1688-1)</f>
        <v>0.130603415096914</v>
      </c>
    </row>
    <row r="1689" customFormat="false" ht="15" hidden="false" customHeight="false" outlineLevel="0" collapsed="false">
      <c r="A1689" s="12" t="s">
        <v>3921</v>
      </c>
      <c r="B1689" s="12" t="s">
        <v>3869</v>
      </c>
      <c r="C1689" s="12" t="s">
        <v>3870</v>
      </c>
      <c r="D1689" s="12" t="s">
        <v>317</v>
      </c>
      <c r="E1689" s="12" t="s">
        <v>3922</v>
      </c>
      <c r="F1689" s="13" t="n">
        <v>20253800</v>
      </c>
      <c r="G1689" s="13" t="n">
        <v>22719534</v>
      </c>
      <c r="H1689" s="14" t="n">
        <v>64427</v>
      </c>
      <c r="I1689" s="14" t="n">
        <v>67062</v>
      </c>
      <c r="J1689" s="15" t="n">
        <f aca="false">I1689/H1689</f>
        <v>1.04089900197122</v>
      </c>
      <c r="K1689" s="16" t="n">
        <f aca="false">ROUND(I1689*J1689^($F$8-1),0)</f>
        <v>66444</v>
      </c>
      <c r="L1689" s="16" t="n">
        <f aca="false">ROUND(I1689*J1689^($F$9-1),0)</f>
        <v>66922</v>
      </c>
      <c r="M1689" s="17" t="n">
        <f aca="false">G1689*$F$7</f>
        <v>21885777.8919316</v>
      </c>
      <c r="N1689" s="18" t="n">
        <f aca="false">F1689/K1689</f>
        <v>304.825115887063</v>
      </c>
      <c r="O1689" s="18" t="n">
        <f aca="false">G1689/L1689</f>
        <v>339.492752756941</v>
      </c>
      <c r="P1689" s="18" t="n">
        <f aca="false">M1689/L1689</f>
        <v>327.034127669998</v>
      </c>
      <c r="Q1689" s="19" t="n">
        <f aca="false">IF(N1689=0,"n.a.",P1689/N1689-1)</f>
        <v>0.0728582082821665</v>
      </c>
    </row>
    <row r="1690" customFormat="false" ht="15" hidden="false" customHeight="false" outlineLevel="0" collapsed="false">
      <c r="A1690" s="12" t="s">
        <v>3923</v>
      </c>
      <c r="B1690" s="12" t="s">
        <v>3869</v>
      </c>
      <c r="C1690" s="12" t="s">
        <v>3870</v>
      </c>
      <c r="D1690" s="12" t="s">
        <v>320</v>
      </c>
      <c r="E1690" s="12" t="s">
        <v>3924</v>
      </c>
      <c r="F1690" s="13" t="n">
        <v>5569805</v>
      </c>
      <c r="G1690" s="13" t="n">
        <v>6344945</v>
      </c>
      <c r="H1690" s="14" t="n">
        <v>21844</v>
      </c>
      <c r="I1690" s="14" t="n">
        <v>21551</v>
      </c>
      <c r="J1690" s="15" t="n">
        <f aca="false">I1690/H1690</f>
        <v>0.986586705731551</v>
      </c>
      <c r="K1690" s="16" t="n">
        <f aca="false">ROUND(I1690*J1690^($F$8-1),0)</f>
        <v>21618</v>
      </c>
      <c r="L1690" s="16" t="n">
        <f aca="false">ROUND(I1690*J1690^($F$9-1),0)</f>
        <v>21566</v>
      </c>
      <c r="M1690" s="17" t="n">
        <f aca="false">G1690*$F$7</f>
        <v>6112099.70268413</v>
      </c>
      <c r="N1690" s="18" t="n">
        <f aca="false">F1690/K1690</f>
        <v>257.646637061708</v>
      </c>
      <c r="O1690" s="18" t="n">
        <f aca="false">G1690/L1690</f>
        <v>294.21056292312</v>
      </c>
      <c r="P1690" s="18" t="n">
        <f aca="false">M1690/L1690</f>
        <v>283.413692974317</v>
      </c>
      <c r="Q1690" s="19" t="n">
        <f aca="false">IF(N1690=0,"n.a.",P1690/N1690-1)</f>
        <v>0.10000928483471</v>
      </c>
    </row>
    <row r="1691" customFormat="false" ht="15" hidden="false" customHeight="false" outlineLevel="0" collapsed="false">
      <c r="A1691" s="12" t="s">
        <v>3925</v>
      </c>
      <c r="B1691" s="12" t="s">
        <v>3869</v>
      </c>
      <c r="C1691" s="12" t="s">
        <v>3870</v>
      </c>
      <c r="D1691" s="12" t="s">
        <v>323</v>
      </c>
      <c r="E1691" s="12" t="s">
        <v>3926</v>
      </c>
      <c r="F1691" s="13" t="n">
        <v>472581</v>
      </c>
      <c r="G1691" s="13" t="n">
        <v>590100</v>
      </c>
      <c r="H1691" s="14" t="n">
        <v>2509</v>
      </c>
      <c r="I1691" s="14" t="n">
        <v>2139</v>
      </c>
      <c r="J1691" s="15" t="n">
        <f aca="false">I1691/H1691</f>
        <v>0.852530888800319</v>
      </c>
      <c r="K1691" s="16" t="n">
        <f aca="false">ROUND(I1691*J1691^($F$8-1),0)</f>
        <v>2219</v>
      </c>
      <c r="L1691" s="16" t="n">
        <f aca="false">ROUND(I1691*J1691^($F$9-1),0)</f>
        <v>2157</v>
      </c>
      <c r="M1691" s="17" t="n">
        <f aca="false">G1691*$F$7</f>
        <v>568444.649174091</v>
      </c>
      <c r="N1691" s="18" t="n">
        <f aca="false">F1691/K1691</f>
        <v>212.970256872465</v>
      </c>
      <c r="O1691" s="18" t="n">
        <f aca="false">G1691/L1691</f>
        <v>273.574408901252</v>
      </c>
      <c r="P1691" s="18" t="n">
        <f aca="false">M1691/L1691</f>
        <v>263.534839672736</v>
      </c>
      <c r="Q1691" s="19" t="n">
        <f aca="false">IF(N1691=0,"n.a.",P1691/N1691-1)</f>
        <v>0.237425561403867</v>
      </c>
    </row>
    <row r="1692" customFormat="false" ht="15" hidden="false" customHeight="false" outlineLevel="0" collapsed="false">
      <c r="A1692" s="12" t="s">
        <v>3927</v>
      </c>
      <c r="B1692" s="12" t="s">
        <v>3869</v>
      </c>
      <c r="C1692" s="12" t="s">
        <v>3870</v>
      </c>
      <c r="D1692" s="12" t="s">
        <v>326</v>
      </c>
      <c r="E1692" s="12" t="s">
        <v>3928</v>
      </c>
      <c r="F1692" s="13" t="n">
        <v>30054408</v>
      </c>
      <c r="G1692" s="13" t="n">
        <v>31541919</v>
      </c>
      <c r="H1692" s="14" t="n">
        <v>63571</v>
      </c>
      <c r="I1692" s="14" t="n">
        <v>64912</v>
      </c>
      <c r="J1692" s="15" t="n">
        <f aca="false">I1692/H1692</f>
        <v>1.02109452423275</v>
      </c>
      <c r="K1692" s="16" t="n">
        <f aca="false">ROUND(I1692*J1692^($F$8-1),0)</f>
        <v>64600</v>
      </c>
      <c r="L1692" s="16" t="n">
        <f aca="false">ROUND(I1692*J1692^($F$9-1),0)</f>
        <v>64842</v>
      </c>
      <c r="M1692" s="17" t="n">
        <f aca="false">G1692*$F$7</f>
        <v>30384401.0849561</v>
      </c>
      <c r="N1692" s="18" t="n">
        <f aca="false">F1692/K1692</f>
        <v>465.238513931889</v>
      </c>
      <c r="O1692" s="18" t="n">
        <f aca="false">G1692/L1692</f>
        <v>486.442722309614</v>
      </c>
      <c r="P1692" s="18" t="n">
        <f aca="false">M1692/L1692</f>
        <v>468.591361848125</v>
      </c>
      <c r="Q1692" s="19" t="n">
        <f aca="false">IF(N1692=0,"n.a.",P1692/N1692-1)</f>
        <v>0.00720672905581332</v>
      </c>
    </row>
    <row r="1693" customFormat="false" ht="15" hidden="false" customHeight="false" outlineLevel="0" collapsed="false">
      <c r="A1693" s="12" t="s">
        <v>3929</v>
      </c>
      <c r="B1693" s="12" t="s">
        <v>3869</v>
      </c>
      <c r="C1693" s="12" t="s">
        <v>3870</v>
      </c>
      <c r="D1693" s="12" t="s">
        <v>600</v>
      </c>
      <c r="E1693" s="12" t="s">
        <v>3930</v>
      </c>
      <c r="F1693" s="13" t="n">
        <v>953002</v>
      </c>
      <c r="G1693" s="13" t="n">
        <v>964749</v>
      </c>
      <c r="H1693" s="14" t="n">
        <v>1365</v>
      </c>
      <c r="I1693" s="14" t="n">
        <v>1231</v>
      </c>
      <c r="J1693" s="15" t="n">
        <f aca="false">I1693/H1693</f>
        <v>0.901831501831502</v>
      </c>
      <c r="K1693" s="16" t="n">
        <f aca="false">ROUND(I1693*J1693^($F$8-1),0)</f>
        <v>1261</v>
      </c>
      <c r="L1693" s="16" t="n">
        <f aca="false">ROUND(I1693*J1693^($F$9-1),0)</f>
        <v>1238</v>
      </c>
      <c r="M1693" s="17" t="n">
        <f aca="false">G1693*$F$7</f>
        <v>929344.868405449</v>
      </c>
      <c r="N1693" s="18" t="n">
        <f aca="false">F1693/K1693</f>
        <v>755.750991276765</v>
      </c>
      <c r="O1693" s="18" t="n">
        <f aca="false">G1693/L1693</f>
        <v>779.280290791599</v>
      </c>
      <c r="P1693" s="18" t="n">
        <f aca="false">M1693/L1693</f>
        <v>750.682446207955</v>
      </c>
      <c r="Q1693" s="19" t="n">
        <f aca="false">IF(N1693=0,"n.a.",P1693/N1693-1)</f>
        <v>-0.00670663370251934</v>
      </c>
    </row>
    <row r="1694" customFormat="false" ht="15" hidden="false" customHeight="false" outlineLevel="0" collapsed="false">
      <c r="A1694" s="12" t="s">
        <v>3931</v>
      </c>
      <c r="B1694" s="12" t="s">
        <v>3869</v>
      </c>
      <c r="C1694" s="12" t="s">
        <v>3870</v>
      </c>
      <c r="D1694" s="12" t="s">
        <v>329</v>
      </c>
      <c r="E1694" s="12" t="s">
        <v>3598</v>
      </c>
      <c r="F1694" s="13" t="n">
        <v>6902633</v>
      </c>
      <c r="G1694" s="13" t="n">
        <v>6541538</v>
      </c>
      <c r="H1694" s="14" t="n">
        <v>16584</v>
      </c>
      <c r="I1694" s="14" t="n">
        <v>16912</v>
      </c>
      <c r="J1694" s="15" t="n">
        <f aca="false">I1694/H1694</f>
        <v>1.01977809937289</v>
      </c>
      <c r="K1694" s="16" t="n">
        <f aca="false">ROUND(I1694*J1694^($F$8-1),0)</f>
        <v>16836</v>
      </c>
      <c r="L1694" s="16" t="n">
        <f aca="false">ROUND(I1694*J1694^($F$9-1),0)</f>
        <v>16895</v>
      </c>
      <c r="M1694" s="17" t="n">
        <f aca="false">G1694*$F$7</f>
        <v>6301478.17906963</v>
      </c>
      <c r="N1694" s="18" t="n">
        <f aca="false">F1694/K1694</f>
        <v>409.992456640532</v>
      </c>
      <c r="O1694" s="18" t="n">
        <f aca="false">G1694/L1694</f>
        <v>387.187807043504</v>
      </c>
      <c r="P1694" s="18" t="n">
        <f aca="false">M1694/L1694</f>
        <v>372.978880086986</v>
      </c>
      <c r="Q1694" s="19" t="n">
        <f aca="false">IF(N1694=0,"n.a.",P1694/N1694-1)</f>
        <v>-0.0902786769708757</v>
      </c>
    </row>
    <row r="1695" customFormat="false" ht="15" hidden="false" customHeight="false" outlineLevel="0" collapsed="false">
      <c r="A1695" s="12" t="s">
        <v>3932</v>
      </c>
      <c r="B1695" s="12" t="s">
        <v>3869</v>
      </c>
      <c r="C1695" s="12" t="s">
        <v>3870</v>
      </c>
      <c r="D1695" s="12" t="s">
        <v>332</v>
      </c>
      <c r="E1695" s="12" t="s">
        <v>3933</v>
      </c>
      <c r="F1695" s="13" t="n">
        <v>4331446</v>
      </c>
      <c r="G1695" s="13" t="n">
        <v>4297558</v>
      </c>
      <c r="H1695" s="14" t="n">
        <v>8311</v>
      </c>
      <c r="I1695" s="14" t="n">
        <v>7905</v>
      </c>
      <c r="J1695" s="15" t="n">
        <f aca="false">I1695/H1695</f>
        <v>0.951149079533149</v>
      </c>
      <c r="K1695" s="16" t="n">
        <f aca="false">ROUND(I1695*J1695^($F$8-1),0)</f>
        <v>7997</v>
      </c>
      <c r="L1695" s="16" t="n">
        <f aca="false">ROUND(I1695*J1695^($F$9-1),0)</f>
        <v>7926</v>
      </c>
      <c r="M1695" s="17" t="n">
        <f aca="false">G1695*$F$7</f>
        <v>4139847.22863126</v>
      </c>
      <c r="N1695" s="18" t="n">
        <f aca="false">F1695/K1695</f>
        <v>541.633862698512</v>
      </c>
      <c r="O1695" s="18" t="n">
        <f aca="false">G1695/L1695</f>
        <v>542.21019429725</v>
      </c>
      <c r="P1695" s="18" t="n">
        <f aca="false">M1695/L1695</f>
        <v>522.312292282521</v>
      </c>
      <c r="Q1695" s="19" t="n">
        <f aca="false">IF(N1695=0,"n.a.",P1695/N1695-1)</f>
        <v>-0.0356727519208774</v>
      </c>
    </row>
    <row r="1696" customFormat="false" ht="15" hidden="false" customHeight="false" outlineLevel="0" collapsed="false">
      <c r="A1696" s="12" t="s">
        <v>3934</v>
      </c>
      <c r="B1696" s="12" t="s">
        <v>3869</v>
      </c>
      <c r="C1696" s="12" t="s">
        <v>3870</v>
      </c>
      <c r="D1696" s="12" t="s">
        <v>335</v>
      </c>
      <c r="E1696" s="12" t="s">
        <v>3935</v>
      </c>
      <c r="F1696" s="13" t="n">
        <v>3065702</v>
      </c>
      <c r="G1696" s="13" t="n">
        <v>3694708</v>
      </c>
      <c r="H1696" s="14" t="n">
        <v>6485</v>
      </c>
      <c r="I1696" s="14" t="n">
        <v>5872</v>
      </c>
      <c r="J1696" s="15" t="n">
        <f aca="false">I1696/H1696</f>
        <v>0.905474171164225</v>
      </c>
      <c r="K1696" s="16" t="n">
        <f aca="false">ROUND(I1696*J1696^($F$8-1),0)</f>
        <v>6008</v>
      </c>
      <c r="L1696" s="16" t="n">
        <f aca="false">ROUND(I1696*J1696^($F$9-1),0)</f>
        <v>5902</v>
      </c>
      <c r="M1696" s="17" t="n">
        <f aca="false">G1696*$F$7</f>
        <v>3559120.47595443</v>
      </c>
      <c r="N1696" s="18" t="n">
        <f aca="false">F1696/K1696</f>
        <v>510.269973368842</v>
      </c>
      <c r="O1696" s="18" t="n">
        <f aca="false">G1696/L1696</f>
        <v>626.009488309048</v>
      </c>
      <c r="P1696" s="18" t="n">
        <f aca="false">M1696/L1696</f>
        <v>603.036339538195</v>
      </c>
      <c r="Q1696" s="19" t="n">
        <f aca="false">IF(N1696=0,"n.a.",P1696/N1696-1)</f>
        <v>0.181798598802322</v>
      </c>
    </row>
    <row r="1697" customFormat="false" ht="15" hidden="false" customHeight="false" outlineLevel="0" collapsed="false">
      <c r="A1697" s="12" t="s">
        <v>3936</v>
      </c>
      <c r="B1697" s="12" t="s">
        <v>3869</v>
      </c>
      <c r="C1697" s="12" t="s">
        <v>3870</v>
      </c>
      <c r="D1697" s="12" t="s">
        <v>607</v>
      </c>
      <c r="E1697" s="12" t="s">
        <v>3937</v>
      </c>
      <c r="F1697" s="13" t="n">
        <v>4162360</v>
      </c>
      <c r="G1697" s="13" t="n">
        <v>3948079</v>
      </c>
      <c r="H1697" s="14" t="n">
        <v>5341</v>
      </c>
      <c r="I1697" s="14" t="n">
        <v>5277</v>
      </c>
      <c r="J1697" s="15" t="n">
        <f aca="false">I1697/H1697</f>
        <v>0.988017225238719</v>
      </c>
      <c r="K1697" s="16" t="n">
        <f aca="false">ROUND(I1697*J1697^($F$8-1),0)</f>
        <v>5292</v>
      </c>
      <c r="L1697" s="16" t="n">
        <f aca="false">ROUND(I1697*J1697^($F$9-1),0)</f>
        <v>5280</v>
      </c>
      <c r="M1697" s="17" t="n">
        <f aca="false">G1697*$F$7</f>
        <v>3803193.32666768</v>
      </c>
      <c r="N1697" s="18" t="n">
        <f aca="false">F1697/K1697</f>
        <v>786.538170823885</v>
      </c>
      <c r="O1697" s="18" t="n">
        <f aca="false">G1697/L1697</f>
        <v>747.742234848485</v>
      </c>
      <c r="P1697" s="18" t="n">
        <f aca="false">M1697/L1697</f>
        <v>720.301766414333</v>
      </c>
      <c r="Q1697" s="19" t="n">
        <f aca="false">IF(N1697=0,"n.a.",P1697/N1697-1)</f>
        <v>-0.0842125746296212</v>
      </c>
    </row>
    <row r="1698" customFormat="false" ht="15" hidden="false" customHeight="false" outlineLevel="0" collapsed="false">
      <c r="A1698" s="12" t="s">
        <v>3938</v>
      </c>
      <c r="B1698" s="12" t="s">
        <v>3869</v>
      </c>
      <c r="C1698" s="12" t="s">
        <v>3870</v>
      </c>
      <c r="D1698" s="12" t="s">
        <v>612</v>
      </c>
      <c r="E1698" s="12" t="s">
        <v>3939</v>
      </c>
      <c r="F1698" s="13" t="n">
        <v>23062011</v>
      </c>
      <c r="G1698" s="13" t="n">
        <v>24343424</v>
      </c>
      <c r="H1698" s="14" t="n">
        <v>32365</v>
      </c>
      <c r="I1698" s="14" t="n">
        <v>34850</v>
      </c>
      <c r="J1698" s="15" t="n">
        <f aca="false">I1698/H1698</f>
        <v>1.07678047273289</v>
      </c>
      <c r="K1698" s="16" t="n">
        <f aca="false">ROUND(I1698*J1698^($F$8-1),0)</f>
        <v>34260</v>
      </c>
      <c r="L1698" s="16" t="n">
        <f aca="false">ROUND(I1698*J1698^($F$9-1),0)</f>
        <v>34716</v>
      </c>
      <c r="M1698" s="17" t="n">
        <f aca="false">G1698*$F$7</f>
        <v>23450074.7591529</v>
      </c>
      <c r="N1698" s="18" t="n">
        <f aca="false">F1698/K1698</f>
        <v>673.146847635727</v>
      </c>
      <c r="O1698" s="18" t="n">
        <f aca="false">G1698/L1698</f>
        <v>701.216269155433</v>
      </c>
      <c r="P1698" s="18" t="n">
        <f aca="false">M1698/L1698</f>
        <v>675.483199652983</v>
      </c>
      <c r="Q1698" s="19" t="n">
        <f aca="false">IF(N1698=0,"n.a.",P1698/N1698-1)</f>
        <v>0.00347079099525138</v>
      </c>
    </row>
    <row r="1699" customFormat="false" ht="15" hidden="false" customHeight="false" outlineLevel="0" collapsed="false">
      <c r="A1699" s="12" t="s">
        <v>3940</v>
      </c>
      <c r="B1699" s="12" t="s">
        <v>3869</v>
      </c>
      <c r="C1699" s="12" t="s">
        <v>3870</v>
      </c>
      <c r="D1699" s="12" t="s">
        <v>340</v>
      </c>
      <c r="E1699" s="12" t="s">
        <v>3941</v>
      </c>
      <c r="F1699" s="13" t="n">
        <v>3147310</v>
      </c>
      <c r="G1699" s="13" t="n">
        <v>2444512</v>
      </c>
      <c r="H1699" s="14" t="n">
        <v>10276</v>
      </c>
      <c r="I1699" s="14" t="n">
        <v>10633</v>
      </c>
      <c r="J1699" s="15" t="n">
        <f aca="false">I1699/H1699</f>
        <v>1.03474114441417</v>
      </c>
      <c r="K1699" s="16" t="n">
        <f aca="false">ROUND(I1699*J1699^($F$8-1),0)</f>
        <v>10549</v>
      </c>
      <c r="L1699" s="16" t="n">
        <f aca="false">ROUND(I1699*J1699^($F$9-1),0)</f>
        <v>10614</v>
      </c>
      <c r="M1699" s="17" t="n">
        <f aca="false">G1699*$F$7</f>
        <v>2354803.87432953</v>
      </c>
      <c r="N1699" s="18" t="n">
        <f aca="false">F1699/K1699</f>
        <v>298.351502512086</v>
      </c>
      <c r="O1699" s="18" t="n">
        <f aca="false">G1699/L1699</f>
        <v>230.310156397211</v>
      </c>
      <c r="P1699" s="18" t="n">
        <f aca="false">M1699/L1699</f>
        <v>221.858288517951</v>
      </c>
      <c r="Q1699" s="19" t="n">
        <f aca="false">IF(N1699=0,"n.a.",P1699/N1699-1)</f>
        <v>-0.256386220113092</v>
      </c>
    </row>
    <row r="1700" customFormat="false" ht="15" hidden="false" customHeight="false" outlineLevel="0" collapsed="false">
      <c r="A1700" s="12" t="s">
        <v>3942</v>
      </c>
      <c r="B1700" s="12" t="s">
        <v>3869</v>
      </c>
      <c r="C1700" s="12" t="s">
        <v>3870</v>
      </c>
      <c r="D1700" s="12" t="s">
        <v>349</v>
      </c>
      <c r="E1700" s="12" t="s">
        <v>3943</v>
      </c>
      <c r="F1700" s="13" t="n">
        <v>2127014</v>
      </c>
      <c r="G1700" s="13" t="n">
        <v>2321049</v>
      </c>
      <c r="H1700" s="14" t="n">
        <v>13194</v>
      </c>
      <c r="I1700" s="14" t="n">
        <v>14146</v>
      </c>
      <c r="J1700" s="15" t="n">
        <f aca="false">I1700/H1700</f>
        <v>1.07215400939821</v>
      </c>
      <c r="K1700" s="16" t="n">
        <f aca="false">ROUND(I1700*J1700^($F$8-1),0)</f>
        <v>13920</v>
      </c>
      <c r="L1700" s="16" t="n">
        <f aca="false">ROUND(I1700*J1700^($F$9-1),0)</f>
        <v>14095</v>
      </c>
      <c r="M1700" s="17" t="n">
        <f aca="false">G1700*$F$7</f>
        <v>2235871.69042684</v>
      </c>
      <c r="N1700" s="18" t="n">
        <f aca="false">F1700/K1700</f>
        <v>152.802729885057</v>
      </c>
      <c r="O1700" s="18" t="n">
        <f aca="false">G1700/L1700</f>
        <v>164.67179851011</v>
      </c>
      <c r="P1700" s="18" t="n">
        <f aca="false">M1700/L1700</f>
        <v>158.628711630141</v>
      </c>
      <c r="Q1700" s="19" t="n">
        <f aca="false">IF(N1700=0,"n.a.",P1700/N1700-1)</f>
        <v>0.0381274716064683</v>
      </c>
    </row>
    <row r="1701" customFormat="false" ht="15" hidden="false" customHeight="false" outlineLevel="0" collapsed="false">
      <c r="A1701" s="12" t="s">
        <v>3944</v>
      </c>
      <c r="B1701" s="12" t="s">
        <v>3869</v>
      </c>
      <c r="C1701" s="12" t="s">
        <v>3870</v>
      </c>
      <c r="D1701" s="12" t="s">
        <v>352</v>
      </c>
      <c r="E1701" s="12" t="s">
        <v>3586</v>
      </c>
      <c r="F1701" s="13" t="n">
        <v>1897410</v>
      </c>
      <c r="G1701" s="13" t="n">
        <v>2041258</v>
      </c>
      <c r="H1701" s="14" t="n">
        <v>19446</v>
      </c>
      <c r="I1701" s="14" t="n">
        <v>19158</v>
      </c>
      <c r="J1701" s="15" t="n">
        <f aca="false">I1701/H1701</f>
        <v>0.985189756248072</v>
      </c>
      <c r="K1701" s="16" t="n">
        <f aca="false">ROUND(I1701*J1701^($F$8-1),0)</f>
        <v>19224</v>
      </c>
      <c r="L1701" s="16" t="n">
        <f aca="false">ROUND(I1701*J1701^($F$9-1),0)</f>
        <v>19173</v>
      </c>
      <c r="M1701" s="17" t="n">
        <f aca="false">G1701*$F$7</f>
        <v>1966348.39465143</v>
      </c>
      <c r="N1701" s="18" t="n">
        <f aca="false">F1701/K1701</f>
        <v>98.7000624219725</v>
      </c>
      <c r="O1701" s="18" t="n">
        <f aca="false">G1701/L1701</f>
        <v>106.465237573671</v>
      </c>
      <c r="P1701" s="18" t="n">
        <f aca="false">M1701/L1701</f>
        <v>102.558201358756</v>
      </c>
      <c r="Q1701" s="19" t="n">
        <f aca="false">IF(N1701=0,"n.a.",P1701/N1701-1)</f>
        <v>0.0390895288423292</v>
      </c>
    </row>
    <row r="1702" customFormat="false" ht="15" hidden="false" customHeight="false" outlineLevel="0" collapsed="false">
      <c r="A1702" s="12" t="s">
        <v>3945</v>
      </c>
      <c r="B1702" s="12" t="s">
        <v>3869</v>
      </c>
      <c r="C1702" s="12" t="s">
        <v>3870</v>
      </c>
      <c r="D1702" s="12" t="s">
        <v>358</v>
      </c>
      <c r="E1702" s="12" t="s">
        <v>3870</v>
      </c>
      <c r="F1702" s="13" t="n">
        <v>107736333</v>
      </c>
      <c r="G1702" s="13" t="n">
        <v>134718468</v>
      </c>
      <c r="H1702" s="14" t="n">
        <v>147845</v>
      </c>
      <c r="I1702" s="14" t="n">
        <v>157589</v>
      </c>
      <c r="J1702" s="15" t="n">
        <f aca="false">I1702/H1702</f>
        <v>1.0659068619162</v>
      </c>
      <c r="K1702" s="16" t="n">
        <f aca="false">ROUND(I1702*J1702^($F$8-1),0)</f>
        <v>155284</v>
      </c>
      <c r="L1702" s="16" t="n">
        <f aca="false">ROUND(I1702*J1702^($F$9-1),0)</f>
        <v>157067</v>
      </c>
      <c r="M1702" s="17" t="n">
        <f aca="false">G1702*$F$7</f>
        <v>129774601.3888</v>
      </c>
      <c r="N1702" s="18" t="n">
        <f aca="false">F1702/K1702</f>
        <v>693.801892017207</v>
      </c>
      <c r="O1702" s="18" t="n">
        <f aca="false">G1702/L1702</f>
        <v>857.713383460561</v>
      </c>
      <c r="P1702" s="18" t="n">
        <f aca="false">M1702/L1702</f>
        <v>826.237219713882</v>
      </c>
      <c r="Q1702" s="19" t="n">
        <f aca="false">IF(N1702=0,"n.a.",P1702/N1702-1)</f>
        <v>0.190883491700524</v>
      </c>
    </row>
    <row r="1703" customFormat="false" ht="15" hidden="false" customHeight="false" outlineLevel="0" collapsed="false">
      <c r="A1703" s="12" t="s">
        <v>3946</v>
      </c>
      <c r="B1703" s="12" t="s">
        <v>3869</v>
      </c>
      <c r="C1703" s="12" t="s">
        <v>3870</v>
      </c>
      <c r="D1703" s="12" t="s">
        <v>361</v>
      </c>
      <c r="E1703" s="12" t="s">
        <v>3947</v>
      </c>
      <c r="F1703" s="13" t="n">
        <v>704215</v>
      </c>
      <c r="G1703" s="13" t="n">
        <v>943163</v>
      </c>
      <c r="H1703" s="14" t="n">
        <v>20449</v>
      </c>
      <c r="I1703" s="14" t="n">
        <v>20440</v>
      </c>
      <c r="J1703" s="15" t="n">
        <f aca="false">I1703/H1703</f>
        <v>0.999559880678762</v>
      </c>
      <c r="K1703" s="16" t="n">
        <f aca="false">ROUND(I1703*J1703^($F$8-1),0)</f>
        <v>20442</v>
      </c>
      <c r="L1703" s="16" t="n">
        <f aca="false">ROUND(I1703*J1703^($F$9-1),0)</f>
        <v>20440</v>
      </c>
      <c r="M1703" s="17" t="n">
        <f aca="false">G1703*$F$7</f>
        <v>908551.026349743</v>
      </c>
      <c r="N1703" s="18" t="n">
        <f aca="false">F1703/K1703</f>
        <v>34.4494178651795</v>
      </c>
      <c r="O1703" s="18" t="n">
        <f aca="false">G1703/L1703</f>
        <v>46.1430039138943</v>
      </c>
      <c r="P1703" s="18" t="n">
        <f aca="false">M1703/L1703</f>
        <v>44.449658823373</v>
      </c>
      <c r="Q1703" s="19" t="n">
        <f aca="false">IF(N1703=0,"n.a.",P1703/N1703-1)</f>
        <v>0.29028766167632</v>
      </c>
    </row>
    <row r="1704" customFormat="false" ht="15" hidden="false" customHeight="false" outlineLevel="0" collapsed="false">
      <c r="A1704" s="12" t="s">
        <v>3948</v>
      </c>
      <c r="B1704" s="12" t="s">
        <v>3869</v>
      </c>
      <c r="C1704" s="12" t="s">
        <v>3870</v>
      </c>
      <c r="D1704" s="12" t="s">
        <v>364</v>
      </c>
      <c r="E1704" s="12" t="s">
        <v>3949</v>
      </c>
      <c r="F1704" s="13" t="n">
        <v>1994288</v>
      </c>
      <c r="G1704" s="13" t="n">
        <v>1834574</v>
      </c>
      <c r="H1704" s="14" t="n">
        <v>2767</v>
      </c>
      <c r="I1704" s="14" t="n">
        <v>2686</v>
      </c>
      <c r="J1704" s="15" t="n">
        <f aca="false">I1704/H1704</f>
        <v>0.970726418503795</v>
      </c>
      <c r="K1704" s="16" t="n">
        <f aca="false">ROUND(I1704*J1704^($F$8-1),0)</f>
        <v>2704</v>
      </c>
      <c r="L1704" s="16" t="n">
        <f aca="false">ROUND(I1704*J1704^($F$9-1),0)</f>
        <v>2690</v>
      </c>
      <c r="M1704" s="17" t="n">
        <f aca="false">G1704*$F$7</f>
        <v>1767249.2354074</v>
      </c>
      <c r="N1704" s="18" t="n">
        <f aca="false">F1704/K1704</f>
        <v>737.532544378698</v>
      </c>
      <c r="O1704" s="18" t="n">
        <f aca="false">G1704/L1704</f>
        <v>681.997769516729</v>
      </c>
      <c r="P1704" s="18" t="n">
        <f aca="false">M1704/L1704</f>
        <v>656.969975987883</v>
      </c>
      <c r="Q1704" s="19" t="n">
        <f aca="false">IF(N1704=0,"n.a.",P1704/N1704-1)</f>
        <v>-0.109232560657621</v>
      </c>
    </row>
  </sheetData>
  <autoFilter ref="A12:Q1704"/>
  <mergeCells count="9">
    <mergeCell ref="A5:E5"/>
    <mergeCell ref="A6:E6"/>
    <mergeCell ref="A7:E7"/>
    <mergeCell ref="A8:E8"/>
    <mergeCell ref="A9:E9"/>
    <mergeCell ref="A11:E11"/>
    <mergeCell ref="F11:G11"/>
    <mergeCell ref="H11:L11"/>
    <mergeCell ref="N11:Q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3950</v>
      </c>
    </row>
    <row r="3" customFormat="false" ht="15" hidden="false" customHeight="false" outlineLevel="0" collapsed="false">
      <c r="A3" s="3" t="s">
        <v>3951</v>
      </c>
    </row>
    <row r="4" customFormat="false" ht="15" hidden="false" customHeight="false" outlineLevel="0" collapsed="false">
      <c r="A4" s="20" t="s">
        <v>3952</v>
      </c>
      <c r="B4" s="20" t="s">
        <v>3953</v>
      </c>
      <c r="C4" s="20" t="s">
        <v>3954</v>
      </c>
    </row>
    <row r="5" customFormat="false" ht="15" hidden="false" customHeight="false" outlineLevel="0" collapsed="false">
      <c r="A5" s="12" t="s">
        <v>3955</v>
      </c>
      <c r="B5" s="21" t="n">
        <v>133.555</v>
      </c>
      <c r="C5" s="21" t="n">
        <v>138.343</v>
      </c>
    </row>
    <row r="6" customFormat="false" ht="15" hidden="false" customHeight="false" outlineLevel="0" collapsed="false">
      <c r="A6" s="12" t="s">
        <v>3956</v>
      </c>
      <c r="B6" s="21" t="n">
        <v>133.681</v>
      </c>
      <c r="C6" s="21" t="n">
        <v>138.726</v>
      </c>
    </row>
    <row r="7" customFormat="false" ht="15" hidden="false" customHeight="false" outlineLevel="0" collapsed="false">
      <c r="A7" s="12" t="s">
        <v>3957</v>
      </c>
      <c r="B7" s="21" t="n">
        <v>134.065</v>
      </c>
      <c r="C7" s="21" t="n">
        <v>139.161</v>
      </c>
    </row>
    <row r="8" customFormat="false" ht="15" hidden="false" customHeight="false" outlineLevel="0" collapsed="false">
      <c r="A8" s="12" t="s">
        <v>3958</v>
      </c>
      <c r="B8" s="21" t="n">
        <v>134.336</v>
      </c>
      <c r="C8" s="21" t="n">
        <v>139.62</v>
      </c>
    </row>
    <row r="9" customFormat="false" ht="15" hidden="false" customHeight="false" outlineLevel="0" collapsed="false">
      <c r="A9" s="12" t="s">
        <v>3959</v>
      </c>
      <c r="B9" s="21" t="n">
        <v>134.087</v>
      </c>
      <c r="C9" s="21" t="n">
        <v>140.012</v>
      </c>
    </row>
    <row r="10" customFormat="false" ht="15" hidden="false" customHeight="false" outlineLevel="0" collapsed="false">
      <c r="A10" s="12" t="s">
        <v>3960</v>
      </c>
      <c r="B10" s="21" t="n">
        <v>134.594</v>
      </c>
      <c r="C10" s="21" t="n">
        <v>140.405</v>
      </c>
    </row>
    <row r="11" customFormat="false" ht="15" hidden="false" customHeight="false" outlineLevel="0" collapsed="false">
      <c r="A11" s="12" t="s">
        <v>3961</v>
      </c>
      <c r="B11" s="21" t="n">
        <v>136.003</v>
      </c>
      <c r="C11" s="21" t="n">
        <v>140.78</v>
      </c>
    </row>
    <row r="12" customFormat="false" ht="15" hidden="false" customHeight="false" outlineLevel="0" collapsed="false">
      <c r="A12" s="12" t="s">
        <v>3962</v>
      </c>
      <c r="B12" s="21" t="n">
        <v>136.013</v>
      </c>
      <c r="C12" s="21" t="n">
        <v>140.867</v>
      </c>
    </row>
    <row r="13" customFormat="false" ht="15" hidden="false" customHeight="false" outlineLevel="0" collapsed="false">
      <c r="A13" s="12" t="s">
        <v>3963</v>
      </c>
      <c r="B13" s="21" t="n">
        <v>136.08</v>
      </c>
      <c r="C13" s="21" t="n">
        <v>141.197</v>
      </c>
    </row>
    <row r="14" customFormat="false" ht="15" hidden="false" customHeight="false" outlineLevel="0" collapsed="false">
      <c r="A14" s="12" t="s">
        <v>3964</v>
      </c>
      <c r="B14" s="21" t="n">
        <v>136.828</v>
      </c>
      <c r="C14" s="21" t="n">
        <v>141.708</v>
      </c>
    </row>
    <row r="15" customFormat="false" ht="15" hidden="false" customHeight="false" outlineLevel="0" collapsed="false">
      <c r="A15" s="12" t="s">
        <v>3965</v>
      </c>
      <c r="B15" s="21" t="n">
        <v>137.424</v>
      </c>
      <c r="C15" s="21" t="n">
        <v>142.645</v>
      </c>
    </row>
    <row r="16" customFormat="false" ht="15" hidden="false" customHeight="false" outlineLevel="0" collapsed="false">
      <c r="A16" s="12" t="s">
        <v>3966</v>
      </c>
      <c r="B16" s="21" t="n">
        <v>137.949</v>
      </c>
      <c r="C16" s="21" t="n">
        <v>143.042</v>
      </c>
    </row>
    <row r="17" customFormat="false" ht="15" hidden="false" customHeight="false" outlineLevel="0" collapsed="false">
      <c r="A17" s="3" t="s">
        <v>3967</v>
      </c>
      <c r="B17" s="22" t="n">
        <f aca="false">AVERAGE(B5:B16)</f>
        <v>135.384583333333</v>
      </c>
      <c r="C17" s="22" t="n">
        <f aca="false">AVERAGE(C5:C16)</f>
        <v>140.542166666667</v>
      </c>
    </row>
    <row r="18" customFormat="false" ht="15" hidden="false" customHeight="false" outlineLevel="0" collapsed="false">
      <c r="A18" s="2" t="s">
        <v>3968</v>
      </c>
    </row>
    <row r="20" customFormat="false" ht="15" hidden="false" customHeight="false" outlineLevel="0" collapsed="false">
      <c r="A20" s="3" t="s">
        <v>3969</v>
      </c>
    </row>
    <row r="21" customFormat="false" ht="15" hidden="false" customHeight="false" outlineLevel="0" collapsed="false">
      <c r="A21" s="12" t="s">
        <v>3970</v>
      </c>
      <c r="B21" s="23" t="n">
        <f aca="false">DATE(2020,3,15)</f>
        <v>43905</v>
      </c>
    </row>
    <row r="22" customFormat="false" ht="15" hidden="false" customHeight="false" outlineLevel="0" collapsed="false">
      <c r="A22" s="12" t="s">
        <v>3971</v>
      </c>
      <c r="B22" s="23" t="n">
        <f aca="false">DATE(2025,10,15)</f>
        <v>45945</v>
      </c>
    </row>
    <row r="23" customFormat="false" ht="15" hidden="false" customHeight="false" outlineLevel="0" collapsed="false">
      <c r="A23" s="12" t="s">
        <v>3972</v>
      </c>
      <c r="B23" s="23" t="n">
        <f aca="false">DATE(2024,7,1)</f>
        <v>45474</v>
      </c>
    </row>
    <row r="24" customFormat="false" ht="15" hidden="false" customHeight="false" outlineLevel="0" collapsed="false">
      <c r="A24" s="12" t="s">
        <v>3973</v>
      </c>
      <c r="B24" s="23" t="n">
        <f aca="false">DATE(2025,7,1)</f>
        <v>45839</v>
      </c>
    </row>
    <row r="25" customFormat="false" ht="15" hidden="false" customHeight="false" outlineLevel="0" collapsed="false">
      <c r="A25" s="12" t="s">
        <v>3974</v>
      </c>
      <c r="B25" s="24" t="n">
        <f aca="false">(B23-B21)/(B22-B21)</f>
        <v>0.769117647058824</v>
      </c>
    </row>
    <row r="26" customFormat="false" ht="15" hidden="false" customHeight="false" outlineLevel="0" collapsed="false">
      <c r="A26" s="12" t="s">
        <v>3975</v>
      </c>
      <c r="B26" s="24" t="n">
        <f aca="false">(B24-B21)/(B22-B21)</f>
        <v>0.948039215686275</v>
      </c>
    </row>
    <row r="28" customFormat="false" ht="15" hidden="false" customHeight="false" outlineLevel="0" collapsed="false">
      <c r="A28" s="25" t="s">
        <v>3976</v>
      </c>
    </row>
    <row r="29" customFormat="false" ht="30" hidden="false" customHeight="true" outlineLevel="0" collapsed="false">
      <c r="A29" s="26" t="s">
        <v>3977</v>
      </c>
    </row>
    <row r="30" customFormat="false" ht="30" hidden="false" customHeight="true" outlineLevel="0" collapsed="false">
      <c r="A30" s="26" t="s">
        <v>3978</v>
      </c>
    </row>
    <row r="31" customFormat="false" ht="30" hidden="false" customHeight="true" outlineLevel="0" collapsed="false">
      <c r="A31" s="26" t="s">
        <v>3979</v>
      </c>
    </row>
    <row r="32" customFormat="false" ht="30" hidden="false" customHeight="true" outlineLevel="0" collapsed="false">
      <c r="A32" s="26" t="s">
        <v>3980</v>
      </c>
    </row>
    <row r="33" customFormat="false" ht="30" hidden="false" customHeight="true" outlineLevel="0" collapsed="false">
      <c r="A33" s="26" t="s">
        <v>3981</v>
      </c>
    </row>
    <row r="34" customFormat="false" ht="30" hidden="false" customHeight="true" outlineLevel="0" collapsed="false">
      <c r="A34" s="26" t="s">
        <v>3982</v>
      </c>
    </row>
    <row r="35" customFormat="false" ht="30" hidden="false" customHeight="true" outlineLevel="0" collapsed="false">
      <c r="A35" s="26" t="s">
        <v>3983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7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3984</v>
      </c>
    </row>
    <row r="2" customFormat="false" ht="15" hidden="false" customHeight="false" outlineLevel="0" collapsed="false">
      <c r="A2" s="2" t="s">
        <v>3985</v>
      </c>
    </row>
    <row r="4" customFormat="false" ht="45" hidden="false" customHeight="true" outlineLevel="0" collapsed="false">
      <c r="A4" s="10" t="s">
        <v>3986</v>
      </c>
      <c r="B4" s="10" t="s">
        <v>15</v>
      </c>
      <c r="C4" s="10" t="s">
        <v>3987</v>
      </c>
      <c r="D4" s="10" t="s">
        <v>3988</v>
      </c>
      <c r="E4" s="10" t="s">
        <v>3989</v>
      </c>
      <c r="F4" s="10" t="s">
        <v>3990</v>
      </c>
      <c r="G4" s="10" t="s">
        <v>3991</v>
      </c>
      <c r="H4" s="10" t="s">
        <v>19</v>
      </c>
      <c r="I4" s="10" t="s">
        <v>3992</v>
      </c>
      <c r="J4" s="10" t="s">
        <v>3993</v>
      </c>
      <c r="K4" s="10" t="s">
        <v>3994</v>
      </c>
    </row>
    <row r="5" customFormat="false" ht="22.35" hidden="false" customHeight="false" outlineLevel="0" collapsed="false">
      <c r="A5" s="27" t="s">
        <v>30</v>
      </c>
      <c r="B5" s="27" t="s">
        <v>30</v>
      </c>
      <c r="C5" s="27" t="s">
        <v>3995</v>
      </c>
      <c r="D5" s="27" t="s">
        <v>3996</v>
      </c>
      <c r="E5" s="27" t="s">
        <v>3997</v>
      </c>
      <c r="F5" s="27" t="s">
        <v>3998</v>
      </c>
      <c r="G5" s="27" t="s">
        <v>3999</v>
      </c>
      <c r="H5" s="27" t="s">
        <v>4000</v>
      </c>
      <c r="I5" s="27" t="s">
        <v>4001</v>
      </c>
      <c r="J5" s="27" t="s">
        <v>4002</v>
      </c>
      <c r="K5" s="27" t="s">
        <v>4003</v>
      </c>
    </row>
    <row r="6" customFormat="false" ht="15" hidden="false" customHeight="false" outlineLevel="0" collapsed="false">
      <c r="A6" s="28" t="s">
        <v>44</v>
      </c>
      <c r="B6" s="28" t="s">
        <v>45</v>
      </c>
      <c r="C6" s="29" t="n">
        <f aca="false">COUNTIF(Indicador!$B$14:$B$1704,$A6)</f>
        <v>11</v>
      </c>
      <c r="D6" s="30" t="n">
        <f aca="false">SUMIFS(Indicador!$K$14:$K$1704,Indicador!$B$14:$B$1704,$A6)</f>
        <v>1507370</v>
      </c>
      <c r="E6" s="31" t="n">
        <f aca="false">SUMIFS(Indicador!$F$14:$F$1704,Indicador!$B$14:$B$1704,$A6)</f>
        <v>1349719649</v>
      </c>
      <c r="F6" s="32" t="n">
        <f aca="false">E6/D6</f>
        <v>895.413633679853</v>
      </c>
      <c r="G6" s="30" t="n">
        <f aca="false">SUMIFS(Indicador!$L$14:$L$1704,Indicador!$B$14:$B$1704,$A6)</f>
        <v>1528280</v>
      </c>
      <c r="H6" s="31" t="n">
        <f aca="false">SUMIFS(Indicador!$G$14:$G$1704,Indicador!$B$14:$B$1704,$A6)</f>
        <v>1577737358</v>
      </c>
      <c r="I6" s="33" t="n">
        <f aca="false">H6*Indicador!$F$7</f>
        <v>1519837924.00808</v>
      </c>
      <c r="J6" s="32" t="n">
        <f aca="false">I6/G6</f>
        <v>994.476093391315</v>
      </c>
      <c r="K6" s="34" t="n">
        <f aca="false">J6/F6-1</f>
        <v>0.110633182235956</v>
      </c>
    </row>
    <row r="7" customFormat="false" ht="15" hidden="false" customHeight="false" outlineLevel="0" collapsed="false">
      <c r="A7" s="28" t="s">
        <v>78</v>
      </c>
      <c r="B7" s="28" t="s">
        <v>79</v>
      </c>
      <c r="C7" s="29" t="n">
        <f aca="false">COUNTIF(Indicador!$B$14:$B$1704,$A7)</f>
        <v>7</v>
      </c>
      <c r="D7" s="30" t="n">
        <f aca="false">SUMIFS(Indicador!$K$14:$K$1704,Indicador!$B$14:$B$1704,$A7)</f>
        <v>3921666</v>
      </c>
      <c r="E7" s="31" t="n">
        <f aca="false">SUMIFS(Indicador!$F$14:$F$1704,Indicador!$B$14:$B$1704,$A7)</f>
        <v>5537764530</v>
      </c>
      <c r="F7" s="32" t="n">
        <f aca="false">E7/D7</f>
        <v>1412.09489283381</v>
      </c>
      <c r="G7" s="30" t="n">
        <f aca="false">SUMIFS(Indicador!$L$14:$L$1704,Indicador!$B$14:$B$1704,$A7)</f>
        <v>3965684</v>
      </c>
      <c r="H7" s="31" t="n">
        <f aca="false">SUMIFS(Indicador!$G$14:$G$1704,Indicador!$B$14:$B$1704,$A7)</f>
        <v>6047963425</v>
      </c>
      <c r="I7" s="33" t="n">
        <f aca="false">H7*Indicador!$F$7</f>
        <v>5826016687.58153</v>
      </c>
      <c r="J7" s="32" t="n">
        <f aca="false">I7/G7</f>
        <v>1469.10764639379</v>
      </c>
      <c r="K7" s="34" t="n">
        <f aca="false">J7/F7-1</f>
        <v>0.0403745908644777</v>
      </c>
    </row>
    <row r="8" customFormat="false" ht="15" hidden="false" customHeight="false" outlineLevel="0" collapsed="false">
      <c r="A8" s="28" t="s">
        <v>94</v>
      </c>
      <c r="B8" s="28" t="s">
        <v>95</v>
      </c>
      <c r="C8" s="29" t="n">
        <f aca="false">COUNTIF(Indicador!$B$14:$B$1704,$A8)</f>
        <v>5</v>
      </c>
      <c r="D8" s="30" t="n">
        <f aca="false">SUMIFS(Indicador!$K$14:$K$1704,Indicador!$B$14:$B$1704,$A8)</f>
        <v>914355</v>
      </c>
      <c r="E8" s="31" t="n">
        <f aca="false">SUMIFS(Indicador!$F$14:$F$1704,Indicador!$B$14:$B$1704,$A8)</f>
        <v>2715559213</v>
      </c>
      <c r="F8" s="32" t="n">
        <f aca="false">E8/D8</f>
        <v>2969.91782513356</v>
      </c>
      <c r="G8" s="30" t="n">
        <f aca="false">SUMIFS(Indicador!$L$14:$L$1704,Indicador!$B$14:$B$1704,$A8)</f>
        <v>946003</v>
      </c>
      <c r="H8" s="31" t="n">
        <f aca="false">SUMIFS(Indicador!$G$14:$G$1704,Indicador!$B$14:$B$1704,$A8)</f>
        <v>3660579796</v>
      </c>
      <c r="I8" s="33" t="n">
        <f aca="false">H8*Indicador!$F$7</f>
        <v>3526244700.74731</v>
      </c>
      <c r="J8" s="32" t="n">
        <f aca="false">I8/G8</f>
        <v>3727.5195752522</v>
      </c>
      <c r="K8" s="34" t="n">
        <f aca="false">J8/F8-1</f>
        <v>0.255091822308102</v>
      </c>
    </row>
    <row r="9" customFormat="false" ht="15" hidden="false" customHeight="false" outlineLevel="0" collapsed="false">
      <c r="A9" s="28" t="s">
        <v>106</v>
      </c>
      <c r="B9" s="28" t="s">
        <v>107</v>
      </c>
      <c r="C9" s="29" t="n">
        <f aca="false">COUNTIF(Indicador!$B$14:$B$1704,$A9)</f>
        <v>13</v>
      </c>
      <c r="D9" s="30" t="n">
        <f aca="false">SUMIFS(Indicador!$K$14:$K$1704,Indicador!$B$14:$B$1704,$A9)</f>
        <v>957500</v>
      </c>
      <c r="E9" s="31" t="n">
        <f aca="false">SUMIFS(Indicador!$F$14:$F$1704,Indicador!$B$14:$B$1704,$A9)</f>
        <v>305199751</v>
      </c>
      <c r="F9" s="32" t="n">
        <f aca="false">E9/D9</f>
        <v>318.746476240209</v>
      </c>
      <c r="G9" s="30" t="n">
        <f aca="false">SUMIFS(Indicador!$L$14:$L$1704,Indicador!$B$14:$B$1704,$A9)</f>
        <v>964922</v>
      </c>
      <c r="H9" s="31" t="n">
        <f aca="false">SUMIFS(Indicador!$G$14:$G$1704,Indicador!$B$14:$B$1704,$A9)</f>
        <v>337198911</v>
      </c>
      <c r="I9" s="33" t="n">
        <f aca="false">H9*Indicador!$F$7</f>
        <v>324824464.777632</v>
      </c>
      <c r="J9" s="32" t="n">
        <f aca="false">I9/G9</f>
        <v>336.632872685701</v>
      </c>
      <c r="K9" s="34" t="n">
        <f aca="false">J9/F9-1</f>
        <v>0.0561148052724283</v>
      </c>
    </row>
    <row r="10" customFormat="false" ht="15" hidden="false" customHeight="false" outlineLevel="0" collapsed="false">
      <c r="A10" s="28" t="s">
        <v>135</v>
      </c>
      <c r="B10" s="28" t="s">
        <v>136</v>
      </c>
      <c r="C10" s="29" t="n">
        <f aca="false">COUNTIF(Indicador!$B$14:$B$1704,$A10)</f>
        <v>38</v>
      </c>
      <c r="D10" s="30" t="n">
        <f aca="false">SUMIFS(Indicador!$K$14:$K$1704,Indicador!$B$14:$B$1704,$A10)</f>
        <v>3339543</v>
      </c>
      <c r="E10" s="31" t="n">
        <f aca="false">SUMIFS(Indicador!$F$14:$F$1704,Indicador!$B$14:$B$1704,$A10)</f>
        <v>3312894325</v>
      </c>
      <c r="F10" s="32" t="n">
        <f aca="false">E10/D10</f>
        <v>992.020262952147</v>
      </c>
      <c r="G10" s="30" t="n">
        <f aca="false">SUMIFS(Indicador!$L$14:$L$1704,Indicador!$B$14:$B$1704,$A10)</f>
        <v>3389752</v>
      </c>
      <c r="H10" s="31" t="n">
        <f aca="false">SUMIFS(Indicador!$G$14:$G$1704,Indicador!$B$14:$B$1704,$A10)</f>
        <v>3621110244</v>
      </c>
      <c r="I10" s="33" t="n">
        <f aca="false">H10*Indicador!$F$7</f>
        <v>3488223593.07115</v>
      </c>
      <c r="J10" s="32" t="n">
        <f aca="false">I10/G10</f>
        <v>1029.04979274919</v>
      </c>
      <c r="K10" s="34" t="n">
        <f aca="false">J10/F10-1</f>
        <v>0.0373273925744702</v>
      </c>
    </row>
    <row r="11" customFormat="false" ht="15" hidden="false" customHeight="false" outlineLevel="0" collapsed="false">
      <c r="A11" s="28" t="s">
        <v>238</v>
      </c>
      <c r="B11" s="28" t="s">
        <v>239</v>
      </c>
      <c r="C11" s="29" t="n">
        <f aca="false">COUNTIF(Indicador!$B$14:$B$1704,$A11)</f>
        <v>10</v>
      </c>
      <c r="D11" s="30" t="n">
        <f aca="false">SUMIFS(Indicador!$K$14:$K$1704,Indicador!$B$14:$B$1704,$A11)</f>
        <v>751704</v>
      </c>
      <c r="E11" s="31" t="n">
        <f aca="false">SUMIFS(Indicador!$F$14:$F$1704,Indicador!$B$14:$B$1704,$A11)</f>
        <v>946824030</v>
      </c>
      <c r="F11" s="32" t="n">
        <f aca="false">E11/D11</f>
        <v>1259.57029628684</v>
      </c>
      <c r="G11" s="30" t="n">
        <f aca="false">SUMIFS(Indicador!$L$14:$L$1704,Indicador!$B$14:$B$1704,$A11)</f>
        <v>757339</v>
      </c>
      <c r="H11" s="31" t="n">
        <f aca="false">SUMIFS(Indicador!$G$14:$G$1704,Indicador!$B$14:$B$1704,$A11)</f>
        <v>1080504797</v>
      </c>
      <c r="I11" s="33" t="n">
        <f aca="false">H11*Indicador!$F$7</f>
        <v>1040852686.42872</v>
      </c>
      <c r="J11" s="32" t="n">
        <f aca="false">I11/G11</f>
        <v>1374.35505952911</v>
      </c>
      <c r="K11" s="34" t="n">
        <f aca="false">J11/F11-1</f>
        <v>0.0911300969708948</v>
      </c>
    </row>
    <row r="12" customFormat="false" ht="15" hidden="false" customHeight="false" outlineLevel="0" collapsed="false">
      <c r="A12" s="28" t="s">
        <v>259</v>
      </c>
      <c r="B12" s="28" t="s">
        <v>260</v>
      </c>
      <c r="C12" s="29" t="n">
        <f aca="false">COUNTIF(Indicador!$B$14:$B$1704,$A12)</f>
        <v>98</v>
      </c>
      <c r="D12" s="30" t="n">
        <f aca="false">SUMIFS(Indicador!$K$14:$K$1704,Indicador!$B$14:$B$1704,$A12)</f>
        <v>4918408</v>
      </c>
      <c r="E12" s="31" t="n">
        <f aca="false">SUMIFS(Indicador!$F$14:$F$1704,Indicador!$B$14:$B$1704,$A12)</f>
        <v>923071439</v>
      </c>
      <c r="F12" s="32" t="n">
        <f aca="false">E12/D12</f>
        <v>187.676874102352</v>
      </c>
      <c r="G12" s="30" t="n">
        <f aca="false">SUMIFS(Indicador!$L$14:$L$1704,Indicador!$B$14:$B$1704,$A12)</f>
        <v>4974882</v>
      </c>
      <c r="H12" s="31" t="n">
        <f aca="false">SUMIFS(Indicador!$G$14:$G$1704,Indicador!$B$14:$B$1704,$A12)</f>
        <v>1008703136</v>
      </c>
      <c r="I12" s="33" t="n">
        <f aca="false">H12*Indicador!$F$7</f>
        <v>971685985.874133</v>
      </c>
      <c r="J12" s="32" t="n">
        <f aca="false">I12/G12</f>
        <v>195.318398682448</v>
      </c>
      <c r="K12" s="34" t="n">
        <f aca="false">J12/F12-1</f>
        <v>0.0407163888286439</v>
      </c>
    </row>
    <row r="13" customFormat="false" ht="15" hidden="false" customHeight="false" outlineLevel="0" collapsed="false">
      <c r="A13" s="28" t="s">
        <v>526</v>
      </c>
      <c r="B13" s="28" t="s">
        <v>527</v>
      </c>
      <c r="C13" s="29" t="n">
        <f aca="false">COUNTIF(Indicador!$B$14:$B$1704,$A13)</f>
        <v>64</v>
      </c>
      <c r="D13" s="30" t="n">
        <f aca="false">SUMIFS(Indicador!$K$14:$K$1704,Indicador!$B$14:$B$1704,$A13)</f>
        <v>3793520</v>
      </c>
      <c r="E13" s="31" t="n">
        <f aca="false">SUMIFS(Indicador!$F$14:$F$1704,Indicador!$B$14:$B$1704,$A13)</f>
        <v>4742500905</v>
      </c>
      <c r="F13" s="32" t="n">
        <f aca="false">E13/D13</f>
        <v>1250.15840301356</v>
      </c>
      <c r="G13" s="30" t="n">
        <f aca="false">SUMIFS(Indicador!$L$14:$L$1704,Indicador!$B$14:$B$1704,$A13)</f>
        <v>3825448</v>
      </c>
      <c r="H13" s="31" t="n">
        <f aca="false">SUMIFS(Indicador!$G$14:$G$1704,Indicador!$B$14:$B$1704,$A13)</f>
        <v>5357344772</v>
      </c>
      <c r="I13" s="33" t="n">
        <f aca="false">H13*Indicador!$F$7</f>
        <v>5160742195.26215</v>
      </c>
      <c r="J13" s="32" t="n">
        <f aca="false">I13/G13</f>
        <v>1349.05563878065</v>
      </c>
      <c r="K13" s="34" t="n">
        <f aca="false">J13/F13-1</f>
        <v>0.0791077638871123</v>
      </c>
    </row>
    <row r="14" customFormat="false" ht="15" hidden="false" customHeight="false" outlineLevel="0" collapsed="false">
      <c r="A14" s="28" t="s">
        <v>651</v>
      </c>
      <c r="B14" s="28" t="s">
        <v>652</v>
      </c>
      <c r="C14" s="29" t="n">
        <f aca="false">COUNTIF(Indicador!$B$14:$B$1704,$A14)</f>
        <v>3</v>
      </c>
      <c r="D14" s="30" t="n">
        <f aca="false">SUMIFS(Indicador!$K$14:$K$1704,Indicador!$B$14:$B$1704,$A14)</f>
        <v>1302725</v>
      </c>
      <c r="E14" s="31" t="n">
        <f aca="false">SUMIFS(Indicador!$F$14:$F$1704,Indicador!$B$14:$B$1704,$A14)</f>
        <v>1002139231</v>
      </c>
      <c r="F14" s="32" t="n">
        <f aca="false">E14/D14</f>
        <v>769.263836189526</v>
      </c>
      <c r="G14" s="30" t="n">
        <f aca="false">SUMIFS(Indicador!$L$14:$L$1704,Indicador!$B$14:$B$1704,$A14)</f>
        <v>1323551</v>
      </c>
      <c r="H14" s="31" t="n">
        <f aca="false">SUMIFS(Indicador!$G$14:$G$1704,Indicador!$B$14:$B$1704,$A14)</f>
        <v>1217801320</v>
      </c>
      <c r="I14" s="33" t="n">
        <f aca="false">H14*Indicador!$F$7</f>
        <v>1173110733.96229</v>
      </c>
      <c r="J14" s="32" t="n">
        <f aca="false">I14/G14</f>
        <v>886.335875204119</v>
      </c>
      <c r="K14" s="34" t="n">
        <f aca="false">J14/F14-1</f>
        <v>0.152187108644672</v>
      </c>
    </row>
    <row r="15" customFormat="false" ht="15" hidden="false" customHeight="false" outlineLevel="0" collapsed="false">
      <c r="A15" s="28" t="s">
        <v>658</v>
      </c>
      <c r="B15" s="28" t="s">
        <v>659</v>
      </c>
      <c r="C15" s="29" t="n">
        <f aca="false">COUNTIF(Indicador!$B$14:$B$1704,$A15)</f>
        <v>34</v>
      </c>
      <c r="D15" s="30" t="n">
        <f aca="false">SUMIFS(Indicador!$K$14:$K$1704,Indicador!$B$14:$B$1704,$A15)</f>
        <v>5690209</v>
      </c>
      <c r="E15" s="31" t="n">
        <f aca="false">SUMIFS(Indicador!$F$14:$F$1704,Indicador!$B$14:$B$1704,$A15)</f>
        <v>4556706968</v>
      </c>
      <c r="F15" s="32" t="n">
        <f aca="false">E15/D15</f>
        <v>800.797820958773</v>
      </c>
      <c r="G15" s="30" t="n">
        <f aca="false">SUMIFS(Indicador!$L$14:$L$1704,Indicador!$B$14:$B$1704,$A15)</f>
        <v>5737062</v>
      </c>
      <c r="H15" s="31" t="n">
        <f aca="false">SUMIFS(Indicador!$G$14:$G$1704,Indicador!$B$14:$B$1704,$A15)</f>
        <v>5044634478</v>
      </c>
      <c r="I15" s="33" t="n">
        <f aca="false">H15*Indicador!$F$7</f>
        <v>4859507669.98515</v>
      </c>
      <c r="J15" s="32" t="n">
        <f aca="false">I15/G15</f>
        <v>847.037677122044</v>
      </c>
      <c r="K15" s="34" t="n">
        <f aca="false">J15/F15-1</f>
        <v>0.0577422352472299</v>
      </c>
    </row>
    <row r="16" customFormat="false" ht="15" hidden="false" customHeight="false" outlineLevel="0" collapsed="false">
      <c r="A16" s="28" t="s">
        <v>724</v>
      </c>
      <c r="B16" s="28" t="s">
        <v>159</v>
      </c>
      <c r="C16" s="29" t="n">
        <f aca="false">COUNTIF(Indicador!$B$14:$B$1704,$A16)</f>
        <v>8</v>
      </c>
      <c r="D16" s="30" t="n">
        <f aca="false">SUMIFS(Indicador!$K$14:$K$1704,Indicador!$B$14:$B$1704,$A16)</f>
        <v>1640134</v>
      </c>
      <c r="E16" s="31" t="n">
        <f aca="false">SUMIFS(Indicador!$F$14:$F$1704,Indicador!$B$14:$B$1704,$A16)</f>
        <v>1136297441</v>
      </c>
      <c r="F16" s="32" t="n">
        <f aca="false">E16/D16</f>
        <v>692.807685835426</v>
      </c>
      <c r="G16" s="30" t="n">
        <f aca="false">SUMIFS(Indicador!$L$14:$L$1704,Indicador!$B$14:$B$1704,$A16)</f>
        <v>1635501</v>
      </c>
      <c r="H16" s="31" t="n">
        <f aca="false">SUMIFS(Indicador!$G$14:$G$1704,Indicador!$B$14:$B$1704,$A16)</f>
        <v>1269566401</v>
      </c>
      <c r="I16" s="33" t="n">
        <f aca="false">H16*Indicador!$F$7</f>
        <v>1222976152.21091</v>
      </c>
      <c r="J16" s="32" t="n">
        <f aca="false">I16/G16</f>
        <v>747.768513874899</v>
      </c>
      <c r="K16" s="34" t="n">
        <f aca="false">J16/F16-1</f>
        <v>0.0793305691653787</v>
      </c>
    </row>
    <row r="17" customFormat="false" ht="15" hidden="false" customHeight="false" outlineLevel="0" collapsed="false">
      <c r="A17" s="28" t="s">
        <v>741</v>
      </c>
      <c r="B17" s="28" t="s">
        <v>161</v>
      </c>
      <c r="C17" s="29" t="n">
        <f aca="false">COUNTIF(Indicador!$B$14:$B$1704,$A17)</f>
        <v>5</v>
      </c>
      <c r="D17" s="30" t="n">
        <f aca="false">SUMIFS(Indicador!$K$14:$K$1704,Indicador!$B$14:$B$1704,$A17)</f>
        <v>823458</v>
      </c>
      <c r="E17" s="31" t="n">
        <f aca="false">SUMIFS(Indicador!$F$14:$F$1704,Indicador!$B$14:$B$1704,$A17)</f>
        <v>585801189</v>
      </c>
      <c r="F17" s="32" t="n">
        <f aca="false">E17/D17</f>
        <v>711.391703037678</v>
      </c>
      <c r="G17" s="30" t="n">
        <f aca="false">SUMIFS(Indicador!$L$14:$L$1704,Indicador!$B$14:$B$1704,$A17)</f>
        <v>826506</v>
      </c>
      <c r="H17" s="31" t="n">
        <f aca="false">SUMIFS(Indicador!$G$14:$G$1704,Indicador!$B$14:$B$1704,$A17)</f>
        <v>548919420</v>
      </c>
      <c r="I17" s="33" t="n">
        <f aca="false">H17*Indicador!$F$7</f>
        <v>528775304.400518</v>
      </c>
      <c r="J17" s="32" t="n">
        <f aca="false">I17/G17</f>
        <v>639.77188840797</v>
      </c>
      <c r="K17" s="34" t="n">
        <f aca="false">J17/F17-1</f>
        <v>-0.100675639487904</v>
      </c>
    </row>
    <row r="18" customFormat="false" ht="15" hidden="false" customHeight="false" outlineLevel="0" collapsed="false">
      <c r="A18" s="28" t="s">
        <v>753</v>
      </c>
      <c r="B18" s="28" t="s">
        <v>754</v>
      </c>
      <c r="C18" s="29" t="n">
        <f aca="false">COUNTIF(Indicador!$B$14:$B$1704,$A18)</f>
        <v>39</v>
      </c>
      <c r="D18" s="30" t="n">
        <f aca="false">SUMIFS(Indicador!$K$14:$K$1704,Indicador!$B$14:$B$1704,$A18)</f>
        <v>5104381</v>
      </c>
      <c r="E18" s="31" t="n">
        <f aca="false">SUMIFS(Indicador!$F$14:$F$1704,Indicador!$B$14:$B$1704,$A18)</f>
        <v>9035611894</v>
      </c>
      <c r="F18" s="32" t="n">
        <f aca="false">E18/D18</f>
        <v>1770.16799764751</v>
      </c>
      <c r="G18" s="30" t="n">
        <f aca="false">SUMIFS(Indicador!$L$14:$L$1704,Indicador!$B$14:$B$1704,$A18)</f>
        <v>5118335</v>
      </c>
      <c r="H18" s="31" t="n">
        <f aca="false">SUMIFS(Indicador!$G$14:$G$1704,Indicador!$B$14:$B$1704,$A18)</f>
        <v>10092885155</v>
      </c>
      <c r="I18" s="33" t="n">
        <f aca="false">H18*Indicador!$F$7</f>
        <v>9722498832.55104</v>
      </c>
      <c r="J18" s="32" t="n">
        <f aca="false">I18/G18</f>
        <v>1899.54327580181</v>
      </c>
      <c r="K18" s="34" t="n">
        <f aca="false">J18/F18-1</f>
        <v>0.073086440567353</v>
      </c>
    </row>
    <row r="19" customFormat="false" ht="15" hidden="false" customHeight="false" outlineLevel="0" collapsed="false">
      <c r="A19" s="28" t="s">
        <v>835</v>
      </c>
      <c r="B19" s="28" t="s">
        <v>836</v>
      </c>
      <c r="C19" s="29" t="n">
        <f aca="false">COUNTIF(Indicador!$B$14:$B$1704,$A19)</f>
        <v>125</v>
      </c>
      <c r="D19" s="30" t="n">
        <f aca="false">SUMIFS(Indicador!$K$14:$K$1704,Indicador!$B$14:$B$1704,$A19)</f>
        <v>17410087</v>
      </c>
      <c r="E19" s="31" t="n">
        <f aca="false">SUMIFS(Indicador!$F$14:$F$1704,Indicador!$B$14:$B$1704,$A19)</f>
        <v>15545127727</v>
      </c>
      <c r="F19" s="32" t="n">
        <f aca="false">E19/D19</f>
        <v>892.880531096714</v>
      </c>
      <c r="G19" s="30" t="n">
        <f aca="false">SUMIFS(Indicador!$L$14:$L$1704,Indicador!$B$14:$B$1704,$A19)</f>
        <v>17527159</v>
      </c>
      <c r="H19" s="31" t="n">
        <f aca="false">SUMIFS(Indicador!$G$14:$G$1704,Indicador!$B$14:$B$1704,$A19)</f>
        <v>16220016500</v>
      </c>
      <c r="I19" s="33" t="n">
        <f aca="false">H19*Indicador!$F$7</f>
        <v>15624778154.4492</v>
      </c>
      <c r="J19" s="32" t="n">
        <f aca="false">I19/G19</f>
        <v>891.460969484512</v>
      </c>
      <c r="K19" s="34" t="n">
        <f aca="false">J19/F19-1</f>
        <v>-0.00158986735936351</v>
      </c>
    </row>
    <row r="20" customFormat="false" ht="15" hidden="false" customHeight="false" outlineLevel="0" collapsed="false">
      <c r="A20" s="28" t="s">
        <v>1091</v>
      </c>
      <c r="B20" s="28" t="s">
        <v>1092</v>
      </c>
      <c r="C20" s="29" t="n">
        <f aca="false">COUNTIF(Indicador!$B$14:$B$1704,$A20)</f>
        <v>108</v>
      </c>
      <c r="D20" s="30" t="n">
        <f aca="false">SUMIFS(Indicador!$K$14:$K$1704,Indicador!$B$14:$B$1704,$A20)</f>
        <v>4760941</v>
      </c>
      <c r="E20" s="31" t="n">
        <f aca="false">SUMIFS(Indicador!$F$14:$F$1704,Indicador!$B$14:$B$1704,$A20)</f>
        <v>2231529767</v>
      </c>
      <c r="F20" s="32" t="n">
        <f aca="false">E20/D20</f>
        <v>468.716114524419</v>
      </c>
      <c r="G20" s="30" t="n">
        <f aca="false">SUMIFS(Indicador!$L$14:$L$1704,Indicador!$B$14:$B$1704,$A20)</f>
        <v>4786667</v>
      </c>
      <c r="H20" s="31" t="n">
        <f aca="false">SUMIFS(Indicador!$G$14:$G$1704,Indicador!$B$14:$B$1704,$A20)</f>
        <v>2560598584</v>
      </c>
      <c r="I20" s="33" t="n">
        <f aca="false">H20*Indicador!$F$7</f>
        <v>2466630340.20938</v>
      </c>
      <c r="J20" s="32" t="n">
        <f aca="false">I20/G20</f>
        <v>515.312709283804</v>
      </c>
      <c r="K20" s="34" t="n">
        <f aca="false">J20/F20-1</f>
        <v>0.0994132553062843</v>
      </c>
    </row>
    <row r="21" customFormat="false" ht="15" hidden="false" customHeight="false" outlineLevel="0" collapsed="false">
      <c r="A21" s="28" t="s">
        <v>1302</v>
      </c>
      <c r="B21" s="28" t="s">
        <v>179</v>
      </c>
      <c r="C21" s="29" t="n">
        <f aca="false">COUNTIF(Indicador!$B$14:$B$1704,$A21)</f>
        <v>27</v>
      </c>
      <c r="D21" s="30" t="n">
        <f aca="false">SUMIFS(Indicador!$K$14:$K$1704,Indicador!$B$14:$B$1704,$A21)</f>
        <v>1729315</v>
      </c>
      <c r="E21" s="31" t="n">
        <f aca="false">SUMIFS(Indicador!$F$14:$F$1704,Indicador!$B$14:$B$1704,$A21)</f>
        <v>1479122643</v>
      </c>
      <c r="F21" s="32" t="n">
        <f aca="false">E21/D21</f>
        <v>855.322855003282</v>
      </c>
      <c r="G21" s="30" t="n">
        <f aca="false">SUMIFS(Indicador!$L$14:$L$1704,Indicador!$B$14:$B$1704,$A21)</f>
        <v>1734982</v>
      </c>
      <c r="H21" s="31" t="n">
        <f aca="false">SUMIFS(Indicador!$G$14:$G$1704,Indicador!$B$14:$B$1704,$A21)</f>
        <v>1657557858</v>
      </c>
      <c r="I21" s="33" t="n">
        <f aca="false">H21*Indicador!$F$7</f>
        <v>1596729190.09756</v>
      </c>
      <c r="J21" s="32" t="n">
        <f aca="false">I21/G21</f>
        <v>920.314556633761</v>
      </c>
      <c r="K21" s="34" t="n">
        <f aca="false">J21/F21-1</f>
        <v>0.0759849935615602</v>
      </c>
    </row>
    <row r="22" customFormat="false" ht="15" hidden="false" customHeight="false" outlineLevel="0" collapsed="false">
      <c r="A22" s="28" t="s">
        <v>1356</v>
      </c>
      <c r="B22" s="28" t="s">
        <v>1357</v>
      </c>
      <c r="C22" s="29" t="n">
        <f aca="false">COUNTIF(Indicador!$B$14:$B$1704,$A22)</f>
        <v>19</v>
      </c>
      <c r="D22" s="30" t="n">
        <f aca="false">SUMIFS(Indicador!$K$14:$K$1704,Indicador!$B$14:$B$1704,$A22)</f>
        <v>1262448</v>
      </c>
      <c r="E22" s="31" t="n">
        <f aca="false">SUMIFS(Indicador!$F$14:$F$1704,Indicador!$B$14:$B$1704,$A22)</f>
        <v>1123322711</v>
      </c>
      <c r="F22" s="32" t="n">
        <f aca="false">E22/D22</f>
        <v>889.797212241613</v>
      </c>
      <c r="G22" s="30" t="n">
        <f aca="false">SUMIFS(Indicador!$L$14:$L$1704,Indicador!$B$14:$B$1704,$A22)</f>
        <v>1274705</v>
      </c>
      <c r="H22" s="31" t="n">
        <f aca="false">SUMIFS(Indicador!$G$14:$G$1704,Indicador!$B$14:$B$1704,$A22)</f>
        <v>1322926721</v>
      </c>
      <c r="I22" s="33" t="n">
        <f aca="false">H22*Indicador!$F$7</f>
        <v>1274378267.75441</v>
      </c>
      <c r="J22" s="32" t="n">
        <f aca="false">I22/G22</f>
        <v>999.743680109835</v>
      </c>
      <c r="K22" s="34" t="n">
        <f aca="false">J22/F22-1</f>
        <v>0.123563511276058</v>
      </c>
    </row>
    <row r="23" customFormat="false" ht="15" hidden="false" customHeight="false" outlineLevel="0" collapsed="false">
      <c r="A23" s="28" t="s">
        <v>1395</v>
      </c>
      <c r="B23" s="28" t="s">
        <v>1396</v>
      </c>
      <c r="C23" s="29" t="n">
        <f aca="false">COUNTIF(Indicador!$B$14:$B$1704,$A23)</f>
        <v>30</v>
      </c>
      <c r="D23" s="30" t="n">
        <f aca="false">SUMIFS(Indicador!$K$14:$K$1704,Indicador!$B$14:$B$1704,$A23)</f>
        <v>5839238</v>
      </c>
      <c r="E23" s="31" t="n">
        <f aca="false">SUMIFS(Indicador!$F$14:$F$1704,Indicador!$B$14:$B$1704,$A23)</f>
        <v>8915428495</v>
      </c>
      <c r="F23" s="32" t="n">
        <f aca="false">E23/D23</f>
        <v>1526.81368613507</v>
      </c>
      <c r="G23" s="30" t="n">
        <f aca="false">SUMIFS(Indicador!$L$14:$L$1704,Indicador!$B$14:$B$1704,$A23)</f>
        <v>5930962</v>
      </c>
      <c r="H23" s="31" t="n">
        <f aca="false">SUMIFS(Indicador!$G$14:$G$1704,Indicador!$B$14:$B$1704,$A23)</f>
        <v>10295740353</v>
      </c>
      <c r="I23" s="33" t="n">
        <f aca="false">H23*Indicador!$F$7</f>
        <v>9917909698.26914</v>
      </c>
      <c r="J23" s="32" t="n">
        <f aca="false">I23/G23</f>
        <v>1672.22614109973</v>
      </c>
      <c r="K23" s="34" t="n">
        <f aca="false">J23/F23-1</f>
        <v>0.0952391613234411</v>
      </c>
    </row>
    <row r="24" customFormat="false" ht="15" hidden="false" customHeight="false" outlineLevel="0" collapsed="false">
      <c r="A24" s="28" t="s">
        <v>1451</v>
      </c>
      <c r="B24" s="28" t="s">
        <v>1452</v>
      </c>
      <c r="C24" s="29" t="n">
        <f aca="false">COUNTIF(Indicador!$B$14:$B$1704,$A24)</f>
        <v>544</v>
      </c>
      <c r="D24" s="30" t="n">
        <f aca="false">SUMIFS(Indicador!$K$14:$K$1704,Indicador!$B$14:$B$1704,$A24)</f>
        <v>3860498</v>
      </c>
      <c r="E24" s="31" t="n">
        <f aca="false">SUMIFS(Indicador!$F$14:$F$1704,Indicador!$B$14:$B$1704,$A24)</f>
        <v>731158076</v>
      </c>
      <c r="F24" s="32" t="n">
        <f aca="false">E24/D24</f>
        <v>189.394755806116</v>
      </c>
      <c r="G24" s="30" t="n">
        <f aca="false">SUMIFS(Indicador!$L$14:$L$1704,Indicador!$B$14:$B$1704,$A24)</f>
        <v>3868794</v>
      </c>
      <c r="H24" s="31" t="n">
        <f aca="false">SUMIFS(Indicador!$G$14:$G$1704,Indicador!$B$14:$B$1704,$A24)</f>
        <v>856722970</v>
      </c>
      <c r="I24" s="33" t="n">
        <f aca="false">H24*Indicador!$F$7</f>
        <v>825283152.213244</v>
      </c>
      <c r="J24" s="32" t="n">
        <f aca="false">I24/G24</f>
        <v>213.317936342241</v>
      </c>
      <c r="K24" s="34" t="n">
        <f aca="false">J24/F24-1</f>
        <v>0.126313848735153</v>
      </c>
    </row>
    <row r="25" customFormat="false" ht="15" hidden="false" customHeight="false" outlineLevel="0" collapsed="false">
      <c r="A25" s="28" t="s">
        <v>2963</v>
      </c>
      <c r="B25" s="28" t="s">
        <v>2964</v>
      </c>
      <c r="C25" s="29" t="n">
        <f aca="false">COUNTIF(Indicador!$B$14:$B$1704,$A25)</f>
        <v>193</v>
      </c>
      <c r="D25" s="30" t="n">
        <f aca="false">SUMIFS(Indicador!$K$14:$K$1704,Indicador!$B$14:$B$1704,$A25)</f>
        <v>6410386</v>
      </c>
      <c r="E25" s="31" t="n">
        <f aca="false">SUMIFS(Indicador!$F$14:$F$1704,Indicador!$B$14:$B$1704,$A25)</f>
        <v>2504881965</v>
      </c>
      <c r="F25" s="32" t="n">
        <f aca="false">E25/D25</f>
        <v>390.753687063462</v>
      </c>
      <c r="G25" s="30" t="n">
        <f aca="false">SUMIFS(Indicador!$L$14:$L$1704,Indicador!$B$14:$B$1704,$A25)</f>
        <v>6458207</v>
      </c>
      <c r="H25" s="31" t="n">
        <f aca="false">SUMIFS(Indicador!$G$14:$G$1704,Indicador!$B$14:$B$1704,$A25)</f>
        <v>2897734066</v>
      </c>
      <c r="I25" s="33" t="n">
        <f aca="false">H25*Indicador!$F$7</f>
        <v>2791393703.68952</v>
      </c>
      <c r="J25" s="32" t="n">
        <f aca="false">I25/G25</f>
        <v>432.224254145077</v>
      </c>
      <c r="K25" s="34" t="n">
        <f aca="false">J25/F25-1</f>
        <v>0.106129688482963</v>
      </c>
    </row>
    <row r="26" customFormat="false" ht="15" hidden="false" customHeight="false" outlineLevel="0" collapsed="false">
      <c r="A26" s="28" t="s">
        <v>3349</v>
      </c>
      <c r="B26" s="28" t="s">
        <v>3350</v>
      </c>
      <c r="C26" s="29" t="n">
        <f aca="false">COUNTIF(Indicador!$B$14:$B$1704,$A26)</f>
        <v>16</v>
      </c>
      <c r="D26" s="30" t="n">
        <f aca="false">SUMIFS(Indicador!$K$14:$K$1704,Indicador!$B$14:$B$1704,$A26)</f>
        <v>2497995</v>
      </c>
      <c r="E26" s="31" t="n">
        <f aca="false">SUMIFS(Indicador!$F$14:$F$1704,Indicador!$B$14:$B$1704,$A26)</f>
        <v>8082091512</v>
      </c>
      <c r="F26" s="32" t="n">
        <f aca="false">E26/D26</f>
        <v>3235.43142079948</v>
      </c>
      <c r="G26" s="30" t="n">
        <f aca="false">SUMIFS(Indicador!$L$14:$L$1704,Indicador!$B$14:$B$1704,$A26)</f>
        <v>2544333</v>
      </c>
      <c r="H26" s="31" t="n">
        <f aca="false">SUMIFS(Indicador!$G$14:$G$1704,Indicador!$B$14:$B$1704,$A26)</f>
        <v>8806219308</v>
      </c>
      <c r="I26" s="33" t="n">
        <f aca="false">H26*Indicador!$F$7</f>
        <v>8483050745.78236</v>
      </c>
      <c r="J26" s="32" t="n">
        <f aca="false">I26/G26</f>
        <v>3334.09610525916</v>
      </c>
      <c r="K26" s="34" t="n">
        <f aca="false">J26/F26-1</f>
        <v>0.0304950628300751</v>
      </c>
    </row>
    <row r="27" customFormat="false" ht="15" hidden="false" customHeight="false" outlineLevel="0" collapsed="false">
      <c r="A27" s="28" t="s">
        <v>3380</v>
      </c>
      <c r="B27" s="28" t="s">
        <v>3381</v>
      </c>
      <c r="C27" s="29" t="n">
        <f aca="false">COUNTIF(Indicador!$B$14:$B$1704,$A27)</f>
        <v>11</v>
      </c>
      <c r="D27" s="30" t="n">
        <f aca="false">SUMIFS(Indicador!$K$14:$K$1704,Indicador!$B$14:$B$1704,$A27)</f>
        <v>2035176</v>
      </c>
      <c r="E27" s="31" t="n">
        <f aca="false">SUMIFS(Indicador!$F$14:$F$1704,Indicador!$B$14:$B$1704,$A27)</f>
        <v>5113533065</v>
      </c>
      <c r="F27" s="32" t="n">
        <f aca="false">E27/D27</f>
        <v>2512.57535711899</v>
      </c>
      <c r="G27" s="30" t="n">
        <f aca="false">SUMIFS(Indicador!$L$14:$L$1704,Indicador!$B$14:$B$1704,$A27)</f>
        <v>2081368</v>
      </c>
      <c r="H27" s="31" t="n">
        <f aca="false">SUMIFS(Indicador!$G$14:$G$1704,Indicador!$B$14:$B$1704,$A27)</f>
        <v>5211531615</v>
      </c>
      <c r="I27" s="33" t="n">
        <f aca="false">H27*Indicador!$F$7</f>
        <v>5020280055.15736</v>
      </c>
      <c r="J27" s="32" t="n">
        <f aca="false">I27/G27</f>
        <v>2412.00982005939</v>
      </c>
      <c r="K27" s="34" t="n">
        <f aca="false">J27/F27-1</f>
        <v>-0.0400248839401649</v>
      </c>
    </row>
    <row r="28" customFormat="false" ht="15" hidden="false" customHeight="false" outlineLevel="0" collapsed="false">
      <c r="A28" s="28" t="s">
        <v>3403</v>
      </c>
      <c r="B28" s="28" t="s">
        <v>3404</v>
      </c>
      <c r="C28" s="29" t="n">
        <f aca="false">COUNTIF(Indicador!$B$14:$B$1704,$A28)</f>
        <v>7</v>
      </c>
      <c r="D28" s="30" t="n">
        <f aca="false">SUMIFS(Indicador!$K$14:$K$1704,Indicador!$B$14:$B$1704,$A28)</f>
        <v>1633405</v>
      </c>
      <c r="E28" s="31" t="n">
        <f aca="false">SUMIFS(Indicador!$F$14:$F$1704,Indicador!$B$14:$B$1704,$A28)</f>
        <v>1424711172</v>
      </c>
      <c r="F28" s="32" t="n">
        <f aca="false">E28/D28</f>
        <v>872.233874636113</v>
      </c>
      <c r="G28" s="30" t="n">
        <f aca="false">SUMIFS(Indicador!$L$14:$L$1704,Indicador!$B$14:$B$1704,$A28)</f>
        <v>1641931</v>
      </c>
      <c r="H28" s="31" t="n">
        <f aca="false">SUMIFS(Indicador!$G$14:$G$1704,Indicador!$B$14:$B$1704,$A28)</f>
        <v>1338850196</v>
      </c>
      <c r="I28" s="33" t="n">
        <f aca="false">H28*Indicador!$F$7</f>
        <v>1289717386.81899</v>
      </c>
      <c r="J28" s="32" t="n">
        <f aca="false">I28/G28</f>
        <v>785.488176311298</v>
      </c>
      <c r="K28" s="34" t="n">
        <f aca="false">J28/F28-1</f>
        <v>-0.099452338240136</v>
      </c>
    </row>
    <row r="29" customFormat="false" ht="15" hidden="false" customHeight="false" outlineLevel="0" collapsed="false">
      <c r="A29" s="28" t="s">
        <v>3418</v>
      </c>
      <c r="B29" s="28" t="s">
        <v>3419</v>
      </c>
      <c r="C29" s="29" t="n">
        <f aca="false">COUNTIF(Indicador!$B$14:$B$1704,$A29)</f>
        <v>18</v>
      </c>
      <c r="D29" s="30" t="n">
        <f aca="false">SUMIFS(Indicador!$K$14:$K$1704,Indicador!$B$14:$B$1704,$A29)</f>
        <v>2965712</v>
      </c>
      <c r="E29" s="31" t="n">
        <f aca="false">SUMIFS(Indicador!$F$14:$F$1704,Indicador!$B$14:$B$1704,$A29)</f>
        <v>3607408073</v>
      </c>
      <c r="F29" s="32" t="n">
        <f aca="false">E29/D29</f>
        <v>1216.37167499744</v>
      </c>
      <c r="G29" s="30" t="n">
        <f aca="false">SUMIFS(Indicador!$L$14:$L$1704,Indicador!$B$14:$B$1704,$A29)</f>
        <v>2979354</v>
      </c>
      <c r="H29" s="31" t="n">
        <f aca="false">SUMIFS(Indicador!$G$14:$G$1704,Indicador!$B$14:$B$1704,$A29)</f>
        <v>3622123069</v>
      </c>
      <c r="I29" s="33" t="n">
        <f aca="false">H29*Indicador!$F$7</f>
        <v>3489199249.65783</v>
      </c>
      <c r="J29" s="32" t="n">
        <f aca="false">I29/G29</f>
        <v>1171.12610641697</v>
      </c>
      <c r="K29" s="34" t="n">
        <f aca="false">J29/F29-1</f>
        <v>-0.0371971573413693</v>
      </c>
    </row>
    <row r="30" customFormat="false" ht="15" hidden="false" customHeight="false" outlineLevel="0" collapsed="false">
      <c r="A30" s="28" t="s">
        <v>3455</v>
      </c>
      <c r="B30" s="28" t="s">
        <v>3456</v>
      </c>
      <c r="C30" s="29" t="n">
        <f aca="false">COUNTIF(Indicador!$B$14:$B$1704,$A30)</f>
        <v>72</v>
      </c>
      <c r="D30" s="30" t="n">
        <f aca="false">SUMIFS(Indicador!$K$14:$K$1704,Indicador!$B$14:$B$1704,$A30)</f>
        <v>3003950</v>
      </c>
      <c r="E30" s="31" t="n">
        <f aca="false">SUMIFS(Indicador!$F$14:$F$1704,Indicador!$B$14:$B$1704,$A30)</f>
        <v>3336997094</v>
      </c>
      <c r="F30" s="32" t="n">
        <f aca="false">E30/D30</f>
        <v>1110.86971953594</v>
      </c>
      <c r="G30" s="30" t="n">
        <f aca="false">SUMIFS(Indicador!$L$14:$L$1704,Indicador!$B$14:$B$1704,$A30)</f>
        <v>3023290</v>
      </c>
      <c r="H30" s="31" t="n">
        <f aca="false">SUMIFS(Indicador!$G$14:$G$1704,Indicador!$B$14:$B$1704,$A30)</f>
        <v>3609052499</v>
      </c>
      <c r="I30" s="33" t="n">
        <f aca="false">H30*Indicador!$F$7</f>
        <v>3476608340.35745</v>
      </c>
      <c r="J30" s="32" t="n">
        <f aca="false">I30/G30</f>
        <v>1149.9420632349</v>
      </c>
      <c r="K30" s="34" t="n">
        <f aca="false">J30/F30-1</f>
        <v>0.035172750694187</v>
      </c>
    </row>
    <row r="31" customFormat="false" ht="15" hidden="false" customHeight="false" outlineLevel="0" collapsed="false">
      <c r="A31" s="28" t="s">
        <v>3597</v>
      </c>
      <c r="B31" s="28" t="s">
        <v>3598</v>
      </c>
      <c r="C31" s="29" t="n">
        <f aca="false">COUNTIF(Indicador!$B$14:$B$1704,$A31)</f>
        <v>17</v>
      </c>
      <c r="D31" s="30" t="n">
        <f aca="false">SUMIFS(Indicador!$K$14:$K$1704,Indicador!$B$14:$B$1704,$A31)</f>
        <v>2491582</v>
      </c>
      <c r="E31" s="31" t="n">
        <f aca="false">SUMIFS(Indicador!$F$14:$F$1704,Indicador!$B$14:$B$1704,$A31)</f>
        <v>664384763</v>
      </c>
      <c r="F31" s="32" t="n">
        <f aca="false">E31/D31</f>
        <v>266.651775056972</v>
      </c>
      <c r="G31" s="30" t="n">
        <f aca="false">SUMIFS(Indicador!$L$14:$L$1704,Indicador!$B$14:$B$1704,$A31)</f>
        <v>2514508</v>
      </c>
      <c r="H31" s="31" t="n">
        <f aca="false">SUMIFS(Indicador!$G$14:$G$1704,Indicador!$B$14:$B$1704,$A31)</f>
        <v>707300169</v>
      </c>
      <c r="I31" s="33" t="n">
        <f aca="false">H31*Indicador!$F$7</f>
        <v>681343833.97387</v>
      </c>
      <c r="J31" s="32" t="n">
        <f aca="false">I31/G31</f>
        <v>270.965069100544</v>
      </c>
      <c r="K31" s="34" t="n">
        <f aca="false">J31/F31-1</f>
        <v>0.0161757559748108</v>
      </c>
    </row>
    <row r="32" customFormat="false" ht="15" hidden="false" customHeight="false" outlineLevel="0" collapsed="false">
      <c r="A32" s="28" t="s">
        <v>3632</v>
      </c>
      <c r="B32" s="28" t="s">
        <v>3633</v>
      </c>
      <c r="C32" s="29" t="n">
        <f aca="false">COUNTIF(Indicador!$B$14:$B$1704,$A32)</f>
        <v>42</v>
      </c>
      <c r="D32" s="30" t="n">
        <f aca="false">SUMIFS(Indicador!$K$14:$K$1704,Indicador!$B$14:$B$1704,$A32)</f>
        <v>3565038</v>
      </c>
      <c r="E32" s="31" t="n">
        <f aca="false">SUMIFS(Indicador!$F$14:$F$1704,Indicador!$B$14:$B$1704,$A32)</f>
        <v>1486469866</v>
      </c>
      <c r="F32" s="32" t="n">
        <f aca="false">E32/D32</f>
        <v>416.957649820282</v>
      </c>
      <c r="G32" s="30" t="n">
        <f aca="false">SUMIFS(Indicador!$L$14:$L$1704,Indicador!$B$14:$B$1704,$A32)</f>
        <v>3582287</v>
      </c>
      <c r="H32" s="31" t="n">
        <f aca="false">SUMIFS(Indicador!$G$14:$G$1704,Indicador!$B$14:$B$1704,$A32)</f>
        <v>1595679835</v>
      </c>
      <c r="I32" s="33" t="n">
        <f aca="false">H32*Indicador!$F$7</f>
        <v>1537121952.21276</v>
      </c>
      <c r="J32" s="32" t="n">
        <f aca="false">I32/G32</f>
        <v>429.089559885279</v>
      </c>
      <c r="K32" s="34" t="n">
        <f aca="false">J32/F32-1</f>
        <v>0.0290962645012636</v>
      </c>
    </row>
    <row r="33" customFormat="false" ht="15" hidden="false" customHeight="false" outlineLevel="0" collapsed="false">
      <c r="A33" s="28" t="s">
        <v>3706</v>
      </c>
      <c r="B33" s="28" t="s">
        <v>3707</v>
      </c>
      <c r="C33" s="29" t="n">
        <f aca="false">COUNTIF(Indicador!$B$14:$B$1704,$A33)</f>
        <v>60</v>
      </c>
      <c r="D33" s="30" t="n">
        <f aca="false">SUMIFS(Indicador!$K$14:$K$1704,Indicador!$B$14:$B$1704,$A33)</f>
        <v>1398855</v>
      </c>
      <c r="E33" s="31" t="n">
        <f aca="false">SUMIFS(Indicador!$F$14:$F$1704,Indicador!$B$14:$B$1704,$A33)</f>
        <v>222600407</v>
      </c>
      <c r="F33" s="32" t="n">
        <f aca="false">E33/D33</f>
        <v>159.130436678569</v>
      </c>
      <c r="G33" s="30" t="n">
        <f aca="false">SUMIFS(Indicador!$L$14:$L$1704,Indicador!$B$14:$B$1704,$A33)</f>
        <v>1413060</v>
      </c>
      <c r="H33" s="31" t="n">
        <f aca="false">SUMIFS(Indicador!$G$14:$G$1704,Indicador!$B$14:$B$1704,$A33)</f>
        <v>284399585</v>
      </c>
      <c r="I33" s="33" t="n">
        <f aca="false">H33*Indicador!$F$7</f>
        <v>273962756.008443</v>
      </c>
      <c r="J33" s="32" t="n">
        <f aca="false">I33/G33</f>
        <v>193.87906812764</v>
      </c>
      <c r="K33" s="34" t="n">
        <f aca="false">J33/F33-1</f>
        <v>0.218365714154735</v>
      </c>
    </row>
    <row r="34" customFormat="false" ht="15" hidden="false" customHeight="false" outlineLevel="0" collapsed="false">
      <c r="A34" s="28" t="s">
        <v>3823</v>
      </c>
      <c r="B34" s="28" t="s">
        <v>3824</v>
      </c>
      <c r="C34" s="29" t="n">
        <f aca="false">COUNTIF(Indicador!$B$14:$B$1704,$A34)</f>
        <v>20</v>
      </c>
      <c r="D34" s="30" t="n">
        <f aca="false">SUMIFS(Indicador!$K$14:$K$1704,Indicador!$B$14:$B$1704,$A34)</f>
        <v>3479257</v>
      </c>
      <c r="E34" s="31" t="n">
        <f aca="false">SUMIFS(Indicador!$F$14:$F$1704,Indicador!$B$14:$B$1704,$A34)</f>
        <v>1791328558</v>
      </c>
      <c r="F34" s="32" t="n">
        <f aca="false">E34/D34</f>
        <v>514.859511096766</v>
      </c>
      <c r="G34" s="30" t="n">
        <f aca="false">SUMIFS(Indicador!$L$14:$L$1704,Indicador!$B$14:$B$1704,$A34)</f>
        <v>3465593</v>
      </c>
      <c r="H34" s="31" t="n">
        <f aca="false">SUMIFS(Indicador!$G$14:$G$1704,Indicador!$B$14:$B$1704,$A34)</f>
        <v>1860887569</v>
      </c>
      <c r="I34" s="33" t="n">
        <f aca="false">H34*Indicador!$F$7</f>
        <v>1792597155.24933</v>
      </c>
      <c r="J34" s="32" t="n">
        <f aca="false">I34/G34</f>
        <v>517.255533251982</v>
      </c>
      <c r="K34" s="34" t="n">
        <f aca="false">J34/F34-1</f>
        <v>0.00465373971651384</v>
      </c>
    </row>
    <row r="35" customFormat="false" ht="15" hidden="false" customHeight="false" outlineLevel="0" collapsed="false">
      <c r="A35" s="28" t="s">
        <v>3861</v>
      </c>
      <c r="B35" s="28" t="s">
        <v>3862</v>
      </c>
      <c r="C35" s="29" t="n">
        <f aca="false">COUNTIF(Indicador!$B$14:$B$1704,$A35)</f>
        <v>3</v>
      </c>
      <c r="D35" s="30" t="n">
        <f aca="false">SUMIFS(Indicador!$K$14:$K$1704,Indicador!$B$14:$B$1704,$A35)</f>
        <v>1212827</v>
      </c>
      <c r="E35" s="31" t="n">
        <f aca="false">SUMIFS(Indicador!$F$14:$F$1704,Indicador!$B$14:$B$1704,$A35)</f>
        <v>2431979217</v>
      </c>
      <c r="F35" s="32" t="n">
        <f aca="false">E35/D35</f>
        <v>2005.21526730523</v>
      </c>
      <c r="G35" s="30" t="n">
        <f aca="false">SUMIFS(Indicador!$L$14:$L$1704,Indicador!$B$14:$B$1704,$A35)</f>
        <v>1225755</v>
      </c>
      <c r="H35" s="31" t="n">
        <f aca="false">SUMIFS(Indicador!$G$14:$G$1704,Indicador!$B$14:$B$1704,$A35)</f>
        <v>2677884730</v>
      </c>
      <c r="I35" s="33" t="n">
        <f aca="false">H35*Indicador!$F$7</f>
        <v>2579612346.84546</v>
      </c>
      <c r="J35" s="32" t="n">
        <f aca="false">I35/G35</f>
        <v>2104.50893273571</v>
      </c>
      <c r="K35" s="34" t="n">
        <f aca="false">J35/F35-1</f>
        <v>0.0495177086717074</v>
      </c>
    </row>
    <row r="36" customFormat="false" ht="15" hidden="false" customHeight="false" outlineLevel="0" collapsed="false">
      <c r="A36" s="28" t="s">
        <v>3869</v>
      </c>
      <c r="B36" s="28" t="s">
        <v>3870</v>
      </c>
      <c r="C36" s="29" t="n">
        <f aca="false">COUNTIF(Indicador!$B$14:$B$1704,$A36)</f>
        <v>44</v>
      </c>
      <c r="D36" s="30" t="n">
        <f aca="false">SUMIFS(Indicador!$K$14:$K$1704,Indicador!$B$14:$B$1704,$A36)</f>
        <v>1349667</v>
      </c>
      <c r="E36" s="31" t="n">
        <f aca="false">SUMIFS(Indicador!$F$14:$F$1704,Indicador!$B$14:$B$1704,$A36)</f>
        <v>752801036</v>
      </c>
      <c r="F36" s="32" t="n">
        <f aca="false">E36/D36</f>
        <v>557.767979805389</v>
      </c>
      <c r="G36" s="30" t="n">
        <f aca="false">SUMIFS(Indicador!$L$14:$L$1704,Indicador!$B$14:$B$1704,$A36)</f>
        <v>1360288</v>
      </c>
      <c r="H36" s="31" t="n">
        <f aca="false">SUMIFS(Indicador!$G$14:$G$1704,Indicador!$B$14:$B$1704,$A36)</f>
        <v>835329019</v>
      </c>
      <c r="I36" s="33" t="n">
        <f aca="false">H36*Indicador!$F$7</f>
        <v>804674311.388566</v>
      </c>
      <c r="J36" s="32" t="n">
        <f aca="false">I36/G36</f>
        <v>591.547019005215</v>
      </c>
      <c r="K36" s="34" t="n">
        <f aca="false">J36/F36-1</f>
        <v>0.0605610942593227</v>
      </c>
    </row>
    <row r="37" customFormat="false" ht="15" hidden="false" customHeight="false" outlineLevel="0" collapsed="false">
      <c r="A37" s="35"/>
      <c r="B37" s="35" t="s">
        <v>4004</v>
      </c>
      <c r="C37" s="35" t="n">
        <f aca="false">SUM(C6:C36)</f>
        <v>1691</v>
      </c>
      <c r="D37" s="36" t="n">
        <f aca="false">SUM(D6:D36)</f>
        <v>101571350</v>
      </c>
      <c r="E37" s="37" t="n">
        <f aca="false">SUM(E6:E36)</f>
        <v>97594966712</v>
      </c>
      <c r="F37" s="38" t="n">
        <f aca="false">E37/D37</f>
        <v>960.851329749974</v>
      </c>
      <c r="G37" s="36" t="n">
        <f aca="false">SUM(G6:G36)</f>
        <v>102406508</v>
      </c>
      <c r="H37" s="37" t="n">
        <f aca="false">SUM(H6:H36)</f>
        <v>107225503859</v>
      </c>
      <c r="I37" s="37" t="n">
        <f aca="false">H37*Indicador!$F$7</f>
        <v>103290567570.995</v>
      </c>
      <c r="J37" s="38" t="n">
        <f aca="false">I37/G37</f>
        <v>1008.6328455902</v>
      </c>
      <c r="K37" s="39" t="n">
        <f aca="false">J37/F37-1</f>
        <v>0.049728313174795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2026-10-23T20:51:42Z</dcterms:created>
  <dc:creator>openpyxl</dc:creator>
  <dc:description/>
  <dc:language>en-US</dc:language>
  <cp:lastModifiedBy/>
  <dcterms:modified xsi:type="dcterms:W3CDTF">2026-10-23T20:51:44Z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